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966E41F8-81A7-4940-B912-85CB53CA8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oran 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okuGd3gRGE5v8+hXIxwr5LZ2wagVe8XAyr2uLLL2gY="/>
    </ext>
  </extLst>
</workbook>
</file>

<file path=xl/calcChain.xml><?xml version="1.0" encoding="utf-8"?>
<calcChain xmlns="http://schemas.openxmlformats.org/spreadsheetml/2006/main">
  <c r="K6" i="1" l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5" i="1" a="1"/>
  <c r="K5" i="1"/>
  <c r="J15" i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H6" i="1"/>
  <c r="H7" i="1"/>
  <c r="H8" i="1"/>
  <c r="H9" i="1"/>
  <c r="H10" i="1"/>
  <c r="H11" i="1"/>
  <c r="H12" i="1"/>
  <c r="H13" i="1"/>
  <c r="H14" i="1"/>
  <c r="H5" i="1"/>
  <c r="G15" i="1"/>
  <c r="H15" i="1"/>
  <c r="I15" i="1"/>
  <c r="K15" i="1"/>
  <c r="G6" i="1"/>
  <c r="G7" i="1"/>
  <c r="G8" i="1"/>
  <c r="G9" i="1"/>
  <c r="G10" i="1"/>
  <c r="G11" i="1"/>
  <c r="G12" i="1"/>
  <c r="G13" i="1"/>
  <c r="G14" i="1"/>
  <c r="G5" i="1"/>
  <c r="F15" i="1"/>
  <c r="F6" i="1"/>
  <c r="F7" i="1"/>
  <c r="F8" i="1"/>
  <c r="F9" i="1"/>
  <c r="F10" i="1"/>
  <c r="F11" i="1"/>
  <c r="F12" i="1"/>
  <c r="F13" i="1"/>
  <c r="F14" i="1"/>
  <c r="F5" i="1"/>
  <c r="E15" i="1"/>
  <c r="D6" i="1"/>
  <c r="D7" i="1"/>
  <c r="D8" i="1"/>
  <c r="D9" i="1"/>
  <c r="D10" i="1"/>
  <c r="D11" i="1"/>
  <c r="D12" i="1"/>
  <c r="D13" i="1"/>
  <c r="D14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<sst xmlns="http://schemas.openxmlformats.org/spreadsheetml/2006/main" count="64" uniqueCount="44">
  <si>
    <t>LAPORAN PENJUALAN KOMPONEN KOMPUTER</t>
  </si>
  <si>
    <t>NO.</t>
  </si>
  <si>
    <t>TANGGAL</t>
  </si>
  <si>
    <t>KODE BARANG</t>
  </si>
  <si>
    <t>NAMA BARANG</t>
  </si>
  <si>
    <t>JUMLAH BARANG</t>
  </si>
  <si>
    <t>HARGA SATUAN</t>
  </si>
  <si>
    <t>HARGA TOTAL</t>
  </si>
  <si>
    <t>DISKON</t>
  </si>
  <si>
    <t>PEMBAYARAN TOTAL</t>
  </si>
  <si>
    <t>BONUS KHUSUS</t>
  </si>
  <si>
    <t>VOUCHER (LEMBAR)</t>
  </si>
  <si>
    <t>TOTAL</t>
  </si>
  <si>
    <t>TABEL BARANG</t>
  </si>
  <si>
    <t>TABEL DISKON</t>
  </si>
  <si>
    <t>KODE</t>
  </si>
  <si>
    <t>BARANG</t>
  </si>
  <si>
    <t>HARGA</t>
  </si>
  <si>
    <t>KEYBOARD</t>
  </si>
  <si>
    <t>HARDISK</t>
  </si>
  <si>
    <t>MONITOR</t>
  </si>
  <si>
    <t>TABEL BONUS KHUSUS</t>
  </si>
  <si>
    <t>BONUS BIASA</t>
  </si>
  <si>
    <t>NAMA BRG</t>
  </si>
  <si>
    <t>TGL BELI</t>
  </si>
  <si>
    <t>BONUS</t>
  </si>
  <si>
    <t>Cover Comp</t>
  </si>
  <si>
    <t>VCD</t>
  </si>
  <si>
    <t>Speaker Active</t>
  </si>
  <si>
    <t>CD Blank</t>
  </si>
  <si>
    <t>KETERANGAN RUMUS :</t>
  </si>
  <si>
    <t>1. Nama Barang = Diambil dari Tabel Barang berdasarkan Kode Barang</t>
  </si>
  <si>
    <t>2. Harga Satuan = Diambil dari Tabel Barang berdasarkan Kode Barang</t>
  </si>
  <si>
    <t>3. Harga Total = Jumlah Barang * Harga Satuan</t>
  </si>
  <si>
    <t>4. Diskon = Diskon (%) x Harga Total ; besarnya diskon diambil dari Tabel Diskon</t>
  </si>
  <si>
    <t>5. Pembayaran Total = Harga Total - Diskon</t>
  </si>
  <si>
    <t xml:space="preserve">6. Bonus Khusus = </t>
  </si>
  <si>
    <t xml:space="preserve">     - Jika transaksi pembelian dilakukan sebelum tanggal 10 Juli 2023, maka mendapatkan bonus sesuai Tabel Bonus Khusus</t>
  </si>
  <si>
    <t xml:space="preserve">     - Jika transaksi pembelian dilakukan pada saat dan setelah tanggal 10 Juli 2023, maka mendapatkan bonus "CD Blank"</t>
  </si>
  <si>
    <t>7. Voucher =</t>
  </si>
  <si>
    <t xml:space="preserve">     - Jika pembelian diatas Rp. 1.500.000, maka dapat 4 lembar.</t>
  </si>
  <si>
    <t xml:space="preserve">     - Jika pembelian antara Rp.1.000.000 keatas sampai dengan Rp. 1.500.000, maka dapat 3 lembar.</t>
  </si>
  <si>
    <t xml:space="preserve">     - Jika pembelian antara Rp.500.000 keatas sampai dengan Rp. 1.000.000, maka dapat 2 lembar.</t>
  </si>
  <si>
    <t xml:space="preserve">     - Jika pembelian kurang atau sama dengan Rp.500.000, maka dapat voucher 1 lembar.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</si>
</sst>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_-* #,##0_-;\-* #,##0_-;_-* &quot;-&quot;_-;_-@"/>
  </numFmts>
  <fonts count="7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5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/>
    <xf numFmtId="20" fontId="3" fillId="0" borderId="0" xfId="0" applyNumberFormat="1" applyFont="1" applyAlignment="1">
      <alignment horizontal="left"/>
    </xf>
    <xf numFmtId="0" fontId="6" fillId="0" borderId="0" xfId="0" applyFont="1"/>
    <xf numFmtId="165" fontId="3" fillId="5" borderId="1" xfId="0" applyNumberFormat="1" applyFont="1" applyFill="1" applyBorder="1"/>
    <xf numFmtId="0" fontId="3" fillId="5" borderId="1" xfId="0" applyFont="1" applyFill="1" applyBorder="1"/>
    <xf numFmtId="164" fontId="3" fillId="5" borderId="1" xfId="1" applyFont="1" applyFill="1" applyBorder="1"/>
    <xf numFmtId="1" fontId="2" fillId="5" borderId="6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5" borderId="1" xfId="1" applyNumberFormat="1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1000"/>
  <sheetViews>
    <sheetView showGridLines="0" tabSelected="1" topLeftCell="B1" workbookViewId="0">
      <selection activeCell="K5" sqref="K5"/>
    </sheetView>
  </sheetViews>
  <sheetFormatPr defaultColWidth="14.42578125" defaultRowHeight="15" customHeight="1"/>
  <cols>
    <col min="1" max="1" width="4.42578125" customWidth="1"/>
    <col min="2" max="2" width="14.28515625" customWidth="1"/>
    <col min="3" max="3" width="11.7109375" customWidth="1"/>
    <col min="4" max="4" width="15.42578125" customWidth="1"/>
    <col min="5" max="5" width="14.28515625" customWidth="1"/>
    <col min="6" max="9" width="14.5703125" customWidth="1"/>
    <col min="10" max="10" width="15.7109375" customWidth="1"/>
    <col min="11" max="11" width="14.5703125" customWidth="1"/>
    <col min="12" max="26" width="8.7109375" customWidth="1"/>
  </cols>
  <sheetData>
    <row r="1" spans="1:13" ht="2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 ht="21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3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M4" s="14" t="s">
        <v>30</v>
      </c>
    </row>
    <row r="5" spans="1:13">
      <c r="A5" s="2">
        <v>1</v>
      </c>
      <c r="B5" s="3">
        <v>45109</v>
      </c>
      <c r="C5" s="2">
        <v>102</v>
      </c>
      <c r="D5" s="18" t="str">
        <f>_xlfn.XLOOKUP(C5,$B$19:$B$21,$C$19:$C$21)</f>
        <v>HARDISK</v>
      </c>
      <c r="E5" s="2">
        <v>11</v>
      </c>
      <c r="F5" s="19">
        <f>VLOOKUP(C5,$B$19:$D$21,3,FALSE)</f>
        <v>550000</v>
      </c>
      <c r="G5" s="19">
        <f>E5*F5</f>
        <v>6050000</v>
      </c>
      <c r="H5" s="19">
        <f>HLOOKUP(C5,$G$18:$I$19,2)*G5</f>
        <v>453750</v>
      </c>
      <c r="I5" s="19">
        <f>G5-H5</f>
        <v>5596250</v>
      </c>
      <c r="J5" s="17" t="str">
        <f>IF(B5&lt;DATE(2023,7,10),_xlfn.XLOOKUP(D5,$C$25:$E$25,$C$26:$E$26),"CD Blank")</f>
        <v>VCD</v>
      </c>
      <c r="K5" s="21" cm="1">
        <f t="array" ref="K5">_xlfn.SWITCH(TRUE,I5&gt;1500000,4,I5&gt;1000000,3,I5&gt;500000,2,I5&lt;=500000,1)</f>
        <v>4</v>
      </c>
      <c r="M5" s="15" t="s">
        <v>31</v>
      </c>
    </row>
    <row r="6" spans="1:13">
      <c r="A6" s="2">
        <v>2</v>
      </c>
      <c r="B6" s="3">
        <v>45110</v>
      </c>
      <c r="C6" s="2">
        <v>101</v>
      </c>
      <c r="D6" s="18" t="str">
        <f t="shared" ref="D6:D14" si="0">_xlfn.XLOOKUP(C6,$B$19:$B$21,$C$19:$C$21)</f>
        <v>KEYBOARD</v>
      </c>
      <c r="E6" s="2">
        <v>14</v>
      </c>
      <c r="F6" s="19">
        <f t="shared" ref="F6:F14" si="1">VLOOKUP(C6,$B$19:$D$21,3,FALSE)</f>
        <v>50000</v>
      </c>
      <c r="G6" s="19">
        <f t="shared" ref="G6:G14" si="2">E6*F6</f>
        <v>700000</v>
      </c>
      <c r="H6" s="19">
        <f t="shared" ref="H6:H14" si="3">HLOOKUP(C6,$G$18:$I$19,2)*G6</f>
        <v>70000</v>
      </c>
      <c r="I6" s="19">
        <f t="shared" ref="I6:I14" si="4">G6-H6</f>
        <v>630000</v>
      </c>
      <c r="J6" s="17" t="str">
        <f t="shared" ref="J6:J14" si="5">IF(B6&lt;DATE(2023,7,10),_xlfn.XLOOKUP(D6,$C$25:$E$25,$C$26:$E$26),"CD Blank")</f>
        <v>Cover Comp</v>
      </c>
      <c r="K6" s="21" cm="1">
        <f t="array" ref="K6">_xlfn.SWITCH(TRUE,I6&gt;1500000,4,I6&gt;1000000,3,I6&gt;500000,2,I6&lt;=500000,1)</f>
        <v>2</v>
      </c>
      <c r="M6" s="15" t="s">
        <v>32</v>
      </c>
    </row>
    <row r="7" spans="1:13">
      <c r="A7" s="2">
        <v>3</v>
      </c>
      <c r="B7" s="3">
        <v>45112</v>
      </c>
      <c r="C7" s="2">
        <v>101</v>
      </c>
      <c r="D7" s="18" t="str">
        <f t="shared" si="0"/>
        <v>KEYBOARD</v>
      </c>
      <c r="E7" s="2">
        <v>7</v>
      </c>
      <c r="F7" s="19">
        <f t="shared" si="1"/>
        <v>50000</v>
      </c>
      <c r="G7" s="19">
        <f t="shared" si="2"/>
        <v>350000</v>
      </c>
      <c r="H7" s="19">
        <f t="shared" si="3"/>
        <v>35000</v>
      </c>
      <c r="I7" s="19">
        <f t="shared" si="4"/>
        <v>315000</v>
      </c>
      <c r="J7" s="17" t="str">
        <f t="shared" si="5"/>
        <v>Cover Comp</v>
      </c>
      <c r="K7" s="21" cm="1">
        <f t="array" ref="K7">_xlfn.SWITCH(TRUE,I7&gt;1500000,4,I7&gt;1000000,3,I7&gt;500000,2,I7&lt;=500000,1)</f>
        <v>1</v>
      </c>
      <c r="M7" s="16" t="s">
        <v>33</v>
      </c>
    </row>
    <row r="8" spans="1:13">
      <c r="A8" s="2">
        <v>4</v>
      </c>
      <c r="B8" s="3">
        <v>45115</v>
      </c>
      <c r="C8" s="2">
        <v>103</v>
      </c>
      <c r="D8" s="18" t="str">
        <f t="shared" si="0"/>
        <v>MONITOR</v>
      </c>
      <c r="E8" s="2">
        <v>2</v>
      </c>
      <c r="F8" s="19">
        <f t="shared" si="1"/>
        <v>2000000</v>
      </c>
      <c r="G8" s="19">
        <f t="shared" si="2"/>
        <v>4000000</v>
      </c>
      <c r="H8" s="19">
        <f t="shared" si="3"/>
        <v>200000</v>
      </c>
      <c r="I8" s="19">
        <f t="shared" si="4"/>
        <v>3800000</v>
      </c>
      <c r="J8" s="17" t="str">
        <f t="shared" si="5"/>
        <v>Speaker Active</v>
      </c>
      <c r="K8" s="21" cm="1">
        <f t="array" ref="K8">_xlfn.SWITCH(TRUE,I8&gt;1500000,4,I8&gt;1000000,3,I8&gt;500000,2,I8&lt;=500000,1)</f>
        <v>4</v>
      </c>
      <c r="M8" s="16" t="s">
        <v>34</v>
      </c>
    </row>
    <row r="9" spans="1:13">
      <c r="A9" s="2">
        <v>5</v>
      </c>
      <c r="B9" s="3">
        <v>45117</v>
      </c>
      <c r="C9" s="2">
        <v>102</v>
      </c>
      <c r="D9" s="18" t="str">
        <f t="shared" si="0"/>
        <v>HARDISK</v>
      </c>
      <c r="E9" s="2">
        <v>6</v>
      </c>
      <c r="F9" s="19">
        <f t="shared" si="1"/>
        <v>550000</v>
      </c>
      <c r="G9" s="19">
        <f t="shared" si="2"/>
        <v>3300000</v>
      </c>
      <c r="H9" s="19">
        <f t="shared" si="3"/>
        <v>247500</v>
      </c>
      <c r="I9" s="19">
        <f t="shared" si="4"/>
        <v>3052500</v>
      </c>
      <c r="J9" s="17" t="str">
        <f t="shared" si="5"/>
        <v>CD Blank</v>
      </c>
      <c r="K9" s="21" cm="1">
        <f t="array" ref="K9">_xlfn.SWITCH(TRUE,I9&gt;1500000,4,I9&gt;1000000,3,I9&gt;500000,2,I9&lt;=500000,1)</f>
        <v>4</v>
      </c>
      <c r="M9" s="16" t="s">
        <v>35</v>
      </c>
    </row>
    <row r="10" spans="1:13">
      <c r="A10" s="2">
        <v>6</v>
      </c>
      <c r="B10" s="3">
        <v>45119</v>
      </c>
      <c r="C10" s="2">
        <v>101</v>
      </c>
      <c r="D10" s="18" t="str">
        <f t="shared" si="0"/>
        <v>KEYBOARD</v>
      </c>
      <c r="E10" s="2">
        <v>4</v>
      </c>
      <c r="F10" s="19">
        <f t="shared" si="1"/>
        <v>50000</v>
      </c>
      <c r="G10" s="19">
        <f t="shared" si="2"/>
        <v>200000</v>
      </c>
      <c r="H10" s="19">
        <f t="shared" si="3"/>
        <v>20000</v>
      </c>
      <c r="I10" s="19">
        <f t="shared" si="4"/>
        <v>180000</v>
      </c>
      <c r="J10" s="17" t="str">
        <f t="shared" si="5"/>
        <v>CD Blank</v>
      </c>
      <c r="K10" s="21" cm="1">
        <f t="array" ref="K10">_xlfn.SWITCH(TRUE,I10&gt;1500000,4,I10&gt;1000000,3,I10&gt;500000,2,I10&lt;=500000,1)</f>
        <v>1</v>
      </c>
      <c r="M10" s="16" t="s">
        <v>36</v>
      </c>
    </row>
    <row r="11" spans="1:13">
      <c r="A11" s="2">
        <v>7</v>
      </c>
      <c r="B11" s="3">
        <v>45126</v>
      </c>
      <c r="C11" s="2">
        <v>103</v>
      </c>
      <c r="D11" s="18" t="str">
        <f t="shared" si="0"/>
        <v>MONITOR</v>
      </c>
      <c r="E11" s="2">
        <v>19</v>
      </c>
      <c r="F11" s="19">
        <f t="shared" si="1"/>
        <v>2000000</v>
      </c>
      <c r="G11" s="19">
        <f t="shared" si="2"/>
        <v>38000000</v>
      </c>
      <c r="H11" s="19">
        <f t="shared" si="3"/>
        <v>1900000</v>
      </c>
      <c r="I11" s="19">
        <f t="shared" si="4"/>
        <v>36100000</v>
      </c>
      <c r="J11" s="17" t="str">
        <f t="shared" si="5"/>
        <v>CD Blank</v>
      </c>
      <c r="K11" s="21" cm="1">
        <f t="array" ref="K11">_xlfn.SWITCH(TRUE,I11&gt;1500000,4,I11&gt;1000000,3,I11&gt;500000,2,I11&lt;=500000,1)</f>
        <v>4</v>
      </c>
      <c r="M11" s="16" t="s">
        <v>37</v>
      </c>
    </row>
    <row r="12" spans="1:13">
      <c r="A12" s="2">
        <v>8</v>
      </c>
      <c r="B12" s="3">
        <v>45128</v>
      </c>
      <c r="C12" s="2">
        <v>102</v>
      </c>
      <c r="D12" s="18" t="str">
        <f t="shared" si="0"/>
        <v>HARDISK</v>
      </c>
      <c r="E12" s="2">
        <v>10</v>
      </c>
      <c r="F12" s="19">
        <f t="shared" si="1"/>
        <v>550000</v>
      </c>
      <c r="G12" s="19">
        <f t="shared" si="2"/>
        <v>5500000</v>
      </c>
      <c r="H12" s="19">
        <f t="shared" si="3"/>
        <v>412500</v>
      </c>
      <c r="I12" s="19">
        <f t="shared" si="4"/>
        <v>5087500</v>
      </c>
      <c r="J12" s="17" t="str">
        <f t="shared" si="5"/>
        <v>CD Blank</v>
      </c>
      <c r="K12" s="21" cm="1">
        <f t="array" ref="K12">_xlfn.SWITCH(TRUE,I12&gt;1500000,4,I12&gt;1000000,3,I12&gt;500000,2,I12&lt;=500000,1)</f>
        <v>4</v>
      </c>
      <c r="M12" s="16" t="s">
        <v>38</v>
      </c>
    </row>
    <row r="13" spans="1:13">
      <c r="A13" s="2">
        <v>9</v>
      </c>
      <c r="B13" s="3">
        <v>45132</v>
      </c>
      <c r="C13" s="2">
        <v>103</v>
      </c>
      <c r="D13" s="18" t="str">
        <f t="shared" si="0"/>
        <v>MONITOR</v>
      </c>
      <c r="E13" s="2">
        <v>20</v>
      </c>
      <c r="F13" s="19">
        <f t="shared" si="1"/>
        <v>2000000</v>
      </c>
      <c r="G13" s="19">
        <f t="shared" si="2"/>
        <v>40000000</v>
      </c>
      <c r="H13" s="19">
        <f t="shared" si="3"/>
        <v>2000000</v>
      </c>
      <c r="I13" s="19">
        <f t="shared" si="4"/>
        <v>38000000</v>
      </c>
      <c r="J13" s="17" t="str">
        <f t="shared" si="5"/>
        <v>CD Blank</v>
      </c>
      <c r="K13" s="21" cm="1">
        <f t="array" ref="K13">_xlfn.SWITCH(TRUE,I13&gt;1500000,4,I13&gt;1000000,3,I13&gt;500000,2,I13&lt;=500000,1)</f>
        <v>4</v>
      </c>
      <c r="M13" s="16" t="s">
        <v>39</v>
      </c>
    </row>
    <row r="14" spans="1:13">
      <c r="A14" s="2">
        <v>10</v>
      </c>
      <c r="B14" s="6">
        <v>45136</v>
      </c>
      <c r="C14" s="5">
        <v>102</v>
      </c>
      <c r="D14" s="18" t="str">
        <f t="shared" si="0"/>
        <v>HARDISK</v>
      </c>
      <c r="E14" s="5">
        <v>8</v>
      </c>
      <c r="F14" s="19">
        <f t="shared" si="1"/>
        <v>550000</v>
      </c>
      <c r="G14" s="19">
        <f t="shared" si="2"/>
        <v>4400000</v>
      </c>
      <c r="H14" s="19">
        <f t="shared" si="3"/>
        <v>330000</v>
      </c>
      <c r="I14" s="19">
        <f t="shared" si="4"/>
        <v>4070000</v>
      </c>
      <c r="J14" s="17" t="str">
        <f t="shared" si="5"/>
        <v>CD Blank</v>
      </c>
      <c r="K14" s="21" cm="1">
        <f t="array" ref="K14">_xlfn.SWITCH(TRUE,I14&gt;1500000,4,I14&gt;1000000,3,I14&gt;500000,2,I14&lt;=500000,1)</f>
        <v>4</v>
      </c>
      <c r="M14" s="16" t="s">
        <v>40</v>
      </c>
    </row>
    <row r="15" spans="1:13">
      <c r="A15" s="24" t="s">
        <v>12</v>
      </c>
      <c r="B15" s="25"/>
      <c r="C15" s="25"/>
      <c r="D15" s="26"/>
      <c r="E15" s="20">
        <f>SUM(E5:E14)</f>
        <v>101</v>
      </c>
      <c r="F15" s="19">
        <f>SUM(F5:F14)</f>
        <v>8350000</v>
      </c>
      <c r="G15" s="19">
        <f t="shared" ref="G15:K15" si="6">SUM(G5:G14)</f>
        <v>102500000</v>
      </c>
      <c r="H15" s="19">
        <f t="shared" si="6"/>
        <v>5668750</v>
      </c>
      <c r="I15" s="19">
        <f t="shared" si="6"/>
        <v>96831250</v>
      </c>
      <c r="J15" s="27">
        <f>COUNTA(J5:J14)</f>
        <v>10</v>
      </c>
      <c r="K15" s="27">
        <f t="shared" si="6"/>
        <v>32</v>
      </c>
      <c r="M15" s="16" t="s">
        <v>41</v>
      </c>
    </row>
    <row r="16" spans="1:13" ht="15" customHeight="1">
      <c r="M16" s="16" t="s">
        <v>42</v>
      </c>
    </row>
    <row r="17" spans="1:13">
      <c r="B17" s="7" t="s">
        <v>13</v>
      </c>
      <c r="F17" s="7" t="s">
        <v>14</v>
      </c>
      <c r="M17" s="16" t="s">
        <v>43</v>
      </c>
    </row>
    <row r="18" spans="1:13">
      <c r="B18" s="8" t="s">
        <v>15</v>
      </c>
      <c r="C18" s="8" t="s">
        <v>16</v>
      </c>
      <c r="D18" s="8" t="s">
        <v>17</v>
      </c>
      <c r="F18" s="9" t="s">
        <v>15</v>
      </c>
      <c r="G18" s="2">
        <v>101</v>
      </c>
      <c r="H18" s="2">
        <v>102</v>
      </c>
      <c r="I18" s="2">
        <v>103</v>
      </c>
    </row>
    <row r="19" spans="1:13">
      <c r="B19" s="2">
        <v>101</v>
      </c>
      <c r="C19" s="2" t="s">
        <v>18</v>
      </c>
      <c r="D19" s="10">
        <v>50000</v>
      </c>
      <c r="F19" s="9" t="s">
        <v>8</v>
      </c>
      <c r="G19" s="11">
        <v>0.1</v>
      </c>
      <c r="H19" s="11">
        <v>7.4999999999999997E-2</v>
      </c>
      <c r="I19" s="11">
        <v>0.05</v>
      </c>
    </row>
    <row r="20" spans="1:13">
      <c r="B20" s="2">
        <v>102</v>
      </c>
      <c r="C20" s="2" t="s">
        <v>19</v>
      </c>
      <c r="D20" s="10">
        <v>550000</v>
      </c>
    </row>
    <row r="21" spans="1:13" ht="15.75" customHeight="1">
      <c r="B21" s="2">
        <v>103</v>
      </c>
      <c r="C21" s="2" t="s">
        <v>20</v>
      </c>
      <c r="D21" s="10">
        <v>2000000</v>
      </c>
    </row>
    <row r="22" spans="1:13" ht="15.75" customHeight="1"/>
    <row r="23" spans="1:13" ht="15.75" customHeight="1"/>
    <row r="24" spans="1:13" ht="15.75" customHeight="1">
      <c r="B24" s="7" t="s">
        <v>21</v>
      </c>
      <c r="G24" s="7" t="s">
        <v>22</v>
      </c>
    </row>
    <row r="25" spans="1:13" ht="15.75" customHeight="1">
      <c r="B25" s="9" t="s">
        <v>23</v>
      </c>
      <c r="C25" s="4" t="s">
        <v>18</v>
      </c>
      <c r="D25" s="4" t="s">
        <v>19</v>
      </c>
      <c r="E25" s="4" t="s">
        <v>20</v>
      </c>
      <c r="G25" s="12" t="s">
        <v>24</v>
      </c>
      <c r="H25" s="3">
        <v>45117</v>
      </c>
    </row>
    <row r="26" spans="1:13" ht="15.75" customHeight="1">
      <c r="B26" s="9" t="s">
        <v>25</v>
      </c>
      <c r="C26" s="4" t="s">
        <v>26</v>
      </c>
      <c r="D26" s="4" t="s">
        <v>27</v>
      </c>
      <c r="E26" s="4" t="s">
        <v>28</v>
      </c>
      <c r="G26" s="13" t="s">
        <v>25</v>
      </c>
      <c r="H26" s="2" t="s">
        <v>29</v>
      </c>
    </row>
    <row r="27" spans="1:13" ht="15.75" customHeight="1"/>
    <row r="28" spans="1:13" ht="15.75" customHeight="1"/>
    <row r="29" spans="1:13" ht="15.75" customHeight="1">
      <c r="A29" s="14" t="s">
        <v>30</v>
      </c>
    </row>
    <row r="30" spans="1:13" ht="15.75" customHeight="1">
      <c r="A30" s="15" t="s">
        <v>31</v>
      </c>
    </row>
    <row r="31" spans="1:13" ht="15.75" customHeight="1">
      <c r="A31" s="15" t="s">
        <v>32</v>
      </c>
    </row>
    <row r="32" spans="1:13" ht="15.75" customHeight="1">
      <c r="A32" s="16" t="s">
        <v>33</v>
      </c>
    </row>
    <row r="33" spans="1:1" ht="15.75" customHeight="1">
      <c r="A33" s="16" t="s">
        <v>34</v>
      </c>
    </row>
    <row r="34" spans="1:1" ht="15.75" customHeight="1">
      <c r="A34" s="16" t="s">
        <v>35</v>
      </c>
    </row>
    <row r="35" spans="1:1" ht="15.75" customHeight="1">
      <c r="A35" s="16" t="s">
        <v>36</v>
      </c>
    </row>
    <row r="36" spans="1:1" ht="15.75" customHeight="1">
      <c r="A36" s="16" t="s">
        <v>37</v>
      </c>
    </row>
    <row r="37" spans="1:1" ht="15.75" customHeight="1">
      <c r="A37" s="16" t="s">
        <v>38</v>
      </c>
    </row>
    <row r="38" spans="1:1" ht="15.75" customHeight="1">
      <c r="A38" s="16" t="s">
        <v>39</v>
      </c>
    </row>
    <row r="39" spans="1:1" ht="15.75" customHeight="1">
      <c r="A39" s="16" t="s">
        <v>40</v>
      </c>
    </row>
    <row r="40" spans="1:1" ht="15.75" customHeight="1">
      <c r="A40" s="16" t="s">
        <v>41</v>
      </c>
    </row>
    <row r="41" spans="1:1" ht="15.75" customHeight="1">
      <c r="A41" s="16" t="s">
        <v>42</v>
      </c>
    </row>
    <row r="42" spans="1:1" ht="15.75" customHeight="1">
      <c r="A42" s="16" t="s">
        <v>43</v>
      </c>
    </row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15:D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dcterms:created xsi:type="dcterms:W3CDTF">2018-07-23T13:03:13Z</dcterms:created>
  <dcterms:modified xsi:type="dcterms:W3CDTF">2026-03-02T23:38:46Z</dcterms:modified>
</cp:coreProperties>
</file>