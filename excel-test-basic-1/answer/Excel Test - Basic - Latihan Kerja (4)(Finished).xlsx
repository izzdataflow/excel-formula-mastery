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1\Answer\"/>
    </mc:Choice>
  </mc:AlternateContent>
  <xr:revisionPtr revIDLastSave="0" documentId="13_ncr:1_{610BE48A-F73A-49C7-8095-4B9B6503C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9hkDD5V0E6wK7s1W6aZhDztA7P/jvdWBywTY35MTxvk="/>
    </ext>
  </extLst>
</workbook>
</file>

<file path=xl/calcChain.xml><?xml version="1.0" encoding="utf-8"?>
<calcChain xmlns="http://schemas.openxmlformats.org/spreadsheetml/2006/main">
  <c r="K7" i="1" l="1"/>
  <c r="L18" i="1"/>
  <c r="L8" i="1"/>
  <c r="L9" i="1"/>
  <c r="L10" i="1"/>
  <c r="L11" i="1"/>
  <c r="L12" i="1"/>
  <c r="L13" i="1"/>
  <c r="L14" i="1"/>
  <c r="L15" i="1"/>
  <c r="L16" i="1"/>
  <c r="L7" i="1"/>
  <c r="L17" i="1" s="1"/>
  <c r="K8" i="1"/>
  <c r="K9" i="1"/>
  <c r="K10" i="1"/>
  <c r="K11" i="1"/>
  <c r="K12" i="1"/>
  <c r="K13" i="1"/>
  <c r="K14" i="1"/>
  <c r="K15" i="1"/>
  <c r="K16" i="1"/>
  <c r="J8" i="1"/>
  <c r="J9" i="1"/>
  <c r="J10" i="1"/>
  <c r="J11" i="1"/>
  <c r="J12" i="1"/>
  <c r="J13" i="1"/>
  <c r="J14" i="1"/>
  <c r="J15" i="1"/>
  <c r="J16" i="1"/>
  <c r="J7" i="1"/>
  <c r="I8" i="1"/>
  <c r="I9" i="1"/>
  <c r="I10" i="1"/>
  <c r="I11" i="1"/>
  <c r="I12" i="1"/>
  <c r="I13" i="1"/>
  <c r="I14" i="1"/>
  <c r="I15" i="1"/>
  <c r="I16" i="1"/>
  <c r="I7" i="1"/>
  <c r="H8" i="1"/>
  <c r="H9" i="1"/>
  <c r="H10" i="1"/>
  <c r="H11" i="1"/>
  <c r="H12" i="1"/>
  <c r="H13" i="1"/>
  <c r="H14" i="1"/>
  <c r="H15" i="1"/>
  <c r="H16" i="1"/>
  <c r="H7" i="1"/>
  <c r="G8" i="1"/>
  <c r="G9" i="1"/>
  <c r="G10" i="1"/>
  <c r="G11" i="1"/>
  <c r="G12" i="1"/>
  <c r="G13" i="1"/>
  <c r="G14" i="1"/>
  <c r="G15" i="1"/>
  <c r="G16" i="1"/>
  <c r="G7" i="1"/>
  <c r="F8" i="1"/>
  <c r="F9" i="1"/>
  <c r="F10" i="1"/>
  <c r="F11" i="1"/>
  <c r="F12" i="1"/>
  <c r="F13" i="1"/>
  <c r="F14" i="1"/>
  <c r="F15" i="1"/>
  <c r="F16" i="1"/>
  <c r="F7" i="1"/>
  <c r="D4" i="1"/>
</calcChain>
</file>

<file path=xl/sharedStrings.xml><?xml version="1.0" encoding="utf-8"?>
<sst xmlns="http://schemas.openxmlformats.org/spreadsheetml/2006/main" count="113" uniqueCount="84">
  <si>
    <t>DAFTAR PEMBELIAN TIKET PESAWAT</t>
  </si>
  <si>
    <t>TGL. KEBERANGKATAN</t>
  </si>
  <si>
    <t>NO.</t>
  </si>
  <si>
    <t>KODE TIKET</t>
  </si>
  <si>
    <t>NAMA PENUMPANG</t>
  </si>
  <si>
    <t>TGL. PEMBELIAN</t>
  </si>
  <si>
    <t>TUJUAN</t>
  </si>
  <si>
    <t>HARGA</t>
  </si>
  <si>
    <t>KELAS</t>
  </si>
  <si>
    <t>MENU</t>
  </si>
  <si>
    <t>HARGA MENU</t>
  </si>
  <si>
    <t>DISKON</t>
  </si>
  <si>
    <t>HARGA JUAL</t>
  </si>
  <si>
    <t>BBBY-P1-035</t>
  </si>
  <si>
    <t>Ahmad Kurniawan</t>
  </si>
  <si>
    <t>DDDZ-P3-036</t>
  </si>
  <si>
    <t>Septi Setiawati</t>
  </si>
  <si>
    <t>AAAZ-P3-037</t>
  </si>
  <si>
    <t>Budi Handoko</t>
  </si>
  <si>
    <t>AAAY-P2-038</t>
  </si>
  <si>
    <t>Rahman Sucipto</t>
  </si>
  <si>
    <t>BBBX-P1-039</t>
  </si>
  <si>
    <t>Abdul Kadir</t>
  </si>
  <si>
    <t>BBBX-P2-040</t>
  </si>
  <si>
    <t>Zulfikar</t>
  </si>
  <si>
    <t>DDDY-P1-041</t>
  </si>
  <si>
    <t>Muhammad Akmal</t>
  </si>
  <si>
    <t>DDDY-P3-042</t>
  </si>
  <si>
    <t>Ridwan Budiman</t>
  </si>
  <si>
    <t>CCCX-P1-043</t>
  </si>
  <si>
    <t>Sitti Aisyah</t>
  </si>
  <si>
    <t>CCCX-P3-044</t>
  </si>
  <si>
    <t>Asep Suyono</t>
  </si>
  <si>
    <t>TOTAL PEMBELIAN</t>
  </si>
  <si>
    <t>JUMLAH PEMBELIAN KELAS VIP</t>
  </si>
  <si>
    <t>Tabel Menu Makanan</t>
  </si>
  <si>
    <t>KODE</t>
  </si>
  <si>
    <t>P1</t>
  </si>
  <si>
    <t>P2</t>
  </si>
  <si>
    <t>P3</t>
  </si>
  <si>
    <t>Paket A</t>
  </si>
  <si>
    <t>Paket B</t>
  </si>
  <si>
    <t>Paket C</t>
  </si>
  <si>
    <t>Tabel Tujuan</t>
  </si>
  <si>
    <t>Tabel Kelas</t>
  </si>
  <si>
    <t>AAA</t>
  </si>
  <si>
    <t>Jakarta - Makassar</t>
  </si>
  <si>
    <t>X</t>
  </si>
  <si>
    <t>VIP</t>
  </si>
  <si>
    <t>BBB</t>
  </si>
  <si>
    <t>Makassar - Jakarta</t>
  </si>
  <si>
    <t>Y</t>
  </si>
  <si>
    <t>Bisnis</t>
  </si>
  <si>
    <t>CCC</t>
  </si>
  <si>
    <t>Jakarta - Surabaya</t>
  </si>
  <si>
    <t>Z</t>
  </si>
  <si>
    <t>Ekonomi</t>
  </si>
  <si>
    <t>DDD</t>
  </si>
  <si>
    <t>Surabaya - Jakarta</t>
  </si>
  <si>
    <t>Keterangan Rumus</t>
  </si>
  <si>
    <t>Keterangan Warna</t>
  </si>
  <si>
    <t>Tanggal Keberangkatan</t>
  </si>
  <si>
    <t>: Tanggal hari ini</t>
  </si>
  <si>
    <t>: Tahap I</t>
  </si>
  <si>
    <t>Tujuan</t>
  </si>
  <si>
    <t>: Diambil dari kolom Tujuan pada Tabel Tujuan berdasarkan 3 karakter pertama pada Kode Tiket</t>
  </si>
  <si>
    <t>: Tahap II</t>
  </si>
  <si>
    <t>Harga</t>
  </si>
  <si>
    <t>: Diambil dari kolom Harga pada Tabel Tujuan berdasarkan 3 karakter pertama pada Kode Tiket</t>
  </si>
  <si>
    <t>: Tahap III</t>
  </si>
  <si>
    <t>Kelas</t>
  </si>
  <si>
    <t>: Diambil dari kolom Kelas pada Tabel Kelas berdasarkan karakter keempat pada Kode Tiket</t>
  </si>
  <si>
    <t>Menu</t>
  </si>
  <si>
    <t>: Diambil dari kolom Menu pada Tabel Menu Makanan berdasarkan karakter keenam dan ketujuh pada Kode Tiket</t>
  </si>
  <si>
    <t>Harga Menu</t>
  </si>
  <si>
    <t>: Diambil dari kolom Harga pada Tabel Menu Makanan berdasarkan karakter keenam dan ketujuh pada Kode Tiket</t>
  </si>
  <si>
    <t>Diskon</t>
  </si>
  <si>
    <t>: Diambil dari kolom Diskon pada Tabel Kelas berdasarkan karakter keempat pada Kode Tiket dikali dengan Harga</t>
  </si>
  <si>
    <t>Harga Jual</t>
  </si>
  <si>
    <t>: Diambil dari Harga + Harga Menu - Diskon</t>
  </si>
  <si>
    <t>Total Pembelian</t>
  </si>
  <si>
    <t>: Total keseluruhan dari Harga Jual</t>
  </si>
  <si>
    <t>Jumlah Pembelian Kelas VIP</t>
  </si>
  <si>
    <t>: Jumlah pembelian tiket kelas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</si>
</sst>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p&quot;* #,##0_-;\-&quot;Rp&quot;* #,##0_-;_-&quot;Rp&quot;* &quot;-&quot;_-;_-@_-"/>
    <numFmt numFmtId="165" formatCode="[$-421]dd\ mmmm\ yyyy"/>
    <numFmt numFmtId="166" formatCode="dd\-mmm\-yyyy"/>
    <numFmt numFmtId="167" formatCode="_-* #,##0_-;\-* #,##0_-;_-* &quot;-&quot;_-;_-@"/>
  </numFmts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6" fontId="1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4" borderId="4" xfId="0" applyFont="1" applyFill="1" applyBorder="1" applyAlignment="1">
      <alignment vertical="center"/>
    </xf>
    <xf numFmtId="167" fontId="1" fillId="0" borderId="4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1" fillId="0" borderId="4" xfId="0" applyNumberFormat="1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2" borderId="5" xfId="0" applyFont="1" applyFill="1" applyBorder="1"/>
    <xf numFmtId="0" fontId="5" fillId="0" borderId="0" xfId="0" applyFont="1"/>
    <xf numFmtId="0" fontId="1" fillId="3" borderId="5" xfId="0" applyFont="1" applyFill="1" applyBorder="1"/>
    <xf numFmtId="0" fontId="1" fillId="5" borderId="5" xfId="0" applyFont="1" applyFill="1" applyBorder="1"/>
    <xf numFmtId="165" fontId="4" fillId="6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64" fontId="1" fillId="6" borderId="4" xfId="1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3" fillId="0" borderId="3" xfId="0" applyFont="1" applyBorder="1"/>
    <xf numFmtId="0" fontId="1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1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164" fontId="1" fillId="0" borderId="0" xfId="0" applyNumberFormat="1" applyFont="1" applyAlignment="1">
      <alignment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L18" sqref="L18"/>
    </sheetView>
  </sheetViews>
  <sheetFormatPr defaultColWidth="14.42578125" defaultRowHeight="15" customHeight="1"/>
  <cols>
    <col min="1" max="1" width="1.85546875" customWidth="1"/>
    <col min="2" max="2" width="7.28515625" customWidth="1"/>
    <col min="3" max="3" width="16.85546875" customWidth="1"/>
    <col min="4" max="4" width="17.42578125" customWidth="1"/>
    <col min="5" max="5" width="13.28515625" customWidth="1"/>
    <col min="6" max="6" width="18.5703125" customWidth="1"/>
    <col min="7" max="7" width="11.28515625" bestFit="1" customWidth="1"/>
    <col min="8" max="8" width="10.5703125" customWidth="1"/>
    <col min="9" max="9" width="13.7109375" customWidth="1"/>
    <col min="10" max="10" width="17.5703125" customWidth="1"/>
    <col min="11" max="11" width="13.140625" customWidth="1"/>
    <col min="12" max="12" width="13.28515625" customWidth="1"/>
    <col min="13" max="13" width="9.140625" customWidth="1"/>
    <col min="14" max="21" width="8.7109375" customWidth="1"/>
    <col min="22" max="22" width="51.85546875" customWidth="1"/>
    <col min="23" max="26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"/>
      <c r="B2" s="30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31" t="s">
        <v>1</v>
      </c>
      <c r="C4" s="32"/>
      <c r="D4" s="22">
        <f ca="1">TODAY()</f>
        <v>46084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2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>
      <c r="A6" s="4"/>
      <c r="B6" s="5" t="s">
        <v>2</v>
      </c>
      <c r="C6" s="5" t="s">
        <v>3</v>
      </c>
      <c r="D6" s="6" t="s">
        <v>4</v>
      </c>
      <c r="E6" s="6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4"/>
      <c r="N6" s="10" t="s">
        <v>59</v>
      </c>
      <c r="O6" s="1"/>
      <c r="P6" s="1"/>
      <c r="Q6" s="1"/>
      <c r="R6" s="1"/>
      <c r="S6" s="1"/>
      <c r="T6" s="1"/>
      <c r="U6" s="1"/>
      <c r="V6" s="1"/>
      <c r="W6" s="4"/>
      <c r="X6" s="4"/>
      <c r="Y6" s="4"/>
      <c r="Z6" s="4"/>
    </row>
    <row r="7" spans="1:26">
      <c r="A7" s="1"/>
      <c r="B7" s="7">
        <v>1</v>
      </c>
      <c r="C7" s="7" t="s">
        <v>13</v>
      </c>
      <c r="D7" s="8" t="s">
        <v>14</v>
      </c>
      <c r="E7" s="9">
        <v>44976</v>
      </c>
      <c r="F7" s="23" t="str">
        <f>_xlfn.XLOOKUP(LEFT(C7,3),$B$27:$B$30,$C$27:$C$30)</f>
        <v>Makassar - Jakarta</v>
      </c>
      <c r="G7" s="24">
        <f>_xlfn.XLOOKUP(LEFT(C7,3),$B$27:$B$30,$D$27:$D$30)</f>
        <v>700000</v>
      </c>
      <c r="H7" s="23" t="str">
        <f>_xlfn.XLOOKUP(MID(C7,4,1),$G$27:$G$29,$H$27:$H$29)</f>
        <v>Bisnis</v>
      </c>
      <c r="I7" s="23" t="str">
        <f>_xlfn.XLOOKUP(MID(C7,6,2),$C$21:$E$21,$C$22:$E$22)</f>
        <v>Paket A</v>
      </c>
      <c r="J7" s="24">
        <f>_xlfn.XLOOKUP(MID(C7,6,2),$C$21:$E$21,$C$23:$E$23)</f>
        <v>25000</v>
      </c>
      <c r="K7" s="24">
        <f>_xlfn.XLOOKUP(MID(C7,4,1),$G$27:$G$29,$I$27:$I$29)*J7</f>
        <v>3750</v>
      </c>
      <c r="L7" s="24">
        <f>G7+J7-K7</f>
        <v>721250</v>
      </c>
      <c r="M7" s="1"/>
      <c r="N7" s="27" t="s">
        <v>61</v>
      </c>
      <c r="O7" s="26"/>
      <c r="P7" s="27" t="s">
        <v>62</v>
      </c>
      <c r="Q7" s="28"/>
      <c r="R7" s="28"/>
      <c r="S7" s="28"/>
      <c r="T7" s="28"/>
      <c r="U7" s="28"/>
      <c r="V7" s="26"/>
      <c r="W7" s="1"/>
      <c r="X7" s="1"/>
      <c r="Y7" s="1"/>
      <c r="Z7" s="1"/>
    </row>
    <row r="8" spans="1:26">
      <c r="A8" s="1"/>
      <c r="B8" s="7">
        <v>2</v>
      </c>
      <c r="C8" s="7" t="s">
        <v>15</v>
      </c>
      <c r="D8" s="8" t="s">
        <v>16</v>
      </c>
      <c r="E8" s="9">
        <v>44976</v>
      </c>
      <c r="F8" s="23" t="str">
        <f t="shared" ref="F8:F16" si="0">_xlfn.XLOOKUP(LEFT(C8,3),$B$27:$B$30,$C$27:$C$30)</f>
        <v>Surabaya - Jakarta</v>
      </c>
      <c r="G8" s="24">
        <f t="shared" ref="G8:G16" si="1">_xlfn.XLOOKUP(LEFT(C8,3),$B$27:$B$30,$D$27:$D$30)</f>
        <v>630000</v>
      </c>
      <c r="H8" s="23" t="str">
        <f t="shared" ref="H8:H16" si="2">_xlfn.XLOOKUP(MID(C8,4,1),$G$27:$G$29,$H$27:$H$29)</f>
        <v>Ekonomi</v>
      </c>
      <c r="I8" s="23" t="str">
        <f t="shared" ref="I8:I16" si="3">_xlfn.XLOOKUP(MID(C8,6,2),$C$21:$E$21,$C$22:$E$22)</f>
        <v>Paket C</v>
      </c>
      <c r="J8" s="24">
        <f t="shared" ref="J8:J16" si="4">_xlfn.XLOOKUP(MID(C8,6,2),$C$21:$E$21,$C$23:$E$23)</f>
        <v>50000</v>
      </c>
      <c r="K8" s="24">
        <f t="shared" ref="K8:K16" si="5">_xlfn.XLOOKUP(MID(C8,4,1),$G$27:$G$29,$I$27:$I$29)*J8</f>
        <v>5000</v>
      </c>
      <c r="L8" s="24">
        <f t="shared" ref="L8:L16" si="6">G8+J8-K8</f>
        <v>675000</v>
      </c>
      <c r="M8" s="1"/>
      <c r="N8" s="27" t="s">
        <v>64</v>
      </c>
      <c r="O8" s="26"/>
      <c r="P8" s="27" t="s">
        <v>65</v>
      </c>
      <c r="Q8" s="28"/>
      <c r="R8" s="28"/>
      <c r="S8" s="28"/>
      <c r="T8" s="28"/>
      <c r="U8" s="28"/>
      <c r="V8" s="26"/>
      <c r="W8" s="1"/>
      <c r="X8" s="1"/>
      <c r="Y8" s="1"/>
      <c r="Z8" s="1"/>
    </row>
    <row r="9" spans="1:26">
      <c r="A9" s="1"/>
      <c r="B9" s="7">
        <v>3</v>
      </c>
      <c r="C9" s="7" t="s">
        <v>17</v>
      </c>
      <c r="D9" s="8" t="s">
        <v>18</v>
      </c>
      <c r="E9" s="9">
        <v>44976</v>
      </c>
      <c r="F9" s="23" t="str">
        <f t="shared" si="0"/>
        <v>Jakarta - Makassar</v>
      </c>
      <c r="G9" s="24">
        <f t="shared" si="1"/>
        <v>750000</v>
      </c>
      <c r="H9" s="23" t="str">
        <f t="shared" si="2"/>
        <v>Ekonomi</v>
      </c>
      <c r="I9" s="23" t="str">
        <f t="shared" si="3"/>
        <v>Paket C</v>
      </c>
      <c r="J9" s="24">
        <f t="shared" si="4"/>
        <v>50000</v>
      </c>
      <c r="K9" s="24">
        <f t="shared" si="5"/>
        <v>5000</v>
      </c>
      <c r="L9" s="24">
        <f t="shared" si="6"/>
        <v>795000</v>
      </c>
      <c r="M9" s="1"/>
      <c r="N9" s="27" t="s">
        <v>67</v>
      </c>
      <c r="O9" s="26"/>
      <c r="P9" s="27" t="s">
        <v>68</v>
      </c>
      <c r="Q9" s="28"/>
      <c r="R9" s="28"/>
      <c r="S9" s="28"/>
      <c r="T9" s="28"/>
      <c r="U9" s="28"/>
      <c r="V9" s="26"/>
      <c r="W9" s="1"/>
      <c r="X9" s="1"/>
      <c r="Y9" s="1"/>
      <c r="Z9" s="1"/>
    </row>
    <row r="10" spans="1:26">
      <c r="A10" s="1"/>
      <c r="B10" s="7">
        <v>4</v>
      </c>
      <c r="C10" s="7" t="s">
        <v>19</v>
      </c>
      <c r="D10" s="8" t="s">
        <v>20</v>
      </c>
      <c r="E10" s="9">
        <v>44976</v>
      </c>
      <c r="F10" s="23" t="str">
        <f t="shared" si="0"/>
        <v>Jakarta - Makassar</v>
      </c>
      <c r="G10" s="24">
        <f t="shared" si="1"/>
        <v>750000</v>
      </c>
      <c r="H10" s="23" t="str">
        <f t="shared" si="2"/>
        <v>Bisnis</v>
      </c>
      <c r="I10" s="23" t="str">
        <f t="shared" si="3"/>
        <v>Paket B</v>
      </c>
      <c r="J10" s="24">
        <f t="shared" si="4"/>
        <v>37500</v>
      </c>
      <c r="K10" s="24">
        <f t="shared" si="5"/>
        <v>5625</v>
      </c>
      <c r="L10" s="24">
        <f t="shared" si="6"/>
        <v>781875</v>
      </c>
      <c r="M10" s="1"/>
      <c r="N10" s="27" t="s">
        <v>70</v>
      </c>
      <c r="O10" s="26"/>
      <c r="P10" s="27" t="s">
        <v>71</v>
      </c>
      <c r="Q10" s="28"/>
      <c r="R10" s="28"/>
      <c r="S10" s="28"/>
      <c r="T10" s="28"/>
      <c r="U10" s="28"/>
      <c r="V10" s="26"/>
      <c r="W10" s="1"/>
      <c r="X10" s="1"/>
      <c r="Y10" s="1"/>
      <c r="Z10" s="1"/>
    </row>
    <row r="11" spans="1:26">
      <c r="A11" s="1"/>
      <c r="B11" s="7">
        <v>5</v>
      </c>
      <c r="C11" s="7" t="s">
        <v>21</v>
      </c>
      <c r="D11" s="8" t="s">
        <v>22</v>
      </c>
      <c r="E11" s="9">
        <v>44977</v>
      </c>
      <c r="F11" s="23" t="str">
        <f t="shared" si="0"/>
        <v>Makassar - Jakarta</v>
      </c>
      <c r="G11" s="24">
        <f t="shared" si="1"/>
        <v>700000</v>
      </c>
      <c r="H11" s="23" t="str">
        <f t="shared" si="2"/>
        <v>VIP</v>
      </c>
      <c r="I11" s="23" t="str">
        <f t="shared" si="3"/>
        <v>Paket A</v>
      </c>
      <c r="J11" s="24">
        <f t="shared" si="4"/>
        <v>25000</v>
      </c>
      <c r="K11" s="24">
        <f t="shared" si="5"/>
        <v>5000</v>
      </c>
      <c r="L11" s="24">
        <f t="shared" si="6"/>
        <v>720000</v>
      </c>
      <c r="M11" s="1"/>
      <c r="N11" s="25" t="s">
        <v>72</v>
      </c>
      <c r="O11" s="26"/>
      <c r="P11" s="25" t="s">
        <v>73</v>
      </c>
      <c r="Q11" s="28"/>
      <c r="R11" s="28"/>
      <c r="S11" s="28"/>
      <c r="T11" s="28"/>
      <c r="U11" s="28"/>
      <c r="V11" s="26"/>
      <c r="W11" s="1"/>
      <c r="X11" s="1"/>
      <c r="Y11" s="1"/>
      <c r="Z11" s="1"/>
    </row>
    <row r="12" spans="1:26">
      <c r="A12" s="1"/>
      <c r="B12" s="7">
        <v>6</v>
      </c>
      <c r="C12" s="7" t="s">
        <v>23</v>
      </c>
      <c r="D12" s="8" t="s">
        <v>24</v>
      </c>
      <c r="E12" s="9">
        <v>44977</v>
      </c>
      <c r="F12" s="23" t="str">
        <f t="shared" si="0"/>
        <v>Makassar - Jakarta</v>
      </c>
      <c r="G12" s="24">
        <f t="shared" si="1"/>
        <v>700000</v>
      </c>
      <c r="H12" s="23" t="str">
        <f t="shared" si="2"/>
        <v>VIP</v>
      </c>
      <c r="I12" s="23" t="str">
        <f t="shared" si="3"/>
        <v>Paket B</v>
      </c>
      <c r="J12" s="24">
        <f t="shared" si="4"/>
        <v>37500</v>
      </c>
      <c r="K12" s="24">
        <f t="shared" si="5"/>
        <v>7500</v>
      </c>
      <c r="L12" s="24">
        <f t="shared" si="6"/>
        <v>730000</v>
      </c>
      <c r="M12" s="1"/>
      <c r="N12" s="25" t="s">
        <v>74</v>
      </c>
      <c r="O12" s="26"/>
      <c r="P12" s="25" t="s">
        <v>75</v>
      </c>
      <c r="Q12" s="28"/>
      <c r="R12" s="28"/>
      <c r="S12" s="28"/>
      <c r="T12" s="28"/>
      <c r="U12" s="28"/>
      <c r="V12" s="26"/>
      <c r="W12" s="1"/>
      <c r="X12" s="1"/>
      <c r="Y12" s="1"/>
      <c r="Z12" s="1"/>
    </row>
    <row r="13" spans="1:26">
      <c r="A13" s="1"/>
      <c r="B13" s="7">
        <v>7</v>
      </c>
      <c r="C13" s="7" t="s">
        <v>25</v>
      </c>
      <c r="D13" s="8" t="s">
        <v>26</v>
      </c>
      <c r="E13" s="9">
        <v>44977</v>
      </c>
      <c r="F13" s="23" t="str">
        <f t="shared" si="0"/>
        <v>Surabaya - Jakarta</v>
      </c>
      <c r="G13" s="24">
        <f t="shared" si="1"/>
        <v>630000</v>
      </c>
      <c r="H13" s="23" t="str">
        <f t="shared" si="2"/>
        <v>Bisnis</v>
      </c>
      <c r="I13" s="23" t="str">
        <f t="shared" si="3"/>
        <v>Paket A</v>
      </c>
      <c r="J13" s="24">
        <f t="shared" si="4"/>
        <v>25000</v>
      </c>
      <c r="K13" s="24">
        <f t="shared" si="5"/>
        <v>3750</v>
      </c>
      <c r="L13" s="24">
        <f t="shared" si="6"/>
        <v>651250</v>
      </c>
      <c r="M13" s="1"/>
      <c r="N13" s="25" t="s">
        <v>76</v>
      </c>
      <c r="O13" s="26"/>
      <c r="P13" s="25" t="s">
        <v>77</v>
      </c>
      <c r="Q13" s="28"/>
      <c r="R13" s="28"/>
      <c r="S13" s="28"/>
      <c r="T13" s="28"/>
      <c r="U13" s="28"/>
      <c r="V13" s="26"/>
      <c r="W13" s="1"/>
      <c r="X13" s="1"/>
      <c r="Y13" s="1"/>
      <c r="Z13" s="1"/>
    </row>
    <row r="14" spans="1:26">
      <c r="A14" s="1"/>
      <c r="B14" s="7">
        <v>8</v>
      </c>
      <c r="C14" s="7" t="s">
        <v>27</v>
      </c>
      <c r="D14" s="8" t="s">
        <v>28</v>
      </c>
      <c r="E14" s="9">
        <v>44978</v>
      </c>
      <c r="F14" s="23" t="str">
        <f t="shared" si="0"/>
        <v>Surabaya - Jakarta</v>
      </c>
      <c r="G14" s="24">
        <f t="shared" si="1"/>
        <v>630000</v>
      </c>
      <c r="H14" s="23" t="str">
        <f t="shared" si="2"/>
        <v>Bisnis</v>
      </c>
      <c r="I14" s="23" t="str">
        <f t="shared" si="3"/>
        <v>Paket C</v>
      </c>
      <c r="J14" s="24">
        <f t="shared" si="4"/>
        <v>50000</v>
      </c>
      <c r="K14" s="24">
        <f t="shared" si="5"/>
        <v>7500</v>
      </c>
      <c r="L14" s="24">
        <f t="shared" si="6"/>
        <v>672500</v>
      </c>
      <c r="M14" s="1"/>
      <c r="N14" s="29" t="s">
        <v>78</v>
      </c>
      <c r="O14" s="26"/>
      <c r="P14" s="29" t="s">
        <v>79</v>
      </c>
      <c r="Q14" s="28"/>
      <c r="R14" s="28"/>
      <c r="S14" s="28"/>
      <c r="T14" s="28"/>
      <c r="U14" s="28"/>
      <c r="V14" s="26"/>
      <c r="W14" s="1"/>
      <c r="X14" s="1"/>
      <c r="Y14" s="1"/>
      <c r="Z14" s="1"/>
    </row>
    <row r="15" spans="1:26">
      <c r="A15" s="1"/>
      <c r="B15" s="7">
        <v>9</v>
      </c>
      <c r="C15" s="7" t="s">
        <v>29</v>
      </c>
      <c r="D15" s="8" t="s">
        <v>30</v>
      </c>
      <c r="E15" s="9">
        <v>44978</v>
      </c>
      <c r="F15" s="23" t="str">
        <f t="shared" si="0"/>
        <v>Jakarta - Surabaya</v>
      </c>
      <c r="G15" s="24">
        <f t="shared" si="1"/>
        <v>650000</v>
      </c>
      <c r="H15" s="23" t="str">
        <f t="shared" si="2"/>
        <v>VIP</v>
      </c>
      <c r="I15" s="23" t="str">
        <f t="shared" si="3"/>
        <v>Paket A</v>
      </c>
      <c r="J15" s="24">
        <f t="shared" si="4"/>
        <v>25000</v>
      </c>
      <c r="K15" s="24">
        <f t="shared" si="5"/>
        <v>5000</v>
      </c>
      <c r="L15" s="24">
        <f t="shared" si="6"/>
        <v>670000</v>
      </c>
      <c r="M15" s="1"/>
      <c r="N15" s="29" t="s">
        <v>80</v>
      </c>
      <c r="O15" s="26"/>
      <c r="P15" s="29" t="s">
        <v>81</v>
      </c>
      <c r="Q15" s="28"/>
      <c r="R15" s="28"/>
      <c r="S15" s="28"/>
      <c r="T15" s="28"/>
      <c r="U15" s="28"/>
      <c r="V15" s="26"/>
      <c r="W15" s="1"/>
      <c r="X15" s="1"/>
      <c r="Y15" s="1"/>
      <c r="Z15" s="1"/>
    </row>
    <row r="16" spans="1:26">
      <c r="A16" s="1"/>
      <c r="B16" s="7">
        <v>10</v>
      </c>
      <c r="C16" s="7" t="s">
        <v>31</v>
      </c>
      <c r="D16" s="8" t="s">
        <v>32</v>
      </c>
      <c r="E16" s="9">
        <v>44978</v>
      </c>
      <c r="F16" s="23" t="str">
        <f t="shared" si="0"/>
        <v>Jakarta - Surabaya</v>
      </c>
      <c r="G16" s="24">
        <f t="shared" si="1"/>
        <v>650000</v>
      </c>
      <c r="H16" s="23" t="str">
        <f t="shared" si="2"/>
        <v>VIP</v>
      </c>
      <c r="I16" s="23" t="str">
        <f t="shared" si="3"/>
        <v>Paket C</v>
      </c>
      <c r="J16" s="24">
        <f t="shared" si="4"/>
        <v>50000</v>
      </c>
      <c r="K16" s="24">
        <f t="shared" si="5"/>
        <v>10000</v>
      </c>
      <c r="L16" s="24">
        <f t="shared" si="6"/>
        <v>690000</v>
      </c>
      <c r="M16" s="1"/>
      <c r="N16" s="29" t="s">
        <v>82</v>
      </c>
      <c r="O16" s="26"/>
      <c r="P16" s="29" t="s">
        <v>83</v>
      </c>
      <c r="Q16" s="28"/>
      <c r="R16" s="28"/>
      <c r="S16" s="28"/>
      <c r="T16" s="28"/>
      <c r="U16" s="28"/>
      <c r="V16" s="26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G17" s="1"/>
      <c r="I17" s="33" t="s">
        <v>33</v>
      </c>
      <c r="J17" s="28"/>
      <c r="K17" s="26"/>
      <c r="L17" s="24">
        <f>SUM(L7:L16)</f>
        <v>7106875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G18" s="1"/>
      <c r="I18" s="33" t="s">
        <v>34</v>
      </c>
      <c r="J18" s="28"/>
      <c r="K18" s="26"/>
      <c r="L18" s="24">
        <f>SUMIF(H7:H16,"VIP",L7:L16)</f>
        <v>2810000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0" t="s">
        <v>35</v>
      </c>
      <c r="C20" s="1"/>
      <c r="D20" s="1"/>
      <c r="E20" s="1"/>
      <c r="F20" s="1"/>
      <c r="G20" s="1"/>
      <c r="H20" s="1"/>
      <c r="I20" s="1"/>
      <c r="J20" s="1"/>
      <c r="K20" s="1"/>
      <c r="L20" s="3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1" t="s">
        <v>36</v>
      </c>
      <c r="C21" s="7" t="s">
        <v>37</v>
      </c>
      <c r="D21" s="7" t="s">
        <v>38</v>
      </c>
      <c r="E21" s="7" t="s">
        <v>39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1" t="s">
        <v>9</v>
      </c>
      <c r="C22" s="7" t="s">
        <v>40</v>
      </c>
      <c r="D22" s="7" t="s">
        <v>41</v>
      </c>
      <c r="E22" s="7" t="s">
        <v>42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1" t="s">
        <v>7</v>
      </c>
      <c r="C23" s="12">
        <v>25000</v>
      </c>
      <c r="D23" s="12">
        <v>37500</v>
      </c>
      <c r="E23" s="12">
        <v>50000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0" t="s">
        <v>43</v>
      </c>
      <c r="C25" s="1"/>
      <c r="D25" s="1"/>
      <c r="E25" s="1"/>
      <c r="F25" s="1"/>
      <c r="G25" s="10" t="s">
        <v>44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3" t="s">
        <v>36</v>
      </c>
      <c r="C26" s="13" t="s">
        <v>6</v>
      </c>
      <c r="D26" s="13" t="s">
        <v>7</v>
      </c>
      <c r="E26" s="1"/>
      <c r="F26" s="1"/>
      <c r="G26" s="13" t="s">
        <v>36</v>
      </c>
      <c r="H26" s="13" t="s">
        <v>8</v>
      </c>
      <c r="I26" s="13" t="s">
        <v>11</v>
      </c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7" t="s">
        <v>45</v>
      </c>
      <c r="C27" s="8" t="s">
        <v>46</v>
      </c>
      <c r="D27" s="15">
        <v>750000</v>
      </c>
      <c r="E27" s="1"/>
      <c r="F27" s="1"/>
      <c r="G27" s="7" t="s">
        <v>47</v>
      </c>
      <c r="H27" s="8" t="s">
        <v>48</v>
      </c>
      <c r="I27" s="16">
        <v>0.2</v>
      </c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7" t="s">
        <v>49</v>
      </c>
      <c r="C28" s="8" t="s">
        <v>50</v>
      </c>
      <c r="D28" s="15">
        <v>700000</v>
      </c>
      <c r="E28" s="1"/>
      <c r="F28" s="1"/>
      <c r="G28" s="7" t="s">
        <v>51</v>
      </c>
      <c r="H28" s="8" t="s">
        <v>52</v>
      </c>
      <c r="I28" s="16">
        <v>0.15</v>
      </c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7" t="s">
        <v>53</v>
      </c>
      <c r="C29" s="8" t="s">
        <v>54</v>
      </c>
      <c r="D29" s="15">
        <v>650000</v>
      </c>
      <c r="E29" s="1"/>
      <c r="F29" s="1"/>
      <c r="G29" s="7" t="s">
        <v>55</v>
      </c>
      <c r="H29" s="8" t="s">
        <v>56</v>
      </c>
      <c r="I29" s="16">
        <v>0.1</v>
      </c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7" t="s">
        <v>57</v>
      </c>
      <c r="C30" s="8" t="s">
        <v>58</v>
      </c>
      <c r="D30" s="15">
        <v>630000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0" t="s">
        <v>59</v>
      </c>
      <c r="C33" s="1"/>
      <c r="D33" s="1"/>
      <c r="E33" s="1"/>
      <c r="F33" s="1"/>
      <c r="G33" s="1"/>
      <c r="H33" s="1"/>
      <c r="I33" s="1"/>
      <c r="J33" s="1"/>
      <c r="K33" s="1"/>
      <c r="L33" s="10" t="s">
        <v>60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27" t="s">
        <v>61</v>
      </c>
      <c r="C34" s="26"/>
      <c r="D34" s="27" t="s">
        <v>62</v>
      </c>
      <c r="E34" s="28"/>
      <c r="F34" s="28"/>
      <c r="G34" s="28"/>
      <c r="H34" s="28"/>
      <c r="I34" s="28"/>
      <c r="J34" s="26"/>
      <c r="K34" s="1"/>
      <c r="L34" s="18"/>
      <c r="M34" s="19" t="s">
        <v>63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7" t="s">
        <v>64</v>
      </c>
      <c r="C35" s="26"/>
      <c r="D35" s="27" t="s">
        <v>65</v>
      </c>
      <c r="E35" s="28"/>
      <c r="F35" s="28"/>
      <c r="G35" s="28"/>
      <c r="H35" s="28"/>
      <c r="I35" s="28"/>
      <c r="J35" s="26"/>
      <c r="K35" s="1"/>
      <c r="L35" s="20"/>
      <c r="M35" s="19" t="s">
        <v>66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7" t="s">
        <v>67</v>
      </c>
      <c r="C36" s="26"/>
      <c r="D36" s="27" t="s">
        <v>68</v>
      </c>
      <c r="E36" s="28"/>
      <c r="F36" s="28"/>
      <c r="G36" s="28"/>
      <c r="H36" s="28"/>
      <c r="I36" s="28"/>
      <c r="J36" s="26"/>
      <c r="K36" s="1"/>
      <c r="L36" s="21"/>
      <c r="M36" s="19" t="s">
        <v>69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7" t="s">
        <v>70</v>
      </c>
      <c r="C37" s="26"/>
      <c r="D37" s="27" t="s">
        <v>71</v>
      </c>
      <c r="E37" s="28"/>
      <c r="F37" s="28"/>
      <c r="G37" s="28"/>
      <c r="H37" s="28"/>
      <c r="I37" s="28"/>
      <c r="J37" s="2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25" t="s">
        <v>72</v>
      </c>
      <c r="C38" s="26"/>
      <c r="D38" s="25" t="s">
        <v>73</v>
      </c>
      <c r="E38" s="28"/>
      <c r="F38" s="28"/>
      <c r="G38" s="28"/>
      <c r="H38" s="28"/>
      <c r="I38" s="28"/>
      <c r="J38" s="2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25" t="s">
        <v>74</v>
      </c>
      <c r="C39" s="26"/>
      <c r="D39" s="25" t="s">
        <v>75</v>
      </c>
      <c r="E39" s="28"/>
      <c r="F39" s="28"/>
      <c r="G39" s="28"/>
      <c r="H39" s="28"/>
      <c r="I39" s="28"/>
      <c r="J39" s="2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25" t="s">
        <v>76</v>
      </c>
      <c r="C40" s="26"/>
      <c r="D40" s="25" t="s">
        <v>77</v>
      </c>
      <c r="E40" s="28"/>
      <c r="F40" s="28"/>
      <c r="G40" s="28"/>
      <c r="H40" s="28"/>
      <c r="I40" s="28"/>
      <c r="J40" s="2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9" t="s">
        <v>78</v>
      </c>
      <c r="C41" s="26"/>
      <c r="D41" s="29" t="s">
        <v>79</v>
      </c>
      <c r="E41" s="28"/>
      <c r="F41" s="28"/>
      <c r="G41" s="28"/>
      <c r="H41" s="28"/>
      <c r="I41" s="28"/>
      <c r="J41" s="2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29" t="s">
        <v>80</v>
      </c>
      <c r="C42" s="26"/>
      <c r="D42" s="29" t="s">
        <v>81</v>
      </c>
      <c r="E42" s="28"/>
      <c r="F42" s="28"/>
      <c r="G42" s="28"/>
      <c r="H42" s="28"/>
      <c r="I42" s="28"/>
      <c r="J42" s="2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29" t="s">
        <v>82</v>
      </c>
      <c r="C43" s="26"/>
      <c r="D43" s="29" t="s">
        <v>83</v>
      </c>
      <c r="E43" s="28"/>
      <c r="F43" s="28"/>
      <c r="G43" s="28"/>
      <c r="H43" s="28"/>
      <c r="I43" s="28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4">
    <mergeCell ref="N16:O16"/>
    <mergeCell ref="P16:V16"/>
    <mergeCell ref="N13:O13"/>
    <mergeCell ref="P13:V13"/>
    <mergeCell ref="N14:O14"/>
    <mergeCell ref="P14:V14"/>
    <mergeCell ref="N15:O15"/>
    <mergeCell ref="P15:V15"/>
    <mergeCell ref="N7:O7"/>
    <mergeCell ref="P7:V7"/>
    <mergeCell ref="N8:O8"/>
    <mergeCell ref="P8:V8"/>
    <mergeCell ref="N9:O9"/>
    <mergeCell ref="P9:V9"/>
    <mergeCell ref="N10:O10"/>
    <mergeCell ref="P10:V10"/>
    <mergeCell ref="N11:O11"/>
    <mergeCell ref="P11:V11"/>
    <mergeCell ref="N12:O12"/>
    <mergeCell ref="P12:V12"/>
    <mergeCell ref="D43:J43"/>
    <mergeCell ref="B2:L2"/>
    <mergeCell ref="B4:C4"/>
    <mergeCell ref="I17:K17"/>
    <mergeCell ref="I18:K18"/>
    <mergeCell ref="B34:C34"/>
    <mergeCell ref="D34:J34"/>
    <mergeCell ref="D35:J35"/>
    <mergeCell ref="B42:C42"/>
    <mergeCell ref="B43:C43"/>
    <mergeCell ref="B35:C35"/>
    <mergeCell ref="B36:C36"/>
    <mergeCell ref="B37:C37"/>
    <mergeCell ref="B41:C41"/>
    <mergeCell ref="D41:J41"/>
    <mergeCell ref="D42:J42"/>
    <mergeCell ref="B38:C38"/>
    <mergeCell ref="D36:J36"/>
    <mergeCell ref="D37:J37"/>
    <mergeCell ref="B39:C39"/>
    <mergeCell ref="B40:C40"/>
    <mergeCell ref="D38:J38"/>
    <mergeCell ref="D39:J39"/>
    <mergeCell ref="D40:J4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naufalizzudin36@gmail.com</cp:lastModifiedBy>
  <dcterms:created xsi:type="dcterms:W3CDTF">2018-02-23T01:06:12Z</dcterms:created>
  <dcterms:modified xsi:type="dcterms:W3CDTF">2026-03-02T22:57:42Z</dcterms:modified>
</cp:coreProperties>
</file>