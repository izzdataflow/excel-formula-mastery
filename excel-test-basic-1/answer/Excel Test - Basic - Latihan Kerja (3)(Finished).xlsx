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1\Answer\"/>
    </mc:Choice>
  </mc:AlternateContent>
  <xr:revisionPtr revIDLastSave="0" documentId="13_ncr:1_{6FFA6DCB-2CB5-4609-A2F4-7A12DAA2D135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Rumus Dasar" sheetId="1" r:id="rId1"/>
    <sheet name="Left Mid Right" sheetId="2" r:id="rId2"/>
    <sheet name="IF" sheetId="3" r:id="rId3"/>
    <sheet name="Vlookup Hlookup" sheetId="4" r:id="rId4"/>
    <sheet name="CountIF SumIF" sheetId="5" r:id="rId5"/>
    <sheet name="Upper Proper Lower" sheetId="6" r:id="rId6"/>
    <sheet name="Pivot Tabel" sheetId="7" r:id="rId7"/>
  </sheets>
  <definedNames>
    <definedName name="DaftarBarang">'Rumus Dasar'!$A$4:$E$8</definedName>
  </definedNames>
  <calcPr calcId="191029"/>
  <pivotCaches>
    <pivotCache cacheId="1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HGerTvqIPufGKKCETtyR5nUumojxj7g+5jR26p6Uot4="/>
    </ext>
  </extLst>
</workbook>
</file>

<file path=xl/calcChain.xml><?xml version="1.0" encoding="utf-8"?>
<calcChain xmlns="http://schemas.openxmlformats.org/spreadsheetml/2006/main">
  <c r="E5" i="6" l="1"/>
  <c r="E6" i="6"/>
  <c r="E7" i="6"/>
  <c r="E8" i="6"/>
  <c r="E9" i="6"/>
  <c r="E10" i="6"/>
  <c r="E11" i="6"/>
  <c r="E12" i="6"/>
  <c r="E13" i="6"/>
  <c r="E14" i="6"/>
  <c r="E15" i="6"/>
  <c r="E4" i="6"/>
  <c r="D5" i="6"/>
  <c r="D6" i="6"/>
  <c r="D7" i="6"/>
  <c r="D8" i="6"/>
  <c r="D9" i="6"/>
  <c r="D10" i="6"/>
  <c r="D11" i="6"/>
  <c r="D12" i="6"/>
  <c r="D13" i="6"/>
  <c r="D14" i="6"/>
  <c r="D15" i="6"/>
  <c r="D4" i="6"/>
  <c r="C5" i="6"/>
  <c r="C6" i="6"/>
  <c r="C7" i="6"/>
  <c r="C8" i="6"/>
  <c r="C9" i="6"/>
  <c r="C10" i="6"/>
  <c r="C11" i="6"/>
  <c r="C12" i="6"/>
  <c r="C13" i="6"/>
  <c r="C14" i="6"/>
  <c r="C15" i="6"/>
  <c r="C4" i="6"/>
  <c r="K7" i="5"/>
  <c r="K6" i="5"/>
  <c r="K5" i="5"/>
  <c r="K4" i="5"/>
  <c r="B10" i="5"/>
  <c r="B9" i="5"/>
  <c r="D26" i="4"/>
  <c r="D27" i="4"/>
  <c r="D28" i="4"/>
  <c r="D29" i="4"/>
  <c r="D25" i="4"/>
  <c r="I4" i="4"/>
  <c r="I5" i="4"/>
  <c r="I6" i="4"/>
  <c r="I7" i="4"/>
  <c r="I8" i="4"/>
  <c r="I9" i="4"/>
  <c r="I10" i="4"/>
  <c r="I11" i="4"/>
  <c r="I12" i="4"/>
  <c r="I3" i="4"/>
  <c r="H4" i="4"/>
  <c r="H5" i="4"/>
  <c r="H6" i="4"/>
  <c r="H7" i="4"/>
  <c r="H8" i="4"/>
  <c r="H9" i="4"/>
  <c r="H10" i="4"/>
  <c r="H11" i="4"/>
  <c r="H12" i="4"/>
  <c r="H3" i="4"/>
  <c r="G4" i="4"/>
  <c r="G5" i="4"/>
  <c r="G6" i="4"/>
  <c r="G7" i="4"/>
  <c r="G8" i="4"/>
  <c r="G9" i="4"/>
  <c r="G10" i="4"/>
  <c r="G11" i="4"/>
  <c r="G12" i="4"/>
  <c r="G3" i="4"/>
  <c r="D4" i="4"/>
  <c r="D5" i="4"/>
  <c r="D6" i="4"/>
  <c r="D7" i="4"/>
  <c r="D8" i="4"/>
  <c r="D9" i="4"/>
  <c r="D10" i="4"/>
  <c r="D11" i="4"/>
  <c r="D12" i="4"/>
  <c r="D3" i="4"/>
  <c r="C4" i="4"/>
  <c r="C5" i="4"/>
  <c r="C6" i="4"/>
  <c r="C7" i="4"/>
  <c r="C8" i="4"/>
  <c r="C9" i="4"/>
  <c r="C10" i="4"/>
  <c r="C11" i="4"/>
  <c r="C12" i="4"/>
  <c r="C3" i="4"/>
  <c r="B4" i="4"/>
  <c r="B5" i="4"/>
  <c r="B6" i="4"/>
  <c r="B7" i="4"/>
  <c r="B8" i="4"/>
  <c r="B9" i="4"/>
  <c r="B10" i="4"/>
  <c r="B11" i="4"/>
  <c r="B12" i="4"/>
  <c r="B3" i="4"/>
  <c r="H17" i="3"/>
  <c r="H18" i="3"/>
  <c r="H19" i="3"/>
  <c r="H20" i="3"/>
  <c r="H21" i="3"/>
  <c r="H22" i="3"/>
  <c r="H16" i="3"/>
  <c r="G17" i="3"/>
  <c r="G18" i="3"/>
  <c r="G19" i="3"/>
  <c r="G20" i="3"/>
  <c r="G21" i="3"/>
  <c r="G22" i="3"/>
  <c r="G16" i="3"/>
  <c r="D4" i="3"/>
  <c r="D5" i="3"/>
  <c r="D6" i="3"/>
  <c r="D7" i="3"/>
  <c r="D8" i="3"/>
  <c r="D9" i="3"/>
  <c r="D10" i="3"/>
  <c r="D11" i="3"/>
  <c r="D12" i="3"/>
  <c r="D3" i="3"/>
  <c r="E5" i="2"/>
  <c r="E6" i="2"/>
  <c r="E7" i="2"/>
  <c r="E8" i="2"/>
  <c r="E9" i="2"/>
  <c r="E10" i="2"/>
  <c r="E11" i="2"/>
  <c r="E12" i="2"/>
  <c r="E13" i="2"/>
  <c r="E4" i="2"/>
  <c r="D5" i="2"/>
  <c r="D6" i="2"/>
  <c r="D7" i="2"/>
  <c r="D8" i="2"/>
  <c r="D9" i="2"/>
  <c r="D10" i="2"/>
  <c r="D11" i="2"/>
  <c r="D12" i="2"/>
  <c r="D13" i="2"/>
  <c r="D4" i="2"/>
  <c r="C5" i="2"/>
  <c r="C6" i="2"/>
  <c r="C7" i="2"/>
  <c r="C8" i="2"/>
  <c r="C9" i="2"/>
  <c r="C10" i="2"/>
  <c r="C11" i="2"/>
  <c r="C12" i="2"/>
  <c r="C13" i="2"/>
  <c r="C4" i="2"/>
  <c r="E13" i="1"/>
  <c r="E12" i="1"/>
  <c r="E11" i="1"/>
  <c r="E10" i="1"/>
  <c r="E9" i="1"/>
  <c r="E5" i="1"/>
  <c r="E6" i="1"/>
  <c r="E7" i="1"/>
  <c r="E8" i="1"/>
  <c r="E4" i="1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</calcChain>
</file>

<file path=xl/sharedStrings.xml><?xml version="1.0" encoding="utf-8"?>
<sst xmlns="http://schemas.openxmlformats.org/spreadsheetml/2006/main" count="344" uniqueCount="186">
  <si>
    <t>DAFTAR BARANG</t>
  </si>
  <si>
    <t>NO.</t>
  </si>
  <si>
    <t>NAMA ITEM</t>
  </si>
  <si>
    <t>QTY</t>
  </si>
  <si>
    <t>HARGA</t>
  </si>
  <si>
    <t>JUMLAH</t>
  </si>
  <si>
    <t>PC</t>
  </si>
  <si>
    <t>Printer</t>
  </si>
  <si>
    <t>Kamera Digital</t>
  </si>
  <si>
    <t>Scanner</t>
  </si>
  <si>
    <t>Speaker</t>
  </si>
  <si>
    <t>TOTAL</t>
  </si>
  <si>
    <t>RATA-RATA</t>
  </si>
  <si>
    <t>NILAI TERBESAR</t>
  </si>
  <si>
    <t>NILAI TERKECIL</t>
  </si>
  <si>
    <t>BANYAKNYA DATA</t>
  </si>
  <si>
    <t>LEFT, MID, &amp; RIGHT</t>
  </si>
  <si>
    <t>KODE BUKU</t>
  </si>
  <si>
    <t>LEFT</t>
  </si>
  <si>
    <t>MID</t>
  </si>
  <si>
    <t>RIGHT</t>
  </si>
  <si>
    <t>2 Digit dari Kiri</t>
  </si>
  <si>
    <t>Dari Digit ke 3, ambil 6 Digit</t>
  </si>
  <si>
    <t>1 Digit dari Kanan</t>
  </si>
  <si>
    <t>AL011987B</t>
  </si>
  <si>
    <t>EL051980C</t>
  </si>
  <si>
    <t>BA032004D</t>
  </si>
  <si>
    <t>AL012005B</t>
  </si>
  <si>
    <t>BP091997G</t>
  </si>
  <si>
    <t>EL052002C</t>
  </si>
  <si>
    <t>GM081989H</t>
  </si>
  <si>
    <t>AL011988B</t>
  </si>
  <si>
    <t>GA042005F</t>
  </si>
  <si>
    <t>AL011992J</t>
  </si>
  <si>
    <t>RUMUS IF</t>
  </si>
  <si>
    <t>NAMA MAHASISWA</t>
  </si>
  <si>
    <t>JENIS KELAMIN</t>
  </si>
  <si>
    <t>KETERANGAN</t>
  </si>
  <si>
    <t>Syaiful</t>
  </si>
  <si>
    <t>Evi Susanti</t>
  </si>
  <si>
    <t>Irwan Mujiono</t>
  </si>
  <si>
    <t>Dewi Agustina</t>
  </si>
  <si>
    <t>Agung Supriadi</t>
  </si>
  <si>
    <t>Joko Edi</t>
  </si>
  <si>
    <t>Neneng</t>
  </si>
  <si>
    <t>Muhammad Jufri</t>
  </si>
  <si>
    <t>Iskandar</t>
  </si>
  <si>
    <t>Iren Oktaviani</t>
  </si>
  <si>
    <t>NAMA</t>
  </si>
  <si>
    <t>MATA PELAJARAN</t>
  </si>
  <si>
    <t>JUMLAH NILAI</t>
  </si>
  <si>
    <t>NILAI HURUF</t>
  </si>
  <si>
    <t>MTK</t>
  </si>
  <si>
    <t>BHS. INDO</t>
  </si>
  <si>
    <t>BHS. INGG</t>
  </si>
  <si>
    <t>IPA</t>
  </si>
  <si>
    <t>Ahmad</t>
  </si>
  <si>
    <t>Zul</t>
  </si>
  <si>
    <t>Budi</t>
  </si>
  <si>
    <t>Rudi</t>
  </si>
  <si>
    <t>Jessica</t>
  </si>
  <si>
    <t>Tomi</t>
  </si>
  <si>
    <t>Rezky</t>
  </si>
  <si>
    <t>Jumlah Nilai</t>
  </si>
  <si>
    <t>Nilai Huruf</t>
  </si>
  <si>
    <t>A</t>
  </si>
  <si>
    <t>280-299</t>
  </si>
  <si>
    <t>B</t>
  </si>
  <si>
    <t>&lt; 280</t>
  </si>
  <si>
    <t>C</t>
  </si>
  <si>
    <t>VLOOKUP</t>
  </si>
  <si>
    <t>HLOOKUP</t>
  </si>
  <si>
    <t>Kode</t>
  </si>
  <si>
    <t>Nama Barang</t>
  </si>
  <si>
    <t>Harga</t>
  </si>
  <si>
    <t>Satuan</t>
  </si>
  <si>
    <t>A001</t>
  </si>
  <si>
    <t>A004</t>
  </si>
  <si>
    <t>A002</t>
  </si>
  <si>
    <t>A003</t>
  </si>
  <si>
    <t>Tabel Bantu</t>
  </si>
  <si>
    <t>Sabun</t>
  </si>
  <si>
    <t>Buah</t>
  </si>
  <si>
    <t>Nama Brg</t>
  </si>
  <si>
    <t>Minyak Goreng</t>
  </si>
  <si>
    <t>Susu</t>
  </si>
  <si>
    <t>Gula Pasir</t>
  </si>
  <si>
    <t>Liter</t>
  </si>
  <si>
    <t>Kaleng</t>
  </si>
  <si>
    <t>Kilogram</t>
  </si>
  <si>
    <t>VLOOKUP TIPE TRUE</t>
  </si>
  <si>
    <t>DAFTAR NILAI MAHASISWA</t>
  </si>
  <si>
    <t>BOBOT PENILAIAN</t>
  </si>
  <si>
    <t>No.</t>
  </si>
  <si>
    <t>Nama Mahasiswa</t>
  </si>
  <si>
    <t>Nilai</t>
  </si>
  <si>
    <t>Predikat</t>
  </si>
  <si>
    <t>AHMAD</t>
  </si>
  <si>
    <t>E</t>
  </si>
  <si>
    <t>BENNY</t>
  </si>
  <si>
    <t>D</t>
  </si>
  <si>
    <t>CHERLY</t>
  </si>
  <si>
    <t>DODIT</t>
  </si>
  <si>
    <t>EGY</t>
  </si>
  <si>
    <t>COUNTIF</t>
  </si>
  <si>
    <t>SUMIF</t>
  </si>
  <si>
    <t>STATUS</t>
  </si>
  <si>
    <t>NIP</t>
  </si>
  <si>
    <t>NAMA PEGAWAI</t>
  </si>
  <si>
    <t>GOLONGAN</t>
  </si>
  <si>
    <t>GAJI DITERIMA</t>
  </si>
  <si>
    <t>REKAPITULASI GAJI DITERIMA</t>
  </si>
  <si>
    <t>BUDI</t>
  </si>
  <si>
    <t>LULUS</t>
  </si>
  <si>
    <t>ABDUL NUR</t>
  </si>
  <si>
    <t>GOL</t>
  </si>
  <si>
    <t>TONO</t>
  </si>
  <si>
    <t>AHMAD INDRA</t>
  </si>
  <si>
    <t>FIRA</t>
  </si>
  <si>
    <t>TIDAK LULUS</t>
  </si>
  <si>
    <t>YULIAS PRASETYO</t>
  </si>
  <si>
    <t>RUDI</t>
  </si>
  <si>
    <t>AFIDAH PUTRI</t>
  </si>
  <si>
    <t>ZUL</t>
  </si>
  <si>
    <t>AGUNG ALDIYANTO</t>
  </si>
  <si>
    <t>BUDI HARTONO</t>
  </si>
  <si>
    <t>Jumlah Siswa Yang Lulus</t>
  </si>
  <si>
    <t>ALFIAN SAHRUL</t>
  </si>
  <si>
    <t>Jumlah Siswa Yang Tidak Lulus</t>
  </si>
  <si>
    <t>ANGGI RIZKI</t>
  </si>
  <si>
    <t>OKTAVIANUS</t>
  </si>
  <si>
    <t>DAVID MUBAROK</t>
  </si>
  <si>
    <t>Rumus :</t>
  </si>
  <si>
    <t>=COUNTIF(Range Data,Kondisi)</t>
  </si>
  <si>
    <t>=SUMIF(Range Data,Kriteria,Sum_Range)</t>
  </si>
  <si>
    <t>UPPER, PROPER, LOWER</t>
  </si>
  <si>
    <t>UPPER</t>
  </si>
  <si>
    <t>PROPER</t>
  </si>
  <si>
    <t>LOWER</t>
  </si>
  <si>
    <t>HURUF BESAR SEMUA</t>
  </si>
  <si>
    <t>HURUF BESAR DI AWAL KATA</t>
  </si>
  <si>
    <t>HURUF KECIL SEMUA</t>
  </si>
  <si>
    <t>Mulan Jamela</t>
  </si>
  <si>
    <t>Ayu Azhari</t>
  </si>
  <si>
    <t>Asmirandah</t>
  </si>
  <si>
    <t>Desi Ratnasari</t>
  </si>
  <si>
    <t>Titi Dwi Jayanti</t>
  </si>
  <si>
    <t>Maia Estianti</t>
  </si>
  <si>
    <t>Sandra Dewi</t>
  </si>
  <si>
    <t>Puput Melati</t>
  </si>
  <si>
    <t>Dewi Persik</t>
  </si>
  <si>
    <t>Agnez Monica</t>
  </si>
  <si>
    <t>Anya Geraldine</t>
  </si>
  <si>
    <t>Paramitha Rusadi</t>
  </si>
  <si>
    <t>LAPORAN PENJUALAN SALES</t>
  </si>
  <si>
    <t>Tanggal</t>
  </si>
  <si>
    <t>Sales</t>
  </si>
  <si>
    <t>Produk</t>
  </si>
  <si>
    <t>Daerah</t>
  </si>
  <si>
    <t>Harga Jual</t>
  </si>
  <si>
    <t>HPP</t>
  </si>
  <si>
    <t>Laba</t>
  </si>
  <si>
    <t>Ayam Bawang</t>
  </si>
  <si>
    <t>Makassar</t>
  </si>
  <si>
    <t>Kari Ayam</t>
  </si>
  <si>
    <t>Denpasar</t>
  </si>
  <si>
    <t>Soto Spesial</t>
  </si>
  <si>
    <t>Yogyakarta</t>
  </si>
  <si>
    <t>Setiawan</t>
  </si>
  <si>
    <t>Jakarta</t>
  </si>
  <si>
    <t>Susono</t>
  </si>
  <si>
    <t>Hartono</t>
  </si>
  <si>
    <t>Bandung</t>
  </si>
  <si>
    <t>Anto</t>
  </si>
  <si>
    <t>Semarang</t>
  </si>
  <si>
    <t>Medan</t>
  </si>
  <si>
    <t>Kode Jenis Kelamin</t>
  </si>
  <si>
    <t>Keterangan</t>
  </si>
  <si>
    <t>Perempuan</t>
  </si>
  <si>
    <t>Laki-laki</t>
  </si>
  <si>
    <t>&gt; 300</t>
  </si>
  <si>
    <t>Sum of Laba</t>
  </si>
  <si>
    <t>Grand Total</t>
  </si>
  <si>
    <t>Row Labels</t>
  </si>
  <si>
    <t>Sum of Harga Jual</t>
  </si>
  <si>
    <t>Sum of HPP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</si>
</sst>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-&quot;Rp&quot;* #,##0_-;\-&quot;Rp&quot;* #,##0_-;_-&quot;Rp&quot;* &quot;-&quot;_-;_-@_-"/>
    <numFmt numFmtId="165" formatCode="_-* #,##0_-;\-* #,##0_-;_-* &quot;-&quot;_-;_-@_-"/>
    <numFmt numFmtId="166" formatCode="_-[$Rp-421]* #,##0_-;\-[$Rp-421]* #,##0_-;_-[$Rp-421]* &quot;-&quot;_-;_-@"/>
    <numFmt numFmtId="167" formatCode="_-* #,##0_-;\-* #,##0_-;_-* &quot;-&quot;_-;_-@"/>
    <numFmt numFmtId="168" formatCode="#,##0_ ;\-#,##0\ "/>
  </numFmts>
  <fonts count="13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24"/>
      <color rgb="FFFF0000"/>
      <name val="Calibri"/>
    </font>
    <font>
      <sz val="11"/>
      <name val="Calibri"/>
    </font>
    <font>
      <sz val="11"/>
      <color rgb="FFFF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20"/>
      <color theme="1"/>
      <name val="Calibri"/>
    </font>
    <font>
      <b/>
      <sz val="16"/>
      <color theme="1"/>
      <name val="Calibri"/>
    </font>
    <font>
      <b/>
      <sz val="11"/>
      <name val="Calibri"/>
      <family val="2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rgb="FFD9E2F3"/>
      </patternFill>
    </fill>
    <fill>
      <patternFill patternType="solid">
        <fgColor theme="4" tint="0.79998168889431442"/>
        <bgColor rgb="FFFFFF00"/>
      </patternFill>
    </fill>
    <fill>
      <patternFill patternType="solid">
        <fgColor rgb="FFFFC000"/>
        <bgColor rgb="FFD6DCE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6" fontId="3" fillId="0" borderId="1" xfId="0" applyNumberFormat="1" applyFont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41" fontId="3" fillId="0" borderId="1" xfId="0" applyNumberFormat="1" applyFont="1" applyBorder="1"/>
    <xf numFmtId="0" fontId="7" fillId="0" borderId="0" xfId="0" applyFont="1"/>
    <xf numFmtId="0" fontId="2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41" fontId="3" fillId="4" borderId="1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41" fontId="3" fillId="0" borderId="3" xfId="0" applyNumberFormat="1" applyFont="1" applyBorder="1"/>
    <xf numFmtId="0" fontId="2" fillId="6" borderId="1" xfId="0" applyFont="1" applyFill="1" applyBorder="1" applyAlignment="1">
      <alignment horizontal="center"/>
    </xf>
    <xf numFmtId="167" fontId="2" fillId="0" borderId="0" xfId="0" applyNumberFormat="1" applyFont="1"/>
    <xf numFmtId="0" fontId="8" fillId="0" borderId="0" xfId="0" applyFont="1"/>
    <xf numFmtId="0" fontId="9" fillId="0" borderId="0" xfId="0" applyFont="1"/>
    <xf numFmtId="49" fontId="9" fillId="0" borderId="0" xfId="0" applyNumberFormat="1" applyFont="1"/>
    <xf numFmtId="168" fontId="3" fillId="4" borderId="1" xfId="1" applyNumberFormat="1" applyFont="1" applyFill="1" applyBorder="1" applyAlignment="1">
      <alignment horizontal="center"/>
    </xf>
    <xf numFmtId="0" fontId="3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66" fontId="3" fillId="7" borderId="1" xfId="0" applyNumberFormat="1" applyFont="1" applyFill="1" applyBorder="1"/>
    <xf numFmtId="0" fontId="2" fillId="8" borderId="1" xfId="0" applyFont="1" applyFill="1" applyBorder="1"/>
    <xf numFmtId="164" fontId="3" fillId="7" borderId="1" xfId="2" applyFont="1" applyFill="1" applyBorder="1"/>
    <xf numFmtId="0" fontId="2" fillId="9" borderId="1" xfId="0" applyFont="1" applyFill="1" applyBorder="1" applyAlignment="1">
      <alignment horizontal="center"/>
    </xf>
    <xf numFmtId="0" fontId="11" fillId="12" borderId="9" xfId="0" applyFont="1" applyFill="1" applyBorder="1" applyAlignment="1">
      <alignment horizontal="center"/>
    </xf>
    <xf numFmtId="41" fontId="11" fillId="12" borderId="9" xfId="0" applyNumberFormat="1" applyFont="1" applyFill="1" applyBorder="1" applyAlignment="1">
      <alignment horizontal="center"/>
    </xf>
    <xf numFmtId="41" fontId="11" fillId="12" borderId="2" xfId="0" applyNumberFormat="1" applyFont="1" applyFill="1" applyBorder="1" applyAlignment="1">
      <alignment horizontal="center"/>
    </xf>
    <xf numFmtId="15" fontId="12" fillId="13" borderId="9" xfId="0" applyNumberFormat="1" applyFont="1" applyFill="1" applyBorder="1"/>
    <xf numFmtId="0" fontId="12" fillId="13" borderId="9" xfId="0" applyFont="1" applyFill="1" applyBorder="1"/>
    <xf numFmtId="164" fontId="12" fillId="13" borderId="9" xfId="2" applyFont="1" applyFill="1" applyBorder="1"/>
    <xf numFmtId="164" fontId="12" fillId="13" borderId="2" xfId="2" applyFont="1" applyFill="1" applyBorder="1"/>
    <xf numFmtId="15" fontId="12" fillId="0" borderId="9" xfId="0" applyNumberFormat="1" applyFont="1" applyBorder="1"/>
    <xf numFmtId="0" fontId="12" fillId="0" borderId="9" xfId="0" applyFont="1" applyBorder="1"/>
    <xf numFmtId="164" fontId="12" fillId="0" borderId="9" xfId="2" applyFont="1" applyBorder="1"/>
    <xf numFmtId="164" fontId="12" fillId="0" borderId="2" xfId="2" applyFont="1" applyBorder="1"/>
    <xf numFmtId="15" fontId="12" fillId="13" borderId="4" xfId="0" applyNumberFormat="1" applyFont="1" applyFill="1" applyBorder="1"/>
    <xf numFmtId="0" fontId="12" fillId="13" borderId="4" xfId="0" applyFont="1" applyFill="1" applyBorder="1"/>
    <xf numFmtId="164" fontId="12" fillId="13" borderId="4" xfId="2" applyFont="1" applyFill="1" applyBorder="1"/>
    <xf numFmtId="164" fontId="12" fillId="13" borderId="1" xfId="2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2" fillId="2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2" fillId="0" borderId="7" xfId="0" applyFont="1" applyBorder="1" applyAlignment="1">
      <alignment horizontal="left"/>
    </xf>
    <xf numFmtId="0" fontId="5" fillId="0" borderId="7" xfId="0" applyFont="1" applyBorder="1"/>
    <xf numFmtId="0" fontId="2" fillId="10" borderId="4" xfId="0" applyFont="1" applyFill="1" applyBorder="1" applyAlignment="1">
      <alignment horizontal="center"/>
    </xf>
    <xf numFmtId="0" fontId="5" fillId="11" borderId="6" xfId="0" applyFont="1" applyFill="1" applyBorder="1"/>
    <xf numFmtId="0" fontId="10" fillId="0" borderId="7" xfId="0" applyFont="1" applyBorder="1" applyAlignment="1">
      <alignment horizontal="center"/>
    </xf>
    <xf numFmtId="0" fontId="3" fillId="7" borderId="1" xfId="0" applyNumberFormat="1" applyFont="1" applyFill="1" applyBorder="1"/>
    <xf numFmtId="4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Test - Basic - Latihan Kerja (3).xlsx]Pivot Tabel!PivotTable2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Tabel'!$J$3</c:f>
              <c:strCache>
                <c:ptCount val="1"/>
                <c:pt idx="0">
                  <c:v>Sum of Harga Jual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Tabel'!$I$4:$I$11</c:f>
              <c:strCache>
                <c:ptCount val="7"/>
                <c:pt idx="0">
                  <c:v>Ahmad</c:v>
                </c:pt>
                <c:pt idx="1">
                  <c:v>Anto</c:v>
                </c:pt>
                <c:pt idx="2">
                  <c:v>Budi</c:v>
                </c:pt>
                <c:pt idx="3">
                  <c:v>Hartono</c:v>
                </c:pt>
                <c:pt idx="4">
                  <c:v>Setiawan</c:v>
                </c:pt>
                <c:pt idx="5">
                  <c:v>Susono</c:v>
                </c:pt>
                <c:pt idx="6">
                  <c:v>Zul</c:v>
                </c:pt>
              </c:strCache>
            </c:strRef>
          </c:cat>
          <c:val>
            <c:numRef>
              <c:f>'Pivot Tabel'!$J$4:$J$11</c:f>
              <c:numCache>
                <c:formatCode>_-"Rp"* #,##0_-;\-"Rp"* #,##0_-;_-"Rp"* "-"_-;_-@_-</c:formatCode>
                <c:ptCount val="7"/>
                <c:pt idx="0">
                  <c:v>930000</c:v>
                </c:pt>
                <c:pt idx="1">
                  <c:v>1395000</c:v>
                </c:pt>
                <c:pt idx="2">
                  <c:v>1215000</c:v>
                </c:pt>
                <c:pt idx="3">
                  <c:v>1555000</c:v>
                </c:pt>
                <c:pt idx="4">
                  <c:v>120000</c:v>
                </c:pt>
                <c:pt idx="5">
                  <c:v>1225000</c:v>
                </c:pt>
                <c:pt idx="6">
                  <c:v>1385000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9-4551-89CB-E823DA7059DE}"/>
            </c:ext>
          </c:extLst>
        </c:ser>
        <c:ser>
          <c:idx val="1"/>
          <c:order val="1"/>
          <c:tx>
            <c:strRef>
              <c:f>'Pivot Tabel'!$K$3</c:f>
              <c:strCache>
                <c:ptCount val="1"/>
                <c:pt idx="0">
                  <c:v>Sum of HPP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Tabel'!$I$4:$I$11</c:f>
              <c:strCache>
                <c:ptCount val="7"/>
                <c:pt idx="0">
                  <c:v>Ahmad</c:v>
                </c:pt>
                <c:pt idx="1">
                  <c:v>Anto</c:v>
                </c:pt>
                <c:pt idx="2">
                  <c:v>Budi</c:v>
                </c:pt>
                <c:pt idx="3">
                  <c:v>Hartono</c:v>
                </c:pt>
                <c:pt idx="4">
                  <c:v>Setiawan</c:v>
                </c:pt>
                <c:pt idx="5">
                  <c:v>Susono</c:v>
                </c:pt>
                <c:pt idx="6">
                  <c:v>Zul</c:v>
                </c:pt>
              </c:strCache>
            </c:strRef>
          </c:cat>
          <c:val>
            <c:numRef>
              <c:f>'Pivot Tabel'!$K$4:$K$11</c:f>
              <c:numCache>
                <c:formatCode>_-"Rp"* #,##0_-;\-"Rp"* #,##0_-;_-"Rp"* "-"_-;_-@_-</c:formatCode>
                <c:ptCount val="7"/>
                <c:pt idx="0">
                  <c:v>500000</c:v>
                </c:pt>
                <c:pt idx="1">
                  <c:v>720000</c:v>
                </c:pt>
                <c:pt idx="2">
                  <c:v>700000</c:v>
                </c:pt>
                <c:pt idx="3">
                  <c:v>830000</c:v>
                </c:pt>
                <c:pt idx="4">
                  <c:v>75000</c:v>
                </c:pt>
                <c:pt idx="5">
                  <c:v>675000</c:v>
                </c:pt>
                <c:pt idx="6">
                  <c:v>625000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E9-4551-89CB-E823DA7059DE}"/>
            </c:ext>
          </c:extLst>
        </c:ser>
        <c:ser>
          <c:idx val="2"/>
          <c:order val="2"/>
          <c:tx>
            <c:strRef>
              <c:f>'Pivot Tabel'!$L$3</c:f>
              <c:strCache>
                <c:ptCount val="1"/>
                <c:pt idx="0">
                  <c:v>Sum of Laba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Tabel'!$I$4:$I$11</c:f>
              <c:strCache>
                <c:ptCount val="7"/>
                <c:pt idx="0">
                  <c:v>Ahmad</c:v>
                </c:pt>
                <c:pt idx="1">
                  <c:v>Anto</c:v>
                </c:pt>
                <c:pt idx="2">
                  <c:v>Budi</c:v>
                </c:pt>
                <c:pt idx="3">
                  <c:v>Hartono</c:v>
                </c:pt>
                <c:pt idx="4">
                  <c:v>Setiawan</c:v>
                </c:pt>
                <c:pt idx="5">
                  <c:v>Susono</c:v>
                </c:pt>
                <c:pt idx="6">
                  <c:v>Zul</c:v>
                </c:pt>
              </c:strCache>
            </c:strRef>
          </c:cat>
          <c:val>
            <c:numRef>
              <c:f>'Pivot Tabel'!$L$4:$L$11</c:f>
              <c:numCache>
                <c:formatCode>_-"Rp"* #,##0_-;\-"Rp"* #,##0_-;_-"Rp"* "-"_-;_-@_-</c:formatCode>
                <c:ptCount val="7"/>
                <c:pt idx="0">
                  <c:v>430000</c:v>
                </c:pt>
                <c:pt idx="1">
                  <c:v>675000</c:v>
                </c:pt>
                <c:pt idx="2">
                  <c:v>515000</c:v>
                </c:pt>
                <c:pt idx="3">
                  <c:v>725000</c:v>
                </c:pt>
                <c:pt idx="4">
                  <c:v>45000</c:v>
                </c:pt>
                <c:pt idx="5">
                  <c:v>550000</c:v>
                </c:pt>
                <c:pt idx="6">
                  <c:v>760000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E9-4551-89CB-E823DA705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938127"/>
        <c:axId val="1778938607"/>
      </c:barChart>
      <c:catAx>
        <c:axId val="177893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38607"/>
        <c:crosses val="autoZero"/>
        <c:auto val="1"/>
        <c:lblAlgn val="ctr"/>
        <c:lblOffset val="100"/>
        <c:noMultiLvlLbl val="0"/>
      </c:catAx>
      <c:valAx>
        <c:axId val="177893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3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11</xdr:row>
      <xdr:rowOff>185737</xdr:rowOff>
    </xdr:from>
    <xdr:to>
      <xdr:col>15</xdr:col>
      <xdr:colOff>352425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15B24-DC85-7FFD-1BE6-0685D65DD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84.186841666669" createdVersion="8" refreshedVersion="8" minRefreshableVersion="3" recordCount="35" xr:uid="{8A0B8EF3-5B8D-4D51-9F1A-E5009A978F07}">
  <cacheSource type="worksheet">
    <worksheetSource ref="A2:G37" sheet="Pivot Tabel"/>
  </cacheSource>
  <cacheFields count="7">
    <cacheField name="Tanggal" numFmtId="15">
      <sharedItems containsSemiMixedTypes="0" containsNonDate="0" containsDate="1" containsString="0" minDate="2022-01-01T00:00:00" maxDate="2022-01-05T00:00:00" count="4">
        <d v="2022-01-01T00:00:00"/>
        <d v="2022-01-02T00:00:00"/>
        <d v="2022-01-03T00:00:00"/>
        <d v="2022-01-04T00:00:00"/>
      </sharedItems>
    </cacheField>
    <cacheField name="Sales" numFmtId="0">
      <sharedItems count="7">
        <s v="Zul"/>
        <s v="Ahmad"/>
        <s v="Budi"/>
        <s v="Setiawan"/>
        <s v="Susono"/>
        <s v="Hartono"/>
        <s v="Anto"/>
      </sharedItems>
    </cacheField>
    <cacheField name="Produk" numFmtId="0">
      <sharedItems count="3">
        <s v="Ayam Bawang"/>
        <s v="Kari Ayam"/>
        <s v="Soto Spesial"/>
      </sharedItems>
    </cacheField>
    <cacheField name="Daerah" numFmtId="0">
      <sharedItems count="7">
        <s v="Makassar"/>
        <s v="Denpasar"/>
        <s v="Yogyakarta"/>
        <s v="Jakarta"/>
        <s v="Bandung"/>
        <s v="Semarang"/>
        <s v="Medan"/>
      </sharedItems>
    </cacheField>
    <cacheField name="Harga Jual" numFmtId="164">
      <sharedItems containsSemiMixedTypes="0" containsString="0" containsNumber="1" containsInteger="1" minValue="120000" maxValue="340000"/>
    </cacheField>
    <cacheField name="HPP" numFmtId="164">
      <sharedItems containsSemiMixedTypes="0" containsString="0" containsNumber="1" containsInteger="1" minValue="75000" maxValue="170000"/>
    </cacheField>
    <cacheField name="Laba" numFmtId="164">
      <sharedItems containsSemiMixedTypes="0" containsString="0" containsNumber="1" containsInteger="1" minValue="45000" maxValue="1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x v="0"/>
    <x v="0"/>
    <n v="250000"/>
    <n v="100000"/>
    <n v="150000"/>
  </r>
  <r>
    <x v="0"/>
    <x v="1"/>
    <x v="1"/>
    <x v="1"/>
    <n v="140000"/>
    <n v="80000"/>
    <n v="60000"/>
  </r>
  <r>
    <x v="0"/>
    <x v="2"/>
    <x v="2"/>
    <x v="2"/>
    <n v="340000"/>
    <n v="150000"/>
    <n v="190000"/>
  </r>
  <r>
    <x v="0"/>
    <x v="3"/>
    <x v="2"/>
    <x v="3"/>
    <n v="120000"/>
    <n v="75000"/>
    <n v="45000"/>
  </r>
  <r>
    <x v="0"/>
    <x v="4"/>
    <x v="0"/>
    <x v="3"/>
    <n v="230000"/>
    <n v="150000"/>
    <n v="80000"/>
  </r>
  <r>
    <x v="0"/>
    <x v="5"/>
    <x v="1"/>
    <x v="4"/>
    <n v="310000"/>
    <n v="170000"/>
    <n v="140000"/>
  </r>
  <r>
    <x v="0"/>
    <x v="6"/>
    <x v="2"/>
    <x v="1"/>
    <n v="175000"/>
    <n v="100000"/>
    <n v="75000"/>
  </r>
  <r>
    <x v="1"/>
    <x v="4"/>
    <x v="0"/>
    <x v="0"/>
    <n v="250000"/>
    <n v="100000"/>
    <n v="150000"/>
  </r>
  <r>
    <x v="1"/>
    <x v="5"/>
    <x v="0"/>
    <x v="0"/>
    <n v="140000"/>
    <n v="80000"/>
    <n v="60000"/>
  </r>
  <r>
    <x v="1"/>
    <x v="6"/>
    <x v="2"/>
    <x v="1"/>
    <n v="340000"/>
    <n v="150000"/>
    <n v="190000"/>
  </r>
  <r>
    <x v="1"/>
    <x v="0"/>
    <x v="1"/>
    <x v="4"/>
    <n v="120000"/>
    <n v="75000"/>
    <n v="45000"/>
  </r>
  <r>
    <x v="1"/>
    <x v="2"/>
    <x v="1"/>
    <x v="3"/>
    <n v="230000"/>
    <n v="150000"/>
    <n v="80000"/>
  </r>
  <r>
    <x v="1"/>
    <x v="4"/>
    <x v="2"/>
    <x v="2"/>
    <n v="310000"/>
    <n v="170000"/>
    <n v="140000"/>
  </r>
  <r>
    <x v="1"/>
    <x v="4"/>
    <x v="2"/>
    <x v="4"/>
    <n v="175000"/>
    <n v="100000"/>
    <n v="75000"/>
  </r>
  <r>
    <x v="1"/>
    <x v="0"/>
    <x v="0"/>
    <x v="1"/>
    <n v="250000"/>
    <n v="100000"/>
    <n v="150000"/>
  </r>
  <r>
    <x v="1"/>
    <x v="5"/>
    <x v="1"/>
    <x v="1"/>
    <n v="140000"/>
    <n v="80000"/>
    <n v="60000"/>
  </r>
  <r>
    <x v="1"/>
    <x v="6"/>
    <x v="1"/>
    <x v="2"/>
    <n v="340000"/>
    <n v="150000"/>
    <n v="190000"/>
  </r>
  <r>
    <x v="1"/>
    <x v="2"/>
    <x v="0"/>
    <x v="1"/>
    <n v="120000"/>
    <n v="75000"/>
    <n v="45000"/>
  </r>
  <r>
    <x v="2"/>
    <x v="2"/>
    <x v="2"/>
    <x v="5"/>
    <n v="230000"/>
    <n v="150000"/>
    <n v="80000"/>
  </r>
  <r>
    <x v="2"/>
    <x v="5"/>
    <x v="2"/>
    <x v="5"/>
    <n v="310000"/>
    <n v="170000"/>
    <n v="140000"/>
  </r>
  <r>
    <x v="2"/>
    <x v="0"/>
    <x v="0"/>
    <x v="0"/>
    <n v="175000"/>
    <n v="100000"/>
    <n v="75000"/>
  </r>
  <r>
    <x v="2"/>
    <x v="0"/>
    <x v="1"/>
    <x v="5"/>
    <n v="250000"/>
    <n v="100000"/>
    <n v="150000"/>
  </r>
  <r>
    <x v="2"/>
    <x v="5"/>
    <x v="2"/>
    <x v="3"/>
    <n v="140000"/>
    <n v="80000"/>
    <n v="60000"/>
  </r>
  <r>
    <x v="2"/>
    <x v="5"/>
    <x v="0"/>
    <x v="4"/>
    <n v="340000"/>
    <n v="150000"/>
    <n v="190000"/>
  </r>
  <r>
    <x v="2"/>
    <x v="4"/>
    <x v="0"/>
    <x v="1"/>
    <n v="120000"/>
    <n v="75000"/>
    <n v="45000"/>
  </r>
  <r>
    <x v="2"/>
    <x v="1"/>
    <x v="2"/>
    <x v="5"/>
    <n v="230000"/>
    <n v="150000"/>
    <n v="80000"/>
  </r>
  <r>
    <x v="3"/>
    <x v="1"/>
    <x v="1"/>
    <x v="6"/>
    <n v="310000"/>
    <n v="170000"/>
    <n v="140000"/>
  </r>
  <r>
    <x v="3"/>
    <x v="2"/>
    <x v="1"/>
    <x v="6"/>
    <n v="175000"/>
    <n v="100000"/>
    <n v="75000"/>
  </r>
  <r>
    <x v="3"/>
    <x v="1"/>
    <x v="0"/>
    <x v="3"/>
    <n v="250000"/>
    <n v="100000"/>
    <n v="150000"/>
  </r>
  <r>
    <x v="3"/>
    <x v="4"/>
    <x v="2"/>
    <x v="0"/>
    <n v="140000"/>
    <n v="80000"/>
    <n v="60000"/>
  </r>
  <r>
    <x v="3"/>
    <x v="0"/>
    <x v="2"/>
    <x v="0"/>
    <n v="340000"/>
    <n v="150000"/>
    <n v="190000"/>
  </r>
  <r>
    <x v="3"/>
    <x v="2"/>
    <x v="0"/>
    <x v="5"/>
    <n v="120000"/>
    <n v="75000"/>
    <n v="45000"/>
  </r>
  <r>
    <x v="3"/>
    <x v="6"/>
    <x v="1"/>
    <x v="1"/>
    <n v="230000"/>
    <n v="150000"/>
    <n v="80000"/>
  </r>
  <r>
    <x v="3"/>
    <x v="6"/>
    <x v="1"/>
    <x v="1"/>
    <n v="310000"/>
    <n v="170000"/>
    <n v="140000"/>
  </r>
  <r>
    <x v="3"/>
    <x v="5"/>
    <x v="0"/>
    <x v="4"/>
    <n v="175000"/>
    <n v="100000"/>
    <n v="7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69945-BC4D-4C8E-825B-C0851166AC8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3:L11" firstHeaderRow="0" firstDataRow="1" firstDataCol="1"/>
  <pivotFields count="7">
    <pivotField axis="axisRow" numFmtId="15" showAll="0">
      <items count="5">
        <item x="0"/>
        <item x="1"/>
        <item x="2"/>
        <item x="3"/>
        <item t="default"/>
      </items>
    </pivotField>
    <pivotField axis="axisRow" showAll="0">
      <items count="8">
        <item sd="0" x="1"/>
        <item sd="0" x="6"/>
        <item sd="0" x="2"/>
        <item sd="0" x="5"/>
        <item sd="0" x="3"/>
        <item sd="0" x="4"/>
        <item sd="0"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8">
        <item x="4"/>
        <item x="1"/>
        <item x="3"/>
        <item x="0"/>
        <item x="6"/>
        <item x="5"/>
        <item x="2"/>
        <item t="default"/>
      </items>
    </pivotField>
    <pivotField dataField="1" numFmtId="164" showAll="0"/>
    <pivotField dataField="1" numFmtId="164" showAll="0"/>
    <pivotField dataField="1" numFmtId="164" showAll="0"/>
  </pivotFields>
  <rowFields count="4">
    <field x="1"/>
    <field x="3"/>
    <field x="2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Harga Jual" fld="4" baseField="0" baseItem="0" numFmtId="164"/>
    <dataField name="Sum of HPP" fld="5" baseField="0" baseItem="0" numFmtId="164"/>
    <dataField name="Sum of Laba" fld="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E13" sqref="E13"/>
    </sheetView>
  </sheetViews>
  <sheetFormatPr defaultColWidth="14.42578125" defaultRowHeight="15" customHeight="1"/>
  <cols>
    <col min="1" max="1" width="4.42578125" customWidth="1"/>
    <col min="2" max="2" width="14" customWidth="1"/>
    <col min="3" max="3" width="4.5703125" customWidth="1"/>
    <col min="4" max="4" width="17.5703125" customWidth="1"/>
    <col min="5" max="6" width="17.85546875" customWidth="1"/>
    <col min="7" max="26" width="8.7109375" customWidth="1"/>
  </cols>
  <sheetData>
    <row r="1" spans="1:5" ht="18.75">
      <c r="A1" s="51" t="s">
        <v>0</v>
      </c>
      <c r="B1" s="52"/>
      <c r="C1" s="52"/>
      <c r="D1" s="52"/>
      <c r="E1" s="52"/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>
        <v>1</v>
      </c>
      <c r="B4" s="2" t="s">
        <v>6</v>
      </c>
      <c r="C4" s="2">
        <v>4</v>
      </c>
      <c r="D4" s="3">
        <v>5000000</v>
      </c>
      <c r="E4" s="32">
        <f>D4*C4</f>
        <v>20000000</v>
      </c>
    </row>
    <row r="5" spans="1:5">
      <c r="A5" s="2">
        <v>2</v>
      </c>
      <c r="B5" s="2" t="s">
        <v>7</v>
      </c>
      <c r="C5" s="2">
        <v>3</v>
      </c>
      <c r="D5" s="3">
        <v>2000000</v>
      </c>
      <c r="E5" s="32">
        <f t="shared" ref="E5:E8" si="0">D5*C5</f>
        <v>6000000</v>
      </c>
    </row>
    <row r="6" spans="1:5">
      <c r="A6" s="2">
        <v>3</v>
      </c>
      <c r="B6" s="2" t="s">
        <v>8</v>
      </c>
      <c r="C6" s="2">
        <v>4</v>
      </c>
      <c r="D6" s="3">
        <v>4000000</v>
      </c>
      <c r="E6" s="32">
        <f t="shared" si="0"/>
        <v>16000000</v>
      </c>
    </row>
    <row r="7" spans="1:5">
      <c r="A7" s="2">
        <v>4</v>
      </c>
      <c r="B7" s="2" t="s">
        <v>9</v>
      </c>
      <c r="C7" s="2">
        <v>2</v>
      </c>
      <c r="D7" s="3">
        <v>600000</v>
      </c>
      <c r="E7" s="32">
        <f t="shared" si="0"/>
        <v>1200000</v>
      </c>
    </row>
    <row r="8" spans="1:5">
      <c r="A8" s="2">
        <v>5</v>
      </c>
      <c r="B8" s="2" t="s">
        <v>10</v>
      </c>
      <c r="C8" s="2">
        <v>1</v>
      </c>
      <c r="D8" s="3">
        <v>150000</v>
      </c>
      <c r="E8" s="32">
        <f t="shared" si="0"/>
        <v>150000</v>
      </c>
    </row>
    <row r="9" spans="1:5">
      <c r="D9" s="33" t="s">
        <v>11</v>
      </c>
      <c r="E9" s="32">
        <f>SUM(E4:E8)</f>
        <v>43350000</v>
      </c>
    </row>
    <row r="10" spans="1:5">
      <c r="D10" s="33" t="s">
        <v>12</v>
      </c>
      <c r="E10" s="32">
        <f>AVERAGE(E4:E8)</f>
        <v>8670000</v>
      </c>
    </row>
    <row r="11" spans="1:5">
      <c r="D11" s="33" t="s">
        <v>13</v>
      </c>
      <c r="E11" s="32">
        <f>MAX(E4:E8)</f>
        <v>20000000</v>
      </c>
    </row>
    <row r="12" spans="1:5">
      <c r="D12" s="33" t="s">
        <v>14</v>
      </c>
      <c r="E12" s="32">
        <f>MIN(E4:E8)</f>
        <v>150000</v>
      </c>
    </row>
    <row r="13" spans="1:5">
      <c r="D13" s="33" t="s">
        <v>15</v>
      </c>
      <c r="E13" s="63">
        <f>SUM(C4:C8)</f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4" sqref="E4"/>
    </sheetView>
  </sheetViews>
  <sheetFormatPr defaultColWidth="14.42578125" defaultRowHeight="15" customHeight="1"/>
  <cols>
    <col min="1" max="1" width="4.140625" customWidth="1"/>
    <col min="2" max="2" width="12.42578125" customWidth="1"/>
    <col min="3" max="3" width="13.42578125" customWidth="1"/>
    <col min="4" max="4" width="24.85546875" customWidth="1"/>
    <col min="5" max="5" width="16" customWidth="1"/>
    <col min="6" max="26" width="8.7109375" customWidth="1"/>
  </cols>
  <sheetData>
    <row r="1" spans="1:5" ht="31.5">
      <c r="A1" s="4" t="s">
        <v>16</v>
      </c>
    </row>
    <row r="2" spans="1:5">
      <c r="A2" s="53" t="s">
        <v>1</v>
      </c>
      <c r="B2" s="53" t="s">
        <v>17</v>
      </c>
      <c r="C2" s="1" t="s">
        <v>18</v>
      </c>
      <c r="D2" s="1" t="s">
        <v>19</v>
      </c>
      <c r="E2" s="1" t="s">
        <v>20</v>
      </c>
    </row>
    <row r="3" spans="1:5">
      <c r="A3" s="54"/>
      <c r="B3" s="54"/>
      <c r="C3" s="1" t="s">
        <v>21</v>
      </c>
      <c r="D3" s="1" t="s">
        <v>22</v>
      </c>
      <c r="E3" s="1" t="s">
        <v>23</v>
      </c>
    </row>
    <row r="4" spans="1:5">
      <c r="A4" s="5">
        <v>1</v>
      </c>
      <c r="B4" s="2" t="s">
        <v>24</v>
      </c>
      <c r="C4" s="29" t="str">
        <f>LEFT(B4,2)</f>
        <v>AL</v>
      </c>
      <c r="D4" s="29" t="str">
        <f>MID(B4,3,6)</f>
        <v>011987</v>
      </c>
      <c r="E4" s="29" t="str">
        <f>RIGHT(B4,1)</f>
        <v>B</v>
      </c>
    </row>
    <row r="5" spans="1:5">
      <c r="A5" s="5">
        <v>2</v>
      </c>
      <c r="B5" s="2" t="s">
        <v>25</v>
      </c>
      <c r="C5" s="29" t="str">
        <f t="shared" ref="C5:C13" si="0">LEFT(B5,2)</f>
        <v>EL</v>
      </c>
      <c r="D5" s="29" t="str">
        <f t="shared" ref="D5:D13" si="1">MID(B5,3,6)</f>
        <v>051980</v>
      </c>
      <c r="E5" s="29" t="str">
        <f t="shared" ref="E5:E13" si="2">RIGHT(B5,1)</f>
        <v>C</v>
      </c>
    </row>
    <row r="6" spans="1:5">
      <c r="A6" s="5">
        <v>3</v>
      </c>
      <c r="B6" s="2" t="s">
        <v>26</v>
      </c>
      <c r="C6" s="29" t="str">
        <f t="shared" si="0"/>
        <v>BA</v>
      </c>
      <c r="D6" s="29" t="str">
        <f t="shared" si="1"/>
        <v>032004</v>
      </c>
      <c r="E6" s="29" t="str">
        <f t="shared" si="2"/>
        <v>D</v>
      </c>
    </row>
    <row r="7" spans="1:5">
      <c r="A7" s="5">
        <v>4</v>
      </c>
      <c r="B7" s="2" t="s">
        <v>27</v>
      </c>
      <c r="C7" s="29" t="str">
        <f t="shared" si="0"/>
        <v>AL</v>
      </c>
      <c r="D7" s="29" t="str">
        <f t="shared" si="1"/>
        <v>012005</v>
      </c>
      <c r="E7" s="29" t="str">
        <f t="shared" si="2"/>
        <v>B</v>
      </c>
    </row>
    <row r="8" spans="1:5">
      <c r="A8" s="5">
        <v>5</v>
      </c>
      <c r="B8" s="2" t="s">
        <v>28</v>
      </c>
      <c r="C8" s="29" t="str">
        <f t="shared" si="0"/>
        <v>BP</v>
      </c>
      <c r="D8" s="29" t="str">
        <f t="shared" si="1"/>
        <v>091997</v>
      </c>
      <c r="E8" s="29" t="str">
        <f t="shared" si="2"/>
        <v>G</v>
      </c>
    </row>
    <row r="9" spans="1:5">
      <c r="A9" s="5">
        <v>6</v>
      </c>
      <c r="B9" s="2" t="s">
        <v>29</v>
      </c>
      <c r="C9" s="29" t="str">
        <f t="shared" si="0"/>
        <v>EL</v>
      </c>
      <c r="D9" s="29" t="str">
        <f t="shared" si="1"/>
        <v>052002</v>
      </c>
      <c r="E9" s="29" t="str">
        <f t="shared" si="2"/>
        <v>C</v>
      </c>
    </row>
    <row r="10" spans="1:5">
      <c r="A10" s="5">
        <v>7</v>
      </c>
      <c r="B10" s="2" t="s">
        <v>30</v>
      </c>
      <c r="C10" s="29" t="str">
        <f t="shared" si="0"/>
        <v>GM</v>
      </c>
      <c r="D10" s="29" t="str">
        <f t="shared" si="1"/>
        <v>081989</v>
      </c>
      <c r="E10" s="29" t="str">
        <f t="shared" si="2"/>
        <v>H</v>
      </c>
    </row>
    <row r="11" spans="1:5">
      <c r="A11" s="5">
        <v>8</v>
      </c>
      <c r="B11" s="2" t="s">
        <v>31</v>
      </c>
      <c r="C11" s="29" t="str">
        <f t="shared" si="0"/>
        <v>AL</v>
      </c>
      <c r="D11" s="29" t="str">
        <f t="shared" si="1"/>
        <v>011988</v>
      </c>
      <c r="E11" s="29" t="str">
        <f t="shared" si="2"/>
        <v>B</v>
      </c>
    </row>
    <row r="12" spans="1:5">
      <c r="A12" s="5">
        <v>9</v>
      </c>
      <c r="B12" s="2" t="s">
        <v>32</v>
      </c>
      <c r="C12" s="29" t="str">
        <f t="shared" si="0"/>
        <v>GA</v>
      </c>
      <c r="D12" s="29" t="str">
        <f t="shared" si="1"/>
        <v>042005</v>
      </c>
      <c r="E12" s="29" t="str">
        <f t="shared" si="2"/>
        <v>F</v>
      </c>
    </row>
    <row r="13" spans="1:5">
      <c r="A13" s="5">
        <v>10</v>
      </c>
      <c r="B13" s="2" t="s">
        <v>33</v>
      </c>
      <c r="C13" s="29" t="str">
        <f t="shared" si="0"/>
        <v>AL</v>
      </c>
      <c r="D13" s="29" t="str">
        <f t="shared" si="1"/>
        <v>011992</v>
      </c>
      <c r="E13" s="29" t="str">
        <f t="shared" si="2"/>
        <v>J</v>
      </c>
    </row>
    <row r="14" spans="1:5">
      <c r="A14" s="6"/>
    </row>
    <row r="15" spans="1:5">
      <c r="A15" s="6"/>
    </row>
    <row r="16" spans="1:5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 ht="15.75" customHeight="1">
      <c r="A21" s="6"/>
    </row>
    <row r="22" spans="1:1" ht="15.75" customHeight="1">
      <c r="A22" s="6"/>
    </row>
    <row r="23" spans="1:1" ht="15.75" customHeight="1">
      <c r="A23" s="6"/>
    </row>
    <row r="24" spans="1:1" ht="15.75" customHeight="1">
      <c r="A24" s="6"/>
    </row>
    <row r="25" spans="1:1" ht="15.75" customHeight="1">
      <c r="A25" s="6"/>
    </row>
    <row r="26" spans="1:1" ht="15.75" customHeight="1">
      <c r="A26" s="6"/>
    </row>
    <row r="27" spans="1:1" ht="15.75" customHeight="1">
      <c r="A27" s="6"/>
    </row>
    <row r="28" spans="1:1" ht="15.75" customHeight="1">
      <c r="A28" s="6"/>
    </row>
    <row r="29" spans="1:1" ht="15.75" customHeight="1">
      <c r="A29" s="6"/>
    </row>
    <row r="30" spans="1:1" ht="15.75" customHeight="1">
      <c r="A30" s="6"/>
    </row>
    <row r="31" spans="1:1" ht="15.75" customHeight="1">
      <c r="A31" s="6"/>
    </row>
    <row r="32" spans="1:1" ht="15.75" customHeight="1">
      <c r="A32" s="6"/>
    </row>
    <row r="33" spans="1:1" ht="15.75" customHeight="1">
      <c r="A33" s="6"/>
    </row>
    <row r="34" spans="1:1" ht="15.75" customHeight="1">
      <c r="A34" s="6"/>
    </row>
    <row r="35" spans="1:1" ht="15.75" customHeight="1">
      <c r="A35" s="6"/>
    </row>
    <row r="36" spans="1:1" ht="15.75" customHeight="1">
      <c r="A36" s="6"/>
    </row>
    <row r="37" spans="1:1" ht="15.75" customHeight="1">
      <c r="A37" s="6"/>
    </row>
    <row r="38" spans="1:1" ht="15.75" customHeight="1">
      <c r="A38" s="6"/>
    </row>
    <row r="39" spans="1:1" ht="15.75" customHeight="1">
      <c r="A39" s="6"/>
    </row>
    <row r="40" spans="1:1" ht="15.75" customHeight="1">
      <c r="A40" s="6"/>
    </row>
    <row r="41" spans="1:1" ht="15.75" customHeight="1">
      <c r="A41" s="6"/>
    </row>
    <row r="42" spans="1:1" ht="15.75" customHeight="1">
      <c r="A42" s="6"/>
    </row>
    <row r="43" spans="1:1" ht="15.75" customHeight="1">
      <c r="A43" s="6"/>
    </row>
    <row r="44" spans="1:1" ht="15.75" customHeight="1">
      <c r="A44" s="6"/>
    </row>
    <row r="45" spans="1:1" ht="15.75" customHeight="1">
      <c r="A45" s="6"/>
    </row>
    <row r="46" spans="1:1" ht="15.75" customHeight="1">
      <c r="A46" s="6"/>
    </row>
    <row r="47" spans="1:1" ht="15.75" customHeight="1">
      <c r="A47" s="6"/>
    </row>
    <row r="48" spans="1:1" ht="15.75" customHeight="1">
      <c r="A48" s="6"/>
    </row>
    <row r="49" spans="1:1" ht="15.75" customHeight="1">
      <c r="A49" s="6"/>
    </row>
    <row r="50" spans="1:1" ht="15.75" customHeight="1">
      <c r="A50" s="6"/>
    </row>
    <row r="51" spans="1:1" ht="15.75" customHeight="1">
      <c r="A51" s="6"/>
    </row>
    <row r="52" spans="1:1" ht="15.75" customHeight="1">
      <c r="A52" s="6"/>
    </row>
    <row r="53" spans="1:1" ht="15.75" customHeight="1">
      <c r="A53" s="6"/>
    </row>
    <row r="54" spans="1:1" ht="15.75" customHeight="1">
      <c r="A54" s="6"/>
    </row>
    <row r="55" spans="1:1" ht="15.75" customHeight="1">
      <c r="A55" s="6"/>
    </row>
    <row r="56" spans="1:1" ht="15.75" customHeight="1">
      <c r="A56" s="6"/>
    </row>
    <row r="57" spans="1:1" ht="15.75" customHeight="1">
      <c r="A57" s="6"/>
    </row>
    <row r="58" spans="1:1" ht="15.75" customHeight="1">
      <c r="A58" s="6"/>
    </row>
    <row r="59" spans="1:1" ht="15.75" customHeight="1">
      <c r="A59" s="6"/>
    </row>
    <row r="60" spans="1:1" ht="15.75" customHeight="1">
      <c r="A60" s="6"/>
    </row>
    <row r="61" spans="1:1" ht="15.75" customHeight="1">
      <c r="A61" s="6"/>
    </row>
    <row r="62" spans="1:1" ht="15.75" customHeight="1">
      <c r="A62" s="6"/>
    </row>
    <row r="63" spans="1:1" ht="15.75" customHeight="1">
      <c r="A63" s="6"/>
    </row>
    <row r="64" spans="1:1" ht="15.75" customHeight="1">
      <c r="A64" s="6"/>
    </row>
    <row r="65" spans="1:1" ht="15.75" customHeight="1">
      <c r="A65" s="6"/>
    </row>
    <row r="66" spans="1:1" ht="15.75" customHeight="1">
      <c r="A66" s="6"/>
    </row>
    <row r="67" spans="1:1" ht="15.75" customHeight="1">
      <c r="A67" s="6"/>
    </row>
    <row r="68" spans="1:1" ht="15.75" customHeight="1">
      <c r="A68" s="6"/>
    </row>
    <row r="69" spans="1:1" ht="15.75" customHeight="1">
      <c r="A69" s="6"/>
    </row>
    <row r="70" spans="1:1" ht="15.75" customHeight="1">
      <c r="A70" s="6"/>
    </row>
    <row r="71" spans="1:1" ht="15.75" customHeight="1">
      <c r="A71" s="6"/>
    </row>
    <row r="72" spans="1:1" ht="15.75" customHeight="1">
      <c r="A72" s="6"/>
    </row>
    <row r="73" spans="1:1" ht="15.75" customHeight="1">
      <c r="A73" s="6"/>
    </row>
    <row r="74" spans="1:1" ht="15.75" customHeight="1">
      <c r="A74" s="6"/>
    </row>
    <row r="75" spans="1:1" ht="15.75" customHeight="1">
      <c r="A75" s="6"/>
    </row>
    <row r="76" spans="1:1" ht="15.75" customHeight="1">
      <c r="A76" s="6"/>
    </row>
    <row r="77" spans="1:1" ht="15.75" customHeight="1">
      <c r="A77" s="6"/>
    </row>
    <row r="78" spans="1:1" ht="15.75" customHeight="1">
      <c r="A78" s="6"/>
    </row>
    <row r="79" spans="1:1" ht="15.75" customHeight="1">
      <c r="A79" s="6"/>
    </row>
    <row r="80" spans="1:1" ht="15.75" customHeight="1">
      <c r="A80" s="6"/>
    </row>
    <row r="81" spans="1:1" ht="15.75" customHeight="1">
      <c r="A81" s="6"/>
    </row>
    <row r="82" spans="1:1" ht="15.75" customHeight="1">
      <c r="A82" s="6"/>
    </row>
    <row r="83" spans="1:1" ht="15.75" customHeight="1">
      <c r="A83" s="6"/>
    </row>
    <row r="84" spans="1:1" ht="15.75" customHeight="1">
      <c r="A84" s="6"/>
    </row>
    <row r="85" spans="1:1" ht="15.75" customHeight="1">
      <c r="A85" s="6"/>
    </row>
    <row r="86" spans="1:1" ht="15.75" customHeight="1">
      <c r="A86" s="6"/>
    </row>
    <row r="87" spans="1:1" ht="15.75" customHeight="1">
      <c r="A87" s="6"/>
    </row>
    <row r="88" spans="1:1" ht="15.75" customHeight="1">
      <c r="A88" s="6"/>
    </row>
    <row r="89" spans="1:1" ht="15.75" customHeight="1">
      <c r="A89" s="6"/>
    </row>
    <row r="90" spans="1:1" ht="15.75" customHeight="1">
      <c r="A90" s="6"/>
    </row>
    <row r="91" spans="1:1" ht="15.75" customHeight="1">
      <c r="A91" s="6"/>
    </row>
    <row r="92" spans="1:1" ht="15.75" customHeight="1">
      <c r="A92" s="6"/>
    </row>
    <row r="93" spans="1:1" ht="15.75" customHeight="1">
      <c r="A93" s="6"/>
    </row>
    <row r="94" spans="1:1" ht="15.75" customHeight="1">
      <c r="A94" s="6"/>
    </row>
    <row r="95" spans="1:1" ht="15.75" customHeight="1">
      <c r="A95" s="6"/>
    </row>
    <row r="96" spans="1:1" ht="15.75" customHeight="1">
      <c r="A96" s="6"/>
    </row>
    <row r="97" spans="1:1" ht="15.75" customHeight="1">
      <c r="A97" s="6"/>
    </row>
    <row r="98" spans="1:1" ht="15.75" customHeight="1">
      <c r="A98" s="6"/>
    </row>
    <row r="99" spans="1:1" ht="15.75" customHeight="1">
      <c r="A99" s="6"/>
    </row>
    <row r="100" spans="1:1" ht="15.75" customHeight="1">
      <c r="A100" s="6"/>
    </row>
    <row r="101" spans="1:1" ht="15.75" customHeight="1">
      <c r="A101" s="6"/>
    </row>
    <row r="102" spans="1:1" ht="15.75" customHeight="1">
      <c r="A102" s="6"/>
    </row>
    <row r="103" spans="1:1" ht="15.75" customHeight="1">
      <c r="A103" s="6"/>
    </row>
    <row r="104" spans="1:1" ht="15.75" customHeight="1">
      <c r="A104" s="6"/>
    </row>
    <row r="105" spans="1:1" ht="15.75" customHeight="1">
      <c r="A105" s="6"/>
    </row>
    <row r="106" spans="1:1" ht="15.75" customHeight="1">
      <c r="A106" s="6"/>
    </row>
    <row r="107" spans="1:1" ht="15.75" customHeight="1">
      <c r="A107" s="6"/>
    </row>
    <row r="108" spans="1:1" ht="15.75" customHeight="1">
      <c r="A108" s="6"/>
    </row>
    <row r="109" spans="1:1" ht="15.75" customHeight="1">
      <c r="A109" s="6"/>
    </row>
    <row r="110" spans="1:1" ht="15.75" customHeight="1">
      <c r="A110" s="6"/>
    </row>
    <row r="111" spans="1:1" ht="15.75" customHeight="1">
      <c r="A111" s="6"/>
    </row>
    <row r="112" spans="1:1" ht="15.75" customHeight="1">
      <c r="A112" s="6"/>
    </row>
    <row r="113" spans="1:1" ht="15.75" customHeight="1">
      <c r="A113" s="6"/>
    </row>
    <row r="114" spans="1:1" ht="15.75" customHeight="1">
      <c r="A114" s="6"/>
    </row>
    <row r="115" spans="1:1" ht="15.75" customHeight="1">
      <c r="A115" s="6"/>
    </row>
    <row r="116" spans="1:1" ht="15.75" customHeight="1">
      <c r="A116" s="6"/>
    </row>
    <row r="117" spans="1:1" ht="15.75" customHeight="1">
      <c r="A117" s="6"/>
    </row>
    <row r="118" spans="1:1" ht="15.75" customHeight="1">
      <c r="A118" s="6"/>
    </row>
    <row r="119" spans="1:1" ht="15.75" customHeight="1">
      <c r="A119" s="6"/>
    </row>
    <row r="120" spans="1:1" ht="15.75" customHeight="1">
      <c r="A120" s="6"/>
    </row>
    <row r="121" spans="1:1" ht="15.75" customHeight="1">
      <c r="A121" s="6"/>
    </row>
    <row r="122" spans="1:1" ht="15.75" customHeight="1">
      <c r="A122" s="6"/>
    </row>
    <row r="123" spans="1:1" ht="15.75" customHeight="1">
      <c r="A123" s="6"/>
    </row>
    <row r="124" spans="1:1" ht="15.75" customHeight="1">
      <c r="A124" s="6"/>
    </row>
    <row r="125" spans="1:1" ht="15.75" customHeight="1">
      <c r="A125" s="6"/>
    </row>
    <row r="126" spans="1:1" ht="15.75" customHeight="1">
      <c r="A126" s="6"/>
    </row>
    <row r="127" spans="1:1" ht="15.75" customHeight="1">
      <c r="A127" s="6"/>
    </row>
    <row r="128" spans="1:1" ht="15.75" customHeight="1">
      <c r="A128" s="6"/>
    </row>
    <row r="129" spans="1:1" ht="15.75" customHeight="1">
      <c r="A129" s="6"/>
    </row>
    <row r="130" spans="1:1" ht="15.75" customHeight="1">
      <c r="A130" s="6"/>
    </row>
    <row r="131" spans="1:1" ht="15.75" customHeight="1">
      <c r="A131" s="6"/>
    </row>
    <row r="132" spans="1:1" ht="15.75" customHeight="1">
      <c r="A132" s="6"/>
    </row>
    <row r="133" spans="1:1" ht="15.75" customHeight="1">
      <c r="A133" s="6"/>
    </row>
    <row r="134" spans="1:1" ht="15.75" customHeight="1">
      <c r="A134" s="6"/>
    </row>
    <row r="135" spans="1:1" ht="15.75" customHeight="1">
      <c r="A135" s="6"/>
    </row>
    <row r="136" spans="1:1" ht="15.75" customHeight="1">
      <c r="A136" s="6"/>
    </row>
    <row r="137" spans="1:1" ht="15.75" customHeight="1">
      <c r="A137" s="6"/>
    </row>
    <row r="138" spans="1:1" ht="15.75" customHeight="1">
      <c r="A138" s="6"/>
    </row>
    <row r="139" spans="1:1" ht="15.75" customHeight="1">
      <c r="A139" s="6"/>
    </row>
    <row r="140" spans="1:1" ht="15.75" customHeight="1">
      <c r="A140" s="6"/>
    </row>
    <row r="141" spans="1:1" ht="15.75" customHeight="1">
      <c r="A141" s="6"/>
    </row>
    <row r="142" spans="1:1" ht="15.75" customHeight="1">
      <c r="A142" s="6"/>
    </row>
    <row r="143" spans="1:1" ht="15.75" customHeight="1">
      <c r="A143" s="6"/>
    </row>
    <row r="144" spans="1:1" ht="15.75" customHeight="1">
      <c r="A144" s="6"/>
    </row>
    <row r="145" spans="1:1" ht="15.75" customHeight="1">
      <c r="A145" s="6"/>
    </row>
    <row r="146" spans="1:1" ht="15.75" customHeight="1">
      <c r="A146" s="6"/>
    </row>
    <row r="147" spans="1:1" ht="15.75" customHeight="1">
      <c r="A147" s="6"/>
    </row>
    <row r="148" spans="1:1" ht="15.75" customHeight="1">
      <c r="A148" s="6"/>
    </row>
    <row r="149" spans="1:1" ht="15.75" customHeight="1">
      <c r="A149" s="6"/>
    </row>
    <row r="150" spans="1:1" ht="15.75" customHeight="1">
      <c r="A150" s="6"/>
    </row>
    <row r="151" spans="1:1" ht="15.75" customHeight="1">
      <c r="A151" s="6"/>
    </row>
    <row r="152" spans="1:1" ht="15.75" customHeight="1">
      <c r="A152" s="6"/>
    </row>
    <row r="153" spans="1:1" ht="15.75" customHeight="1">
      <c r="A153" s="6"/>
    </row>
    <row r="154" spans="1:1" ht="15.75" customHeight="1">
      <c r="A154" s="6"/>
    </row>
    <row r="155" spans="1:1" ht="15.75" customHeight="1">
      <c r="A155" s="6"/>
    </row>
    <row r="156" spans="1:1" ht="15.75" customHeight="1">
      <c r="A156" s="6"/>
    </row>
    <row r="157" spans="1:1" ht="15.75" customHeight="1">
      <c r="A157" s="6"/>
    </row>
    <row r="158" spans="1:1" ht="15.75" customHeight="1">
      <c r="A158" s="6"/>
    </row>
    <row r="159" spans="1:1" ht="15.75" customHeight="1">
      <c r="A159" s="6"/>
    </row>
    <row r="160" spans="1:1" ht="15.75" customHeight="1">
      <c r="A160" s="6"/>
    </row>
    <row r="161" spans="1:1" ht="15.75" customHeight="1">
      <c r="A161" s="6"/>
    </row>
    <row r="162" spans="1:1" ht="15.75" customHeight="1">
      <c r="A162" s="6"/>
    </row>
    <row r="163" spans="1:1" ht="15.75" customHeight="1">
      <c r="A163" s="6"/>
    </row>
    <row r="164" spans="1:1" ht="15.75" customHeight="1">
      <c r="A164" s="6"/>
    </row>
    <row r="165" spans="1:1" ht="15.75" customHeight="1">
      <c r="A165" s="6"/>
    </row>
    <row r="166" spans="1:1" ht="15.75" customHeight="1">
      <c r="A166" s="6"/>
    </row>
    <row r="167" spans="1:1" ht="15.75" customHeight="1">
      <c r="A167" s="6"/>
    </row>
    <row r="168" spans="1:1" ht="15.75" customHeight="1">
      <c r="A168" s="6"/>
    </row>
    <row r="169" spans="1:1" ht="15.75" customHeight="1">
      <c r="A169" s="6"/>
    </row>
    <row r="170" spans="1:1" ht="15.75" customHeight="1">
      <c r="A170" s="6"/>
    </row>
    <row r="171" spans="1:1" ht="15.75" customHeight="1">
      <c r="A171" s="6"/>
    </row>
    <row r="172" spans="1:1" ht="15.75" customHeight="1">
      <c r="A172" s="6"/>
    </row>
    <row r="173" spans="1:1" ht="15.75" customHeight="1">
      <c r="A173" s="6"/>
    </row>
    <row r="174" spans="1:1" ht="15.75" customHeight="1">
      <c r="A174" s="6"/>
    </row>
    <row r="175" spans="1:1" ht="15.75" customHeight="1">
      <c r="A175" s="6"/>
    </row>
    <row r="176" spans="1:1" ht="15.75" customHeight="1">
      <c r="A176" s="6"/>
    </row>
    <row r="177" spans="1:1" ht="15.75" customHeight="1">
      <c r="A177" s="6"/>
    </row>
    <row r="178" spans="1:1" ht="15.75" customHeight="1">
      <c r="A178" s="6"/>
    </row>
    <row r="179" spans="1:1" ht="15.75" customHeight="1">
      <c r="A179" s="6"/>
    </row>
    <row r="180" spans="1:1" ht="15.75" customHeight="1">
      <c r="A180" s="6"/>
    </row>
    <row r="181" spans="1:1" ht="15.75" customHeight="1">
      <c r="A181" s="6"/>
    </row>
    <row r="182" spans="1:1" ht="15.75" customHeight="1">
      <c r="A182" s="6"/>
    </row>
    <row r="183" spans="1:1" ht="15.75" customHeight="1">
      <c r="A183" s="6"/>
    </row>
    <row r="184" spans="1:1" ht="15.75" customHeight="1">
      <c r="A184" s="6"/>
    </row>
    <row r="185" spans="1:1" ht="15.75" customHeight="1">
      <c r="A185" s="6"/>
    </row>
    <row r="186" spans="1:1" ht="15.75" customHeight="1">
      <c r="A186" s="6"/>
    </row>
    <row r="187" spans="1:1" ht="15.75" customHeight="1">
      <c r="A187" s="6"/>
    </row>
    <row r="188" spans="1:1" ht="15.75" customHeight="1">
      <c r="A188" s="6"/>
    </row>
    <row r="189" spans="1:1" ht="15.75" customHeight="1">
      <c r="A189" s="6"/>
    </row>
    <row r="190" spans="1:1" ht="15.75" customHeight="1">
      <c r="A190" s="6"/>
    </row>
    <row r="191" spans="1:1" ht="15.75" customHeight="1">
      <c r="A191" s="6"/>
    </row>
    <row r="192" spans="1:1" ht="15.75" customHeight="1">
      <c r="A192" s="6"/>
    </row>
    <row r="193" spans="1:1" ht="15.75" customHeight="1">
      <c r="A193" s="6"/>
    </row>
    <row r="194" spans="1:1" ht="15.75" customHeight="1">
      <c r="A194" s="6"/>
    </row>
    <row r="195" spans="1:1" ht="15.75" customHeight="1">
      <c r="A195" s="6"/>
    </row>
    <row r="196" spans="1:1" ht="15.75" customHeight="1">
      <c r="A196" s="6"/>
    </row>
    <row r="197" spans="1:1" ht="15.75" customHeight="1">
      <c r="A197" s="6"/>
    </row>
    <row r="198" spans="1:1" ht="15.75" customHeight="1">
      <c r="A198" s="6"/>
    </row>
    <row r="199" spans="1:1" ht="15.75" customHeight="1">
      <c r="A199" s="6"/>
    </row>
    <row r="200" spans="1:1" ht="15.75" customHeight="1">
      <c r="A200" s="6"/>
    </row>
    <row r="201" spans="1:1" ht="15.75" customHeight="1">
      <c r="A201" s="6"/>
    </row>
    <row r="202" spans="1:1" ht="15.75" customHeight="1">
      <c r="A202" s="6"/>
    </row>
    <row r="203" spans="1:1" ht="15.75" customHeight="1">
      <c r="A203" s="6"/>
    </row>
    <row r="204" spans="1:1" ht="15.75" customHeight="1">
      <c r="A204" s="6"/>
    </row>
    <row r="205" spans="1:1" ht="15.75" customHeight="1">
      <c r="A205" s="6"/>
    </row>
    <row r="206" spans="1:1" ht="15.75" customHeight="1">
      <c r="A206" s="6"/>
    </row>
    <row r="207" spans="1:1" ht="15.75" customHeight="1">
      <c r="A207" s="6"/>
    </row>
    <row r="208" spans="1:1" ht="15.75" customHeight="1">
      <c r="A208" s="6"/>
    </row>
    <row r="209" spans="1:1" ht="15.75" customHeight="1">
      <c r="A209" s="6"/>
    </row>
    <row r="210" spans="1:1" ht="15.75" customHeight="1">
      <c r="A210" s="6"/>
    </row>
    <row r="211" spans="1:1" ht="15.75" customHeight="1">
      <c r="A211" s="6"/>
    </row>
    <row r="212" spans="1:1" ht="15.75" customHeight="1">
      <c r="A212" s="6"/>
    </row>
    <row r="213" spans="1:1" ht="15.75" customHeight="1">
      <c r="A213" s="6"/>
    </row>
    <row r="214" spans="1:1" ht="15.75" customHeight="1">
      <c r="A214" s="6"/>
    </row>
    <row r="215" spans="1:1" ht="15.75" customHeight="1">
      <c r="A215" s="6"/>
    </row>
    <row r="216" spans="1:1" ht="15.75" customHeight="1">
      <c r="A216" s="6"/>
    </row>
    <row r="217" spans="1:1" ht="15.75" customHeight="1">
      <c r="A217" s="6"/>
    </row>
    <row r="218" spans="1:1" ht="15.75" customHeight="1">
      <c r="A218" s="6"/>
    </row>
    <row r="219" spans="1:1" ht="15.75" customHeight="1">
      <c r="A219" s="6"/>
    </row>
    <row r="220" spans="1:1" ht="15.75" customHeight="1">
      <c r="A220" s="6"/>
    </row>
    <row r="221" spans="1:1" ht="15.75" customHeight="1">
      <c r="A221" s="6"/>
    </row>
    <row r="222" spans="1:1" ht="15.75" customHeight="1">
      <c r="A222" s="6"/>
    </row>
    <row r="223" spans="1:1" ht="15.75" customHeight="1">
      <c r="A223" s="6"/>
    </row>
    <row r="224" spans="1:1" ht="15.75" customHeight="1">
      <c r="A224" s="6"/>
    </row>
    <row r="225" spans="1:1" ht="15.75" customHeight="1">
      <c r="A225" s="6"/>
    </row>
    <row r="226" spans="1:1" ht="15.75" customHeight="1">
      <c r="A226" s="6"/>
    </row>
    <row r="227" spans="1:1" ht="15.75" customHeight="1">
      <c r="A227" s="6"/>
    </row>
    <row r="228" spans="1:1" ht="15.75" customHeight="1">
      <c r="A228" s="6"/>
    </row>
    <row r="229" spans="1:1" ht="15.75" customHeight="1">
      <c r="A229" s="6"/>
    </row>
    <row r="230" spans="1:1" ht="15.75" customHeight="1">
      <c r="A230" s="6"/>
    </row>
    <row r="231" spans="1:1" ht="15.75" customHeight="1">
      <c r="A231" s="6"/>
    </row>
    <row r="232" spans="1:1" ht="15.75" customHeight="1">
      <c r="A232" s="6"/>
    </row>
    <row r="233" spans="1:1" ht="15.75" customHeight="1">
      <c r="A233" s="6"/>
    </row>
    <row r="234" spans="1:1" ht="15.75" customHeight="1">
      <c r="A234" s="6"/>
    </row>
    <row r="235" spans="1:1" ht="15.75" customHeight="1">
      <c r="A235" s="6"/>
    </row>
    <row r="236" spans="1:1" ht="15.75" customHeight="1">
      <c r="A236" s="6"/>
    </row>
    <row r="237" spans="1:1" ht="15.75" customHeight="1">
      <c r="A237" s="6"/>
    </row>
    <row r="238" spans="1:1" ht="15.75" customHeight="1">
      <c r="A238" s="6"/>
    </row>
    <row r="239" spans="1:1" ht="15.75" customHeight="1">
      <c r="A239" s="6"/>
    </row>
    <row r="240" spans="1:1" ht="15.75" customHeight="1">
      <c r="A240" s="6"/>
    </row>
    <row r="241" spans="1:1" ht="15.75" customHeight="1">
      <c r="A241" s="6"/>
    </row>
    <row r="242" spans="1:1" ht="15.75" customHeight="1">
      <c r="A242" s="6"/>
    </row>
    <row r="243" spans="1:1" ht="15.75" customHeight="1">
      <c r="A243" s="6"/>
    </row>
    <row r="244" spans="1:1" ht="15.75" customHeight="1">
      <c r="A244" s="6"/>
    </row>
    <row r="245" spans="1:1" ht="15.75" customHeight="1">
      <c r="A245" s="6"/>
    </row>
    <row r="246" spans="1:1" ht="15.75" customHeight="1">
      <c r="A246" s="6"/>
    </row>
    <row r="247" spans="1:1" ht="15.75" customHeight="1">
      <c r="A247" s="6"/>
    </row>
    <row r="248" spans="1:1" ht="15.75" customHeight="1">
      <c r="A248" s="6"/>
    </row>
    <row r="249" spans="1:1" ht="15.75" customHeight="1">
      <c r="A249" s="6"/>
    </row>
    <row r="250" spans="1:1" ht="15.75" customHeight="1">
      <c r="A250" s="6"/>
    </row>
    <row r="251" spans="1:1" ht="15.75" customHeight="1">
      <c r="A251" s="6"/>
    </row>
    <row r="252" spans="1:1" ht="15.75" customHeight="1">
      <c r="A252" s="6"/>
    </row>
    <row r="253" spans="1:1" ht="15.75" customHeight="1">
      <c r="A253" s="6"/>
    </row>
    <row r="254" spans="1:1" ht="15.75" customHeight="1">
      <c r="A254" s="6"/>
    </row>
    <row r="255" spans="1:1" ht="15.75" customHeight="1">
      <c r="A255" s="6"/>
    </row>
    <row r="256" spans="1:1" ht="15.75" customHeight="1">
      <c r="A256" s="6"/>
    </row>
    <row r="257" spans="1:1" ht="15.75" customHeight="1">
      <c r="A257" s="6"/>
    </row>
    <row r="258" spans="1:1" ht="15.75" customHeight="1">
      <c r="A258" s="6"/>
    </row>
    <row r="259" spans="1:1" ht="15.75" customHeight="1">
      <c r="A259" s="6"/>
    </row>
    <row r="260" spans="1:1" ht="15.75" customHeight="1">
      <c r="A260" s="6"/>
    </row>
    <row r="261" spans="1:1" ht="15.75" customHeight="1">
      <c r="A261" s="6"/>
    </row>
    <row r="262" spans="1:1" ht="15.75" customHeight="1">
      <c r="A262" s="6"/>
    </row>
    <row r="263" spans="1:1" ht="15.75" customHeight="1">
      <c r="A263" s="6"/>
    </row>
    <row r="264" spans="1:1" ht="15.75" customHeight="1">
      <c r="A264" s="6"/>
    </row>
    <row r="265" spans="1:1" ht="15.75" customHeight="1">
      <c r="A265" s="6"/>
    </row>
    <row r="266" spans="1:1" ht="15.75" customHeight="1">
      <c r="A266" s="6"/>
    </row>
    <row r="267" spans="1:1" ht="15.75" customHeight="1">
      <c r="A267" s="6"/>
    </row>
    <row r="268" spans="1:1" ht="15.75" customHeight="1">
      <c r="A268" s="6"/>
    </row>
    <row r="269" spans="1:1" ht="15.75" customHeight="1">
      <c r="A269" s="6"/>
    </row>
    <row r="270" spans="1:1" ht="15.75" customHeight="1">
      <c r="A270" s="6"/>
    </row>
    <row r="271" spans="1:1" ht="15.75" customHeight="1">
      <c r="A271" s="6"/>
    </row>
    <row r="272" spans="1:1" ht="15.75" customHeight="1">
      <c r="A272" s="6"/>
    </row>
    <row r="273" spans="1:1" ht="15.75" customHeight="1">
      <c r="A273" s="6"/>
    </row>
    <row r="274" spans="1:1" ht="15.75" customHeight="1">
      <c r="A274" s="6"/>
    </row>
    <row r="275" spans="1:1" ht="15.75" customHeight="1">
      <c r="A275" s="6"/>
    </row>
    <row r="276" spans="1:1" ht="15.75" customHeight="1">
      <c r="A276" s="6"/>
    </row>
    <row r="277" spans="1:1" ht="15.75" customHeight="1">
      <c r="A277" s="6"/>
    </row>
    <row r="278" spans="1:1" ht="15.75" customHeight="1">
      <c r="A278" s="6"/>
    </row>
    <row r="279" spans="1:1" ht="15.75" customHeight="1">
      <c r="A279" s="6"/>
    </row>
    <row r="280" spans="1:1" ht="15.75" customHeight="1">
      <c r="A280" s="6"/>
    </row>
    <row r="281" spans="1:1" ht="15.75" customHeight="1">
      <c r="A281" s="6"/>
    </row>
    <row r="282" spans="1:1" ht="15.75" customHeight="1">
      <c r="A282" s="6"/>
    </row>
    <row r="283" spans="1:1" ht="15.75" customHeight="1">
      <c r="A283" s="6"/>
    </row>
    <row r="284" spans="1:1" ht="15.75" customHeight="1">
      <c r="A284" s="6"/>
    </row>
    <row r="285" spans="1:1" ht="15.75" customHeight="1">
      <c r="A285" s="6"/>
    </row>
    <row r="286" spans="1:1" ht="15.75" customHeight="1">
      <c r="A286" s="6"/>
    </row>
    <row r="287" spans="1:1" ht="15.75" customHeight="1">
      <c r="A287" s="6"/>
    </row>
    <row r="288" spans="1:1" ht="15.75" customHeight="1">
      <c r="A288" s="6"/>
    </row>
    <row r="289" spans="1:1" ht="15.75" customHeight="1">
      <c r="A289" s="6"/>
    </row>
    <row r="290" spans="1:1" ht="15.75" customHeight="1">
      <c r="A290" s="6"/>
    </row>
    <row r="291" spans="1:1" ht="15.75" customHeight="1">
      <c r="A291" s="6"/>
    </row>
    <row r="292" spans="1:1" ht="15.75" customHeight="1">
      <c r="A292" s="6"/>
    </row>
    <row r="293" spans="1:1" ht="15.75" customHeight="1">
      <c r="A293" s="6"/>
    </row>
    <row r="294" spans="1:1" ht="15.75" customHeight="1">
      <c r="A294" s="6"/>
    </row>
    <row r="295" spans="1:1" ht="15.75" customHeight="1">
      <c r="A295" s="6"/>
    </row>
    <row r="296" spans="1:1" ht="15.75" customHeight="1">
      <c r="A296" s="6"/>
    </row>
    <row r="297" spans="1:1" ht="15.75" customHeight="1">
      <c r="A297" s="6"/>
    </row>
    <row r="298" spans="1:1" ht="15.75" customHeight="1">
      <c r="A298" s="6"/>
    </row>
    <row r="299" spans="1:1" ht="15.75" customHeight="1">
      <c r="A299" s="6"/>
    </row>
    <row r="300" spans="1:1" ht="15.75" customHeight="1">
      <c r="A300" s="6"/>
    </row>
    <row r="301" spans="1:1" ht="15.75" customHeight="1">
      <c r="A301" s="6"/>
    </row>
    <row r="302" spans="1:1" ht="15.75" customHeight="1">
      <c r="A302" s="6"/>
    </row>
    <row r="303" spans="1:1" ht="15.75" customHeight="1">
      <c r="A303" s="6"/>
    </row>
    <row r="304" spans="1:1" ht="15.75" customHeight="1">
      <c r="A304" s="6"/>
    </row>
    <row r="305" spans="1:1" ht="15.75" customHeight="1">
      <c r="A305" s="6"/>
    </row>
    <row r="306" spans="1:1" ht="15.75" customHeight="1">
      <c r="A306" s="6"/>
    </row>
    <row r="307" spans="1:1" ht="15.75" customHeight="1">
      <c r="A307" s="6"/>
    </row>
    <row r="308" spans="1:1" ht="15.75" customHeight="1">
      <c r="A308" s="6"/>
    </row>
    <row r="309" spans="1:1" ht="15.75" customHeight="1">
      <c r="A309" s="6"/>
    </row>
    <row r="310" spans="1:1" ht="15.75" customHeight="1">
      <c r="A310" s="6"/>
    </row>
    <row r="311" spans="1:1" ht="15.75" customHeight="1">
      <c r="A311" s="6"/>
    </row>
    <row r="312" spans="1:1" ht="15.75" customHeight="1">
      <c r="A312" s="6"/>
    </row>
    <row r="313" spans="1:1" ht="15.75" customHeight="1">
      <c r="A313" s="6"/>
    </row>
    <row r="314" spans="1:1" ht="15.75" customHeight="1">
      <c r="A314" s="6"/>
    </row>
    <row r="315" spans="1:1" ht="15.75" customHeight="1">
      <c r="A315" s="6"/>
    </row>
    <row r="316" spans="1:1" ht="15.75" customHeight="1">
      <c r="A316" s="6"/>
    </row>
    <row r="317" spans="1:1" ht="15.75" customHeight="1">
      <c r="A317" s="6"/>
    </row>
    <row r="318" spans="1:1" ht="15.75" customHeight="1">
      <c r="A318" s="6"/>
    </row>
    <row r="319" spans="1:1" ht="15.75" customHeight="1">
      <c r="A319" s="6"/>
    </row>
    <row r="320" spans="1:1" ht="15.75" customHeight="1">
      <c r="A320" s="6"/>
    </row>
    <row r="321" spans="1:1" ht="15.75" customHeight="1">
      <c r="A321" s="6"/>
    </row>
    <row r="322" spans="1:1" ht="15.75" customHeight="1">
      <c r="A322" s="6"/>
    </row>
    <row r="323" spans="1:1" ht="15.75" customHeight="1">
      <c r="A323" s="6"/>
    </row>
    <row r="324" spans="1:1" ht="15.75" customHeight="1">
      <c r="A324" s="6"/>
    </row>
    <row r="325" spans="1:1" ht="15.75" customHeight="1">
      <c r="A325" s="6"/>
    </row>
    <row r="326" spans="1:1" ht="15.75" customHeight="1">
      <c r="A326" s="6"/>
    </row>
    <row r="327" spans="1:1" ht="15.75" customHeight="1">
      <c r="A327" s="6"/>
    </row>
    <row r="328" spans="1:1" ht="15.75" customHeight="1">
      <c r="A328" s="6"/>
    </row>
    <row r="329" spans="1:1" ht="15.75" customHeight="1">
      <c r="A329" s="6"/>
    </row>
    <row r="330" spans="1:1" ht="15.75" customHeight="1">
      <c r="A330" s="6"/>
    </row>
    <row r="331" spans="1:1" ht="15.75" customHeight="1">
      <c r="A331" s="6"/>
    </row>
    <row r="332" spans="1:1" ht="15.75" customHeight="1">
      <c r="A332" s="6"/>
    </row>
    <row r="333" spans="1:1" ht="15.75" customHeight="1">
      <c r="A333" s="6"/>
    </row>
    <row r="334" spans="1:1" ht="15.75" customHeight="1">
      <c r="A334" s="6"/>
    </row>
    <row r="335" spans="1:1" ht="15.75" customHeight="1">
      <c r="A335" s="6"/>
    </row>
    <row r="336" spans="1:1" ht="15.75" customHeight="1">
      <c r="A336" s="6"/>
    </row>
    <row r="337" spans="1:1" ht="15.75" customHeight="1">
      <c r="A337" s="6"/>
    </row>
    <row r="338" spans="1:1" ht="15.75" customHeight="1">
      <c r="A338" s="6"/>
    </row>
    <row r="339" spans="1:1" ht="15.75" customHeight="1">
      <c r="A339" s="6"/>
    </row>
    <row r="340" spans="1:1" ht="15.75" customHeight="1">
      <c r="A340" s="6"/>
    </row>
    <row r="341" spans="1:1" ht="15.75" customHeight="1">
      <c r="A341" s="6"/>
    </row>
    <row r="342" spans="1:1" ht="15.75" customHeight="1">
      <c r="A342" s="6"/>
    </row>
    <row r="343" spans="1:1" ht="15.75" customHeight="1">
      <c r="A343" s="6"/>
    </row>
    <row r="344" spans="1:1" ht="15.75" customHeight="1">
      <c r="A344" s="6"/>
    </row>
    <row r="345" spans="1:1" ht="15.75" customHeight="1">
      <c r="A345" s="6"/>
    </row>
    <row r="346" spans="1:1" ht="15.75" customHeight="1">
      <c r="A346" s="6"/>
    </row>
    <row r="347" spans="1:1" ht="15.75" customHeight="1">
      <c r="A347" s="6"/>
    </row>
    <row r="348" spans="1:1" ht="15.75" customHeight="1">
      <c r="A348" s="6"/>
    </row>
    <row r="349" spans="1:1" ht="15.75" customHeight="1">
      <c r="A349" s="6"/>
    </row>
    <row r="350" spans="1:1" ht="15.75" customHeight="1">
      <c r="A350" s="6"/>
    </row>
    <row r="351" spans="1:1" ht="15.75" customHeight="1">
      <c r="A351" s="6"/>
    </row>
    <row r="352" spans="1:1" ht="15.75" customHeight="1">
      <c r="A352" s="6"/>
    </row>
    <row r="353" spans="1:1" ht="15.75" customHeight="1">
      <c r="A353" s="6"/>
    </row>
    <row r="354" spans="1:1" ht="15.75" customHeight="1">
      <c r="A354" s="6"/>
    </row>
    <row r="355" spans="1:1" ht="15.75" customHeight="1">
      <c r="A355" s="6"/>
    </row>
    <row r="356" spans="1:1" ht="15.75" customHeight="1">
      <c r="A356" s="6"/>
    </row>
    <row r="357" spans="1:1" ht="15.75" customHeight="1">
      <c r="A357" s="6"/>
    </row>
    <row r="358" spans="1:1" ht="15.75" customHeight="1">
      <c r="A358" s="6"/>
    </row>
    <row r="359" spans="1:1" ht="15.75" customHeight="1">
      <c r="A359" s="6"/>
    </row>
    <row r="360" spans="1:1" ht="15.75" customHeight="1">
      <c r="A360" s="6"/>
    </row>
    <row r="361" spans="1:1" ht="15.75" customHeight="1">
      <c r="A361" s="6"/>
    </row>
    <row r="362" spans="1:1" ht="15.75" customHeight="1">
      <c r="A362" s="6"/>
    </row>
    <row r="363" spans="1:1" ht="15.75" customHeight="1">
      <c r="A363" s="6"/>
    </row>
    <row r="364" spans="1:1" ht="15.75" customHeight="1">
      <c r="A364" s="6"/>
    </row>
    <row r="365" spans="1:1" ht="15.75" customHeight="1">
      <c r="A365" s="6"/>
    </row>
    <row r="366" spans="1:1" ht="15.75" customHeight="1">
      <c r="A366" s="6"/>
    </row>
    <row r="367" spans="1:1" ht="15.75" customHeight="1">
      <c r="A367" s="6"/>
    </row>
    <row r="368" spans="1:1" ht="15.75" customHeight="1">
      <c r="A368" s="6"/>
    </row>
    <row r="369" spans="1:1" ht="15.75" customHeight="1">
      <c r="A369" s="6"/>
    </row>
    <row r="370" spans="1:1" ht="15.75" customHeight="1">
      <c r="A370" s="6"/>
    </row>
    <row r="371" spans="1:1" ht="15.75" customHeight="1">
      <c r="A371" s="6"/>
    </row>
    <row r="372" spans="1:1" ht="15.75" customHeight="1">
      <c r="A372" s="6"/>
    </row>
    <row r="373" spans="1:1" ht="15.75" customHeight="1">
      <c r="A373" s="6"/>
    </row>
    <row r="374" spans="1:1" ht="15.75" customHeight="1">
      <c r="A374" s="6"/>
    </row>
    <row r="375" spans="1:1" ht="15.75" customHeight="1">
      <c r="A375" s="6"/>
    </row>
    <row r="376" spans="1:1" ht="15.75" customHeight="1">
      <c r="A376" s="6"/>
    </row>
    <row r="377" spans="1:1" ht="15.75" customHeight="1">
      <c r="A377" s="6"/>
    </row>
    <row r="378" spans="1:1" ht="15.75" customHeight="1">
      <c r="A378" s="6"/>
    </row>
    <row r="379" spans="1:1" ht="15.75" customHeight="1">
      <c r="A379" s="6"/>
    </row>
    <row r="380" spans="1:1" ht="15.75" customHeight="1">
      <c r="A380" s="6"/>
    </row>
    <row r="381" spans="1:1" ht="15.75" customHeight="1">
      <c r="A381" s="6"/>
    </row>
    <row r="382" spans="1:1" ht="15.75" customHeight="1">
      <c r="A382" s="6"/>
    </row>
    <row r="383" spans="1:1" ht="15.75" customHeight="1">
      <c r="A383" s="6"/>
    </row>
    <row r="384" spans="1:1" ht="15.75" customHeight="1">
      <c r="A384" s="6"/>
    </row>
    <row r="385" spans="1:1" ht="15.75" customHeight="1">
      <c r="A385" s="6"/>
    </row>
    <row r="386" spans="1:1" ht="15.75" customHeight="1">
      <c r="A386" s="6"/>
    </row>
    <row r="387" spans="1:1" ht="15.75" customHeight="1">
      <c r="A387" s="6"/>
    </row>
    <row r="388" spans="1:1" ht="15.75" customHeight="1">
      <c r="A388" s="6"/>
    </row>
    <row r="389" spans="1:1" ht="15.75" customHeight="1">
      <c r="A389" s="6"/>
    </row>
    <row r="390" spans="1:1" ht="15.75" customHeight="1">
      <c r="A390" s="6"/>
    </row>
    <row r="391" spans="1:1" ht="15.75" customHeight="1">
      <c r="A391" s="6"/>
    </row>
    <row r="392" spans="1:1" ht="15.75" customHeight="1">
      <c r="A392" s="6"/>
    </row>
    <row r="393" spans="1:1" ht="15.75" customHeight="1">
      <c r="A393" s="6"/>
    </row>
    <row r="394" spans="1:1" ht="15.75" customHeight="1">
      <c r="A394" s="6"/>
    </row>
    <row r="395" spans="1:1" ht="15.75" customHeight="1">
      <c r="A395" s="6"/>
    </row>
    <row r="396" spans="1:1" ht="15.75" customHeight="1">
      <c r="A396" s="6"/>
    </row>
    <row r="397" spans="1:1" ht="15.75" customHeight="1">
      <c r="A397" s="6"/>
    </row>
    <row r="398" spans="1:1" ht="15.75" customHeight="1">
      <c r="A398" s="6"/>
    </row>
    <row r="399" spans="1:1" ht="15.75" customHeight="1">
      <c r="A399" s="6"/>
    </row>
    <row r="400" spans="1:1" ht="15.75" customHeight="1">
      <c r="A400" s="6"/>
    </row>
    <row r="401" spans="1:1" ht="15.75" customHeight="1">
      <c r="A401" s="6"/>
    </row>
    <row r="402" spans="1:1" ht="15.75" customHeight="1">
      <c r="A402" s="6"/>
    </row>
    <row r="403" spans="1:1" ht="15.75" customHeight="1">
      <c r="A403" s="6"/>
    </row>
    <row r="404" spans="1:1" ht="15.75" customHeight="1">
      <c r="A404" s="6"/>
    </row>
    <row r="405" spans="1:1" ht="15.75" customHeight="1">
      <c r="A405" s="6"/>
    </row>
    <row r="406" spans="1:1" ht="15.75" customHeight="1">
      <c r="A406" s="6"/>
    </row>
    <row r="407" spans="1:1" ht="15.75" customHeight="1">
      <c r="A407" s="6"/>
    </row>
    <row r="408" spans="1:1" ht="15.75" customHeight="1">
      <c r="A408" s="6"/>
    </row>
    <row r="409" spans="1:1" ht="15.75" customHeight="1">
      <c r="A409" s="6"/>
    </row>
    <row r="410" spans="1:1" ht="15.75" customHeight="1">
      <c r="A410" s="6"/>
    </row>
    <row r="411" spans="1:1" ht="15.75" customHeight="1">
      <c r="A411" s="6"/>
    </row>
    <row r="412" spans="1:1" ht="15.75" customHeight="1">
      <c r="A412" s="6"/>
    </row>
    <row r="413" spans="1:1" ht="15.75" customHeight="1">
      <c r="A413" s="6"/>
    </row>
    <row r="414" spans="1:1" ht="15.75" customHeight="1">
      <c r="A414" s="6"/>
    </row>
    <row r="415" spans="1:1" ht="15.75" customHeight="1">
      <c r="A415" s="6"/>
    </row>
    <row r="416" spans="1:1" ht="15.75" customHeight="1">
      <c r="A416" s="6"/>
    </row>
    <row r="417" spans="1:1" ht="15.75" customHeight="1">
      <c r="A417" s="6"/>
    </row>
    <row r="418" spans="1:1" ht="15.75" customHeight="1">
      <c r="A418" s="6"/>
    </row>
    <row r="419" spans="1:1" ht="15.75" customHeight="1">
      <c r="A419" s="6"/>
    </row>
    <row r="420" spans="1:1" ht="15.75" customHeight="1">
      <c r="A420" s="6"/>
    </row>
    <row r="421" spans="1:1" ht="15.75" customHeight="1">
      <c r="A421" s="6"/>
    </row>
    <row r="422" spans="1:1" ht="15.75" customHeight="1">
      <c r="A422" s="6"/>
    </row>
    <row r="423" spans="1:1" ht="15.75" customHeight="1">
      <c r="A423" s="6"/>
    </row>
    <row r="424" spans="1:1" ht="15.75" customHeight="1">
      <c r="A424" s="6"/>
    </row>
    <row r="425" spans="1:1" ht="15.75" customHeight="1">
      <c r="A425" s="6"/>
    </row>
    <row r="426" spans="1:1" ht="15.75" customHeight="1">
      <c r="A426" s="6"/>
    </row>
    <row r="427" spans="1:1" ht="15.75" customHeight="1">
      <c r="A427" s="6"/>
    </row>
    <row r="428" spans="1:1" ht="15.75" customHeight="1">
      <c r="A428" s="6"/>
    </row>
    <row r="429" spans="1:1" ht="15.75" customHeight="1">
      <c r="A429" s="6"/>
    </row>
    <row r="430" spans="1:1" ht="15.75" customHeight="1">
      <c r="A430" s="6"/>
    </row>
    <row r="431" spans="1:1" ht="15.75" customHeight="1">
      <c r="A431" s="6"/>
    </row>
    <row r="432" spans="1:1" ht="15.75" customHeight="1">
      <c r="A432" s="6"/>
    </row>
    <row r="433" spans="1:1" ht="15.75" customHeight="1">
      <c r="A433" s="6"/>
    </row>
    <row r="434" spans="1:1" ht="15.75" customHeight="1">
      <c r="A434" s="6"/>
    </row>
    <row r="435" spans="1:1" ht="15.75" customHeight="1">
      <c r="A435" s="6"/>
    </row>
    <row r="436" spans="1:1" ht="15.75" customHeight="1">
      <c r="A436" s="6"/>
    </row>
    <row r="437" spans="1:1" ht="15.75" customHeight="1">
      <c r="A437" s="6"/>
    </row>
    <row r="438" spans="1:1" ht="15.75" customHeight="1">
      <c r="A438" s="6"/>
    </row>
    <row r="439" spans="1:1" ht="15.75" customHeight="1">
      <c r="A439" s="6"/>
    </row>
    <row r="440" spans="1:1" ht="15.75" customHeight="1">
      <c r="A440" s="6"/>
    </row>
    <row r="441" spans="1:1" ht="15.75" customHeight="1">
      <c r="A441" s="6"/>
    </row>
    <row r="442" spans="1:1" ht="15.75" customHeight="1">
      <c r="A442" s="6"/>
    </row>
    <row r="443" spans="1:1" ht="15.75" customHeight="1">
      <c r="A443" s="6"/>
    </row>
    <row r="444" spans="1:1" ht="15.75" customHeight="1">
      <c r="A444" s="6"/>
    </row>
    <row r="445" spans="1:1" ht="15.75" customHeight="1">
      <c r="A445" s="6"/>
    </row>
    <row r="446" spans="1:1" ht="15.75" customHeight="1">
      <c r="A446" s="6"/>
    </row>
    <row r="447" spans="1:1" ht="15.75" customHeight="1">
      <c r="A447" s="6"/>
    </row>
    <row r="448" spans="1:1" ht="15.75" customHeight="1">
      <c r="A448" s="6"/>
    </row>
    <row r="449" spans="1:1" ht="15.75" customHeight="1">
      <c r="A449" s="6"/>
    </row>
    <row r="450" spans="1:1" ht="15.75" customHeight="1">
      <c r="A450" s="6"/>
    </row>
    <row r="451" spans="1:1" ht="15.75" customHeight="1">
      <c r="A451" s="6"/>
    </row>
    <row r="452" spans="1:1" ht="15.75" customHeight="1">
      <c r="A452" s="6"/>
    </row>
    <row r="453" spans="1:1" ht="15.75" customHeight="1">
      <c r="A453" s="6"/>
    </row>
    <row r="454" spans="1:1" ht="15.75" customHeight="1">
      <c r="A454" s="6"/>
    </row>
    <row r="455" spans="1:1" ht="15.75" customHeight="1">
      <c r="A455" s="6"/>
    </row>
    <row r="456" spans="1:1" ht="15.75" customHeight="1">
      <c r="A456" s="6"/>
    </row>
    <row r="457" spans="1:1" ht="15.75" customHeight="1">
      <c r="A457" s="6"/>
    </row>
    <row r="458" spans="1:1" ht="15.75" customHeight="1">
      <c r="A458" s="6"/>
    </row>
    <row r="459" spans="1:1" ht="15.75" customHeight="1">
      <c r="A459" s="6"/>
    </row>
    <row r="460" spans="1:1" ht="15.75" customHeight="1">
      <c r="A460" s="6"/>
    </row>
    <row r="461" spans="1:1" ht="15.75" customHeight="1">
      <c r="A461" s="6"/>
    </row>
    <row r="462" spans="1:1" ht="15.75" customHeight="1">
      <c r="A462" s="6"/>
    </row>
    <row r="463" spans="1:1" ht="15.75" customHeight="1">
      <c r="A463" s="6"/>
    </row>
    <row r="464" spans="1:1" ht="15.75" customHeight="1">
      <c r="A464" s="6"/>
    </row>
    <row r="465" spans="1:1" ht="15.75" customHeight="1">
      <c r="A465" s="6"/>
    </row>
    <row r="466" spans="1:1" ht="15.75" customHeight="1">
      <c r="A466" s="6"/>
    </row>
    <row r="467" spans="1:1" ht="15.75" customHeight="1">
      <c r="A467" s="6"/>
    </row>
    <row r="468" spans="1:1" ht="15.75" customHeight="1">
      <c r="A468" s="6"/>
    </row>
    <row r="469" spans="1:1" ht="15.75" customHeight="1">
      <c r="A469" s="6"/>
    </row>
    <row r="470" spans="1:1" ht="15.75" customHeight="1">
      <c r="A470" s="6"/>
    </row>
    <row r="471" spans="1:1" ht="15.75" customHeight="1">
      <c r="A471" s="6"/>
    </row>
    <row r="472" spans="1:1" ht="15.75" customHeight="1">
      <c r="A472" s="6"/>
    </row>
    <row r="473" spans="1:1" ht="15.75" customHeight="1">
      <c r="A473" s="6"/>
    </row>
    <row r="474" spans="1:1" ht="15.75" customHeight="1">
      <c r="A474" s="6"/>
    </row>
    <row r="475" spans="1:1" ht="15.75" customHeight="1">
      <c r="A475" s="6"/>
    </row>
    <row r="476" spans="1:1" ht="15.75" customHeight="1">
      <c r="A476" s="6"/>
    </row>
    <row r="477" spans="1:1" ht="15.75" customHeight="1">
      <c r="A477" s="6"/>
    </row>
    <row r="478" spans="1:1" ht="15.75" customHeight="1">
      <c r="A478" s="6"/>
    </row>
    <row r="479" spans="1:1" ht="15.75" customHeight="1">
      <c r="A479" s="6"/>
    </row>
    <row r="480" spans="1:1" ht="15.75" customHeight="1">
      <c r="A480" s="6"/>
    </row>
    <row r="481" spans="1:1" ht="15.75" customHeight="1">
      <c r="A481" s="6"/>
    </row>
    <row r="482" spans="1:1" ht="15.75" customHeight="1">
      <c r="A482" s="6"/>
    </row>
    <row r="483" spans="1:1" ht="15.75" customHeight="1">
      <c r="A483" s="6"/>
    </row>
    <row r="484" spans="1:1" ht="15.75" customHeight="1">
      <c r="A484" s="6"/>
    </row>
    <row r="485" spans="1:1" ht="15.75" customHeight="1">
      <c r="A485" s="6"/>
    </row>
    <row r="486" spans="1:1" ht="15.75" customHeight="1">
      <c r="A486" s="6"/>
    </row>
    <row r="487" spans="1:1" ht="15.75" customHeight="1">
      <c r="A487" s="6"/>
    </row>
    <row r="488" spans="1:1" ht="15.75" customHeight="1">
      <c r="A488" s="6"/>
    </row>
    <row r="489" spans="1:1" ht="15.75" customHeight="1">
      <c r="A489" s="6"/>
    </row>
    <row r="490" spans="1:1" ht="15.75" customHeight="1">
      <c r="A490" s="6"/>
    </row>
    <row r="491" spans="1:1" ht="15.75" customHeight="1">
      <c r="A491" s="6"/>
    </row>
    <row r="492" spans="1:1" ht="15.75" customHeight="1">
      <c r="A492" s="6"/>
    </row>
    <row r="493" spans="1:1" ht="15.75" customHeight="1">
      <c r="A493" s="6"/>
    </row>
    <row r="494" spans="1:1" ht="15.75" customHeight="1">
      <c r="A494" s="6"/>
    </row>
    <row r="495" spans="1:1" ht="15.75" customHeight="1">
      <c r="A495" s="6"/>
    </row>
    <row r="496" spans="1:1" ht="15.75" customHeight="1">
      <c r="A496" s="6"/>
    </row>
    <row r="497" spans="1:1" ht="15.75" customHeight="1">
      <c r="A497" s="6"/>
    </row>
    <row r="498" spans="1:1" ht="15.75" customHeight="1">
      <c r="A498" s="6"/>
    </row>
    <row r="499" spans="1:1" ht="15.75" customHeight="1">
      <c r="A499" s="6"/>
    </row>
    <row r="500" spans="1:1" ht="15.75" customHeight="1">
      <c r="A500" s="6"/>
    </row>
    <row r="501" spans="1:1" ht="15.75" customHeight="1">
      <c r="A501" s="6"/>
    </row>
    <row r="502" spans="1:1" ht="15.75" customHeight="1">
      <c r="A502" s="6"/>
    </row>
    <row r="503" spans="1:1" ht="15.75" customHeight="1">
      <c r="A503" s="6"/>
    </row>
    <row r="504" spans="1:1" ht="15.75" customHeight="1">
      <c r="A504" s="6"/>
    </row>
    <row r="505" spans="1:1" ht="15.75" customHeight="1">
      <c r="A505" s="6"/>
    </row>
    <row r="506" spans="1:1" ht="15.75" customHeight="1">
      <c r="A506" s="6"/>
    </row>
    <row r="507" spans="1:1" ht="15.75" customHeight="1">
      <c r="A507" s="6"/>
    </row>
    <row r="508" spans="1:1" ht="15.75" customHeight="1">
      <c r="A508" s="6"/>
    </row>
    <row r="509" spans="1:1" ht="15.75" customHeight="1">
      <c r="A509" s="6"/>
    </row>
    <row r="510" spans="1:1" ht="15.75" customHeight="1">
      <c r="A510" s="6"/>
    </row>
    <row r="511" spans="1:1" ht="15.75" customHeight="1">
      <c r="A511" s="6"/>
    </row>
    <row r="512" spans="1:1" ht="15.75" customHeight="1">
      <c r="A512" s="6"/>
    </row>
    <row r="513" spans="1:1" ht="15.75" customHeight="1">
      <c r="A513" s="6"/>
    </row>
    <row r="514" spans="1:1" ht="15.75" customHeight="1">
      <c r="A514" s="6"/>
    </row>
    <row r="515" spans="1:1" ht="15.75" customHeight="1">
      <c r="A515" s="6"/>
    </row>
    <row r="516" spans="1:1" ht="15.75" customHeight="1">
      <c r="A516" s="6"/>
    </row>
    <row r="517" spans="1:1" ht="15.75" customHeight="1">
      <c r="A517" s="6"/>
    </row>
    <row r="518" spans="1:1" ht="15.75" customHeight="1">
      <c r="A518" s="6"/>
    </row>
    <row r="519" spans="1:1" ht="15.75" customHeight="1">
      <c r="A519" s="6"/>
    </row>
    <row r="520" spans="1:1" ht="15.75" customHeight="1">
      <c r="A520" s="6"/>
    </row>
    <row r="521" spans="1:1" ht="15.75" customHeight="1">
      <c r="A521" s="6"/>
    </row>
    <row r="522" spans="1:1" ht="15.75" customHeight="1">
      <c r="A522" s="6"/>
    </row>
    <row r="523" spans="1:1" ht="15.75" customHeight="1">
      <c r="A523" s="6"/>
    </row>
    <row r="524" spans="1:1" ht="15.75" customHeight="1">
      <c r="A524" s="6"/>
    </row>
    <row r="525" spans="1:1" ht="15.75" customHeight="1">
      <c r="A525" s="6"/>
    </row>
    <row r="526" spans="1:1" ht="15.75" customHeight="1">
      <c r="A526" s="6"/>
    </row>
    <row r="527" spans="1:1" ht="15.75" customHeight="1">
      <c r="A527" s="6"/>
    </row>
    <row r="528" spans="1:1" ht="15.75" customHeight="1">
      <c r="A528" s="6"/>
    </row>
    <row r="529" spans="1:1" ht="15.75" customHeight="1">
      <c r="A529" s="6"/>
    </row>
    <row r="530" spans="1:1" ht="15.75" customHeight="1">
      <c r="A530" s="6"/>
    </row>
    <row r="531" spans="1:1" ht="15.75" customHeight="1">
      <c r="A531" s="6"/>
    </row>
    <row r="532" spans="1:1" ht="15.75" customHeight="1">
      <c r="A532" s="6"/>
    </row>
    <row r="533" spans="1:1" ht="15.75" customHeight="1">
      <c r="A533" s="6"/>
    </row>
    <row r="534" spans="1:1" ht="15.75" customHeight="1">
      <c r="A534" s="6"/>
    </row>
    <row r="535" spans="1:1" ht="15.75" customHeight="1">
      <c r="A535" s="6"/>
    </row>
    <row r="536" spans="1:1" ht="15.75" customHeight="1">
      <c r="A536" s="6"/>
    </row>
    <row r="537" spans="1:1" ht="15.75" customHeight="1">
      <c r="A537" s="6"/>
    </row>
    <row r="538" spans="1:1" ht="15.75" customHeight="1">
      <c r="A538" s="6"/>
    </row>
    <row r="539" spans="1:1" ht="15.75" customHeight="1">
      <c r="A539" s="6"/>
    </row>
    <row r="540" spans="1:1" ht="15.75" customHeight="1">
      <c r="A540" s="6"/>
    </row>
    <row r="541" spans="1:1" ht="15.75" customHeight="1">
      <c r="A541" s="6"/>
    </row>
    <row r="542" spans="1:1" ht="15.75" customHeight="1">
      <c r="A542" s="6"/>
    </row>
    <row r="543" spans="1:1" ht="15.75" customHeight="1">
      <c r="A543" s="6"/>
    </row>
    <row r="544" spans="1:1" ht="15.75" customHeight="1">
      <c r="A544" s="6"/>
    </row>
    <row r="545" spans="1:1" ht="15.75" customHeight="1">
      <c r="A545" s="6"/>
    </row>
    <row r="546" spans="1:1" ht="15.75" customHeight="1">
      <c r="A546" s="6"/>
    </row>
    <row r="547" spans="1:1" ht="15.75" customHeight="1">
      <c r="A547" s="6"/>
    </row>
    <row r="548" spans="1:1" ht="15.75" customHeight="1">
      <c r="A548" s="6"/>
    </row>
    <row r="549" spans="1:1" ht="15.75" customHeight="1">
      <c r="A549" s="6"/>
    </row>
    <row r="550" spans="1:1" ht="15.75" customHeight="1">
      <c r="A550" s="6"/>
    </row>
    <row r="551" spans="1:1" ht="15.75" customHeight="1">
      <c r="A551" s="6"/>
    </row>
    <row r="552" spans="1:1" ht="15.75" customHeight="1">
      <c r="A552" s="6"/>
    </row>
    <row r="553" spans="1:1" ht="15.75" customHeight="1">
      <c r="A553" s="6"/>
    </row>
    <row r="554" spans="1:1" ht="15.75" customHeight="1">
      <c r="A554" s="6"/>
    </row>
    <row r="555" spans="1:1" ht="15.75" customHeight="1">
      <c r="A555" s="6"/>
    </row>
    <row r="556" spans="1:1" ht="15.75" customHeight="1">
      <c r="A556" s="6"/>
    </row>
    <row r="557" spans="1:1" ht="15.75" customHeight="1">
      <c r="A557" s="6"/>
    </row>
    <row r="558" spans="1:1" ht="15.75" customHeight="1">
      <c r="A558" s="6"/>
    </row>
    <row r="559" spans="1:1" ht="15.75" customHeight="1">
      <c r="A559" s="6"/>
    </row>
    <row r="560" spans="1:1" ht="15.75" customHeight="1">
      <c r="A560" s="6"/>
    </row>
    <row r="561" spans="1:1" ht="15.75" customHeight="1">
      <c r="A561" s="6"/>
    </row>
    <row r="562" spans="1:1" ht="15.75" customHeight="1">
      <c r="A562" s="6"/>
    </row>
    <row r="563" spans="1:1" ht="15.75" customHeight="1">
      <c r="A563" s="6"/>
    </row>
    <row r="564" spans="1:1" ht="15.75" customHeight="1">
      <c r="A564" s="6"/>
    </row>
    <row r="565" spans="1:1" ht="15.75" customHeight="1">
      <c r="A565" s="6"/>
    </row>
    <row r="566" spans="1:1" ht="15.75" customHeight="1">
      <c r="A566" s="6"/>
    </row>
    <row r="567" spans="1:1" ht="15.75" customHeight="1">
      <c r="A567" s="6"/>
    </row>
    <row r="568" spans="1:1" ht="15.75" customHeight="1">
      <c r="A568" s="6"/>
    </row>
    <row r="569" spans="1:1" ht="15.75" customHeight="1">
      <c r="A569" s="6"/>
    </row>
    <row r="570" spans="1:1" ht="15.75" customHeight="1">
      <c r="A570" s="6"/>
    </row>
    <row r="571" spans="1:1" ht="15.75" customHeight="1">
      <c r="A571" s="6"/>
    </row>
    <row r="572" spans="1:1" ht="15.75" customHeight="1">
      <c r="A572" s="6"/>
    </row>
    <row r="573" spans="1:1" ht="15.75" customHeight="1">
      <c r="A573" s="6"/>
    </row>
    <row r="574" spans="1:1" ht="15.75" customHeight="1">
      <c r="A574" s="6"/>
    </row>
    <row r="575" spans="1:1" ht="15.75" customHeight="1">
      <c r="A575" s="6"/>
    </row>
    <row r="576" spans="1:1" ht="15.75" customHeight="1">
      <c r="A576" s="6"/>
    </row>
    <row r="577" spans="1:1" ht="15.75" customHeight="1">
      <c r="A577" s="6"/>
    </row>
    <row r="578" spans="1:1" ht="15.75" customHeight="1">
      <c r="A578" s="6"/>
    </row>
    <row r="579" spans="1:1" ht="15.75" customHeight="1">
      <c r="A579" s="6"/>
    </row>
    <row r="580" spans="1:1" ht="15.75" customHeight="1">
      <c r="A580" s="6"/>
    </row>
    <row r="581" spans="1:1" ht="15.75" customHeight="1">
      <c r="A581" s="6"/>
    </row>
    <row r="582" spans="1:1" ht="15.75" customHeight="1">
      <c r="A582" s="6"/>
    </row>
    <row r="583" spans="1:1" ht="15.75" customHeight="1">
      <c r="A583" s="6"/>
    </row>
    <row r="584" spans="1:1" ht="15.75" customHeight="1">
      <c r="A584" s="6"/>
    </row>
    <row r="585" spans="1:1" ht="15.75" customHeight="1">
      <c r="A585" s="6"/>
    </row>
    <row r="586" spans="1:1" ht="15.75" customHeight="1">
      <c r="A586" s="6"/>
    </row>
    <row r="587" spans="1:1" ht="15.75" customHeight="1">
      <c r="A587" s="6"/>
    </row>
    <row r="588" spans="1:1" ht="15.75" customHeight="1">
      <c r="A588" s="6"/>
    </row>
    <row r="589" spans="1:1" ht="15.75" customHeight="1">
      <c r="A589" s="6"/>
    </row>
    <row r="590" spans="1:1" ht="15.75" customHeight="1">
      <c r="A590" s="6"/>
    </row>
    <row r="591" spans="1:1" ht="15.75" customHeight="1">
      <c r="A591" s="6"/>
    </row>
    <row r="592" spans="1:1" ht="15.75" customHeight="1">
      <c r="A592" s="6"/>
    </row>
    <row r="593" spans="1:1" ht="15.75" customHeight="1">
      <c r="A593" s="6"/>
    </row>
    <row r="594" spans="1:1" ht="15.75" customHeight="1">
      <c r="A594" s="6"/>
    </row>
    <row r="595" spans="1:1" ht="15.75" customHeight="1">
      <c r="A595" s="6"/>
    </row>
    <row r="596" spans="1:1" ht="15.75" customHeight="1">
      <c r="A596" s="6"/>
    </row>
    <row r="597" spans="1:1" ht="15.75" customHeight="1">
      <c r="A597" s="6"/>
    </row>
    <row r="598" spans="1:1" ht="15.75" customHeight="1">
      <c r="A598" s="6"/>
    </row>
    <row r="599" spans="1:1" ht="15.75" customHeight="1">
      <c r="A599" s="6"/>
    </row>
    <row r="600" spans="1:1" ht="15.75" customHeight="1">
      <c r="A600" s="6"/>
    </row>
    <row r="601" spans="1:1" ht="15.75" customHeight="1">
      <c r="A601" s="6"/>
    </row>
    <row r="602" spans="1:1" ht="15.75" customHeight="1">
      <c r="A602" s="6"/>
    </row>
    <row r="603" spans="1:1" ht="15.75" customHeight="1">
      <c r="A603" s="6"/>
    </row>
    <row r="604" spans="1:1" ht="15.75" customHeight="1">
      <c r="A604" s="6"/>
    </row>
    <row r="605" spans="1:1" ht="15.75" customHeight="1">
      <c r="A605" s="6"/>
    </row>
    <row r="606" spans="1:1" ht="15.75" customHeight="1">
      <c r="A606" s="6"/>
    </row>
    <row r="607" spans="1:1" ht="15.75" customHeight="1">
      <c r="A607" s="6"/>
    </row>
    <row r="608" spans="1:1" ht="15.75" customHeight="1">
      <c r="A608" s="6"/>
    </row>
    <row r="609" spans="1:1" ht="15.75" customHeight="1">
      <c r="A609" s="6"/>
    </row>
    <row r="610" spans="1:1" ht="15.75" customHeight="1">
      <c r="A610" s="6"/>
    </row>
    <row r="611" spans="1:1" ht="15.75" customHeight="1">
      <c r="A611" s="6"/>
    </row>
    <row r="612" spans="1:1" ht="15.75" customHeight="1">
      <c r="A612" s="6"/>
    </row>
    <row r="613" spans="1:1" ht="15.75" customHeight="1">
      <c r="A613" s="6"/>
    </row>
    <row r="614" spans="1:1" ht="15.75" customHeight="1">
      <c r="A614" s="6"/>
    </row>
    <row r="615" spans="1:1" ht="15.75" customHeight="1">
      <c r="A615" s="6"/>
    </row>
    <row r="616" spans="1:1" ht="15.75" customHeight="1">
      <c r="A616" s="6"/>
    </row>
    <row r="617" spans="1:1" ht="15.75" customHeight="1">
      <c r="A617" s="6"/>
    </row>
    <row r="618" spans="1:1" ht="15.75" customHeight="1">
      <c r="A618" s="6"/>
    </row>
    <row r="619" spans="1:1" ht="15.75" customHeight="1">
      <c r="A619" s="6"/>
    </row>
    <row r="620" spans="1:1" ht="15.75" customHeight="1">
      <c r="A620" s="6"/>
    </row>
    <row r="621" spans="1:1" ht="15.75" customHeight="1">
      <c r="A621" s="6"/>
    </row>
    <row r="622" spans="1:1" ht="15.75" customHeight="1">
      <c r="A622" s="6"/>
    </row>
    <row r="623" spans="1:1" ht="15.75" customHeight="1">
      <c r="A623" s="6"/>
    </row>
    <row r="624" spans="1:1" ht="15.75" customHeight="1">
      <c r="A624" s="6"/>
    </row>
    <row r="625" spans="1:1" ht="15.75" customHeight="1">
      <c r="A625" s="6"/>
    </row>
    <row r="626" spans="1:1" ht="15.75" customHeight="1">
      <c r="A626" s="6"/>
    </row>
    <row r="627" spans="1:1" ht="15.75" customHeight="1">
      <c r="A627" s="6"/>
    </row>
    <row r="628" spans="1:1" ht="15.75" customHeight="1">
      <c r="A628" s="6"/>
    </row>
    <row r="629" spans="1:1" ht="15.75" customHeight="1">
      <c r="A629" s="6"/>
    </row>
    <row r="630" spans="1:1" ht="15.75" customHeight="1">
      <c r="A630" s="6"/>
    </row>
    <row r="631" spans="1:1" ht="15.75" customHeight="1">
      <c r="A631" s="6"/>
    </row>
    <row r="632" spans="1:1" ht="15.75" customHeight="1">
      <c r="A632" s="6"/>
    </row>
    <row r="633" spans="1:1" ht="15.75" customHeight="1">
      <c r="A633" s="6"/>
    </row>
    <row r="634" spans="1:1" ht="15.75" customHeight="1">
      <c r="A634" s="6"/>
    </row>
    <row r="635" spans="1:1" ht="15.75" customHeight="1">
      <c r="A635" s="6"/>
    </row>
    <row r="636" spans="1:1" ht="15.75" customHeight="1">
      <c r="A636" s="6"/>
    </row>
    <row r="637" spans="1:1" ht="15.75" customHeight="1">
      <c r="A637" s="6"/>
    </row>
    <row r="638" spans="1:1" ht="15.75" customHeight="1">
      <c r="A638" s="6"/>
    </row>
    <row r="639" spans="1:1" ht="15.75" customHeight="1">
      <c r="A639" s="6"/>
    </row>
    <row r="640" spans="1:1" ht="15.75" customHeight="1">
      <c r="A640" s="6"/>
    </row>
    <row r="641" spans="1:1" ht="15.75" customHeight="1">
      <c r="A641" s="6"/>
    </row>
    <row r="642" spans="1:1" ht="15.75" customHeight="1">
      <c r="A642" s="6"/>
    </row>
    <row r="643" spans="1:1" ht="15.75" customHeight="1">
      <c r="A643" s="6"/>
    </row>
    <row r="644" spans="1:1" ht="15.75" customHeight="1">
      <c r="A644" s="6"/>
    </row>
    <row r="645" spans="1:1" ht="15.75" customHeight="1">
      <c r="A645" s="6"/>
    </row>
    <row r="646" spans="1:1" ht="15.75" customHeight="1">
      <c r="A646" s="6"/>
    </row>
    <row r="647" spans="1:1" ht="15.75" customHeight="1">
      <c r="A647" s="6"/>
    </row>
    <row r="648" spans="1:1" ht="15.75" customHeight="1">
      <c r="A648" s="6"/>
    </row>
    <row r="649" spans="1:1" ht="15.75" customHeight="1">
      <c r="A649" s="6"/>
    </row>
    <row r="650" spans="1:1" ht="15.75" customHeight="1">
      <c r="A650" s="6"/>
    </row>
    <row r="651" spans="1:1" ht="15.75" customHeight="1">
      <c r="A651" s="6"/>
    </row>
    <row r="652" spans="1:1" ht="15.75" customHeight="1">
      <c r="A652" s="6"/>
    </row>
    <row r="653" spans="1:1" ht="15.75" customHeight="1">
      <c r="A653" s="6"/>
    </row>
    <row r="654" spans="1:1" ht="15.75" customHeight="1">
      <c r="A654" s="6"/>
    </row>
    <row r="655" spans="1:1" ht="15.75" customHeight="1">
      <c r="A655" s="6"/>
    </row>
    <row r="656" spans="1:1" ht="15.75" customHeight="1">
      <c r="A656" s="6"/>
    </row>
    <row r="657" spans="1:1" ht="15.75" customHeight="1">
      <c r="A657" s="6"/>
    </row>
    <row r="658" spans="1:1" ht="15.75" customHeight="1">
      <c r="A658" s="6"/>
    </row>
    <row r="659" spans="1:1" ht="15.75" customHeight="1">
      <c r="A659" s="6"/>
    </row>
    <row r="660" spans="1:1" ht="15.75" customHeight="1">
      <c r="A660" s="6"/>
    </row>
    <row r="661" spans="1:1" ht="15.75" customHeight="1">
      <c r="A661" s="6"/>
    </row>
    <row r="662" spans="1:1" ht="15.75" customHeight="1">
      <c r="A662" s="6"/>
    </row>
    <row r="663" spans="1:1" ht="15.75" customHeight="1">
      <c r="A663" s="6"/>
    </row>
    <row r="664" spans="1:1" ht="15.75" customHeight="1">
      <c r="A664" s="6"/>
    </row>
    <row r="665" spans="1:1" ht="15.75" customHeight="1">
      <c r="A665" s="6"/>
    </row>
    <row r="666" spans="1:1" ht="15.75" customHeight="1">
      <c r="A666" s="6"/>
    </row>
    <row r="667" spans="1:1" ht="15.75" customHeight="1">
      <c r="A667" s="6"/>
    </row>
    <row r="668" spans="1:1" ht="15.75" customHeight="1">
      <c r="A668" s="6"/>
    </row>
    <row r="669" spans="1:1" ht="15.75" customHeight="1">
      <c r="A669" s="6"/>
    </row>
    <row r="670" spans="1:1" ht="15.75" customHeight="1">
      <c r="A670" s="6"/>
    </row>
    <row r="671" spans="1:1" ht="15.75" customHeight="1">
      <c r="A671" s="6"/>
    </row>
    <row r="672" spans="1:1" ht="15.75" customHeight="1">
      <c r="A672" s="6"/>
    </row>
    <row r="673" spans="1:1" ht="15.75" customHeight="1">
      <c r="A673" s="6"/>
    </row>
    <row r="674" spans="1:1" ht="15.75" customHeight="1">
      <c r="A674" s="6"/>
    </row>
    <row r="675" spans="1:1" ht="15.75" customHeight="1">
      <c r="A675" s="6"/>
    </row>
    <row r="676" spans="1:1" ht="15.75" customHeight="1">
      <c r="A676" s="6"/>
    </row>
    <row r="677" spans="1:1" ht="15.75" customHeight="1">
      <c r="A677" s="6"/>
    </row>
    <row r="678" spans="1:1" ht="15.75" customHeight="1">
      <c r="A678" s="6"/>
    </row>
    <row r="679" spans="1:1" ht="15.75" customHeight="1">
      <c r="A679" s="6"/>
    </row>
    <row r="680" spans="1:1" ht="15.75" customHeight="1">
      <c r="A680" s="6"/>
    </row>
    <row r="681" spans="1:1" ht="15.75" customHeight="1">
      <c r="A681" s="6"/>
    </row>
    <row r="682" spans="1:1" ht="15.75" customHeight="1">
      <c r="A682" s="6"/>
    </row>
    <row r="683" spans="1:1" ht="15.75" customHeight="1">
      <c r="A683" s="6"/>
    </row>
    <row r="684" spans="1:1" ht="15.75" customHeight="1">
      <c r="A684" s="6"/>
    </row>
    <row r="685" spans="1:1" ht="15.75" customHeight="1">
      <c r="A685" s="6"/>
    </row>
    <row r="686" spans="1:1" ht="15.75" customHeight="1">
      <c r="A686" s="6"/>
    </row>
    <row r="687" spans="1:1" ht="15.75" customHeight="1">
      <c r="A687" s="6"/>
    </row>
    <row r="688" spans="1:1" ht="15.75" customHeight="1">
      <c r="A688" s="6"/>
    </row>
    <row r="689" spans="1:1" ht="15.75" customHeight="1">
      <c r="A689" s="6"/>
    </row>
    <row r="690" spans="1:1" ht="15.75" customHeight="1">
      <c r="A690" s="6"/>
    </row>
    <row r="691" spans="1:1" ht="15.75" customHeight="1">
      <c r="A691" s="6"/>
    </row>
    <row r="692" spans="1:1" ht="15.75" customHeight="1">
      <c r="A692" s="6"/>
    </row>
    <row r="693" spans="1:1" ht="15.75" customHeight="1">
      <c r="A693" s="6"/>
    </row>
    <row r="694" spans="1:1" ht="15.75" customHeight="1">
      <c r="A694" s="6"/>
    </row>
    <row r="695" spans="1:1" ht="15.75" customHeight="1">
      <c r="A695" s="6"/>
    </row>
    <row r="696" spans="1:1" ht="15.75" customHeight="1">
      <c r="A696" s="6"/>
    </row>
    <row r="697" spans="1:1" ht="15.75" customHeight="1">
      <c r="A697" s="6"/>
    </row>
    <row r="698" spans="1:1" ht="15.75" customHeight="1">
      <c r="A698" s="6"/>
    </row>
    <row r="699" spans="1:1" ht="15.75" customHeight="1">
      <c r="A699" s="6"/>
    </row>
    <row r="700" spans="1:1" ht="15.75" customHeight="1">
      <c r="A700" s="6"/>
    </row>
    <row r="701" spans="1:1" ht="15.75" customHeight="1">
      <c r="A701" s="6"/>
    </row>
    <row r="702" spans="1:1" ht="15.75" customHeight="1">
      <c r="A702" s="6"/>
    </row>
    <row r="703" spans="1:1" ht="15.75" customHeight="1">
      <c r="A703" s="6"/>
    </row>
    <row r="704" spans="1:1" ht="15.75" customHeight="1">
      <c r="A704" s="6"/>
    </row>
    <row r="705" spans="1:1" ht="15.75" customHeight="1">
      <c r="A705" s="6"/>
    </row>
    <row r="706" spans="1:1" ht="15.75" customHeight="1">
      <c r="A706" s="6"/>
    </row>
    <row r="707" spans="1:1" ht="15.75" customHeight="1">
      <c r="A707" s="6"/>
    </row>
    <row r="708" spans="1:1" ht="15.75" customHeight="1">
      <c r="A708" s="6"/>
    </row>
    <row r="709" spans="1:1" ht="15.75" customHeight="1">
      <c r="A709" s="6"/>
    </row>
    <row r="710" spans="1:1" ht="15.75" customHeight="1">
      <c r="A710" s="6"/>
    </row>
    <row r="711" spans="1:1" ht="15.75" customHeight="1">
      <c r="A711" s="6"/>
    </row>
    <row r="712" spans="1:1" ht="15.75" customHeight="1">
      <c r="A712" s="6"/>
    </row>
    <row r="713" spans="1:1" ht="15.75" customHeight="1">
      <c r="A713" s="6"/>
    </row>
    <row r="714" spans="1:1" ht="15.75" customHeight="1">
      <c r="A714" s="6"/>
    </row>
    <row r="715" spans="1:1" ht="15.75" customHeight="1">
      <c r="A715" s="6"/>
    </row>
    <row r="716" spans="1:1" ht="15.75" customHeight="1">
      <c r="A716" s="6"/>
    </row>
    <row r="717" spans="1:1" ht="15.75" customHeight="1">
      <c r="A717" s="6"/>
    </row>
    <row r="718" spans="1:1" ht="15.75" customHeight="1">
      <c r="A718" s="6"/>
    </row>
    <row r="719" spans="1:1" ht="15.75" customHeight="1">
      <c r="A719" s="6"/>
    </row>
    <row r="720" spans="1:1" ht="15.75" customHeight="1">
      <c r="A720" s="6"/>
    </row>
    <row r="721" spans="1:1" ht="15.75" customHeight="1">
      <c r="A721" s="6"/>
    </row>
    <row r="722" spans="1:1" ht="15.75" customHeight="1">
      <c r="A722" s="6"/>
    </row>
    <row r="723" spans="1:1" ht="15.75" customHeight="1">
      <c r="A723" s="6"/>
    </row>
    <row r="724" spans="1:1" ht="15.75" customHeight="1">
      <c r="A724" s="6"/>
    </row>
    <row r="725" spans="1:1" ht="15.75" customHeight="1">
      <c r="A725" s="6"/>
    </row>
    <row r="726" spans="1:1" ht="15.75" customHeight="1">
      <c r="A726" s="6"/>
    </row>
    <row r="727" spans="1:1" ht="15.75" customHeight="1">
      <c r="A727" s="6"/>
    </row>
    <row r="728" spans="1:1" ht="15.75" customHeight="1">
      <c r="A728" s="6"/>
    </row>
    <row r="729" spans="1:1" ht="15.75" customHeight="1">
      <c r="A729" s="6"/>
    </row>
    <row r="730" spans="1:1" ht="15.75" customHeight="1">
      <c r="A730" s="6"/>
    </row>
    <row r="731" spans="1:1" ht="15.75" customHeight="1">
      <c r="A731" s="6"/>
    </row>
    <row r="732" spans="1:1" ht="15.75" customHeight="1">
      <c r="A732" s="6"/>
    </row>
    <row r="733" spans="1:1" ht="15.75" customHeight="1">
      <c r="A733" s="6"/>
    </row>
    <row r="734" spans="1:1" ht="15.75" customHeight="1">
      <c r="A734" s="6"/>
    </row>
    <row r="735" spans="1:1" ht="15.75" customHeight="1">
      <c r="A735" s="6"/>
    </row>
    <row r="736" spans="1:1" ht="15.75" customHeight="1">
      <c r="A736" s="6"/>
    </row>
    <row r="737" spans="1:1" ht="15.75" customHeight="1">
      <c r="A737" s="6"/>
    </row>
    <row r="738" spans="1:1" ht="15.75" customHeight="1">
      <c r="A738" s="6"/>
    </row>
    <row r="739" spans="1:1" ht="15.75" customHeight="1">
      <c r="A739" s="6"/>
    </row>
    <row r="740" spans="1:1" ht="15.75" customHeight="1">
      <c r="A740" s="6"/>
    </row>
    <row r="741" spans="1:1" ht="15.75" customHeight="1">
      <c r="A741" s="6"/>
    </row>
    <row r="742" spans="1:1" ht="15.75" customHeight="1">
      <c r="A742" s="6"/>
    </row>
    <row r="743" spans="1:1" ht="15.75" customHeight="1">
      <c r="A743" s="6"/>
    </row>
    <row r="744" spans="1:1" ht="15.75" customHeight="1">
      <c r="A744" s="6"/>
    </row>
    <row r="745" spans="1:1" ht="15.75" customHeight="1">
      <c r="A745" s="6"/>
    </row>
    <row r="746" spans="1:1" ht="15.75" customHeight="1">
      <c r="A746" s="6"/>
    </row>
    <row r="747" spans="1:1" ht="15.75" customHeight="1">
      <c r="A747" s="6"/>
    </row>
    <row r="748" spans="1:1" ht="15.75" customHeight="1">
      <c r="A748" s="6"/>
    </row>
    <row r="749" spans="1:1" ht="15.75" customHeight="1">
      <c r="A749" s="6"/>
    </row>
    <row r="750" spans="1:1" ht="15.75" customHeight="1">
      <c r="A750" s="6"/>
    </row>
    <row r="751" spans="1:1" ht="15.75" customHeight="1">
      <c r="A751" s="6"/>
    </row>
    <row r="752" spans="1:1" ht="15.75" customHeight="1">
      <c r="A752" s="6"/>
    </row>
    <row r="753" spans="1:1" ht="15.75" customHeight="1">
      <c r="A753" s="6"/>
    </row>
    <row r="754" spans="1:1" ht="15.75" customHeight="1">
      <c r="A754" s="6"/>
    </row>
    <row r="755" spans="1:1" ht="15.75" customHeight="1">
      <c r="A755" s="6"/>
    </row>
    <row r="756" spans="1:1" ht="15.75" customHeight="1">
      <c r="A756" s="6"/>
    </row>
    <row r="757" spans="1:1" ht="15.75" customHeight="1">
      <c r="A757" s="6"/>
    </row>
    <row r="758" spans="1:1" ht="15.75" customHeight="1">
      <c r="A758" s="6"/>
    </row>
    <row r="759" spans="1:1" ht="15.75" customHeight="1">
      <c r="A759" s="6"/>
    </row>
    <row r="760" spans="1:1" ht="15.75" customHeight="1">
      <c r="A760" s="6"/>
    </row>
    <row r="761" spans="1:1" ht="15.75" customHeight="1">
      <c r="A761" s="6"/>
    </row>
    <row r="762" spans="1:1" ht="15.75" customHeight="1">
      <c r="A762" s="6"/>
    </row>
    <row r="763" spans="1:1" ht="15.75" customHeight="1">
      <c r="A763" s="6"/>
    </row>
    <row r="764" spans="1:1" ht="15.75" customHeight="1">
      <c r="A764" s="6"/>
    </row>
    <row r="765" spans="1:1" ht="15.75" customHeight="1">
      <c r="A765" s="6"/>
    </row>
    <row r="766" spans="1:1" ht="15.75" customHeight="1">
      <c r="A766" s="6"/>
    </row>
    <row r="767" spans="1:1" ht="15.75" customHeight="1">
      <c r="A767" s="6"/>
    </row>
    <row r="768" spans="1:1" ht="15.75" customHeight="1">
      <c r="A768" s="6"/>
    </row>
    <row r="769" spans="1:1" ht="15.75" customHeight="1">
      <c r="A769" s="6"/>
    </row>
    <row r="770" spans="1:1" ht="15.75" customHeight="1">
      <c r="A770" s="6"/>
    </row>
    <row r="771" spans="1:1" ht="15.75" customHeight="1">
      <c r="A771" s="6"/>
    </row>
    <row r="772" spans="1:1" ht="15.75" customHeight="1">
      <c r="A772" s="6"/>
    </row>
    <row r="773" spans="1:1" ht="15.75" customHeight="1">
      <c r="A773" s="6"/>
    </row>
    <row r="774" spans="1:1" ht="15.75" customHeight="1">
      <c r="A774" s="6"/>
    </row>
    <row r="775" spans="1:1" ht="15.75" customHeight="1">
      <c r="A775" s="6"/>
    </row>
    <row r="776" spans="1:1" ht="15.75" customHeight="1">
      <c r="A776" s="6"/>
    </row>
    <row r="777" spans="1:1" ht="15.75" customHeight="1">
      <c r="A777" s="6"/>
    </row>
    <row r="778" spans="1:1" ht="15.75" customHeight="1">
      <c r="A778" s="6"/>
    </row>
    <row r="779" spans="1:1" ht="15.75" customHeight="1">
      <c r="A779" s="6"/>
    </row>
    <row r="780" spans="1:1" ht="15.75" customHeight="1">
      <c r="A780" s="6"/>
    </row>
    <row r="781" spans="1:1" ht="15.75" customHeight="1">
      <c r="A781" s="6"/>
    </row>
    <row r="782" spans="1:1" ht="15.75" customHeight="1">
      <c r="A782" s="6"/>
    </row>
    <row r="783" spans="1:1" ht="15.75" customHeight="1">
      <c r="A783" s="6"/>
    </row>
    <row r="784" spans="1:1" ht="15.75" customHeight="1">
      <c r="A784" s="6"/>
    </row>
    <row r="785" spans="1:1" ht="15.75" customHeight="1">
      <c r="A785" s="6"/>
    </row>
    <row r="786" spans="1:1" ht="15.75" customHeight="1">
      <c r="A786" s="6"/>
    </row>
    <row r="787" spans="1:1" ht="15.75" customHeight="1">
      <c r="A787" s="6"/>
    </row>
    <row r="788" spans="1:1" ht="15.75" customHeight="1">
      <c r="A788" s="6"/>
    </row>
    <row r="789" spans="1:1" ht="15.75" customHeight="1">
      <c r="A789" s="6"/>
    </row>
    <row r="790" spans="1:1" ht="15.75" customHeight="1">
      <c r="A790" s="6"/>
    </row>
    <row r="791" spans="1:1" ht="15.75" customHeight="1">
      <c r="A791" s="6"/>
    </row>
    <row r="792" spans="1:1" ht="15.75" customHeight="1">
      <c r="A792" s="6"/>
    </row>
    <row r="793" spans="1:1" ht="15.75" customHeight="1">
      <c r="A793" s="6"/>
    </row>
    <row r="794" spans="1:1" ht="15.75" customHeight="1">
      <c r="A794" s="6"/>
    </row>
    <row r="795" spans="1:1" ht="15.75" customHeight="1">
      <c r="A795" s="6"/>
    </row>
    <row r="796" spans="1:1" ht="15.75" customHeight="1">
      <c r="A796" s="6"/>
    </row>
    <row r="797" spans="1:1" ht="15.75" customHeight="1">
      <c r="A797" s="6"/>
    </row>
    <row r="798" spans="1:1" ht="15.75" customHeight="1">
      <c r="A798" s="6"/>
    </row>
    <row r="799" spans="1:1" ht="15.75" customHeight="1">
      <c r="A799" s="6"/>
    </row>
    <row r="800" spans="1:1" ht="15.75" customHeight="1">
      <c r="A800" s="6"/>
    </row>
    <row r="801" spans="1:1" ht="15.75" customHeight="1">
      <c r="A801" s="6"/>
    </row>
    <row r="802" spans="1:1" ht="15.75" customHeight="1">
      <c r="A802" s="6"/>
    </row>
    <row r="803" spans="1:1" ht="15.75" customHeight="1">
      <c r="A803" s="6"/>
    </row>
    <row r="804" spans="1:1" ht="15.75" customHeight="1">
      <c r="A804" s="6"/>
    </row>
    <row r="805" spans="1:1" ht="15.75" customHeight="1">
      <c r="A805" s="6"/>
    </row>
    <row r="806" spans="1:1" ht="15.75" customHeight="1">
      <c r="A806" s="6"/>
    </row>
    <row r="807" spans="1:1" ht="15.75" customHeight="1">
      <c r="A807" s="6"/>
    </row>
    <row r="808" spans="1:1" ht="15.75" customHeight="1">
      <c r="A808" s="6"/>
    </row>
    <row r="809" spans="1:1" ht="15.75" customHeight="1">
      <c r="A809" s="6"/>
    </row>
    <row r="810" spans="1:1" ht="15.75" customHeight="1">
      <c r="A810" s="6"/>
    </row>
    <row r="811" spans="1:1" ht="15.75" customHeight="1">
      <c r="A811" s="6"/>
    </row>
    <row r="812" spans="1:1" ht="15.75" customHeight="1">
      <c r="A812" s="6"/>
    </row>
    <row r="813" spans="1:1" ht="15.75" customHeight="1">
      <c r="A813" s="6"/>
    </row>
    <row r="814" spans="1:1" ht="15.75" customHeight="1">
      <c r="A814" s="6"/>
    </row>
    <row r="815" spans="1:1" ht="15.75" customHeight="1">
      <c r="A815" s="6"/>
    </row>
    <row r="816" spans="1:1" ht="15.75" customHeight="1">
      <c r="A816" s="6"/>
    </row>
    <row r="817" spans="1:1" ht="15.75" customHeight="1">
      <c r="A817" s="6"/>
    </row>
    <row r="818" spans="1:1" ht="15.75" customHeight="1">
      <c r="A818" s="6"/>
    </row>
    <row r="819" spans="1:1" ht="15.75" customHeight="1">
      <c r="A819" s="6"/>
    </row>
    <row r="820" spans="1:1" ht="15.75" customHeight="1">
      <c r="A820" s="6"/>
    </row>
    <row r="821" spans="1:1" ht="15.75" customHeight="1">
      <c r="A821" s="6"/>
    </row>
    <row r="822" spans="1:1" ht="15.75" customHeight="1">
      <c r="A822" s="6"/>
    </row>
    <row r="823" spans="1:1" ht="15.75" customHeight="1">
      <c r="A823" s="6"/>
    </row>
    <row r="824" spans="1:1" ht="15.75" customHeight="1">
      <c r="A824" s="6"/>
    </row>
    <row r="825" spans="1:1" ht="15.75" customHeight="1">
      <c r="A825" s="6"/>
    </row>
    <row r="826" spans="1:1" ht="15.75" customHeight="1">
      <c r="A826" s="6"/>
    </row>
    <row r="827" spans="1:1" ht="15.75" customHeight="1">
      <c r="A827" s="6"/>
    </row>
    <row r="828" spans="1:1" ht="15.75" customHeight="1">
      <c r="A828" s="6"/>
    </row>
    <row r="829" spans="1:1" ht="15.75" customHeight="1">
      <c r="A829" s="6"/>
    </row>
    <row r="830" spans="1:1" ht="15.75" customHeight="1">
      <c r="A830" s="6"/>
    </row>
    <row r="831" spans="1:1" ht="15.75" customHeight="1">
      <c r="A831" s="6"/>
    </row>
    <row r="832" spans="1:1" ht="15.75" customHeight="1">
      <c r="A832" s="6"/>
    </row>
    <row r="833" spans="1:1" ht="15.75" customHeight="1">
      <c r="A833" s="6"/>
    </row>
    <row r="834" spans="1:1" ht="15.75" customHeight="1">
      <c r="A834" s="6"/>
    </row>
    <row r="835" spans="1:1" ht="15.75" customHeight="1">
      <c r="A835" s="6"/>
    </row>
    <row r="836" spans="1:1" ht="15.75" customHeight="1">
      <c r="A836" s="6"/>
    </row>
    <row r="837" spans="1:1" ht="15.75" customHeight="1">
      <c r="A837" s="6"/>
    </row>
    <row r="838" spans="1:1" ht="15.75" customHeight="1">
      <c r="A838" s="6"/>
    </row>
    <row r="839" spans="1:1" ht="15.75" customHeight="1">
      <c r="A839" s="6"/>
    </row>
    <row r="840" spans="1:1" ht="15.75" customHeight="1">
      <c r="A840" s="6"/>
    </row>
    <row r="841" spans="1:1" ht="15.75" customHeight="1">
      <c r="A841" s="6"/>
    </row>
    <row r="842" spans="1:1" ht="15.75" customHeight="1">
      <c r="A842" s="6"/>
    </row>
    <row r="843" spans="1:1" ht="15.75" customHeight="1">
      <c r="A843" s="6"/>
    </row>
    <row r="844" spans="1:1" ht="15.75" customHeight="1">
      <c r="A844" s="6"/>
    </row>
    <row r="845" spans="1:1" ht="15.75" customHeight="1">
      <c r="A845" s="6"/>
    </row>
    <row r="846" spans="1:1" ht="15.75" customHeight="1">
      <c r="A846" s="6"/>
    </row>
    <row r="847" spans="1:1" ht="15.75" customHeight="1">
      <c r="A847" s="6"/>
    </row>
    <row r="848" spans="1:1" ht="15.75" customHeight="1">
      <c r="A848" s="6"/>
    </row>
    <row r="849" spans="1:1" ht="15.75" customHeight="1">
      <c r="A849" s="6"/>
    </row>
    <row r="850" spans="1:1" ht="15.75" customHeight="1">
      <c r="A850" s="6"/>
    </row>
    <row r="851" spans="1:1" ht="15.75" customHeight="1">
      <c r="A851" s="6"/>
    </row>
    <row r="852" spans="1:1" ht="15.75" customHeight="1">
      <c r="A852" s="6"/>
    </row>
    <row r="853" spans="1:1" ht="15.75" customHeight="1">
      <c r="A853" s="6"/>
    </row>
    <row r="854" spans="1:1" ht="15.75" customHeight="1">
      <c r="A854" s="6"/>
    </row>
    <row r="855" spans="1:1" ht="15.75" customHeight="1">
      <c r="A855" s="6"/>
    </row>
    <row r="856" spans="1:1" ht="15.75" customHeight="1">
      <c r="A856" s="6"/>
    </row>
    <row r="857" spans="1:1" ht="15.75" customHeight="1">
      <c r="A857" s="6"/>
    </row>
    <row r="858" spans="1:1" ht="15.75" customHeight="1">
      <c r="A858" s="6"/>
    </row>
    <row r="859" spans="1:1" ht="15.75" customHeight="1">
      <c r="A859" s="6"/>
    </row>
    <row r="860" spans="1:1" ht="15.75" customHeight="1">
      <c r="A860" s="6"/>
    </row>
    <row r="861" spans="1:1" ht="15.75" customHeight="1">
      <c r="A861" s="6"/>
    </row>
    <row r="862" spans="1:1" ht="15.75" customHeight="1">
      <c r="A862" s="6"/>
    </row>
    <row r="863" spans="1:1" ht="15.75" customHeight="1">
      <c r="A863" s="6"/>
    </row>
    <row r="864" spans="1:1" ht="15.75" customHeight="1">
      <c r="A864" s="6"/>
    </row>
    <row r="865" spans="1:1" ht="15.75" customHeight="1">
      <c r="A865" s="6"/>
    </row>
    <row r="866" spans="1:1" ht="15.75" customHeight="1">
      <c r="A866" s="6"/>
    </row>
    <row r="867" spans="1:1" ht="15.75" customHeight="1">
      <c r="A867" s="6"/>
    </row>
    <row r="868" spans="1:1" ht="15.75" customHeight="1">
      <c r="A868" s="6"/>
    </row>
    <row r="869" spans="1:1" ht="15.75" customHeight="1">
      <c r="A869" s="6"/>
    </row>
    <row r="870" spans="1:1" ht="15.75" customHeight="1">
      <c r="A870" s="6"/>
    </row>
    <row r="871" spans="1:1" ht="15.75" customHeight="1">
      <c r="A871" s="6"/>
    </row>
    <row r="872" spans="1:1" ht="15.75" customHeight="1">
      <c r="A872" s="6"/>
    </row>
    <row r="873" spans="1:1" ht="15.75" customHeight="1">
      <c r="A873" s="6"/>
    </row>
    <row r="874" spans="1:1" ht="15.75" customHeight="1">
      <c r="A874" s="6"/>
    </row>
    <row r="875" spans="1:1" ht="15.75" customHeight="1">
      <c r="A875" s="6"/>
    </row>
    <row r="876" spans="1:1" ht="15.75" customHeight="1">
      <c r="A876" s="6"/>
    </row>
    <row r="877" spans="1:1" ht="15.75" customHeight="1">
      <c r="A877" s="6"/>
    </row>
    <row r="878" spans="1:1" ht="15.75" customHeight="1">
      <c r="A878" s="6"/>
    </row>
    <row r="879" spans="1:1" ht="15.75" customHeight="1">
      <c r="A879" s="6"/>
    </row>
    <row r="880" spans="1:1" ht="15.75" customHeight="1">
      <c r="A880" s="6"/>
    </row>
    <row r="881" spans="1:1" ht="15.75" customHeight="1">
      <c r="A881" s="6"/>
    </row>
    <row r="882" spans="1:1" ht="15.75" customHeight="1">
      <c r="A882" s="6"/>
    </row>
    <row r="883" spans="1:1" ht="15.75" customHeight="1">
      <c r="A883" s="6"/>
    </row>
    <row r="884" spans="1:1" ht="15.75" customHeight="1">
      <c r="A884" s="6"/>
    </row>
    <row r="885" spans="1:1" ht="15.75" customHeight="1">
      <c r="A885" s="6"/>
    </row>
    <row r="886" spans="1:1" ht="15.75" customHeight="1">
      <c r="A886" s="6"/>
    </row>
    <row r="887" spans="1:1" ht="15.75" customHeight="1">
      <c r="A887" s="6"/>
    </row>
    <row r="888" spans="1:1" ht="15.75" customHeight="1">
      <c r="A888" s="6"/>
    </row>
    <row r="889" spans="1:1" ht="15.75" customHeight="1">
      <c r="A889" s="6"/>
    </row>
    <row r="890" spans="1:1" ht="15.75" customHeight="1">
      <c r="A890" s="6"/>
    </row>
    <row r="891" spans="1:1" ht="15.75" customHeight="1">
      <c r="A891" s="6"/>
    </row>
    <row r="892" spans="1:1" ht="15.75" customHeight="1">
      <c r="A892" s="6"/>
    </row>
    <row r="893" spans="1:1" ht="15.75" customHeight="1">
      <c r="A893" s="6"/>
    </row>
    <row r="894" spans="1:1" ht="15.75" customHeight="1">
      <c r="A894" s="6"/>
    </row>
    <row r="895" spans="1:1" ht="15.75" customHeight="1">
      <c r="A895" s="6"/>
    </row>
    <row r="896" spans="1:1" ht="15.75" customHeight="1">
      <c r="A896" s="6"/>
    </row>
    <row r="897" spans="1:1" ht="15.75" customHeight="1">
      <c r="A897" s="6"/>
    </row>
    <row r="898" spans="1:1" ht="15.75" customHeight="1">
      <c r="A898" s="6"/>
    </row>
    <row r="899" spans="1:1" ht="15.75" customHeight="1">
      <c r="A899" s="6"/>
    </row>
    <row r="900" spans="1:1" ht="15.75" customHeight="1">
      <c r="A900" s="6"/>
    </row>
    <row r="901" spans="1:1" ht="15.75" customHeight="1">
      <c r="A901" s="6"/>
    </row>
    <row r="902" spans="1:1" ht="15.75" customHeight="1">
      <c r="A902" s="6"/>
    </row>
    <row r="903" spans="1:1" ht="15.75" customHeight="1">
      <c r="A903" s="6"/>
    </row>
    <row r="904" spans="1:1" ht="15.75" customHeight="1">
      <c r="A904" s="6"/>
    </row>
    <row r="905" spans="1:1" ht="15.75" customHeight="1">
      <c r="A905" s="6"/>
    </row>
    <row r="906" spans="1:1" ht="15.75" customHeight="1">
      <c r="A906" s="6"/>
    </row>
    <row r="907" spans="1:1" ht="15.75" customHeight="1">
      <c r="A907" s="6"/>
    </row>
    <row r="908" spans="1:1" ht="15.75" customHeight="1">
      <c r="A908" s="6"/>
    </row>
    <row r="909" spans="1:1" ht="15.75" customHeight="1">
      <c r="A909" s="6"/>
    </row>
    <row r="910" spans="1:1" ht="15.75" customHeight="1">
      <c r="A910" s="6"/>
    </row>
    <row r="911" spans="1:1" ht="15.75" customHeight="1">
      <c r="A911" s="6"/>
    </row>
    <row r="912" spans="1:1" ht="15.75" customHeight="1">
      <c r="A912" s="6"/>
    </row>
    <row r="913" spans="1:1" ht="15.75" customHeight="1">
      <c r="A913" s="6"/>
    </row>
    <row r="914" spans="1:1" ht="15.75" customHeight="1">
      <c r="A914" s="6"/>
    </row>
    <row r="915" spans="1:1" ht="15.75" customHeight="1">
      <c r="A915" s="6"/>
    </row>
    <row r="916" spans="1:1" ht="15.75" customHeight="1">
      <c r="A916" s="6"/>
    </row>
    <row r="917" spans="1:1" ht="15.75" customHeight="1">
      <c r="A917" s="6"/>
    </row>
    <row r="918" spans="1:1" ht="15.75" customHeight="1">
      <c r="A918" s="6"/>
    </row>
    <row r="919" spans="1:1" ht="15.75" customHeight="1">
      <c r="A919" s="6"/>
    </row>
    <row r="920" spans="1:1" ht="15.75" customHeight="1">
      <c r="A920" s="6"/>
    </row>
    <row r="921" spans="1:1" ht="15.75" customHeight="1">
      <c r="A921" s="6"/>
    </row>
    <row r="922" spans="1:1" ht="15.75" customHeight="1">
      <c r="A922" s="6"/>
    </row>
    <row r="923" spans="1:1" ht="15.75" customHeight="1">
      <c r="A923" s="6"/>
    </row>
    <row r="924" spans="1:1" ht="15.75" customHeight="1">
      <c r="A924" s="6"/>
    </row>
    <row r="925" spans="1:1" ht="15.75" customHeight="1">
      <c r="A925" s="6"/>
    </row>
    <row r="926" spans="1:1" ht="15.75" customHeight="1">
      <c r="A926" s="6"/>
    </row>
    <row r="927" spans="1:1" ht="15.75" customHeight="1">
      <c r="A927" s="6"/>
    </row>
    <row r="928" spans="1:1" ht="15.75" customHeight="1">
      <c r="A928" s="6"/>
    </row>
    <row r="929" spans="1:1" ht="15.75" customHeight="1">
      <c r="A929" s="6"/>
    </row>
    <row r="930" spans="1:1" ht="15.75" customHeight="1">
      <c r="A930" s="6"/>
    </row>
    <row r="931" spans="1:1" ht="15.75" customHeight="1">
      <c r="A931" s="6"/>
    </row>
    <row r="932" spans="1:1" ht="15.75" customHeight="1">
      <c r="A932" s="6"/>
    </row>
    <row r="933" spans="1:1" ht="15.75" customHeight="1">
      <c r="A933" s="6"/>
    </row>
    <row r="934" spans="1:1" ht="15.75" customHeight="1">
      <c r="A934" s="6"/>
    </row>
    <row r="935" spans="1:1" ht="15.75" customHeight="1">
      <c r="A935" s="6"/>
    </row>
    <row r="936" spans="1:1" ht="15.75" customHeight="1">
      <c r="A936" s="6"/>
    </row>
    <row r="937" spans="1:1" ht="15.75" customHeight="1">
      <c r="A937" s="6"/>
    </row>
    <row r="938" spans="1:1" ht="15.75" customHeight="1">
      <c r="A938" s="6"/>
    </row>
    <row r="939" spans="1:1" ht="15.75" customHeight="1">
      <c r="A939" s="6"/>
    </row>
    <row r="940" spans="1:1" ht="15.75" customHeight="1">
      <c r="A940" s="6"/>
    </row>
    <row r="941" spans="1:1" ht="15.75" customHeight="1">
      <c r="A941" s="6"/>
    </row>
    <row r="942" spans="1:1" ht="15.75" customHeight="1">
      <c r="A942" s="6"/>
    </row>
    <row r="943" spans="1:1" ht="15.75" customHeight="1">
      <c r="A943" s="6"/>
    </row>
    <row r="944" spans="1:1" ht="15.75" customHeight="1">
      <c r="A944" s="6"/>
    </row>
    <row r="945" spans="1:1" ht="15.75" customHeight="1">
      <c r="A945" s="6"/>
    </row>
    <row r="946" spans="1:1" ht="15.75" customHeight="1">
      <c r="A946" s="6"/>
    </row>
    <row r="947" spans="1:1" ht="15.75" customHeight="1">
      <c r="A947" s="6"/>
    </row>
    <row r="948" spans="1:1" ht="15.75" customHeight="1">
      <c r="A948" s="6"/>
    </row>
    <row r="949" spans="1:1" ht="15.75" customHeight="1">
      <c r="A949" s="6"/>
    </row>
    <row r="950" spans="1:1" ht="15.75" customHeight="1">
      <c r="A950" s="6"/>
    </row>
    <row r="951" spans="1:1" ht="15.75" customHeight="1">
      <c r="A951" s="6"/>
    </row>
    <row r="952" spans="1:1" ht="15.75" customHeight="1">
      <c r="A952" s="6"/>
    </row>
    <row r="953" spans="1:1" ht="15.75" customHeight="1">
      <c r="A953" s="6"/>
    </row>
    <row r="954" spans="1:1" ht="15.75" customHeight="1">
      <c r="A954" s="6"/>
    </row>
    <row r="955" spans="1:1" ht="15.75" customHeight="1">
      <c r="A955" s="6"/>
    </row>
    <row r="956" spans="1:1" ht="15.75" customHeight="1">
      <c r="A956" s="6"/>
    </row>
    <row r="957" spans="1:1" ht="15.75" customHeight="1">
      <c r="A957" s="6"/>
    </row>
    <row r="958" spans="1:1" ht="15.75" customHeight="1">
      <c r="A958" s="6"/>
    </row>
    <row r="959" spans="1:1" ht="15.75" customHeight="1">
      <c r="A959" s="6"/>
    </row>
    <row r="960" spans="1:1" ht="15.75" customHeight="1">
      <c r="A960" s="6"/>
    </row>
    <row r="961" spans="1:1" ht="15.75" customHeight="1">
      <c r="A961" s="6"/>
    </row>
    <row r="962" spans="1:1" ht="15.75" customHeight="1">
      <c r="A962" s="6"/>
    </row>
    <row r="963" spans="1:1" ht="15.75" customHeight="1">
      <c r="A963" s="6"/>
    </row>
    <row r="964" spans="1:1" ht="15.75" customHeight="1">
      <c r="A964" s="6"/>
    </row>
    <row r="965" spans="1:1" ht="15.75" customHeight="1">
      <c r="A965" s="6"/>
    </row>
    <row r="966" spans="1:1" ht="15.75" customHeight="1">
      <c r="A966" s="6"/>
    </row>
    <row r="967" spans="1:1" ht="15.75" customHeight="1">
      <c r="A967" s="6"/>
    </row>
    <row r="968" spans="1:1" ht="15.75" customHeight="1">
      <c r="A968" s="6"/>
    </row>
    <row r="969" spans="1:1" ht="15.75" customHeight="1">
      <c r="A969" s="6"/>
    </row>
    <row r="970" spans="1:1" ht="15.75" customHeight="1">
      <c r="A970" s="6"/>
    </row>
    <row r="971" spans="1:1" ht="15.75" customHeight="1">
      <c r="A971" s="6"/>
    </row>
    <row r="972" spans="1:1" ht="15.75" customHeight="1">
      <c r="A972" s="6"/>
    </row>
    <row r="973" spans="1:1" ht="15.75" customHeight="1">
      <c r="A973" s="6"/>
    </row>
    <row r="974" spans="1:1" ht="15.75" customHeight="1">
      <c r="A974" s="6"/>
    </row>
    <row r="975" spans="1:1" ht="15.75" customHeight="1">
      <c r="A975" s="6"/>
    </row>
    <row r="976" spans="1:1" ht="15.75" customHeight="1">
      <c r="A976" s="6"/>
    </row>
    <row r="977" spans="1:1" ht="15.75" customHeight="1">
      <c r="A977" s="6"/>
    </row>
    <row r="978" spans="1:1" ht="15.75" customHeight="1">
      <c r="A978" s="6"/>
    </row>
    <row r="979" spans="1:1" ht="15.75" customHeight="1">
      <c r="A979" s="6"/>
    </row>
    <row r="980" spans="1:1" ht="15.75" customHeight="1">
      <c r="A980" s="6"/>
    </row>
    <row r="981" spans="1:1" ht="15.75" customHeight="1">
      <c r="A981" s="6"/>
    </row>
    <row r="982" spans="1:1" ht="15.75" customHeight="1">
      <c r="A982" s="6"/>
    </row>
    <row r="983" spans="1:1" ht="15.75" customHeight="1">
      <c r="A983" s="6"/>
    </row>
    <row r="984" spans="1:1" ht="15.75" customHeight="1">
      <c r="A984" s="6"/>
    </row>
    <row r="985" spans="1:1" ht="15.75" customHeight="1">
      <c r="A985" s="6"/>
    </row>
    <row r="986" spans="1:1" ht="15.75" customHeight="1">
      <c r="A986" s="6"/>
    </row>
    <row r="987" spans="1:1" ht="15.75" customHeight="1">
      <c r="A987" s="6"/>
    </row>
    <row r="988" spans="1:1" ht="15.75" customHeight="1">
      <c r="A988" s="6"/>
    </row>
    <row r="989" spans="1:1" ht="15.75" customHeight="1">
      <c r="A989" s="6"/>
    </row>
    <row r="990" spans="1:1" ht="15.75" customHeight="1">
      <c r="A990" s="6"/>
    </row>
    <row r="991" spans="1:1" ht="15.75" customHeight="1">
      <c r="A991" s="6"/>
    </row>
    <row r="992" spans="1:1" ht="15.75" customHeight="1">
      <c r="A992" s="6"/>
    </row>
    <row r="993" spans="1:1" ht="15.75" customHeight="1">
      <c r="A993" s="6"/>
    </row>
    <row r="994" spans="1:1" ht="15.75" customHeight="1">
      <c r="A994" s="6"/>
    </row>
    <row r="995" spans="1:1" ht="15.75" customHeight="1">
      <c r="A995" s="6"/>
    </row>
    <row r="996" spans="1:1" ht="15.75" customHeight="1">
      <c r="A996" s="6"/>
    </row>
    <row r="997" spans="1:1" ht="15.75" customHeight="1">
      <c r="A997" s="6"/>
    </row>
    <row r="998" spans="1:1" ht="15.75" customHeight="1">
      <c r="A998" s="6"/>
    </row>
    <row r="999" spans="1:1" ht="15.75" customHeight="1">
      <c r="A999" s="6"/>
    </row>
    <row r="1000" spans="1:1" ht="15.75" customHeight="1">
      <c r="A1000" s="6"/>
    </row>
  </sheetData>
  <mergeCells count="2">
    <mergeCell ref="A2:A3"/>
    <mergeCell ref="B2:B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H16" sqref="H16"/>
    </sheetView>
  </sheetViews>
  <sheetFormatPr defaultColWidth="14.42578125" defaultRowHeight="15" customHeight="1"/>
  <cols>
    <col min="1" max="1" width="4.140625" customWidth="1"/>
    <col min="2" max="2" width="20.140625" customWidth="1"/>
    <col min="3" max="3" width="14" customWidth="1"/>
    <col min="4" max="4" width="17.140625" customWidth="1"/>
    <col min="5" max="5" width="10.5703125" customWidth="1"/>
    <col min="6" max="6" width="4.140625" customWidth="1"/>
    <col min="7" max="7" width="13.85546875" customWidth="1"/>
    <col min="8" max="8" width="11.85546875" customWidth="1"/>
    <col min="9" max="26" width="8.7109375" customWidth="1"/>
  </cols>
  <sheetData>
    <row r="1" spans="1:8" ht="31.5">
      <c r="A1" s="4" t="s">
        <v>34</v>
      </c>
      <c r="C1" s="7"/>
    </row>
    <row r="2" spans="1:8">
      <c r="A2" s="1" t="s">
        <v>1</v>
      </c>
      <c r="B2" s="1" t="s">
        <v>35</v>
      </c>
      <c r="C2" s="1" t="s">
        <v>36</v>
      </c>
      <c r="D2" s="1" t="s">
        <v>37</v>
      </c>
    </row>
    <row r="3" spans="1:8">
      <c r="A3" s="2">
        <v>1</v>
      </c>
      <c r="B3" s="2" t="s">
        <v>38</v>
      </c>
      <c r="C3" s="5">
        <v>1</v>
      </c>
      <c r="D3" s="29" t="str">
        <f>IF(C3=1,"Laki-laki",IF(C3=0,"Perempuan"))</f>
        <v>Laki-laki</v>
      </c>
    </row>
    <row r="4" spans="1:8">
      <c r="A4" s="2">
        <v>2</v>
      </c>
      <c r="B4" s="2" t="s">
        <v>39</v>
      </c>
      <c r="C4" s="5">
        <v>0</v>
      </c>
      <c r="D4" s="29" t="str">
        <f t="shared" ref="D4:D12" si="0">IF(C4=1,"Laki-laki",IF(C4=0,"Perempuan"))</f>
        <v>Perempuan</v>
      </c>
    </row>
    <row r="5" spans="1:8">
      <c r="A5" s="2">
        <v>3</v>
      </c>
      <c r="B5" s="2" t="s">
        <v>40</v>
      </c>
      <c r="C5" s="5">
        <v>1</v>
      </c>
      <c r="D5" s="29" t="str">
        <f t="shared" si="0"/>
        <v>Laki-laki</v>
      </c>
    </row>
    <row r="6" spans="1:8">
      <c r="A6" s="2">
        <v>4</v>
      </c>
      <c r="B6" s="2" t="s">
        <v>41</v>
      </c>
      <c r="C6" s="5">
        <v>0</v>
      </c>
      <c r="D6" s="29" t="str">
        <f t="shared" si="0"/>
        <v>Perempuan</v>
      </c>
    </row>
    <row r="7" spans="1:8">
      <c r="A7" s="2">
        <v>5</v>
      </c>
      <c r="B7" s="2" t="s">
        <v>42</v>
      </c>
      <c r="C7" s="5">
        <v>1</v>
      </c>
      <c r="D7" s="29" t="str">
        <f t="shared" si="0"/>
        <v>Laki-laki</v>
      </c>
    </row>
    <row r="8" spans="1:8">
      <c r="A8" s="2">
        <v>6</v>
      </c>
      <c r="B8" s="2" t="s">
        <v>43</v>
      </c>
      <c r="C8" s="5">
        <v>1</v>
      </c>
      <c r="D8" s="29" t="str">
        <f t="shared" si="0"/>
        <v>Laki-laki</v>
      </c>
    </row>
    <row r="9" spans="1:8">
      <c r="A9" s="2">
        <v>7</v>
      </c>
      <c r="B9" s="2" t="s">
        <v>44</v>
      </c>
      <c r="C9" s="5">
        <v>0</v>
      </c>
      <c r="D9" s="29" t="str">
        <f t="shared" si="0"/>
        <v>Perempuan</v>
      </c>
    </row>
    <row r="10" spans="1:8">
      <c r="A10" s="2">
        <v>8</v>
      </c>
      <c r="B10" s="2" t="s">
        <v>45</v>
      </c>
      <c r="C10" s="5">
        <v>1</v>
      </c>
      <c r="D10" s="29" t="str">
        <f t="shared" si="0"/>
        <v>Laki-laki</v>
      </c>
    </row>
    <row r="11" spans="1:8">
      <c r="A11" s="2">
        <v>9</v>
      </c>
      <c r="B11" s="2" t="s">
        <v>46</v>
      </c>
      <c r="C11" s="5">
        <v>1</v>
      </c>
      <c r="D11" s="29" t="str">
        <f t="shared" si="0"/>
        <v>Laki-laki</v>
      </c>
    </row>
    <row r="12" spans="1:8">
      <c r="A12" s="2">
        <v>10</v>
      </c>
      <c r="B12" s="2" t="s">
        <v>47</v>
      </c>
      <c r="C12" s="5">
        <v>0</v>
      </c>
      <c r="D12" s="29" t="str">
        <f t="shared" si="0"/>
        <v>Perempuan</v>
      </c>
    </row>
    <row r="14" spans="1:8">
      <c r="A14" s="53" t="s">
        <v>1</v>
      </c>
      <c r="B14" s="53" t="s">
        <v>48</v>
      </c>
      <c r="C14" s="55" t="s">
        <v>49</v>
      </c>
      <c r="D14" s="56"/>
      <c r="E14" s="56"/>
      <c r="F14" s="57"/>
      <c r="G14" s="53" t="s">
        <v>50</v>
      </c>
      <c r="H14" s="53" t="s">
        <v>51</v>
      </c>
    </row>
    <row r="15" spans="1:8">
      <c r="A15" s="54"/>
      <c r="B15" s="54"/>
      <c r="C15" s="8" t="s">
        <v>52</v>
      </c>
      <c r="D15" s="8" t="s">
        <v>53</v>
      </c>
      <c r="E15" s="8" t="s">
        <v>54</v>
      </c>
      <c r="F15" s="8" t="s">
        <v>55</v>
      </c>
      <c r="G15" s="54"/>
      <c r="H15" s="54"/>
    </row>
    <row r="16" spans="1:8">
      <c r="A16" s="5">
        <v>1</v>
      </c>
      <c r="B16" s="9" t="s">
        <v>56</v>
      </c>
      <c r="C16" s="5">
        <v>98</v>
      </c>
      <c r="D16" s="5">
        <v>87</v>
      </c>
      <c r="E16" s="5">
        <v>76</v>
      </c>
      <c r="F16" s="5">
        <v>56</v>
      </c>
      <c r="G16" s="30">
        <f>SUM(C16:F16)</f>
        <v>317</v>
      </c>
      <c r="H16" s="30" t="str">
        <f>IF(G16&gt;300,"A",IF(G16&gt;=280,"B",IF(G16&lt;280,"C")))</f>
        <v>A</v>
      </c>
    </row>
    <row r="17" spans="1:8">
      <c r="A17" s="5">
        <v>2</v>
      </c>
      <c r="B17" s="9" t="s">
        <v>57</v>
      </c>
      <c r="C17" s="5">
        <v>77</v>
      </c>
      <c r="D17" s="5">
        <v>89</v>
      </c>
      <c r="E17" s="5">
        <v>77</v>
      </c>
      <c r="F17" s="5">
        <v>76</v>
      </c>
      <c r="G17" s="30">
        <f t="shared" ref="G17:G22" si="1">SUM(C17:F17)</f>
        <v>319</v>
      </c>
      <c r="H17" s="30" t="str">
        <f t="shared" ref="H17:H22" si="2">IF(G17&gt;300,"A",IF(G17&gt;=280,"B",IF(G17&lt;280,"C")))</f>
        <v>A</v>
      </c>
    </row>
    <row r="18" spans="1:8">
      <c r="A18" s="5">
        <v>3</v>
      </c>
      <c r="B18" s="9" t="s">
        <v>58</v>
      </c>
      <c r="C18" s="5">
        <v>89</v>
      </c>
      <c r="D18" s="5">
        <v>60</v>
      </c>
      <c r="E18" s="5">
        <v>64</v>
      </c>
      <c r="F18" s="5">
        <v>66</v>
      </c>
      <c r="G18" s="30">
        <f t="shared" si="1"/>
        <v>279</v>
      </c>
      <c r="H18" s="30" t="str">
        <f t="shared" si="2"/>
        <v>C</v>
      </c>
    </row>
    <row r="19" spans="1:8">
      <c r="A19" s="5">
        <v>4</v>
      </c>
      <c r="B19" s="9" t="s">
        <v>59</v>
      </c>
      <c r="C19" s="5">
        <v>88</v>
      </c>
      <c r="D19" s="5">
        <v>76</v>
      </c>
      <c r="E19" s="5">
        <v>67</v>
      </c>
      <c r="F19" s="5">
        <v>53</v>
      </c>
      <c r="G19" s="30">
        <f t="shared" si="1"/>
        <v>284</v>
      </c>
      <c r="H19" s="30" t="str">
        <f t="shared" si="2"/>
        <v>B</v>
      </c>
    </row>
    <row r="20" spans="1:8">
      <c r="A20" s="5">
        <v>5</v>
      </c>
      <c r="B20" s="9" t="s">
        <v>60</v>
      </c>
      <c r="C20" s="5">
        <v>77</v>
      </c>
      <c r="D20" s="5">
        <v>67</v>
      </c>
      <c r="E20" s="5">
        <v>87</v>
      </c>
      <c r="F20" s="5">
        <v>87</v>
      </c>
      <c r="G20" s="30">
        <f t="shared" si="1"/>
        <v>318</v>
      </c>
      <c r="H20" s="30" t="str">
        <f t="shared" si="2"/>
        <v>A</v>
      </c>
    </row>
    <row r="21" spans="1:8" ht="15.75" customHeight="1">
      <c r="A21" s="5">
        <v>6</v>
      </c>
      <c r="B21" s="9" t="s">
        <v>61</v>
      </c>
      <c r="C21" s="5">
        <v>89</v>
      </c>
      <c r="D21" s="5">
        <v>87</v>
      </c>
      <c r="E21" s="5">
        <v>66</v>
      </c>
      <c r="F21" s="5">
        <v>65</v>
      </c>
      <c r="G21" s="30">
        <f t="shared" si="1"/>
        <v>307</v>
      </c>
      <c r="H21" s="30" t="str">
        <f t="shared" si="2"/>
        <v>A</v>
      </c>
    </row>
    <row r="22" spans="1:8" ht="15.75" customHeight="1">
      <c r="A22" s="5">
        <v>7</v>
      </c>
      <c r="B22" s="9" t="s">
        <v>62</v>
      </c>
      <c r="C22" s="5">
        <v>87</v>
      </c>
      <c r="D22" s="5">
        <v>56</v>
      </c>
      <c r="E22" s="5">
        <v>45</v>
      </c>
      <c r="F22" s="5">
        <v>67</v>
      </c>
      <c r="G22" s="30">
        <f t="shared" si="1"/>
        <v>255</v>
      </c>
      <c r="H22" s="30" t="str">
        <f t="shared" si="2"/>
        <v>C</v>
      </c>
    </row>
    <row r="23" spans="1:8" ht="15.75" customHeight="1"/>
    <row r="24" spans="1:8" ht="15.75" customHeight="1">
      <c r="B24" s="1" t="s">
        <v>63</v>
      </c>
      <c r="C24" s="1" t="s">
        <v>64</v>
      </c>
    </row>
    <row r="25" spans="1:8" ht="15.75" customHeight="1">
      <c r="B25" s="5" t="s">
        <v>180</v>
      </c>
      <c r="C25" s="5" t="s">
        <v>65</v>
      </c>
    </row>
    <row r="26" spans="1:8" ht="15.75" customHeight="1">
      <c r="B26" s="5" t="s">
        <v>66</v>
      </c>
      <c r="C26" s="5" t="s">
        <v>67</v>
      </c>
    </row>
    <row r="27" spans="1:8" ht="15.75" customHeight="1">
      <c r="B27" s="5" t="s">
        <v>68</v>
      </c>
      <c r="C27" s="5" t="s">
        <v>69</v>
      </c>
    </row>
    <row r="28" spans="1:8" ht="15.75" customHeight="1"/>
    <row r="29" spans="1:8" ht="15.75" customHeight="1">
      <c r="B29" s="1" t="s">
        <v>176</v>
      </c>
      <c r="C29" s="1" t="s">
        <v>177</v>
      </c>
    </row>
    <row r="30" spans="1:8" ht="15.75" customHeight="1">
      <c r="B30" s="5">
        <v>0</v>
      </c>
      <c r="C30" s="5" t="s">
        <v>178</v>
      </c>
    </row>
    <row r="31" spans="1:8" ht="15.75" customHeight="1">
      <c r="B31" s="5">
        <v>1</v>
      </c>
      <c r="C31" s="5" t="s">
        <v>179</v>
      </c>
    </row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4:A15"/>
    <mergeCell ref="B14:B15"/>
    <mergeCell ref="C14:F14"/>
    <mergeCell ref="G14:G15"/>
    <mergeCell ref="H14:H1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selection activeCell="D25" sqref="D25"/>
    </sheetView>
  </sheetViews>
  <sheetFormatPr defaultColWidth="14.42578125" defaultRowHeight="15" customHeight="1"/>
  <cols>
    <col min="1" max="1" width="10" customWidth="1"/>
    <col min="2" max="2" width="18.42578125" customWidth="1"/>
    <col min="3" max="3" width="14.140625" customWidth="1"/>
    <col min="4" max="4" width="11.28515625" customWidth="1"/>
    <col min="5" max="5" width="2.42578125" customWidth="1"/>
    <col min="6" max="6" width="10" customWidth="1"/>
    <col min="7" max="7" width="18.42578125" customWidth="1"/>
    <col min="8" max="8" width="14.140625" customWidth="1"/>
    <col min="9" max="9" width="11.28515625" customWidth="1"/>
    <col min="10" max="10" width="12.5703125" customWidth="1"/>
    <col min="11" max="15" width="8.7109375" customWidth="1"/>
    <col min="16" max="16" width="3.7109375" customWidth="1"/>
    <col min="17" max="17" width="15.5703125" customWidth="1"/>
    <col min="18" max="18" width="11.42578125" customWidth="1"/>
    <col min="19" max="19" width="12.28515625" customWidth="1"/>
    <col min="20" max="26" width="8.7109375" customWidth="1"/>
  </cols>
  <sheetData>
    <row r="1" spans="1:19" ht="31.5">
      <c r="A1" s="4" t="s">
        <v>70</v>
      </c>
      <c r="B1" s="7"/>
      <c r="C1" s="7"/>
      <c r="D1" s="10"/>
      <c r="E1" s="7"/>
      <c r="F1" s="4" t="s">
        <v>71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>
      <c r="A2" s="11" t="s">
        <v>72</v>
      </c>
      <c r="B2" s="11" t="s">
        <v>73</v>
      </c>
      <c r="C2" s="11" t="s">
        <v>74</v>
      </c>
      <c r="D2" s="11" t="s">
        <v>75</v>
      </c>
      <c r="F2" s="11" t="s">
        <v>72</v>
      </c>
      <c r="G2" s="11" t="s">
        <v>73</v>
      </c>
      <c r="H2" s="11" t="s">
        <v>74</v>
      </c>
      <c r="I2" s="11" t="s">
        <v>75</v>
      </c>
    </row>
    <row r="3" spans="1:19">
      <c r="A3" s="5" t="s">
        <v>76</v>
      </c>
      <c r="B3" s="29" t="str">
        <f>VLOOKUP(A3,$A$17:$D$20,2,FALSE)</f>
        <v>Sabun</v>
      </c>
      <c r="C3" s="34">
        <f>VLOOKUP(A3,$A$17:$D$20,3,FALSE)</f>
        <v>2500</v>
      </c>
      <c r="D3" s="29" t="str">
        <f>VLOOKUP(A3,$A$17:$D$20,4,FALSE)</f>
        <v>Buah</v>
      </c>
      <c r="F3" s="5" t="s">
        <v>77</v>
      </c>
      <c r="G3" s="29" t="str">
        <f>HLOOKUP(F3,$G$16:$J$19,2,FALSE)</f>
        <v>Gula Pasir</v>
      </c>
      <c r="H3" s="34">
        <f>HLOOKUP(F3,$G$16:$J$19,3,FALSE)</f>
        <v>12000</v>
      </c>
      <c r="I3" s="29" t="str">
        <f>HLOOKUP(F3,$G$16:$J$19,4,FALSE)</f>
        <v>Kilogram</v>
      </c>
    </row>
    <row r="4" spans="1:19">
      <c r="A4" s="5" t="s">
        <v>78</v>
      </c>
      <c r="B4" s="29" t="str">
        <f t="shared" ref="B4:B12" si="0">VLOOKUP(A4,$A$17:$D$20,2,FALSE)</f>
        <v>Minyak Goreng</v>
      </c>
      <c r="C4" s="34">
        <f t="shared" ref="C4:C12" si="1">VLOOKUP(A4,$A$17:$D$20,3,FALSE)</f>
        <v>24000</v>
      </c>
      <c r="D4" s="29" t="str">
        <f t="shared" ref="D4:D12" si="2">VLOOKUP(A4,$A$17:$D$20,4,FALSE)</f>
        <v>Liter</v>
      </c>
      <c r="F4" s="5" t="s">
        <v>79</v>
      </c>
      <c r="G4" s="29" t="str">
        <f t="shared" ref="G4:G12" si="3">HLOOKUP(F4,$G$16:$J$19,2,FALSE)</f>
        <v>Susu</v>
      </c>
      <c r="H4" s="34">
        <f t="shared" ref="H4:H12" si="4">HLOOKUP(F4,$G$16:$J$19,3,FALSE)</f>
        <v>10000</v>
      </c>
      <c r="I4" s="29" t="str">
        <f t="shared" ref="I4:I12" si="5">HLOOKUP(F4,$G$16:$J$19,4,FALSE)</f>
        <v>Kaleng</v>
      </c>
    </row>
    <row r="5" spans="1:19">
      <c r="A5" s="5" t="s">
        <v>77</v>
      </c>
      <c r="B5" s="29" t="str">
        <f t="shared" si="0"/>
        <v>Gula Pasir</v>
      </c>
      <c r="C5" s="34">
        <f t="shared" si="1"/>
        <v>12000</v>
      </c>
      <c r="D5" s="29" t="str">
        <f t="shared" si="2"/>
        <v>Kilogram</v>
      </c>
      <c r="F5" s="5" t="s">
        <v>76</v>
      </c>
      <c r="G5" s="29" t="str">
        <f t="shared" si="3"/>
        <v>Sabun</v>
      </c>
      <c r="H5" s="34">
        <f t="shared" si="4"/>
        <v>2500</v>
      </c>
      <c r="I5" s="29" t="str">
        <f t="shared" si="5"/>
        <v>Buah</v>
      </c>
    </row>
    <row r="6" spans="1:19">
      <c r="A6" s="5" t="s">
        <v>79</v>
      </c>
      <c r="B6" s="29" t="str">
        <f t="shared" si="0"/>
        <v>Susu</v>
      </c>
      <c r="C6" s="34">
        <f t="shared" si="1"/>
        <v>10000</v>
      </c>
      <c r="D6" s="29" t="str">
        <f t="shared" si="2"/>
        <v>Kaleng</v>
      </c>
      <c r="F6" s="5" t="s">
        <v>78</v>
      </c>
      <c r="G6" s="29" t="str">
        <f t="shared" si="3"/>
        <v>Minyak Goreng</v>
      </c>
      <c r="H6" s="34">
        <f t="shared" si="4"/>
        <v>24000</v>
      </c>
      <c r="I6" s="29" t="str">
        <f t="shared" si="5"/>
        <v>Liter</v>
      </c>
    </row>
    <row r="7" spans="1:19">
      <c r="A7" s="5" t="s">
        <v>78</v>
      </c>
      <c r="B7" s="29" t="str">
        <f t="shared" si="0"/>
        <v>Minyak Goreng</v>
      </c>
      <c r="C7" s="34">
        <f t="shared" si="1"/>
        <v>24000</v>
      </c>
      <c r="D7" s="29" t="str">
        <f t="shared" si="2"/>
        <v>Liter</v>
      </c>
      <c r="F7" s="5" t="s">
        <v>79</v>
      </c>
      <c r="G7" s="29" t="str">
        <f t="shared" si="3"/>
        <v>Susu</v>
      </c>
      <c r="H7" s="34">
        <f t="shared" si="4"/>
        <v>10000</v>
      </c>
      <c r="I7" s="29" t="str">
        <f t="shared" si="5"/>
        <v>Kaleng</v>
      </c>
    </row>
    <row r="8" spans="1:19">
      <c r="A8" s="5" t="s">
        <v>76</v>
      </c>
      <c r="B8" s="29" t="str">
        <f t="shared" si="0"/>
        <v>Sabun</v>
      </c>
      <c r="C8" s="34">
        <f t="shared" si="1"/>
        <v>2500</v>
      </c>
      <c r="D8" s="29" t="str">
        <f t="shared" si="2"/>
        <v>Buah</v>
      </c>
      <c r="F8" s="5" t="s">
        <v>76</v>
      </c>
      <c r="G8" s="29" t="str">
        <f t="shared" si="3"/>
        <v>Sabun</v>
      </c>
      <c r="H8" s="34">
        <f t="shared" si="4"/>
        <v>2500</v>
      </c>
      <c r="I8" s="29" t="str">
        <f t="shared" si="5"/>
        <v>Buah</v>
      </c>
    </row>
    <row r="9" spans="1:19">
      <c r="A9" s="5" t="s">
        <v>77</v>
      </c>
      <c r="B9" s="29" t="str">
        <f t="shared" si="0"/>
        <v>Gula Pasir</v>
      </c>
      <c r="C9" s="34">
        <f t="shared" si="1"/>
        <v>12000</v>
      </c>
      <c r="D9" s="29" t="str">
        <f t="shared" si="2"/>
        <v>Kilogram</v>
      </c>
      <c r="F9" s="5" t="s">
        <v>77</v>
      </c>
      <c r="G9" s="29" t="str">
        <f t="shared" si="3"/>
        <v>Gula Pasir</v>
      </c>
      <c r="H9" s="34">
        <f t="shared" si="4"/>
        <v>12000</v>
      </c>
      <c r="I9" s="29" t="str">
        <f t="shared" si="5"/>
        <v>Kilogram</v>
      </c>
    </row>
    <row r="10" spans="1:19">
      <c r="A10" s="5" t="s">
        <v>76</v>
      </c>
      <c r="B10" s="29" t="str">
        <f t="shared" si="0"/>
        <v>Sabun</v>
      </c>
      <c r="C10" s="34">
        <f t="shared" si="1"/>
        <v>2500</v>
      </c>
      <c r="D10" s="29" t="str">
        <f t="shared" si="2"/>
        <v>Buah</v>
      </c>
      <c r="F10" s="5" t="s">
        <v>78</v>
      </c>
      <c r="G10" s="29" t="str">
        <f t="shared" si="3"/>
        <v>Minyak Goreng</v>
      </c>
      <c r="H10" s="34">
        <f t="shared" si="4"/>
        <v>24000</v>
      </c>
      <c r="I10" s="29" t="str">
        <f t="shared" si="5"/>
        <v>Liter</v>
      </c>
    </row>
    <row r="11" spans="1:19">
      <c r="A11" s="5" t="s">
        <v>78</v>
      </c>
      <c r="B11" s="29" t="str">
        <f t="shared" si="0"/>
        <v>Minyak Goreng</v>
      </c>
      <c r="C11" s="34">
        <f t="shared" si="1"/>
        <v>24000</v>
      </c>
      <c r="D11" s="29" t="str">
        <f t="shared" si="2"/>
        <v>Liter</v>
      </c>
      <c r="F11" s="5" t="s">
        <v>79</v>
      </c>
      <c r="G11" s="29" t="str">
        <f t="shared" si="3"/>
        <v>Susu</v>
      </c>
      <c r="H11" s="34">
        <f t="shared" si="4"/>
        <v>10000</v>
      </c>
      <c r="I11" s="29" t="str">
        <f t="shared" si="5"/>
        <v>Kaleng</v>
      </c>
    </row>
    <row r="12" spans="1:19">
      <c r="A12" s="5" t="s">
        <v>79</v>
      </c>
      <c r="B12" s="29" t="str">
        <f t="shared" si="0"/>
        <v>Susu</v>
      </c>
      <c r="C12" s="34">
        <f t="shared" si="1"/>
        <v>10000</v>
      </c>
      <c r="D12" s="29" t="str">
        <f t="shared" si="2"/>
        <v>Kaleng</v>
      </c>
      <c r="F12" s="5" t="s">
        <v>76</v>
      </c>
      <c r="G12" s="29" t="str">
        <f t="shared" si="3"/>
        <v>Sabun</v>
      </c>
      <c r="H12" s="34">
        <f t="shared" si="4"/>
        <v>2500</v>
      </c>
      <c r="I12" s="29" t="str">
        <f t="shared" si="5"/>
        <v>Buah</v>
      </c>
    </row>
    <row r="13" spans="1:19">
      <c r="D13" s="6"/>
    </row>
    <row r="14" spans="1:19">
      <c r="D14" s="6"/>
    </row>
    <row r="15" spans="1:19">
      <c r="A15" s="13" t="s">
        <v>80</v>
      </c>
      <c r="D15" s="6"/>
      <c r="F15" s="13" t="s">
        <v>80</v>
      </c>
    </row>
    <row r="16" spans="1:19">
      <c r="A16" s="1" t="s">
        <v>72</v>
      </c>
      <c r="B16" s="1" t="s">
        <v>73</v>
      </c>
      <c r="C16" s="1" t="s">
        <v>74</v>
      </c>
      <c r="D16" s="1" t="s">
        <v>75</v>
      </c>
      <c r="F16" s="14" t="s">
        <v>72</v>
      </c>
      <c r="G16" s="15" t="s">
        <v>76</v>
      </c>
      <c r="H16" s="15" t="s">
        <v>78</v>
      </c>
      <c r="I16" s="15" t="s">
        <v>79</v>
      </c>
      <c r="J16" s="15" t="s">
        <v>77</v>
      </c>
    </row>
    <row r="17" spans="1:10">
      <c r="A17" s="15" t="s">
        <v>76</v>
      </c>
      <c r="B17" s="16" t="s">
        <v>81</v>
      </c>
      <c r="C17" s="17">
        <v>2500</v>
      </c>
      <c r="D17" s="15" t="s">
        <v>82</v>
      </c>
      <c r="F17" s="14" t="s">
        <v>83</v>
      </c>
      <c r="G17" s="15" t="s">
        <v>81</v>
      </c>
      <c r="H17" s="15" t="s">
        <v>84</v>
      </c>
      <c r="I17" s="15" t="s">
        <v>85</v>
      </c>
      <c r="J17" s="15" t="s">
        <v>86</v>
      </c>
    </row>
    <row r="18" spans="1:10">
      <c r="A18" s="15" t="s">
        <v>78</v>
      </c>
      <c r="B18" s="16" t="s">
        <v>84</v>
      </c>
      <c r="C18" s="17">
        <v>24000</v>
      </c>
      <c r="D18" s="15" t="s">
        <v>87</v>
      </c>
      <c r="F18" s="14" t="s">
        <v>74</v>
      </c>
      <c r="G18" s="28">
        <v>2500</v>
      </c>
      <c r="H18" s="28">
        <v>24000</v>
      </c>
      <c r="I18" s="28">
        <v>10000</v>
      </c>
      <c r="J18" s="28">
        <v>12000</v>
      </c>
    </row>
    <row r="19" spans="1:10">
      <c r="A19" s="15" t="s">
        <v>79</v>
      </c>
      <c r="B19" s="16" t="s">
        <v>85</v>
      </c>
      <c r="C19" s="17">
        <v>10000</v>
      </c>
      <c r="D19" s="15" t="s">
        <v>88</v>
      </c>
      <c r="F19" s="14" t="s">
        <v>75</v>
      </c>
      <c r="G19" s="15" t="s">
        <v>82</v>
      </c>
      <c r="H19" s="15" t="s">
        <v>87</v>
      </c>
      <c r="I19" s="15" t="s">
        <v>88</v>
      </c>
      <c r="J19" s="15" t="s">
        <v>89</v>
      </c>
    </row>
    <row r="20" spans="1:10">
      <c r="A20" s="15" t="s">
        <v>77</v>
      </c>
      <c r="B20" s="16" t="s">
        <v>86</v>
      </c>
      <c r="C20" s="17">
        <v>12000</v>
      </c>
      <c r="D20" s="15" t="s">
        <v>89</v>
      </c>
    </row>
    <row r="21" spans="1:10" ht="15.75" customHeight="1">
      <c r="D21" s="6"/>
    </row>
    <row r="22" spans="1:10" ht="31.5">
      <c r="A22" s="4" t="s">
        <v>90</v>
      </c>
      <c r="B22" s="7"/>
      <c r="C22" s="7"/>
      <c r="D22" s="7"/>
      <c r="E22" s="7"/>
      <c r="F22" s="7"/>
      <c r="G22" s="7"/>
    </row>
    <row r="23" spans="1:10" ht="15.75" customHeight="1">
      <c r="A23" s="58" t="s">
        <v>91</v>
      </c>
      <c r="B23" s="59"/>
      <c r="C23" s="59"/>
      <c r="D23" s="59"/>
      <c r="F23" s="58" t="s">
        <v>92</v>
      </c>
      <c r="G23" s="59"/>
    </row>
    <row r="24" spans="1:10" ht="15.75" customHeight="1">
      <c r="A24" s="1" t="s">
        <v>93</v>
      </c>
      <c r="B24" s="1" t="s">
        <v>94</v>
      </c>
      <c r="C24" s="1" t="s">
        <v>95</v>
      </c>
      <c r="D24" s="1" t="s">
        <v>96</v>
      </c>
      <c r="F24" s="18" t="s">
        <v>95</v>
      </c>
      <c r="G24" s="18" t="s">
        <v>96</v>
      </c>
    </row>
    <row r="25" spans="1:10" ht="15.75" customHeight="1">
      <c r="A25" s="5">
        <v>1</v>
      </c>
      <c r="B25" s="2" t="s">
        <v>97</v>
      </c>
      <c r="C25" s="5">
        <v>59</v>
      </c>
      <c r="D25" s="31" t="str">
        <f>VLOOKUP(C25,$F$25:$G$29,2,TRUE)</f>
        <v>D</v>
      </c>
      <c r="F25" s="5">
        <v>0</v>
      </c>
      <c r="G25" s="5" t="s">
        <v>98</v>
      </c>
    </row>
    <row r="26" spans="1:10" ht="15.75" customHeight="1">
      <c r="A26" s="5">
        <v>2</v>
      </c>
      <c r="B26" s="2" t="s">
        <v>99</v>
      </c>
      <c r="C26" s="5">
        <v>95</v>
      </c>
      <c r="D26" s="31" t="str">
        <f t="shared" ref="D26:D29" si="6">VLOOKUP(C26,$F$25:$G$29,2,TRUE)</f>
        <v>A</v>
      </c>
      <c r="F26" s="5">
        <v>40</v>
      </c>
      <c r="G26" s="5" t="s">
        <v>100</v>
      </c>
    </row>
    <row r="27" spans="1:10" ht="15.75" customHeight="1">
      <c r="A27" s="5">
        <v>3</v>
      </c>
      <c r="B27" s="2" t="s">
        <v>101</v>
      </c>
      <c r="C27" s="5">
        <v>70</v>
      </c>
      <c r="D27" s="31" t="str">
        <f t="shared" si="6"/>
        <v>C</v>
      </c>
      <c r="F27" s="5">
        <v>60</v>
      </c>
      <c r="G27" s="5" t="s">
        <v>69</v>
      </c>
    </row>
    <row r="28" spans="1:10" ht="15.75" customHeight="1">
      <c r="A28" s="5">
        <v>4</v>
      </c>
      <c r="B28" s="2" t="s">
        <v>102</v>
      </c>
      <c r="C28" s="5">
        <v>80</v>
      </c>
      <c r="D28" s="31" t="str">
        <f t="shared" si="6"/>
        <v>B</v>
      </c>
      <c r="F28" s="5">
        <v>80</v>
      </c>
      <c r="G28" s="5" t="s">
        <v>67</v>
      </c>
    </row>
    <row r="29" spans="1:10" ht="15.75" customHeight="1">
      <c r="A29" s="5">
        <v>5</v>
      </c>
      <c r="B29" s="2" t="s">
        <v>103</v>
      </c>
      <c r="C29" s="5">
        <v>30</v>
      </c>
      <c r="D29" s="31" t="str">
        <f t="shared" si="6"/>
        <v>E</v>
      </c>
      <c r="F29" s="5">
        <v>90</v>
      </c>
      <c r="G29" s="5" t="s">
        <v>65</v>
      </c>
    </row>
    <row r="30" spans="1:10" ht="15.75" customHeight="1">
      <c r="D30" s="6"/>
    </row>
    <row r="31" spans="1:10" ht="15.75" customHeight="1">
      <c r="D31" s="6"/>
    </row>
    <row r="32" spans="1:10" ht="15.75" customHeight="1">
      <c r="D32" s="6"/>
    </row>
    <row r="33" spans="4:4" ht="15.75" customHeight="1">
      <c r="D33" s="6"/>
    </row>
    <row r="34" spans="4:4" ht="15.75" customHeight="1">
      <c r="D34" s="6"/>
    </row>
    <row r="35" spans="4:4" ht="15.75" customHeight="1">
      <c r="D35" s="6"/>
    </row>
    <row r="36" spans="4:4" ht="15.75" customHeight="1">
      <c r="D36" s="6"/>
    </row>
    <row r="37" spans="4:4" ht="15.75" customHeight="1">
      <c r="D37" s="6"/>
    </row>
    <row r="38" spans="4:4" ht="15.75" customHeight="1">
      <c r="D38" s="6"/>
    </row>
    <row r="39" spans="4:4" ht="15.75" customHeight="1">
      <c r="D39" s="6"/>
    </row>
    <row r="40" spans="4:4" ht="15.75" customHeight="1">
      <c r="D40" s="6"/>
    </row>
    <row r="41" spans="4:4" ht="15.75" customHeight="1">
      <c r="D41" s="6"/>
    </row>
    <row r="42" spans="4:4" ht="15.75" customHeight="1">
      <c r="D42" s="6"/>
    </row>
    <row r="43" spans="4:4" ht="15.75" customHeight="1">
      <c r="D43" s="6"/>
    </row>
    <row r="44" spans="4:4" ht="15.75" customHeight="1">
      <c r="D44" s="6"/>
    </row>
    <row r="45" spans="4:4" ht="15.75" customHeight="1">
      <c r="D45" s="6"/>
    </row>
    <row r="46" spans="4:4" ht="15.75" customHeight="1">
      <c r="D46" s="6"/>
    </row>
    <row r="47" spans="4:4" ht="15.75" customHeight="1">
      <c r="D47" s="6"/>
    </row>
    <row r="48" spans="4:4" ht="15.75" customHeight="1">
      <c r="D48" s="6"/>
    </row>
    <row r="49" spans="4:4" ht="15.75" customHeight="1">
      <c r="D49" s="6"/>
    </row>
    <row r="50" spans="4:4" ht="15.75" customHeight="1">
      <c r="D50" s="6"/>
    </row>
    <row r="51" spans="4:4" ht="15.75" customHeight="1">
      <c r="D51" s="6"/>
    </row>
    <row r="52" spans="4:4" ht="15.75" customHeight="1">
      <c r="D52" s="6"/>
    </row>
    <row r="53" spans="4:4" ht="15.75" customHeight="1">
      <c r="D53" s="6"/>
    </row>
    <row r="54" spans="4:4" ht="15.75" customHeight="1">
      <c r="D54" s="6"/>
    </row>
    <row r="55" spans="4:4" ht="15.75" customHeight="1">
      <c r="D55" s="6"/>
    </row>
    <row r="56" spans="4:4" ht="15.75" customHeight="1">
      <c r="D56" s="6"/>
    </row>
    <row r="57" spans="4:4" ht="15.75" customHeight="1">
      <c r="D57" s="6"/>
    </row>
    <row r="58" spans="4:4" ht="15.75" customHeight="1">
      <c r="D58" s="6"/>
    </row>
    <row r="59" spans="4:4" ht="15.75" customHeight="1">
      <c r="D59" s="6"/>
    </row>
    <row r="60" spans="4:4" ht="15.75" customHeight="1">
      <c r="D60" s="6"/>
    </row>
    <row r="61" spans="4:4" ht="15.75" customHeight="1">
      <c r="D61" s="6"/>
    </row>
    <row r="62" spans="4:4" ht="15.75" customHeight="1">
      <c r="D62" s="6"/>
    </row>
    <row r="63" spans="4:4" ht="15.75" customHeight="1">
      <c r="D63" s="6"/>
    </row>
    <row r="64" spans="4:4" ht="15.75" customHeight="1">
      <c r="D64" s="6"/>
    </row>
    <row r="65" spans="4:4" ht="15.75" customHeight="1">
      <c r="D65" s="6"/>
    </row>
    <row r="66" spans="4:4" ht="15.75" customHeight="1">
      <c r="D66" s="6"/>
    </row>
    <row r="67" spans="4:4" ht="15.75" customHeight="1">
      <c r="D67" s="6"/>
    </row>
    <row r="68" spans="4:4" ht="15.75" customHeight="1">
      <c r="D68" s="6"/>
    </row>
    <row r="69" spans="4:4" ht="15.75" customHeight="1">
      <c r="D69" s="6"/>
    </row>
    <row r="70" spans="4:4" ht="15.75" customHeight="1">
      <c r="D70" s="6"/>
    </row>
    <row r="71" spans="4:4" ht="15.75" customHeight="1">
      <c r="D71" s="6"/>
    </row>
    <row r="72" spans="4:4" ht="15.75" customHeight="1">
      <c r="D72" s="6"/>
    </row>
    <row r="73" spans="4:4" ht="15.75" customHeight="1">
      <c r="D73" s="6"/>
    </row>
    <row r="74" spans="4:4" ht="15.75" customHeight="1">
      <c r="D74" s="6"/>
    </row>
    <row r="75" spans="4:4" ht="15.75" customHeight="1">
      <c r="D75" s="6"/>
    </row>
    <row r="76" spans="4:4" ht="15.75" customHeight="1">
      <c r="D76" s="6"/>
    </row>
    <row r="77" spans="4:4" ht="15.75" customHeight="1">
      <c r="D77" s="6"/>
    </row>
    <row r="78" spans="4:4" ht="15.75" customHeight="1">
      <c r="D78" s="6"/>
    </row>
    <row r="79" spans="4:4" ht="15.75" customHeight="1">
      <c r="D79" s="6"/>
    </row>
    <row r="80" spans="4:4" ht="15.75" customHeight="1">
      <c r="D80" s="6"/>
    </row>
    <row r="81" spans="4:4" ht="15.75" customHeight="1">
      <c r="D81" s="6"/>
    </row>
    <row r="82" spans="4:4" ht="15.75" customHeight="1">
      <c r="D82" s="6"/>
    </row>
    <row r="83" spans="4:4" ht="15.75" customHeight="1">
      <c r="D83" s="6"/>
    </row>
    <row r="84" spans="4:4" ht="15.75" customHeight="1">
      <c r="D84" s="6"/>
    </row>
    <row r="85" spans="4:4" ht="15.75" customHeight="1">
      <c r="D85" s="6"/>
    </row>
    <row r="86" spans="4:4" ht="15.75" customHeight="1">
      <c r="D86" s="6"/>
    </row>
    <row r="87" spans="4:4" ht="15.75" customHeight="1">
      <c r="D87" s="6"/>
    </row>
    <row r="88" spans="4:4" ht="15.75" customHeight="1">
      <c r="D88" s="6"/>
    </row>
    <row r="89" spans="4:4" ht="15.75" customHeight="1">
      <c r="D89" s="6"/>
    </row>
    <row r="90" spans="4:4" ht="15.75" customHeight="1">
      <c r="D90" s="6"/>
    </row>
    <row r="91" spans="4:4" ht="15.75" customHeight="1">
      <c r="D91" s="6"/>
    </row>
    <row r="92" spans="4:4" ht="15.75" customHeight="1">
      <c r="D92" s="6"/>
    </row>
    <row r="93" spans="4:4" ht="15.75" customHeight="1">
      <c r="D93" s="6"/>
    </row>
    <row r="94" spans="4:4" ht="15.75" customHeight="1">
      <c r="D94" s="6"/>
    </row>
    <row r="95" spans="4:4" ht="15.75" customHeight="1">
      <c r="D95" s="6"/>
    </row>
    <row r="96" spans="4:4" ht="15.75" customHeight="1">
      <c r="D96" s="6"/>
    </row>
    <row r="97" spans="4:4" ht="15.75" customHeight="1">
      <c r="D97" s="6"/>
    </row>
    <row r="98" spans="4:4" ht="15.75" customHeight="1">
      <c r="D98" s="6"/>
    </row>
    <row r="99" spans="4:4" ht="15.75" customHeight="1">
      <c r="D99" s="6"/>
    </row>
    <row r="100" spans="4:4" ht="15.75" customHeight="1">
      <c r="D100" s="6"/>
    </row>
    <row r="101" spans="4:4" ht="15.75" customHeight="1">
      <c r="D101" s="6"/>
    </row>
    <row r="102" spans="4:4" ht="15.75" customHeight="1">
      <c r="D102" s="6"/>
    </row>
    <row r="103" spans="4:4" ht="15.75" customHeight="1">
      <c r="D103" s="6"/>
    </row>
    <row r="104" spans="4:4" ht="15.75" customHeight="1">
      <c r="D104" s="6"/>
    </row>
    <row r="105" spans="4:4" ht="15.75" customHeight="1">
      <c r="D105" s="6"/>
    </row>
    <row r="106" spans="4:4" ht="15.75" customHeight="1">
      <c r="D106" s="6"/>
    </row>
    <row r="107" spans="4:4" ht="15.75" customHeight="1">
      <c r="D107" s="6"/>
    </row>
    <row r="108" spans="4:4" ht="15.75" customHeight="1">
      <c r="D108" s="6"/>
    </row>
    <row r="109" spans="4:4" ht="15.75" customHeight="1">
      <c r="D109" s="6"/>
    </row>
    <row r="110" spans="4:4" ht="15.75" customHeight="1">
      <c r="D110" s="6"/>
    </row>
    <row r="111" spans="4:4" ht="15.75" customHeight="1">
      <c r="D111" s="6"/>
    </row>
    <row r="112" spans="4:4" ht="15.75" customHeight="1">
      <c r="D112" s="6"/>
    </row>
    <row r="113" spans="4:4" ht="15.75" customHeight="1">
      <c r="D113" s="6"/>
    </row>
    <row r="114" spans="4:4" ht="15.75" customHeight="1">
      <c r="D114" s="6"/>
    </row>
    <row r="115" spans="4:4" ht="15.75" customHeight="1">
      <c r="D115" s="6"/>
    </row>
    <row r="116" spans="4:4" ht="15.75" customHeight="1">
      <c r="D116" s="6"/>
    </row>
    <row r="117" spans="4:4" ht="15.75" customHeight="1">
      <c r="D117" s="6"/>
    </row>
    <row r="118" spans="4:4" ht="15.75" customHeight="1">
      <c r="D118" s="6"/>
    </row>
    <row r="119" spans="4:4" ht="15.75" customHeight="1">
      <c r="D119" s="6"/>
    </row>
    <row r="120" spans="4:4" ht="15.75" customHeight="1">
      <c r="D120" s="6"/>
    </row>
    <row r="121" spans="4:4" ht="15.75" customHeight="1">
      <c r="D121" s="6"/>
    </row>
    <row r="122" spans="4:4" ht="15.75" customHeight="1">
      <c r="D122" s="6"/>
    </row>
    <row r="123" spans="4:4" ht="15.75" customHeight="1">
      <c r="D123" s="6"/>
    </row>
    <row r="124" spans="4:4" ht="15.75" customHeight="1">
      <c r="D124" s="6"/>
    </row>
    <row r="125" spans="4:4" ht="15.75" customHeight="1">
      <c r="D125" s="6"/>
    </row>
    <row r="126" spans="4:4" ht="15.75" customHeight="1">
      <c r="D126" s="6"/>
    </row>
    <row r="127" spans="4:4" ht="15.75" customHeight="1">
      <c r="D127" s="6"/>
    </row>
    <row r="128" spans="4:4" ht="15.75" customHeight="1">
      <c r="D128" s="6"/>
    </row>
    <row r="129" spans="4:4" ht="15.75" customHeight="1">
      <c r="D129" s="6"/>
    </row>
    <row r="130" spans="4:4" ht="15.75" customHeight="1">
      <c r="D130" s="6"/>
    </row>
    <row r="131" spans="4:4" ht="15.75" customHeight="1">
      <c r="D131" s="6"/>
    </row>
    <row r="132" spans="4:4" ht="15.75" customHeight="1">
      <c r="D132" s="6"/>
    </row>
    <row r="133" spans="4:4" ht="15.75" customHeight="1">
      <c r="D133" s="6"/>
    </row>
    <row r="134" spans="4:4" ht="15.75" customHeight="1">
      <c r="D134" s="6"/>
    </row>
    <row r="135" spans="4:4" ht="15.75" customHeight="1">
      <c r="D135" s="6"/>
    </row>
    <row r="136" spans="4:4" ht="15.75" customHeight="1">
      <c r="D136" s="6"/>
    </row>
    <row r="137" spans="4:4" ht="15.75" customHeight="1">
      <c r="D137" s="6"/>
    </row>
    <row r="138" spans="4:4" ht="15.75" customHeight="1">
      <c r="D138" s="6"/>
    </row>
    <row r="139" spans="4:4" ht="15.75" customHeight="1">
      <c r="D139" s="6"/>
    </row>
    <row r="140" spans="4:4" ht="15.75" customHeight="1">
      <c r="D140" s="6"/>
    </row>
    <row r="141" spans="4:4" ht="15.75" customHeight="1">
      <c r="D141" s="6"/>
    </row>
    <row r="142" spans="4:4" ht="15.75" customHeight="1">
      <c r="D142" s="6"/>
    </row>
    <row r="143" spans="4:4" ht="15.75" customHeight="1">
      <c r="D143" s="6"/>
    </row>
    <row r="144" spans="4:4" ht="15.75" customHeight="1">
      <c r="D144" s="6"/>
    </row>
    <row r="145" spans="4:4" ht="15.75" customHeight="1">
      <c r="D145" s="6"/>
    </row>
    <row r="146" spans="4:4" ht="15.75" customHeight="1">
      <c r="D146" s="6"/>
    </row>
    <row r="147" spans="4:4" ht="15.75" customHeight="1">
      <c r="D147" s="6"/>
    </row>
    <row r="148" spans="4:4" ht="15.75" customHeight="1">
      <c r="D148" s="6"/>
    </row>
    <row r="149" spans="4:4" ht="15.75" customHeight="1">
      <c r="D149" s="6"/>
    </row>
    <row r="150" spans="4:4" ht="15.75" customHeight="1">
      <c r="D150" s="6"/>
    </row>
    <row r="151" spans="4:4" ht="15.75" customHeight="1">
      <c r="D151" s="6"/>
    </row>
    <row r="152" spans="4:4" ht="15.75" customHeight="1">
      <c r="D152" s="6"/>
    </row>
    <row r="153" spans="4:4" ht="15.75" customHeight="1">
      <c r="D153" s="6"/>
    </row>
    <row r="154" spans="4:4" ht="15.75" customHeight="1">
      <c r="D154" s="6"/>
    </row>
    <row r="155" spans="4:4" ht="15.75" customHeight="1">
      <c r="D155" s="6"/>
    </row>
    <row r="156" spans="4:4" ht="15.75" customHeight="1">
      <c r="D156" s="6"/>
    </row>
    <row r="157" spans="4:4" ht="15.75" customHeight="1">
      <c r="D157" s="6"/>
    </row>
    <row r="158" spans="4:4" ht="15.75" customHeight="1">
      <c r="D158" s="6"/>
    </row>
    <row r="159" spans="4:4" ht="15.75" customHeight="1">
      <c r="D159" s="6"/>
    </row>
    <row r="160" spans="4:4" ht="15.75" customHeight="1">
      <c r="D160" s="6"/>
    </row>
    <row r="161" spans="4:4" ht="15.75" customHeight="1">
      <c r="D161" s="6"/>
    </row>
    <row r="162" spans="4:4" ht="15.75" customHeight="1">
      <c r="D162" s="6"/>
    </row>
    <row r="163" spans="4:4" ht="15.75" customHeight="1">
      <c r="D163" s="6"/>
    </row>
    <row r="164" spans="4:4" ht="15.75" customHeight="1">
      <c r="D164" s="6"/>
    </row>
    <row r="165" spans="4:4" ht="15.75" customHeight="1">
      <c r="D165" s="6"/>
    </row>
    <row r="166" spans="4:4" ht="15.75" customHeight="1">
      <c r="D166" s="6"/>
    </row>
    <row r="167" spans="4:4" ht="15.75" customHeight="1">
      <c r="D167" s="6"/>
    </row>
    <row r="168" spans="4:4" ht="15.75" customHeight="1">
      <c r="D168" s="6"/>
    </row>
    <row r="169" spans="4:4" ht="15.75" customHeight="1">
      <c r="D169" s="6"/>
    </row>
    <row r="170" spans="4:4" ht="15.75" customHeight="1">
      <c r="D170" s="6"/>
    </row>
    <row r="171" spans="4:4" ht="15.75" customHeight="1">
      <c r="D171" s="6"/>
    </row>
    <row r="172" spans="4:4" ht="15.75" customHeight="1">
      <c r="D172" s="6"/>
    </row>
    <row r="173" spans="4:4" ht="15.75" customHeight="1">
      <c r="D173" s="6"/>
    </row>
    <row r="174" spans="4:4" ht="15.75" customHeight="1">
      <c r="D174" s="6"/>
    </row>
    <row r="175" spans="4:4" ht="15.75" customHeight="1">
      <c r="D175" s="6"/>
    </row>
    <row r="176" spans="4:4" ht="15.75" customHeight="1">
      <c r="D176" s="6"/>
    </row>
    <row r="177" spans="4:4" ht="15.75" customHeight="1">
      <c r="D177" s="6"/>
    </row>
    <row r="178" spans="4:4" ht="15.75" customHeight="1">
      <c r="D178" s="6"/>
    </row>
    <row r="179" spans="4:4" ht="15.75" customHeight="1">
      <c r="D179" s="6"/>
    </row>
    <row r="180" spans="4:4" ht="15.75" customHeight="1">
      <c r="D180" s="6"/>
    </row>
    <row r="181" spans="4:4" ht="15.75" customHeight="1">
      <c r="D181" s="6"/>
    </row>
    <row r="182" spans="4:4" ht="15.75" customHeight="1">
      <c r="D182" s="6"/>
    </row>
    <row r="183" spans="4:4" ht="15.75" customHeight="1">
      <c r="D183" s="6"/>
    </row>
    <row r="184" spans="4:4" ht="15.75" customHeight="1">
      <c r="D184" s="6"/>
    </row>
    <row r="185" spans="4:4" ht="15.75" customHeight="1">
      <c r="D185" s="6"/>
    </row>
    <row r="186" spans="4:4" ht="15.75" customHeight="1">
      <c r="D186" s="6"/>
    </row>
    <row r="187" spans="4:4" ht="15.75" customHeight="1">
      <c r="D187" s="6"/>
    </row>
    <row r="188" spans="4:4" ht="15.75" customHeight="1">
      <c r="D188" s="6"/>
    </row>
    <row r="189" spans="4:4" ht="15.75" customHeight="1">
      <c r="D189" s="6"/>
    </row>
    <row r="190" spans="4:4" ht="15.75" customHeight="1">
      <c r="D190" s="6"/>
    </row>
    <row r="191" spans="4:4" ht="15.75" customHeight="1">
      <c r="D191" s="6"/>
    </row>
    <row r="192" spans="4:4" ht="15.75" customHeight="1">
      <c r="D192" s="6"/>
    </row>
    <row r="193" spans="4:4" ht="15.75" customHeight="1">
      <c r="D193" s="6"/>
    </row>
    <row r="194" spans="4:4" ht="15.75" customHeight="1">
      <c r="D194" s="6"/>
    </row>
    <row r="195" spans="4:4" ht="15.75" customHeight="1">
      <c r="D195" s="6"/>
    </row>
    <row r="196" spans="4:4" ht="15.75" customHeight="1">
      <c r="D196" s="6"/>
    </row>
    <row r="197" spans="4:4" ht="15.75" customHeight="1">
      <c r="D197" s="6"/>
    </row>
    <row r="198" spans="4:4" ht="15.75" customHeight="1">
      <c r="D198" s="6"/>
    </row>
    <row r="199" spans="4:4" ht="15.75" customHeight="1">
      <c r="D199" s="6"/>
    </row>
    <row r="200" spans="4:4" ht="15.75" customHeight="1">
      <c r="D200" s="6"/>
    </row>
    <row r="201" spans="4:4" ht="15.75" customHeight="1">
      <c r="D201" s="6"/>
    </row>
    <row r="202" spans="4:4" ht="15.75" customHeight="1">
      <c r="D202" s="6"/>
    </row>
    <row r="203" spans="4:4" ht="15.75" customHeight="1">
      <c r="D203" s="6"/>
    </row>
    <row r="204" spans="4:4" ht="15.75" customHeight="1">
      <c r="D204" s="6"/>
    </row>
    <row r="205" spans="4:4" ht="15.75" customHeight="1">
      <c r="D205" s="6"/>
    </row>
    <row r="206" spans="4:4" ht="15.75" customHeight="1">
      <c r="D206" s="6"/>
    </row>
    <row r="207" spans="4:4" ht="15.75" customHeight="1">
      <c r="D207" s="6"/>
    </row>
    <row r="208" spans="4:4" ht="15.75" customHeight="1">
      <c r="D208" s="6"/>
    </row>
    <row r="209" spans="4:4" ht="15.75" customHeight="1">
      <c r="D209" s="6"/>
    </row>
    <row r="210" spans="4:4" ht="15.75" customHeight="1">
      <c r="D210" s="6"/>
    </row>
    <row r="211" spans="4:4" ht="15.75" customHeight="1">
      <c r="D211" s="6"/>
    </row>
    <row r="212" spans="4:4" ht="15.75" customHeight="1">
      <c r="D212" s="6"/>
    </row>
    <row r="213" spans="4:4" ht="15.75" customHeight="1">
      <c r="D213" s="6"/>
    </row>
    <row r="214" spans="4:4" ht="15.75" customHeight="1">
      <c r="D214" s="6"/>
    </row>
    <row r="215" spans="4:4" ht="15.75" customHeight="1">
      <c r="D215" s="6"/>
    </row>
    <row r="216" spans="4:4" ht="15.75" customHeight="1">
      <c r="D216" s="6"/>
    </row>
    <row r="217" spans="4:4" ht="15.75" customHeight="1">
      <c r="D217" s="6"/>
    </row>
    <row r="218" spans="4:4" ht="15.75" customHeight="1">
      <c r="D218" s="6"/>
    </row>
    <row r="219" spans="4:4" ht="15.75" customHeight="1">
      <c r="D219" s="6"/>
    </row>
    <row r="220" spans="4:4" ht="15.75" customHeight="1">
      <c r="D220" s="6"/>
    </row>
    <row r="221" spans="4:4" ht="15.75" customHeight="1">
      <c r="D221" s="6"/>
    </row>
    <row r="222" spans="4:4" ht="15.75" customHeight="1">
      <c r="D222" s="6"/>
    </row>
    <row r="223" spans="4:4" ht="15.75" customHeight="1">
      <c r="D223" s="6"/>
    </row>
    <row r="224" spans="4:4" ht="15.75" customHeight="1">
      <c r="D224" s="6"/>
    </row>
    <row r="225" spans="4:4" ht="15.75" customHeight="1">
      <c r="D225" s="6"/>
    </row>
    <row r="226" spans="4:4" ht="15.75" customHeight="1">
      <c r="D226" s="6"/>
    </row>
    <row r="227" spans="4:4" ht="15.75" customHeight="1">
      <c r="D227" s="6"/>
    </row>
    <row r="228" spans="4:4" ht="15.75" customHeight="1">
      <c r="D228" s="6"/>
    </row>
    <row r="229" spans="4:4" ht="15.75" customHeight="1">
      <c r="D229" s="6"/>
    </row>
    <row r="230" spans="4:4" ht="15.75" customHeight="1">
      <c r="D230" s="6"/>
    </row>
    <row r="231" spans="4:4" ht="15.75" customHeight="1">
      <c r="D231" s="6"/>
    </row>
    <row r="232" spans="4:4" ht="15.75" customHeight="1">
      <c r="D232" s="6"/>
    </row>
    <row r="233" spans="4:4" ht="15.75" customHeight="1">
      <c r="D233" s="6"/>
    </row>
    <row r="234" spans="4:4" ht="15.75" customHeight="1">
      <c r="D234" s="6"/>
    </row>
    <row r="235" spans="4:4" ht="15.75" customHeight="1">
      <c r="D235" s="6"/>
    </row>
    <row r="236" spans="4:4" ht="15.75" customHeight="1">
      <c r="D236" s="6"/>
    </row>
    <row r="237" spans="4:4" ht="15.75" customHeight="1">
      <c r="D237" s="6"/>
    </row>
    <row r="238" spans="4:4" ht="15.75" customHeight="1">
      <c r="D238" s="6"/>
    </row>
    <row r="239" spans="4:4" ht="15.75" customHeight="1">
      <c r="D239" s="6"/>
    </row>
    <row r="240" spans="4:4" ht="15.75" customHeight="1">
      <c r="D240" s="6"/>
    </row>
    <row r="241" spans="4:4" ht="15.75" customHeight="1">
      <c r="D241" s="6"/>
    </row>
    <row r="242" spans="4:4" ht="15.75" customHeight="1">
      <c r="D242" s="6"/>
    </row>
    <row r="243" spans="4:4" ht="15.75" customHeight="1">
      <c r="D243" s="6"/>
    </row>
    <row r="244" spans="4:4" ht="15.75" customHeight="1">
      <c r="D244" s="6"/>
    </row>
    <row r="245" spans="4:4" ht="15.75" customHeight="1">
      <c r="D245" s="6"/>
    </row>
    <row r="246" spans="4:4" ht="15.75" customHeight="1">
      <c r="D246" s="6"/>
    </row>
    <row r="247" spans="4:4" ht="15.75" customHeight="1">
      <c r="D247" s="6"/>
    </row>
    <row r="248" spans="4:4" ht="15.75" customHeight="1">
      <c r="D248" s="6"/>
    </row>
    <row r="249" spans="4:4" ht="15.75" customHeight="1">
      <c r="D249" s="6"/>
    </row>
    <row r="250" spans="4:4" ht="15.75" customHeight="1">
      <c r="D250" s="6"/>
    </row>
    <row r="251" spans="4:4" ht="15.75" customHeight="1">
      <c r="D251" s="6"/>
    </row>
    <row r="252" spans="4:4" ht="15.75" customHeight="1">
      <c r="D252" s="6"/>
    </row>
    <row r="253" spans="4:4" ht="15.75" customHeight="1">
      <c r="D253" s="6"/>
    </row>
    <row r="254" spans="4:4" ht="15.75" customHeight="1">
      <c r="D254" s="6"/>
    </row>
    <row r="255" spans="4:4" ht="15.75" customHeight="1">
      <c r="D255" s="6"/>
    </row>
    <row r="256" spans="4:4" ht="15.75" customHeight="1">
      <c r="D256" s="6"/>
    </row>
    <row r="257" spans="4:4" ht="15.75" customHeight="1">
      <c r="D257" s="6"/>
    </row>
    <row r="258" spans="4:4" ht="15.75" customHeight="1">
      <c r="D258" s="6"/>
    </row>
    <row r="259" spans="4:4" ht="15.75" customHeight="1">
      <c r="D259" s="6"/>
    </row>
    <row r="260" spans="4:4" ht="15.75" customHeight="1">
      <c r="D260" s="6"/>
    </row>
    <row r="261" spans="4:4" ht="15.75" customHeight="1">
      <c r="D261" s="6"/>
    </row>
    <row r="262" spans="4:4" ht="15.75" customHeight="1">
      <c r="D262" s="6"/>
    </row>
    <row r="263" spans="4:4" ht="15.75" customHeight="1">
      <c r="D263" s="6"/>
    </row>
    <row r="264" spans="4:4" ht="15.75" customHeight="1">
      <c r="D264" s="6"/>
    </row>
    <row r="265" spans="4:4" ht="15.75" customHeight="1">
      <c r="D265" s="6"/>
    </row>
    <row r="266" spans="4:4" ht="15.75" customHeight="1">
      <c r="D266" s="6"/>
    </row>
    <row r="267" spans="4:4" ht="15.75" customHeight="1">
      <c r="D267" s="6"/>
    </row>
    <row r="268" spans="4:4" ht="15.75" customHeight="1">
      <c r="D268" s="6"/>
    </row>
    <row r="269" spans="4:4" ht="15.75" customHeight="1">
      <c r="D269" s="6"/>
    </row>
    <row r="270" spans="4:4" ht="15.75" customHeight="1">
      <c r="D270" s="6"/>
    </row>
    <row r="271" spans="4:4" ht="15.75" customHeight="1">
      <c r="D271" s="6"/>
    </row>
    <row r="272" spans="4:4" ht="15.75" customHeight="1">
      <c r="D272" s="6"/>
    </row>
    <row r="273" spans="4:4" ht="15.75" customHeight="1">
      <c r="D273" s="6"/>
    </row>
    <row r="274" spans="4:4" ht="15.75" customHeight="1">
      <c r="D274" s="6"/>
    </row>
    <row r="275" spans="4:4" ht="15.75" customHeight="1">
      <c r="D275" s="6"/>
    </row>
    <row r="276" spans="4:4" ht="15.75" customHeight="1">
      <c r="D276" s="6"/>
    </row>
    <row r="277" spans="4:4" ht="15.75" customHeight="1">
      <c r="D277" s="6"/>
    </row>
    <row r="278" spans="4:4" ht="15.75" customHeight="1">
      <c r="D278" s="6"/>
    </row>
    <row r="279" spans="4:4" ht="15.75" customHeight="1">
      <c r="D279" s="6"/>
    </row>
    <row r="280" spans="4:4" ht="15.75" customHeight="1">
      <c r="D280" s="6"/>
    </row>
    <row r="281" spans="4:4" ht="15.75" customHeight="1">
      <c r="D281" s="6"/>
    </row>
    <row r="282" spans="4:4" ht="15.75" customHeight="1">
      <c r="D282" s="6"/>
    </row>
    <row r="283" spans="4:4" ht="15.75" customHeight="1">
      <c r="D283" s="6"/>
    </row>
    <row r="284" spans="4:4" ht="15.75" customHeight="1">
      <c r="D284" s="6"/>
    </row>
    <row r="285" spans="4:4" ht="15.75" customHeight="1">
      <c r="D285" s="6"/>
    </row>
    <row r="286" spans="4:4" ht="15.75" customHeight="1">
      <c r="D286" s="6"/>
    </row>
    <row r="287" spans="4:4" ht="15.75" customHeight="1">
      <c r="D287" s="6"/>
    </row>
    <row r="288" spans="4:4" ht="15.75" customHeight="1">
      <c r="D288" s="6"/>
    </row>
    <row r="289" spans="4:4" ht="15.75" customHeight="1">
      <c r="D289" s="6"/>
    </row>
    <row r="290" spans="4:4" ht="15.75" customHeight="1">
      <c r="D290" s="6"/>
    </row>
    <row r="291" spans="4:4" ht="15.75" customHeight="1">
      <c r="D291" s="6"/>
    </row>
    <row r="292" spans="4:4" ht="15.75" customHeight="1">
      <c r="D292" s="6"/>
    </row>
    <row r="293" spans="4:4" ht="15.75" customHeight="1">
      <c r="D293" s="6"/>
    </row>
    <row r="294" spans="4:4" ht="15.75" customHeight="1">
      <c r="D294" s="6"/>
    </row>
    <row r="295" spans="4:4" ht="15.75" customHeight="1">
      <c r="D295" s="6"/>
    </row>
    <row r="296" spans="4:4" ht="15.75" customHeight="1">
      <c r="D296" s="6"/>
    </row>
    <row r="297" spans="4:4" ht="15.75" customHeight="1">
      <c r="D297" s="6"/>
    </row>
    <row r="298" spans="4:4" ht="15.75" customHeight="1">
      <c r="D298" s="6"/>
    </row>
    <row r="299" spans="4:4" ht="15.75" customHeight="1">
      <c r="D299" s="6"/>
    </row>
    <row r="300" spans="4:4" ht="15.75" customHeight="1">
      <c r="D300" s="6"/>
    </row>
    <row r="301" spans="4:4" ht="15.75" customHeight="1">
      <c r="D301" s="6"/>
    </row>
    <row r="302" spans="4:4" ht="15.75" customHeight="1">
      <c r="D302" s="6"/>
    </row>
    <row r="303" spans="4:4" ht="15.75" customHeight="1">
      <c r="D303" s="6"/>
    </row>
    <row r="304" spans="4:4" ht="15.75" customHeight="1">
      <c r="D304" s="6"/>
    </row>
    <row r="305" spans="4:4" ht="15.75" customHeight="1">
      <c r="D305" s="6"/>
    </row>
    <row r="306" spans="4:4" ht="15.75" customHeight="1">
      <c r="D306" s="6"/>
    </row>
    <row r="307" spans="4:4" ht="15.75" customHeight="1">
      <c r="D307" s="6"/>
    </row>
    <row r="308" spans="4:4" ht="15.75" customHeight="1">
      <c r="D308" s="6"/>
    </row>
    <row r="309" spans="4:4" ht="15.75" customHeight="1">
      <c r="D309" s="6"/>
    </row>
    <row r="310" spans="4:4" ht="15.75" customHeight="1">
      <c r="D310" s="6"/>
    </row>
    <row r="311" spans="4:4" ht="15.75" customHeight="1">
      <c r="D311" s="6"/>
    </row>
    <row r="312" spans="4:4" ht="15.75" customHeight="1">
      <c r="D312" s="6"/>
    </row>
    <row r="313" spans="4:4" ht="15.75" customHeight="1">
      <c r="D313" s="6"/>
    </row>
    <row r="314" spans="4:4" ht="15.75" customHeight="1">
      <c r="D314" s="6"/>
    </row>
    <row r="315" spans="4:4" ht="15.75" customHeight="1">
      <c r="D315" s="6"/>
    </row>
    <row r="316" spans="4:4" ht="15.75" customHeight="1">
      <c r="D316" s="6"/>
    </row>
    <row r="317" spans="4:4" ht="15.75" customHeight="1">
      <c r="D317" s="6"/>
    </row>
    <row r="318" spans="4:4" ht="15.75" customHeight="1">
      <c r="D318" s="6"/>
    </row>
    <row r="319" spans="4:4" ht="15.75" customHeight="1">
      <c r="D319" s="6"/>
    </row>
    <row r="320" spans="4:4" ht="15.75" customHeight="1">
      <c r="D320" s="6"/>
    </row>
    <row r="321" spans="4:4" ht="15.75" customHeight="1">
      <c r="D321" s="6"/>
    </row>
    <row r="322" spans="4:4" ht="15.75" customHeight="1">
      <c r="D322" s="6"/>
    </row>
    <row r="323" spans="4:4" ht="15.75" customHeight="1">
      <c r="D323" s="6"/>
    </row>
    <row r="324" spans="4:4" ht="15.75" customHeight="1">
      <c r="D324" s="6"/>
    </row>
    <row r="325" spans="4:4" ht="15.75" customHeight="1">
      <c r="D325" s="6"/>
    </row>
    <row r="326" spans="4:4" ht="15.75" customHeight="1">
      <c r="D326" s="6"/>
    </row>
    <row r="327" spans="4:4" ht="15.75" customHeight="1">
      <c r="D327" s="6"/>
    </row>
    <row r="328" spans="4:4" ht="15.75" customHeight="1">
      <c r="D328" s="6"/>
    </row>
    <row r="329" spans="4:4" ht="15.75" customHeight="1">
      <c r="D329" s="6"/>
    </row>
    <row r="330" spans="4:4" ht="15.75" customHeight="1">
      <c r="D330" s="6"/>
    </row>
    <row r="331" spans="4:4" ht="15.75" customHeight="1">
      <c r="D331" s="6"/>
    </row>
    <row r="332" spans="4:4" ht="15.75" customHeight="1">
      <c r="D332" s="6"/>
    </row>
    <row r="333" spans="4:4" ht="15.75" customHeight="1">
      <c r="D333" s="6"/>
    </row>
    <row r="334" spans="4:4" ht="15.75" customHeight="1">
      <c r="D334" s="6"/>
    </row>
    <row r="335" spans="4:4" ht="15.75" customHeight="1">
      <c r="D335" s="6"/>
    </row>
    <row r="336" spans="4:4" ht="15.75" customHeight="1">
      <c r="D336" s="6"/>
    </row>
    <row r="337" spans="4:4" ht="15.75" customHeight="1">
      <c r="D337" s="6"/>
    </row>
    <row r="338" spans="4:4" ht="15.75" customHeight="1">
      <c r="D338" s="6"/>
    </row>
    <row r="339" spans="4:4" ht="15.75" customHeight="1">
      <c r="D339" s="6"/>
    </row>
    <row r="340" spans="4:4" ht="15.75" customHeight="1">
      <c r="D340" s="6"/>
    </row>
    <row r="341" spans="4:4" ht="15.75" customHeight="1">
      <c r="D341" s="6"/>
    </row>
    <row r="342" spans="4:4" ht="15.75" customHeight="1">
      <c r="D342" s="6"/>
    </row>
    <row r="343" spans="4:4" ht="15.75" customHeight="1">
      <c r="D343" s="6"/>
    </row>
    <row r="344" spans="4:4" ht="15.75" customHeight="1">
      <c r="D344" s="6"/>
    </row>
    <row r="345" spans="4:4" ht="15.75" customHeight="1">
      <c r="D345" s="6"/>
    </row>
    <row r="346" spans="4:4" ht="15.75" customHeight="1">
      <c r="D346" s="6"/>
    </row>
    <row r="347" spans="4:4" ht="15.75" customHeight="1">
      <c r="D347" s="6"/>
    </row>
    <row r="348" spans="4:4" ht="15.75" customHeight="1">
      <c r="D348" s="6"/>
    </row>
    <row r="349" spans="4:4" ht="15.75" customHeight="1">
      <c r="D349" s="6"/>
    </row>
    <row r="350" spans="4:4" ht="15.75" customHeight="1">
      <c r="D350" s="6"/>
    </row>
    <row r="351" spans="4:4" ht="15.75" customHeight="1">
      <c r="D351" s="6"/>
    </row>
    <row r="352" spans="4:4" ht="15.75" customHeight="1">
      <c r="D352" s="6"/>
    </row>
    <row r="353" spans="4:4" ht="15.75" customHeight="1">
      <c r="D353" s="6"/>
    </row>
    <row r="354" spans="4:4" ht="15.75" customHeight="1">
      <c r="D354" s="6"/>
    </row>
    <row r="355" spans="4:4" ht="15.75" customHeight="1">
      <c r="D355" s="6"/>
    </row>
    <row r="356" spans="4:4" ht="15.75" customHeight="1">
      <c r="D356" s="6"/>
    </row>
    <row r="357" spans="4:4" ht="15.75" customHeight="1">
      <c r="D357" s="6"/>
    </row>
    <row r="358" spans="4:4" ht="15.75" customHeight="1">
      <c r="D358" s="6"/>
    </row>
    <row r="359" spans="4:4" ht="15.75" customHeight="1">
      <c r="D359" s="6"/>
    </row>
    <row r="360" spans="4:4" ht="15.75" customHeight="1">
      <c r="D360" s="6"/>
    </row>
    <row r="361" spans="4:4" ht="15.75" customHeight="1">
      <c r="D361" s="6"/>
    </row>
    <row r="362" spans="4:4" ht="15.75" customHeight="1">
      <c r="D362" s="6"/>
    </row>
    <row r="363" spans="4:4" ht="15.75" customHeight="1">
      <c r="D363" s="6"/>
    </row>
    <row r="364" spans="4:4" ht="15.75" customHeight="1">
      <c r="D364" s="6"/>
    </row>
    <row r="365" spans="4:4" ht="15.75" customHeight="1">
      <c r="D365" s="6"/>
    </row>
    <row r="366" spans="4:4" ht="15.75" customHeight="1">
      <c r="D366" s="6"/>
    </row>
    <row r="367" spans="4:4" ht="15.75" customHeight="1">
      <c r="D367" s="6"/>
    </row>
    <row r="368" spans="4:4" ht="15.75" customHeight="1">
      <c r="D368" s="6"/>
    </row>
    <row r="369" spans="4:4" ht="15.75" customHeight="1">
      <c r="D369" s="6"/>
    </row>
    <row r="370" spans="4:4" ht="15.75" customHeight="1">
      <c r="D370" s="6"/>
    </row>
    <row r="371" spans="4:4" ht="15.75" customHeight="1">
      <c r="D371" s="6"/>
    </row>
    <row r="372" spans="4:4" ht="15.75" customHeight="1">
      <c r="D372" s="6"/>
    </row>
    <row r="373" spans="4:4" ht="15.75" customHeight="1">
      <c r="D373" s="6"/>
    </row>
    <row r="374" spans="4:4" ht="15.75" customHeight="1">
      <c r="D374" s="6"/>
    </row>
    <row r="375" spans="4:4" ht="15.75" customHeight="1">
      <c r="D375" s="6"/>
    </row>
    <row r="376" spans="4:4" ht="15.75" customHeight="1">
      <c r="D376" s="6"/>
    </row>
    <row r="377" spans="4:4" ht="15.75" customHeight="1">
      <c r="D377" s="6"/>
    </row>
    <row r="378" spans="4:4" ht="15.75" customHeight="1">
      <c r="D378" s="6"/>
    </row>
    <row r="379" spans="4:4" ht="15.75" customHeight="1">
      <c r="D379" s="6"/>
    </row>
    <row r="380" spans="4:4" ht="15.75" customHeight="1">
      <c r="D380" s="6"/>
    </row>
    <row r="381" spans="4:4" ht="15.75" customHeight="1">
      <c r="D381" s="6"/>
    </row>
    <row r="382" spans="4:4" ht="15.75" customHeight="1">
      <c r="D382" s="6"/>
    </row>
    <row r="383" spans="4:4" ht="15.75" customHeight="1">
      <c r="D383" s="6"/>
    </row>
    <row r="384" spans="4:4" ht="15.75" customHeight="1">
      <c r="D384" s="6"/>
    </row>
    <row r="385" spans="4:4" ht="15.75" customHeight="1">
      <c r="D385" s="6"/>
    </row>
    <row r="386" spans="4:4" ht="15.75" customHeight="1">
      <c r="D386" s="6"/>
    </row>
    <row r="387" spans="4:4" ht="15.75" customHeight="1">
      <c r="D387" s="6"/>
    </row>
    <row r="388" spans="4:4" ht="15.75" customHeight="1">
      <c r="D388" s="6"/>
    </row>
    <row r="389" spans="4:4" ht="15.75" customHeight="1">
      <c r="D389" s="6"/>
    </row>
    <row r="390" spans="4:4" ht="15.75" customHeight="1">
      <c r="D390" s="6"/>
    </row>
    <row r="391" spans="4:4" ht="15.75" customHeight="1">
      <c r="D391" s="6"/>
    </row>
    <row r="392" spans="4:4" ht="15.75" customHeight="1">
      <c r="D392" s="6"/>
    </row>
    <row r="393" spans="4:4" ht="15.75" customHeight="1">
      <c r="D393" s="6"/>
    </row>
    <row r="394" spans="4:4" ht="15.75" customHeight="1">
      <c r="D394" s="6"/>
    </row>
    <row r="395" spans="4:4" ht="15.75" customHeight="1">
      <c r="D395" s="6"/>
    </row>
    <row r="396" spans="4:4" ht="15.75" customHeight="1">
      <c r="D396" s="6"/>
    </row>
    <row r="397" spans="4:4" ht="15.75" customHeight="1">
      <c r="D397" s="6"/>
    </row>
    <row r="398" spans="4:4" ht="15.75" customHeight="1">
      <c r="D398" s="6"/>
    </row>
    <row r="399" spans="4:4" ht="15.75" customHeight="1">
      <c r="D399" s="6"/>
    </row>
    <row r="400" spans="4:4" ht="15.75" customHeight="1">
      <c r="D400" s="6"/>
    </row>
    <row r="401" spans="4:4" ht="15.75" customHeight="1">
      <c r="D401" s="6"/>
    </row>
    <row r="402" spans="4:4" ht="15.75" customHeight="1">
      <c r="D402" s="6"/>
    </row>
    <row r="403" spans="4:4" ht="15.75" customHeight="1">
      <c r="D403" s="6"/>
    </row>
    <row r="404" spans="4:4" ht="15.75" customHeight="1">
      <c r="D404" s="6"/>
    </row>
    <row r="405" spans="4:4" ht="15.75" customHeight="1">
      <c r="D405" s="6"/>
    </row>
    <row r="406" spans="4:4" ht="15.75" customHeight="1">
      <c r="D406" s="6"/>
    </row>
    <row r="407" spans="4:4" ht="15.75" customHeight="1">
      <c r="D407" s="6"/>
    </row>
    <row r="408" spans="4:4" ht="15.75" customHeight="1">
      <c r="D408" s="6"/>
    </row>
    <row r="409" spans="4:4" ht="15.75" customHeight="1">
      <c r="D409" s="6"/>
    </row>
    <row r="410" spans="4:4" ht="15.75" customHeight="1">
      <c r="D410" s="6"/>
    </row>
    <row r="411" spans="4:4" ht="15.75" customHeight="1">
      <c r="D411" s="6"/>
    </row>
    <row r="412" spans="4:4" ht="15.75" customHeight="1">
      <c r="D412" s="6"/>
    </row>
    <row r="413" spans="4:4" ht="15.75" customHeight="1">
      <c r="D413" s="6"/>
    </row>
    <row r="414" spans="4:4" ht="15.75" customHeight="1">
      <c r="D414" s="6"/>
    </row>
    <row r="415" spans="4:4" ht="15.75" customHeight="1">
      <c r="D415" s="6"/>
    </row>
    <row r="416" spans="4:4" ht="15.75" customHeight="1">
      <c r="D416" s="6"/>
    </row>
    <row r="417" spans="4:4" ht="15.75" customHeight="1">
      <c r="D417" s="6"/>
    </row>
    <row r="418" spans="4:4" ht="15.75" customHeight="1">
      <c r="D418" s="6"/>
    </row>
    <row r="419" spans="4:4" ht="15.75" customHeight="1">
      <c r="D419" s="6"/>
    </row>
    <row r="420" spans="4:4" ht="15.75" customHeight="1">
      <c r="D420" s="6"/>
    </row>
    <row r="421" spans="4:4" ht="15.75" customHeight="1">
      <c r="D421" s="6"/>
    </row>
    <row r="422" spans="4:4" ht="15.75" customHeight="1">
      <c r="D422" s="6"/>
    </row>
    <row r="423" spans="4:4" ht="15.75" customHeight="1">
      <c r="D423" s="6"/>
    </row>
    <row r="424" spans="4:4" ht="15.75" customHeight="1">
      <c r="D424" s="6"/>
    </row>
    <row r="425" spans="4:4" ht="15.75" customHeight="1">
      <c r="D425" s="6"/>
    </row>
    <row r="426" spans="4:4" ht="15.75" customHeight="1">
      <c r="D426" s="6"/>
    </row>
    <row r="427" spans="4:4" ht="15.75" customHeight="1">
      <c r="D427" s="6"/>
    </row>
    <row r="428" spans="4:4" ht="15.75" customHeight="1">
      <c r="D428" s="6"/>
    </row>
    <row r="429" spans="4:4" ht="15.75" customHeight="1">
      <c r="D429" s="6"/>
    </row>
    <row r="430" spans="4:4" ht="15.75" customHeight="1">
      <c r="D430" s="6"/>
    </row>
    <row r="431" spans="4:4" ht="15.75" customHeight="1">
      <c r="D431" s="6"/>
    </row>
    <row r="432" spans="4:4" ht="15.75" customHeight="1">
      <c r="D432" s="6"/>
    </row>
    <row r="433" spans="4:4" ht="15.75" customHeight="1">
      <c r="D433" s="6"/>
    </row>
    <row r="434" spans="4:4" ht="15.75" customHeight="1">
      <c r="D434" s="6"/>
    </row>
    <row r="435" spans="4:4" ht="15.75" customHeight="1">
      <c r="D435" s="6"/>
    </row>
    <row r="436" spans="4:4" ht="15.75" customHeight="1">
      <c r="D436" s="6"/>
    </row>
    <row r="437" spans="4:4" ht="15.75" customHeight="1">
      <c r="D437" s="6"/>
    </row>
    <row r="438" spans="4:4" ht="15.75" customHeight="1">
      <c r="D438" s="6"/>
    </row>
    <row r="439" spans="4:4" ht="15.75" customHeight="1">
      <c r="D439" s="6"/>
    </row>
    <row r="440" spans="4:4" ht="15.75" customHeight="1">
      <c r="D440" s="6"/>
    </row>
    <row r="441" spans="4:4" ht="15.75" customHeight="1">
      <c r="D441" s="6"/>
    </row>
    <row r="442" spans="4:4" ht="15.75" customHeight="1">
      <c r="D442" s="6"/>
    </row>
    <row r="443" spans="4:4" ht="15.75" customHeight="1">
      <c r="D443" s="6"/>
    </row>
    <row r="444" spans="4:4" ht="15.75" customHeight="1">
      <c r="D444" s="6"/>
    </row>
    <row r="445" spans="4:4" ht="15.75" customHeight="1">
      <c r="D445" s="6"/>
    </row>
    <row r="446" spans="4:4" ht="15.75" customHeight="1">
      <c r="D446" s="6"/>
    </row>
    <row r="447" spans="4:4" ht="15.75" customHeight="1">
      <c r="D447" s="6"/>
    </row>
    <row r="448" spans="4:4" ht="15.75" customHeight="1">
      <c r="D448" s="6"/>
    </row>
    <row r="449" spans="4:4" ht="15.75" customHeight="1">
      <c r="D449" s="6"/>
    </row>
    <row r="450" spans="4:4" ht="15.75" customHeight="1">
      <c r="D450" s="6"/>
    </row>
    <row r="451" spans="4:4" ht="15.75" customHeight="1">
      <c r="D451" s="6"/>
    </row>
    <row r="452" spans="4:4" ht="15.75" customHeight="1">
      <c r="D452" s="6"/>
    </row>
    <row r="453" spans="4:4" ht="15.75" customHeight="1">
      <c r="D453" s="6"/>
    </row>
    <row r="454" spans="4:4" ht="15.75" customHeight="1">
      <c r="D454" s="6"/>
    </row>
    <row r="455" spans="4:4" ht="15.75" customHeight="1">
      <c r="D455" s="6"/>
    </row>
    <row r="456" spans="4:4" ht="15.75" customHeight="1">
      <c r="D456" s="6"/>
    </row>
    <row r="457" spans="4:4" ht="15.75" customHeight="1">
      <c r="D457" s="6"/>
    </row>
    <row r="458" spans="4:4" ht="15.75" customHeight="1">
      <c r="D458" s="6"/>
    </row>
    <row r="459" spans="4:4" ht="15.75" customHeight="1">
      <c r="D459" s="6"/>
    </row>
    <row r="460" spans="4:4" ht="15.75" customHeight="1">
      <c r="D460" s="6"/>
    </row>
    <row r="461" spans="4:4" ht="15.75" customHeight="1">
      <c r="D461" s="6"/>
    </row>
    <row r="462" spans="4:4" ht="15.75" customHeight="1">
      <c r="D462" s="6"/>
    </row>
    <row r="463" spans="4:4" ht="15.75" customHeight="1">
      <c r="D463" s="6"/>
    </row>
    <row r="464" spans="4:4" ht="15.75" customHeight="1">
      <c r="D464" s="6"/>
    </row>
    <row r="465" spans="4:4" ht="15.75" customHeight="1">
      <c r="D465" s="6"/>
    </row>
    <row r="466" spans="4:4" ht="15.75" customHeight="1">
      <c r="D466" s="6"/>
    </row>
    <row r="467" spans="4:4" ht="15.75" customHeight="1">
      <c r="D467" s="6"/>
    </row>
    <row r="468" spans="4:4" ht="15.75" customHeight="1">
      <c r="D468" s="6"/>
    </row>
    <row r="469" spans="4:4" ht="15.75" customHeight="1">
      <c r="D469" s="6"/>
    </row>
    <row r="470" spans="4:4" ht="15.75" customHeight="1">
      <c r="D470" s="6"/>
    </row>
    <row r="471" spans="4:4" ht="15.75" customHeight="1">
      <c r="D471" s="6"/>
    </row>
    <row r="472" spans="4:4" ht="15.75" customHeight="1">
      <c r="D472" s="6"/>
    </row>
    <row r="473" spans="4:4" ht="15.75" customHeight="1">
      <c r="D473" s="6"/>
    </row>
    <row r="474" spans="4:4" ht="15.75" customHeight="1">
      <c r="D474" s="6"/>
    </row>
    <row r="475" spans="4:4" ht="15.75" customHeight="1">
      <c r="D475" s="6"/>
    </row>
    <row r="476" spans="4:4" ht="15.75" customHeight="1">
      <c r="D476" s="6"/>
    </row>
    <row r="477" spans="4:4" ht="15.75" customHeight="1">
      <c r="D477" s="6"/>
    </row>
    <row r="478" spans="4:4" ht="15.75" customHeight="1">
      <c r="D478" s="6"/>
    </row>
    <row r="479" spans="4:4" ht="15.75" customHeight="1">
      <c r="D479" s="6"/>
    </row>
    <row r="480" spans="4:4" ht="15.75" customHeight="1">
      <c r="D480" s="6"/>
    </row>
    <row r="481" spans="4:4" ht="15.75" customHeight="1">
      <c r="D481" s="6"/>
    </row>
    <row r="482" spans="4:4" ht="15.75" customHeight="1">
      <c r="D482" s="6"/>
    </row>
    <row r="483" spans="4:4" ht="15.75" customHeight="1">
      <c r="D483" s="6"/>
    </row>
    <row r="484" spans="4:4" ht="15.75" customHeight="1">
      <c r="D484" s="6"/>
    </row>
    <row r="485" spans="4:4" ht="15.75" customHeight="1">
      <c r="D485" s="6"/>
    </row>
    <row r="486" spans="4:4" ht="15.75" customHeight="1">
      <c r="D486" s="6"/>
    </row>
    <row r="487" spans="4:4" ht="15.75" customHeight="1">
      <c r="D487" s="6"/>
    </row>
    <row r="488" spans="4:4" ht="15.75" customHeight="1">
      <c r="D488" s="6"/>
    </row>
    <row r="489" spans="4:4" ht="15.75" customHeight="1">
      <c r="D489" s="6"/>
    </row>
    <row r="490" spans="4:4" ht="15.75" customHeight="1">
      <c r="D490" s="6"/>
    </row>
    <row r="491" spans="4:4" ht="15.75" customHeight="1">
      <c r="D491" s="6"/>
    </row>
    <row r="492" spans="4:4" ht="15.75" customHeight="1">
      <c r="D492" s="6"/>
    </row>
    <row r="493" spans="4:4" ht="15.75" customHeight="1">
      <c r="D493" s="6"/>
    </row>
    <row r="494" spans="4:4" ht="15.75" customHeight="1">
      <c r="D494" s="6"/>
    </row>
    <row r="495" spans="4:4" ht="15.75" customHeight="1">
      <c r="D495" s="6"/>
    </row>
    <row r="496" spans="4:4" ht="15.75" customHeight="1">
      <c r="D496" s="6"/>
    </row>
    <row r="497" spans="4:4" ht="15.75" customHeight="1">
      <c r="D497" s="6"/>
    </row>
    <row r="498" spans="4:4" ht="15.75" customHeight="1">
      <c r="D498" s="6"/>
    </row>
    <row r="499" spans="4:4" ht="15.75" customHeight="1">
      <c r="D499" s="6"/>
    </row>
    <row r="500" spans="4:4" ht="15.75" customHeight="1">
      <c r="D500" s="6"/>
    </row>
    <row r="501" spans="4:4" ht="15.75" customHeight="1">
      <c r="D501" s="6"/>
    </row>
    <row r="502" spans="4:4" ht="15.75" customHeight="1">
      <c r="D502" s="6"/>
    </row>
    <row r="503" spans="4:4" ht="15.75" customHeight="1">
      <c r="D503" s="6"/>
    </row>
    <row r="504" spans="4:4" ht="15.75" customHeight="1">
      <c r="D504" s="6"/>
    </row>
    <row r="505" spans="4:4" ht="15.75" customHeight="1">
      <c r="D505" s="6"/>
    </row>
    <row r="506" spans="4:4" ht="15.75" customHeight="1">
      <c r="D506" s="6"/>
    </row>
    <row r="507" spans="4:4" ht="15.75" customHeight="1">
      <c r="D507" s="6"/>
    </row>
    <row r="508" spans="4:4" ht="15.75" customHeight="1">
      <c r="D508" s="6"/>
    </row>
    <row r="509" spans="4:4" ht="15.75" customHeight="1">
      <c r="D509" s="6"/>
    </row>
    <row r="510" spans="4:4" ht="15.75" customHeight="1">
      <c r="D510" s="6"/>
    </row>
    <row r="511" spans="4:4" ht="15.75" customHeight="1">
      <c r="D511" s="6"/>
    </row>
    <row r="512" spans="4:4" ht="15.75" customHeight="1">
      <c r="D512" s="6"/>
    </row>
    <row r="513" spans="4:4" ht="15.75" customHeight="1">
      <c r="D513" s="6"/>
    </row>
    <row r="514" spans="4:4" ht="15.75" customHeight="1">
      <c r="D514" s="6"/>
    </row>
    <row r="515" spans="4:4" ht="15.75" customHeight="1">
      <c r="D515" s="6"/>
    </row>
    <row r="516" spans="4:4" ht="15.75" customHeight="1">
      <c r="D516" s="6"/>
    </row>
    <row r="517" spans="4:4" ht="15.75" customHeight="1">
      <c r="D517" s="6"/>
    </row>
    <row r="518" spans="4:4" ht="15.75" customHeight="1">
      <c r="D518" s="6"/>
    </row>
    <row r="519" spans="4:4" ht="15.75" customHeight="1">
      <c r="D519" s="6"/>
    </row>
    <row r="520" spans="4:4" ht="15.75" customHeight="1">
      <c r="D520" s="6"/>
    </row>
    <row r="521" spans="4:4" ht="15.75" customHeight="1">
      <c r="D521" s="6"/>
    </row>
    <row r="522" spans="4:4" ht="15.75" customHeight="1">
      <c r="D522" s="6"/>
    </row>
    <row r="523" spans="4:4" ht="15.75" customHeight="1">
      <c r="D523" s="6"/>
    </row>
    <row r="524" spans="4:4" ht="15.75" customHeight="1">
      <c r="D524" s="6"/>
    </row>
    <row r="525" spans="4:4" ht="15.75" customHeight="1">
      <c r="D525" s="6"/>
    </row>
    <row r="526" spans="4:4" ht="15.75" customHeight="1">
      <c r="D526" s="6"/>
    </row>
    <row r="527" spans="4:4" ht="15.75" customHeight="1">
      <c r="D527" s="6"/>
    </row>
    <row r="528" spans="4:4" ht="15.75" customHeight="1">
      <c r="D528" s="6"/>
    </row>
    <row r="529" spans="4:4" ht="15.75" customHeight="1">
      <c r="D529" s="6"/>
    </row>
    <row r="530" spans="4:4" ht="15.75" customHeight="1">
      <c r="D530" s="6"/>
    </row>
    <row r="531" spans="4:4" ht="15.75" customHeight="1">
      <c r="D531" s="6"/>
    </row>
    <row r="532" spans="4:4" ht="15.75" customHeight="1">
      <c r="D532" s="6"/>
    </row>
    <row r="533" spans="4:4" ht="15.75" customHeight="1">
      <c r="D533" s="6"/>
    </row>
    <row r="534" spans="4:4" ht="15.75" customHeight="1">
      <c r="D534" s="6"/>
    </row>
    <row r="535" spans="4:4" ht="15.75" customHeight="1">
      <c r="D535" s="6"/>
    </row>
    <row r="536" spans="4:4" ht="15.75" customHeight="1">
      <c r="D536" s="6"/>
    </row>
    <row r="537" spans="4:4" ht="15.75" customHeight="1">
      <c r="D537" s="6"/>
    </row>
    <row r="538" spans="4:4" ht="15.75" customHeight="1">
      <c r="D538" s="6"/>
    </row>
    <row r="539" spans="4:4" ht="15.75" customHeight="1">
      <c r="D539" s="6"/>
    </row>
    <row r="540" spans="4:4" ht="15.75" customHeight="1">
      <c r="D540" s="6"/>
    </row>
    <row r="541" spans="4:4" ht="15.75" customHeight="1">
      <c r="D541" s="6"/>
    </row>
    <row r="542" spans="4:4" ht="15.75" customHeight="1">
      <c r="D542" s="6"/>
    </row>
    <row r="543" spans="4:4" ht="15.75" customHeight="1">
      <c r="D543" s="6"/>
    </row>
    <row r="544" spans="4:4" ht="15.75" customHeight="1">
      <c r="D544" s="6"/>
    </row>
    <row r="545" spans="4:4" ht="15.75" customHeight="1">
      <c r="D545" s="6"/>
    </row>
    <row r="546" spans="4:4" ht="15.75" customHeight="1">
      <c r="D546" s="6"/>
    </row>
    <row r="547" spans="4:4" ht="15.75" customHeight="1">
      <c r="D547" s="6"/>
    </row>
    <row r="548" spans="4:4" ht="15.75" customHeight="1">
      <c r="D548" s="6"/>
    </row>
    <row r="549" spans="4:4" ht="15.75" customHeight="1">
      <c r="D549" s="6"/>
    </row>
    <row r="550" spans="4:4" ht="15.75" customHeight="1">
      <c r="D550" s="6"/>
    </row>
    <row r="551" spans="4:4" ht="15.75" customHeight="1">
      <c r="D551" s="6"/>
    </row>
    <row r="552" spans="4:4" ht="15.75" customHeight="1">
      <c r="D552" s="6"/>
    </row>
    <row r="553" spans="4:4" ht="15.75" customHeight="1">
      <c r="D553" s="6"/>
    </row>
    <row r="554" spans="4:4" ht="15.75" customHeight="1">
      <c r="D554" s="6"/>
    </row>
    <row r="555" spans="4:4" ht="15.75" customHeight="1">
      <c r="D555" s="6"/>
    </row>
    <row r="556" spans="4:4" ht="15.75" customHeight="1">
      <c r="D556" s="6"/>
    </row>
    <row r="557" spans="4:4" ht="15.75" customHeight="1">
      <c r="D557" s="6"/>
    </row>
    <row r="558" spans="4:4" ht="15.75" customHeight="1">
      <c r="D558" s="6"/>
    </row>
    <row r="559" spans="4:4" ht="15.75" customHeight="1">
      <c r="D559" s="6"/>
    </row>
    <row r="560" spans="4:4" ht="15.75" customHeight="1">
      <c r="D560" s="6"/>
    </row>
    <row r="561" spans="4:4" ht="15.75" customHeight="1">
      <c r="D561" s="6"/>
    </row>
    <row r="562" spans="4:4" ht="15.75" customHeight="1">
      <c r="D562" s="6"/>
    </row>
    <row r="563" spans="4:4" ht="15.75" customHeight="1">
      <c r="D563" s="6"/>
    </row>
    <row r="564" spans="4:4" ht="15.75" customHeight="1">
      <c r="D564" s="6"/>
    </row>
    <row r="565" spans="4:4" ht="15.75" customHeight="1">
      <c r="D565" s="6"/>
    </row>
    <row r="566" spans="4:4" ht="15.75" customHeight="1">
      <c r="D566" s="6"/>
    </row>
    <row r="567" spans="4:4" ht="15.75" customHeight="1">
      <c r="D567" s="6"/>
    </row>
    <row r="568" spans="4:4" ht="15.75" customHeight="1">
      <c r="D568" s="6"/>
    </row>
    <row r="569" spans="4:4" ht="15.75" customHeight="1">
      <c r="D569" s="6"/>
    </row>
    <row r="570" spans="4:4" ht="15.75" customHeight="1">
      <c r="D570" s="6"/>
    </row>
    <row r="571" spans="4:4" ht="15.75" customHeight="1">
      <c r="D571" s="6"/>
    </row>
    <row r="572" spans="4:4" ht="15.75" customHeight="1">
      <c r="D572" s="6"/>
    </row>
    <row r="573" spans="4:4" ht="15.75" customHeight="1">
      <c r="D573" s="6"/>
    </row>
    <row r="574" spans="4:4" ht="15.75" customHeight="1">
      <c r="D574" s="6"/>
    </row>
    <row r="575" spans="4:4" ht="15.75" customHeight="1">
      <c r="D575" s="6"/>
    </row>
    <row r="576" spans="4:4" ht="15.75" customHeight="1">
      <c r="D576" s="6"/>
    </row>
    <row r="577" spans="4:4" ht="15.75" customHeight="1">
      <c r="D577" s="6"/>
    </row>
    <row r="578" spans="4:4" ht="15.75" customHeight="1">
      <c r="D578" s="6"/>
    </row>
    <row r="579" spans="4:4" ht="15.75" customHeight="1">
      <c r="D579" s="6"/>
    </row>
    <row r="580" spans="4:4" ht="15.75" customHeight="1">
      <c r="D580" s="6"/>
    </row>
    <row r="581" spans="4:4" ht="15.75" customHeight="1">
      <c r="D581" s="6"/>
    </row>
    <row r="582" spans="4:4" ht="15.75" customHeight="1">
      <c r="D582" s="6"/>
    </row>
    <row r="583" spans="4:4" ht="15.75" customHeight="1">
      <c r="D583" s="6"/>
    </row>
    <row r="584" spans="4:4" ht="15.75" customHeight="1">
      <c r="D584" s="6"/>
    </row>
    <row r="585" spans="4:4" ht="15.75" customHeight="1">
      <c r="D585" s="6"/>
    </row>
    <row r="586" spans="4:4" ht="15.75" customHeight="1">
      <c r="D586" s="6"/>
    </row>
    <row r="587" spans="4:4" ht="15.75" customHeight="1">
      <c r="D587" s="6"/>
    </row>
    <row r="588" spans="4:4" ht="15.75" customHeight="1">
      <c r="D588" s="6"/>
    </row>
    <row r="589" spans="4:4" ht="15.75" customHeight="1">
      <c r="D589" s="6"/>
    </row>
    <row r="590" spans="4:4" ht="15.75" customHeight="1">
      <c r="D590" s="6"/>
    </row>
    <row r="591" spans="4:4" ht="15.75" customHeight="1">
      <c r="D591" s="6"/>
    </row>
    <row r="592" spans="4:4" ht="15.75" customHeight="1">
      <c r="D592" s="6"/>
    </row>
    <row r="593" spans="4:4" ht="15.75" customHeight="1">
      <c r="D593" s="6"/>
    </row>
    <row r="594" spans="4:4" ht="15.75" customHeight="1">
      <c r="D594" s="6"/>
    </row>
    <row r="595" spans="4:4" ht="15.75" customHeight="1">
      <c r="D595" s="6"/>
    </row>
    <row r="596" spans="4:4" ht="15.75" customHeight="1">
      <c r="D596" s="6"/>
    </row>
    <row r="597" spans="4:4" ht="15.75" customHeight="1">
      <c r="D597" s="6"/>
    </row>
    <row r="598" spans="4:4" ht="15.75" customHeight="1">
      <c r="D598" s="6"/>
    </row>
    <row r="599" spans="4:4" ht="15.75" customHeight="1">
      <c r="D599" s="6"/>
    </row>
    <row r="600" spans="4:4" ht="15.75" customHeight="1">
      <c r="D600" s="6"/>
    </row>
    <row r="601" spans="4:4" ht="15.75" customHeight="1">
      <c r="D601" s="6"/>
    </row>
    <row r="602" spans="4:4" ht="15.75" customHeight="1">
      <c r="D602" s="6"/>
    </row>
    <row r="603" spans="4:4" ht="15.75" customHeight="1">
      <c r="D603" s="6"/>
    </row>
    <row r="604" spans="4:4" ht="15.75" customHeight="1">
      <c r="D604" s="6"/>
    </row>
    <row r="605" spans="4:4" ht="15.75" customHeight="1">
      <c r="D605" s="6"/>
    </row>
    <row r="606" spans="4:4" ht="15.75" customHeight="1">
      <c r="D606" s="6"/>
    </row>
    <row r="607" spans="4:4" ht="15.75" customHeight="1">
      <c r="D607" s="6"/>
    </row>
    <row r="608" spans="4:4" ht="15.75" customHeight="1">
      <c r="D608" s="6"/>
    </row>
    <row r="609" spans="4:4" ht="15.75" customHeight="1">
      <c r="D609" s="6"/>
    </row>
    <row r="610" spans="4:4" ht="15.75" customHeight="1">
      <c r="D610" s="6"/>
    </row>
    <row r="611" spans="4:4" ht="15.75" customHeight="1">
      <c r="D611" s="6"/>
    </row>
    <row r="612" spans="4:4" ht="15.75" customHeight="1">
      <c r="D612" s="6"/>
    </row>
    <row r="613" spans="4:4" ht="15.75" customHeight="1">
      <c r="D613" s="6"/>
    </row>
    <row r="614" spans="4:4" ht="15.75" customHeight="1">
      <c r="D614" s="6"/>
    </row>
    <row r="615" spans="4:4" ht="15.75" customHeight="1">
      <c r="D615" s="6"/>
    </row>
    <row r="616" spans="4:4" ht="15.75" customHeight="1">
      <c r="D616" s="6"/>
    </row>
    <row r="617" spans="4:4" ht="15.75" customHeight="1">
      <c r="D617" s="6"/>
    </row>
    <row r="618" spans="4:4" ht="15.75" customHeight="1">
      <c r="D618" s="6"/>
    </row>
    <row r="619" spans="4:4" ht="15.75" customHeight="1">
      <c r="D619" s="6"/>
    </row>
    <row r="620" spans="4:4" ht="15.75" customHeight="1">
      <c r="D620" s="6"/>
    </row>
    <row r="621" spans="4:4" ht="15.75" customHeight="1">
      <c r="D621" s="6"/>
    </row>
    <row r="622" spans="4:4" ht="15.75" customHeight="1">
      <c r="D622" s="6"/>
    </row>
    <row r="623" spans="4:4" ht="15.75" customHeight="1">
      <c r="D623" s="6"/>
    </row>
    <row r="624" spans="4:4" ht="15.75" customHeight="1">
      <c r="D624" s="6"/>
    </row>
    <row r="625" spans="4:4" ht="15.75" customHeight="1">
      <c r="D625" s="6"/>
    </row>
    <row r="626" spans="4:4" ht="15.75" customHeight="1">
      <c r="D626" s="6"/>
    </row>
    <row r="627" spans="4:4" ht="15.75" customHeight="1">
      <c r="D627" s="6"/>
    </row>
    <row r="628" spans="4:4" ht="15.75" customHeight="1">
      <c r="D628" s="6"/>
    </row>
    <row r="629" spans="4:4" ht="15.75" customHeight="1">
      <c r="D629" s="6"/>
    </row>
    <row r="630" spans="4:4" ht="15.75" customHeight="1">
      <c r="D630" s="6"/>
    </row>
    <row r="631" spans="4:4" ht="15.75" customHeight="1">
      <c r="D631" s="6"/>
    </row>
    <row r="632" spans="4:4" ht="15.75" customHeight="1">
      <c r="D632" s="6"/>
    </row>
    <row r="633" spans="4:4" ht="15.75" customHeight="1">
      <c r="D633" s="6"/>
    </row>
    <row r="634" spans="4:4" ht="15.75" customHeight="1">
      <c r="D634" s="6"/>
    </row>
    <row r="635" spans="4:4" ht="15.75" customHeight="1">
      <c r="D635" s="6"/>
    </row>
    <row r="636" spans="4:4" ht="15.75" customHeight="1">
      <c r="D636" s="6"/>
    </row>
    <row r="637" spans="4:4" ht="15.75" customHeight="1">
      <c r="D637" s="6"/>
    </row>
    <row r="638" spans="4:4" ht="15.75" customHeight="1">
      <c r="D638" s="6"/>
    </row>
    <row r="639" spans="4:4" ht="15.75" customHeight="1">
      <c r="D639" s="6"/>
    </row>
    <row r="640" spans="4:4" ht="15.75" customHeight="1">
      <c r="D640" s="6"/>
    </row>
    <row r="641" spans="4:4" ht="15.75" customHeight="1">
      <c r="D641" s="6"/>
    </row>
    <row r="642" spans="4:4" ht="15.75" customHeight="1">
      <c r="D642" s="6"/>
    </row>
    <row r="643" spans="4:4" ht="15.75" customHeight="1">
      <c r="D643" s="6"/>
    </row>
    <row r="644" spans="4:4" ht="15.75" customHeight="1">
      <c r="D644" s="6"/>
    </row>
    <row r="645" spans="4:4" ht="15.75" customHeight="1">
      <c r="D645" s="6"/>
    </row>
    <row r="646" spans="4:4" ht="15.75" customHeight="1">
      <c r="D646" s="6"/>
    </row>
    <row r="647" spans="4:4" ht="15.75" customHeight="1">
      <c r="D647" s="6"/>
    </row>
    <row r="648" spans="4:4" ht="15.75" customHeight="1">
      <c r="D648" s="6"/>
    </row>
    <row r="649" spans="4:4" ht="15.75" customHeight="1">
      <c r="D649" s="6"/>
    </row>
    <row r="650" spans="4:4" ht="15.75" customHeight="1">
      <c r="D650" s="6"/>
    </row>
    <row r="651" spans="4:4" ht="15.75" customHeight="1">
      <c r="D651" s="6"/>
    </row>
    <row r="652" spans="4:4" ht="15.75" customHeight="1">
      <c r="D652" s="6"/>
    </row>
    <row r="653" spans="4:4" ht="15.75" customHeight="1">
      <c r="D653" s="6"/>
    </row>
    <row r="654" spans="4:4" ht="15.75" customHeight="1">
      <c r="D654" s="6"/>
    </row>
    <row r="655" spans="4:4" ht="15.75" customHeight="1">
      <c r="D655" s="6"/>
    </row>
    <row r="656" spans="4:4" ht="15.75" customHeight="1">
      <c r="D656" s="6"/>
    </row>
    <row r="657" spans="4:4" ht="15.75" customHeight="1">
      <c r="D657" s="6"/>
    </row>
    <row r="658" spans="4:4" ht="15.75" customHeight="1">
      <c r="D658" s="6"/>
    </row>
    <row r="659" spans="4:4" ht="15.75" customHeight="1">
      <c r="D659" s="6"/>
    </row>
    <row r="660" spans="4:4" ht="15.75" customHeight="1">
      <c r="D660" s="6"/>
    </row>
    <row r="661" spans="4:4" ht="15.75" customHeight="1">
      <c r="D661" s="6"/>
    </row>
    <row r="662" spans="4:4" ht="15.75" customHeight="1">
      <c r="D662" s="6"/>
    </row>
    <row r="663" spans="4:4" ht="15.75" customHeight="1">
      <c r="D663" s="6"/>
    </row>
    <row r="664" spans="4:4" ht="15.75" customHeight="1">
      <c r="D664" s="6"/>
    </row>
    <row r="665" spans="4:4" ht="15.75" customHeight="1">
      <c r="D665" s="6"/>
    </row>
    <row r="666" spans="4:4" ht="15.75" customHeight="1">
      <c r="D666" s="6"/>
    </row>
    <row r="667" spans="4:4" ht="15.75" customHeight="1">
      <c r="D667" s="6"/>
    </row>
    <row r="668" spans="4:4" ht="15.75" customHeight="1">
      <c r="D668" s="6"/>
    </row>
    <row r="669" spans="4:4" ht="15.75" customHeight="1">
      <c r="D669" s="6"/>
    </row>
    <row r="670" spans="4:4" ht="15.75" customHeight="1">
      <c r="D670" s="6"/>
    </row>
    <row r="671" spans="4:4" ht="15.75" customHeight="1">
      <c r="D671" s="6"/>
    </row>
    <row r="672" spans="4:4" ht="15.75" customHeight="1">
      <c r="D672" s="6"/>
    </row>
    <row r="673" spans="4:4" ht="15.75" customHeight="1">
      <c r="D673" s="6"/>
    </row>
    <row r="674" spans="4:4" ht="15.75" customHeight="1">
      <c r="D674" s="6"/>
    </row>
    <row r="675" spans="4:4" ht="15.75" customHeight="1">
      <c r="D675" s="6"/>
    </row>
    <row r="676" spans="4:4" ht="15.75" customHeight="1">
      <c r="D676" s="6"/>
    </row>
    <row r="677" spans="4:4" ht="15.75" customHeight="1">
      <c r="D677" s="6"/>
    </row>
    <row r="678" spans="4:4" ht="15.75" customHeight="1">
      <c r="D678" s="6"/>
    </row>
    <row r="679" spans="4:4" ht="15.75" customHeight="1">
      <c r="D679" s="6"/>
    </row>
    <row r="680" spans="4:4" ht="15.75" customHeight="1">
      <c r="D680" s="6"/>
    </row>
    <row r="681" spans="4:4" ht="15.75" customHeight="1">
      <c r="D681" s="6"/>
    </row>
    <row r="682" spans="4:4" ht="15.75" customHeight="1">
      <c r="D682" s="6"/>
    </row>
    <row r="683" spans="4:4" ht="15.75" customHeight="1">
      <c r="D683" s="6"/>
    </row>
    <row r="684" spans="4:4" ht="15.75" customHeight="1">
      <c r="D684" s="6"/>
    </row>
    <row r="685" spans="4:4" ht="15.75" customHeight="1">
      <c r="D685" s="6"/>
    </row>
    <row r="686" spans="4:4" ht="15.75" customHeight="1">
      <c r="D686" s="6"/>
    </row>
    <row r="687" spans="4:4" ht="15.75" customHeight="1">
      <c r="D687" s="6"/>
    </row>
    <row r="688" spans="4:4" ht="15.75" customHeight="1">
      <c r="D688" s="6"/>
    </row>
    <row r="689" spans="4:4" ht="15.75" customHeight="1">
      <c r="D689" s="6"/>
    </row>
    <row r="690" spans="4:4" ht="15.75" customHeight="1">
      <c r="D690" s="6"/>
    </row>
    <row r="691" spans="4:4" ht="15.75" customHeight="1">
      <c r="D691" s="6"/>
    </row>
    <row r="692" spans="4:4" ht="15.75" customHeight="1">
      <c r="D692" s="6"/>
    </row>
    <row r="693" spans="4:4" ht="15.75" customHeight="1">
      <c r="D693" s="6"/>
    </row>
    <row r="694" spans="4:4" ht="15.75" customHeight="1">
      <c r="D694" s="6"/>
    </row>
    <row r="695" spans="4:4" ht="15.75" customHeight="1">
      <c r="D695" s="6"/>
    </row>
    <row r="696" spans="4:4" ht="15.75" customHeight="1">
      <c r="D696" s="6"/>
    </row>
    <row r="697" spans="4:4" ht="15.75" customHeight="1">
      <c r="D697" s="6"/>
    </row>
    <row r="698" spans="4:4" ht="15.75" customHeight="1">
      <c r="D698" s="6"/>
    </row>
    <row r="699" spans="4:4" ht="15.75" customHeight="1">
      <c r="D699" s="6"/>
    </row>
    <row r="700" spans="4:4" ht="15.75" customHeight="1">
      <c r="D700" s="6"/>
    </row>
    <row r="701" spans="4:4" ht="15.75" customHeight="1">
      <c r="D701" s="6"/>
    </row>
    <row r="702" spans="4:4" ht="15.75" customHeight="1">
      <c r="D702" s="6"/>
    </row>
    <row r="703" spans="4:4" ht="15.75" customHeight="1">
      <c r="D703" s="6"/>
    </row>
    <row r="704" spans="4:4" ht="15.75" customHeight="1">
      <c r="D704" s="6"/>
    </row>
    <row r="705" spans="4:4" ht="15.75" customHeight="1">
      <c r="D705" s="6"/>
    </row>
    <row r="706" spans="4:4" ht="15.75" customHeight="1">
      <c r="D706" s="6"/>
    </row>
    <row r="707" spans="4:4" ht="15.75" customHeight="1">
      <c r="D707" s="6"/>
    </row>
    <row r="708" spans="4:4" ht="15.75" customHeight="1">
      <c r="D708" s="6"/>
    </row>
    <row r="709" spans="4:4" ht="15.75" customHeight="1">
      <c r="D709" s="6"/>
    </row>
    <row r="710" spans="4:4" ht="15.75" customHeight="1">
      <c r="D710" s="6"/>
    </row>
    <row r="711" spans="4:4" ht="15.75" customHeight="1">
      <c r="D711" s="6"/>
    </row>
    <row r="712" spans="4:4" ht="15.75" customHeight="1">
      <c r="D712" s="6"/>
    </row>
    <row r="713" spans="4:4" ht="15.75" customHeight="1">
      <c r="D713" s="6"/>
    </row>
    <row r="714" spans="4:4" ht="15.75" customHeight="1">
      <c r="D714" s="6"/>
    </row>
    <row r="715" spans="4:4" ht="15.75" customHeight="1">
      <c r="D715" s="6"/>
    </row>
    <row r="716" spans="4:4" ht="15.75" customHeight="1">
      <c r="D716" s="6"/>
    </row>
    <row r="717" spans="4:4" ht="15.75" customHeight="1">
      <c r="D717" s="6"/>
    </row>
    <row r="718" spans="4:4" ht="15.75" customHeight="1">
      <c r="D718" s="6"/>
    </row>
    <row r="719" spans="4:4" ht="15.75" customHeight="1">
      <c r="D719" s="6"/>
    </row>
    <row r="720" spans="4:4" ht="15.75" customHeight="1">
      <c r="D720" s="6"/>
    </row>
    <row r="721" spans="4:4" ht="15.75" customHeight="1">
      <c r="D721" s="6"/>
    </row>
    <row r="722" spans="4:4" ht="15.75" customHeight="1">
      <c r="D722" s="6"/>
    </row>
    <row r="723" spans="4:4" ht="15.75" customHeight="1">
      <c r="D723" s="6"/>
    </row>
    <row r="724" spans="4:4" ht="15.75" customHeight="1">
      <c r="D724" s="6"/>
    </row>
    <row r="725" spans="4:4" ht="15.75" customHeight="1">
      <c r="D725" s="6"/>
    </row>
    <row r="726" spans="4:4" ht="15.75" customHeight="1">
      <c r="D726" s="6"/>
    </row>
    <row r="727" spans="4:4" ht="15.75" customHeight="1">
      <c r="D727" s="6"/>
    </row>
    <row r="728" spans="4:4" ht="15.75" customHeight="1">
      <c r="D728" s="6"/>
    </row>
    <row r="729" spans="4:4" ht="15.75" customHeight="1">
      <c r="D729" s="6"/>
    </row>
    <row r="730" spans="4:4" ht="15.75" customHeight="1">
      <c r="D730" s="6"/>
    </row>
    <row r="731" spans="4:4" ht="15.75" customHeight="1">
      <c r="D731" s="6"/>
    </row>
    <row r="732" spans="4:4" ht="15.75" customHeight="1">
      <c r="D732" s="6"/>
    </row>
    <row r="733" spans="4:4" ht="15.75" customHeight="1">
      <c r="D733" s="6"/>
    </row>
    <row r="734" spans="4:4" ht="15.75" customHeight="1">
      <c r="D734" s="6"/>
    </row>
    <row r="735" spans="4:4" ht="15.75" customHeight="1">
      <c r="D735" s="6"/>
    </row>
    <row r="736" spans="4:4" ht="15.75" customHeight="1">
      <c r="D736" s="6"/>
    </row>
    <row r="737" spans="4:4" ht="15.75" customHeight="1">
      <c r="D737" s="6"/>
    </row>
    <row r="738" spans="4:4" ht="15.75" customHeight="1">
      <c r="D738" s="6"/>
    </row>
    <row r="739" spans="4:4" ht="15.75" customHeight="1">
      <c r="D739" s="6"/>
    </row>
    <row r="740" spans="4:4" ht="15.75" customHeight="1">
      <c r="D740" s="6"/>
    </row>
    <row r="741" spans="4:4" ht="15.75" customHeight="1">
      <c r="D741" s="6"/>
    </row>
    <row r="742" spans="4:4" ht="15.75" customHeight="1">
      <c r="D742" s="6"/>
    </row>
    <row r="743" spans="4:4" ht="15.75" customHeight="1">
      <c r="D743" s="6"/>
    </row>
    <row r="744" spans="4:4" ht="15.75" customHeight="1">
      <c r="D744" s="6"/>
    </row>
    <row r="745" spans="4:4" ht="15.75" customHeight="1">
      <c r="D745" s="6"/>
    </row>
    <row r="746" spans="4:4" ht="15.75" customHeight="1">
      <c r="D746" s="6"/>
    </row>
    <row r="747" spans="4:4" ht="15.75" customHeight="1">
      <c r="D747" s="6"/>
    </row>
    <row r="748" spans="4:4" ht="15.75" customHeight="1">
      <c r="D748" s="6"/>
    </row>
    <row r="749" spans="4:4" ht="15.75" customHeight="1">
      <c r="D749" s="6"/>
    </row>
    <row r="750" spans="4:4" ht="15.75" customHeight="1">
      <c r="D750" s="6"/>
    </row>
    <row r="751" spans="4:4" ht="15.75" customHeight="1">
      <c r="D751" s="6"/>
    </row>
    <row r="752" spans="4:4" ht="15.75" customHeight="1">
      <c r="D752" s="6"/>
    </row>
    <row r="753" spans="4:4" ht="15.75" customHeight="1">
      <c r="D753" s="6"/>
    </row>
    <row r="754" spans="4:4" ht="15.75" customHeight="1">
      <c r="D754" s="6"/>
    </row>
    <row r="755" spans="4:4" ht="15.75" customHeight="1">
      <c r="D755" s="6"/>
    </row>
    <row r="756" spans="4:4" ht="15.75" customHeight="1">
      <c r="D756" s="6"/>
    </row>
    <row r="757" spans="4:4" ht="15.75" customHeight="1">
      <c r="D757" s="6"/>
    </row>
    <row r="758" spans="4:4" ht="15.75" customHeight="1">
      <c r="D758" s="6"/>
    </row>
    <row r="759" spans="4:4" ht="15.75" customHeight="1">
      <c r="D759" s="6"/>
    </row>
    <row r="760" spans="4:4" ht="15.75" customHeight="1">
      <c r="D760" s="6"/>
    </row>
    <row r="761" spans="4:4" ht="15.75" customHeight="1">
      <c r="D761" s="6"/>
    </row>
    <row r="762" spans="4:4" ht="15.75" customHeight="1">
      <c r="D762" s="6"/>
    </row>
    <row r="763" spans="4:4" ht="15.75" customHeight="1">
      <c r="D763" s="6"/>
    </row>
    <row r="764" spans="4:4" ht="15.75" customHeight="1">
      <c r="D764" s="6"/>
    </row>
    <row r="765" spans="4:4" ht="15.75" customHeight="1">
      <c r="D765" s="6"/>
    </row>
    <row r="766" spans="4:4" ht="15.75" customHeight="1">
      <c r="D766" s="6"/>
    </row>
    <row r="767" spans="4:4" ht="15.75" customHeight="1">
      <c r="D767" s="6"/>
    </row>
    <row r="768" spans="4:4" ht="15.75" customHeight="1">
      <c r="D768" s="6"/>
    </row>
    <row r="769" spans="4:4" ht="15.75" customHeight="1">
      <c r="D769" s="6"/>
    </row>
    <row r="770" spans="4:4" ht="15.75" customHeight="1">
      <c r="D770" s="6"/>
    </row>
    <row r="771" spans="4:4" ht="15.75" customHeight="1">
      <c r="D771" s="6"/>
    </row>
    <row r="772" spans="4:4" ht="15.75" customHeight="1">
      <c r="D772" s="6"/>
    </row>
    <row r="773" spans="4:4" ht="15.75" customHeight="1">
      <c r="D773" s="6"/>
    </row>
    <row r="774" spans="4:4" ht="15.75" customHeight="1">
      <c r="D774" s="6"/>
    </row>
    <row r="775" spans="4:4" ht="15.75" customHeight="1">
      <c r="D775" s="6"/>
    </row>
    <row r="776" spans="4:4" ht="15.75" customHeight="1">
      <c r="D776" s="6"/>
    </row>
    <row r="777" spans="4:4" ht="15.75" customHeight="1">
      <c r="D777" s="6"/>
    </row>
    <row r="778" spans="4:4" ht="15.75" customHeight="1">
      <c r="D778" s="6"/>
    </row>
    <row r="779" spans="4:4" ht="15.75" customHeight="1">
      <c r="D779" s="6"/>
    </row>
    <row r="780" spans="4:4" ht="15.75" customHeight="1">
      <c r="D780" s="6"/>
    </row>
    <row r="781" spans="4:4" ht="15.75" customHeight="1">
      <c r="D781" s="6"/>
    </row>
    <row r="782" spans="4:4" ht="15.75" customHeight="1">
      <c r="D782" s="6"/>
    </row>
    <row r="783" spans="4:4" ht="15.75" customHeight="1">
      <c r="D783" s="6"/>
    </row>
    <row r="784" spans="4:4" ht="15.75" customHeight="1">
      <c r="D784" s="6"/>
    </row>
    <row r="785" spans="4:4" ht="15.75" customHeight="1">
      <c r="D785" s="6"/>
    </row>
    <row r="786" spans="4:4" ht="15.75" customHeight="1">
      <c r="D786" s="6"/>
    </row>
    <row r="787" spans="4:4" ht="15.75" customHeight="1">
      <c r="D787" s="6"/>
    </row>
    <row r="788" spans="4:4" ht="15.75" customHeight="1">
      <c r="D788" s="6"/>
    </row>
    <row r="789" spans="4:4" ht="15.75" customHeight="1">
      <c r="D789" s="6"/>
    </row>
    <row r="790" spans="4:4" ht="15.75" customHeight="1">
      <c r="D790" s="6"/>
    </row>
    <row r="791" spans="4:4" ht="15.75" customHeight="1">
      <c r="D791" s="6"/>
    </row>
    <row r="792" spans="4:4" ht="15.75" customHeight="1">
      <c r="D792" s="6"/>
    </row>
    <row r="793" spans="4:4" ht="15.75" customHeight="1">
      <c r="D793" s="6"/>
    </row>
    <row r="794" spans="4:4" ht="15.75" customHeight="1">
      <c r="D794" s="6"/>
    </row>
    <row r="795" spans="4:4" ht="15.75" customHeight="1">
      <c r="D795" s="6"/>
    </row>
    <row r="796" spans="4:4" ht="15.75" customHeight="1">
      <c r="D796" s="6"/>
    </row>
    <row r="797" spans="4:4" ht="15.75" customHeight="1">
      <c r="D797" s="6"/>
    </row>
    <row r="798" spans="4:4" ht="15.75" customHeight="1">
      <c r="D798" s="6"/>
    </row>
    <row r="799" spans="4:4" ht="15.75" customHeight="1">
      <c r="D799" s="6"/>
    </row>
    <row r="800" spans="4:4" ht="15.75" customHeight="1">
      <c r="D800" s="6"/>
    </row>
    <row r="801" spans="4:4" ht="15.75" customHeight="1">
      <c r="D801" s="6"/>
    </row>
    <row r="802" spans="4:4" ht="15.75" customHeight="1">
      <c r="D802" s="6"/>
    </row>
    <row r="803" spans="4:4" ht="15.75" customHeight="1">
      <c r="D803" s="6"/>
    </row>
    <row r="804" spans="4:4" ht="15.75" customHeight="1">
      <c r="D804" s="6"/>
    </row>
    <row r="805" spans="4:4" ht="15.75" customHeight="1">
      <c r="D805" s="6"/>
    </row>
    <row r="806" spans="4:4" ht="15.75" customHeight="1">
      <c r="D806" s="6"/>
    </row>
    <row r="807" spans="4:4" ht="15.75" customHeight="1">
      <c r="D807" s="6"/>
    </row>
    <row r="808" spans="4:4" ht="15.75" customHeight="1">
      <c r="D808" s="6"/>
    </row>
    <row r="809" spans="4:4" ht="15.75" customHeight="1">
      <c r="D809" s="6"/>
    </row>
    <row r="810" spans="4:4" ht="15.75" customHeight="1">
      <c r="D810" s="6"/>
    </row>
    <row r="811" spans="4:4" ht="15.75" customHeight="1">
      <c r="D811" s="6"/>
    </row>
    <row r="812" spans="4:4" ht="15.75" customHeight="1">
      <c r="D812" s="6"/>
    </row>
    <row r="813" spans="4:4" ht="15.75" customHeight="1">
      <c r="D813" s="6"/>
    </row>
    <row r="814" spans="4:4" ht="15.75" customHeight="1">
      <c r="D814" s="6"/>
    </row>
    <row r="815" spans="4:4" ht="15.75" customHeight="1">
      <c r="D815" s="6"/>
    </row>
    <row r="816" spans="4:4" ht="15.75" customHeight="1">
      <c r="D816" s="6"/>
    </row>
    <row r="817" spans="4:4" ht="15.75" customHeight="1">
      <c r="D817" s="6"/>
    </row>
    <row r="818" spans="4:4" ht="15.75" customHeight="1">
      <c r="D818" s="6"/>
    </row>
    <row r="819" spans="4:4" ht="15.75" customHeight="1">
      <c r="D819" s="6"/>
    </row>
    <row r="820" spans="4:4" ht="15.75" customHeight="1">
      <c r="D820" s="6"/>
    </row>
    <row r="821" spans="4:4" ht="15.75" customHeight="1">
      <c r="D821" s="6"/>
    </row>
    <row r="822" spans="4:4" ht="15.75" customHeight="1">
      <c r="D822" s="6"/>
    </row>
    <row r="823" spans="4:4" ht="15.75" customHeight="1">
      <c r="D823" s="6"/>
    </row>
    <row r="824" spans="4:4" ht="15.75" customHeight="1">
      <c r="D824" s="6"/>
    </row>
    <row r="825" spans="4:4" ht="15.75" customHeight="1">
      <c r="D825" s="6"/>
    </row>
    <row r="826" spans="4:4" ht="15.75" customHeight="1">
      <c r="D826" s="6"/>
    </row>
    <row r="827" spans="4:4" ht="15.75" customHeight="1">
      <c r="D827" s="6"/>
    </row>
    <row r="828" spans="4:4" ht="15.75" customHeight="1">
      <c r="D828" s="6"/>
    </row>
    <row r="829" spans="4:4" ht="15.75" customHeight="1">
      <c r="D829" s="6"/>
    </row>
    <row r="830" spans="4:4" ht="15.75" customHeight="1">
      <c r="D830" s="6"/>
    </row>
    <row r="831" spans="4:4" ht="15.75" customHeight="1">
      <c r="D831" s="6"/>
    </row>
    <row r="832" spans="4:4" ht="15.75" customHeight="1">
      <c r="D832" s="6"/>
    </row>
    <row r="833" spans="4:4" ht="15.75" customHeight="1">
      <c r="D833" s="6"/>
    </row>
    <row r="834" spans="4:4" ht="15.75" customHeight="1">
      <c r="D834" s="6"/>
    </row>
    <row r="835" spans="4:4" ht="15.75" customHeight="1">
      <c r="D835" s="6"/>
    </row>
    <row r="836" spans="4:4" ht="15.75" customHeight="1">
      <c r="D836" s="6"/>
    </row>
    <row r="837" spans="4:4" ht="15.75" customHeight="1">
      <c r="D837" s="6"/>
    </row>
    <row r="838" spans="4:4" ht="15.75" customHeight="1">
      <c r="D838" s="6"/>
    </row>
    <row r="839" spans="4:4" ht="15.75" customHeight="1">
      <c r="D839" s="6"/>
    </row>
    <row r="840" spans="4:4" ht="15.75" customHeight="1">
      <c r="D840" s="6"/>
    </row>
    <row r="841" spans="4:4" ht="15.75" customHeight="1">
      <c r="D841" s="6"/>
    </row>
    <row r="842" spans="4:4" ht="15.75" customHeight="1">
      <c r="D842" s="6"/>
    </row>
    <row r="843" spans="4:4" ht="15.75" customHeight="1">
      <c r="D843" s="6"/>
    </row>
    <row r="844" spans="4:4" ht="15.75" customHeight="1">
      <c r="D844" s="6"/>
    </row>
    <row r="845" spans="4:4" ht="15.75" customHeight="1">
      <c r="D845" s="6"/>
    </row>
    <row r="846" spans="4:4" ht="15.75" customHeight="1">
      <c r="D846" s="6"/>
    </row>
    <row r="847" spans="4:4" ht="15.75" customHeight="1">
      <c r="D847" s="6"/>
    </row>
    <row r="848" spans="4:4" ht="15.75" customHeight="1">
      <c r="D848" s="6"/>
    </row>
    <row r="849" spans="4:4" ht="15.75" customHeight="1">
      <c r="D849" s="6"/>
    </row>
    <row r="850" spans="4:4" ht="15.75" customHeight="1">
      <c r="D850" s="6"/>
    </row>
    <row r="851" spans="4:4" ht="15.75" customHeight="1">
      <c r="D851" s="6"/>
    </row>
    <row r="852" spans="4:4" ht="15.75" customHeight="1">
      <c r="D852" s="6"/>
    </row>
    <row r="853" spans="4:4" ht="15.75" customHeight="1">
      <c r="D853" s="6"/>
    </row>
    <row r="854" spans="4:4" ht="15.75" customHeight="1">
      <c r="D854" s="6"/>
    </row>
    <row r="855" spans="4:4" ht="15.75" customHeight="1">
      <c r="D855" s="6"/>
    </row>
    <row r="856" spans="4:4" ht="15.75" customHeight="1">
      <c r="D856" s="6"/>
    </row>
    <row r="857" spans="4:4" ht="15.75" customHeight="1">
      <c r="D857" s="6"/>
    </row>
    <row r="858" spans="4:4" ht="15.75" customHeight="1">
      <c r="D858" s="6"/>
    </row>
    <row r="859" spans="4:4" ht="15.75" customHeight="1">
      <c r="D859" s="6"/>
    </row>
    <row r="860" spans="4:4" ht="15.75" customHeight="1">
      <c r="D860" s="6"/>
    </row>
    <row r="861" spans="4:4" ht="15.75" customHeight="1">
      <c r="D861" s="6"/>
    </row>
    <row r="862" spans="4:4" ht="15.75" customHeight="1">
      <c r="D862" s="6"/>
    </row>
    <row r="863" spans="4:4" ht="15.75" customHeight="1">
      <c r="D863" s="6"/>
    </row>
    <row r="864" spans="4:4" ht="15.75" customHeight="1">
      <c r="D864" s="6"/>
    </row>
    <row r="865" spans="4:4" ht="15.75" customHeight="1">
      <c r="D865" s="6"/>
    </row>
    <row r="866" spans="4:4" ht="15.75" customHeight="1">
      <c r="D866" s="6"/>
    </row>
    <row r="867" spans="4:4" ht="15.75" customHeight="1">
      <c r="D867" s="6"/>
    </row>
    <row r="868" spans="4:4" ht="15.75" customHeight="1">
      <c r="D868" s="6"/>
    </row>
    <row r="869" spans="4:4" ht="15.75" customHeight="1">
      <c r="D869" s="6"/>
    </row>
    <row r="870" spans="4:4" ht="15.75" customHeight="1">
      <c r="D870" s="6"/>
    </row>
    <row r="871" spans="4:4" ht="15.75" customHeight="1">
      <c r="D871" s="6"/>
    </row>
    <row r="872" spans="4:4" ht="15.75" customHeight="1">
      <c r="D872" s="6"/>
    </row>
    <row r="873" spans="4:4" ht="15.75" customHeight="1">
      <c r="D873" s="6"/>
    </row>
    <row r="874" spans="4:4" ht="15.75" customHeight="1">
      <c r="D874" s="6"/>
    </row>
    <row r="875" spans="4:4" ht="15.75" customHeight="1">
      <c r="D875" s="6"/>
    </row>
    <row r="876" spans="4:4" ht="15.75" customHeight="1">
      <c r="D876" s="6"/>
    </row>
    <row r="877" spans="4:4" ht="15.75" customHeight="1">
      <c r="D877" s="6"/>
    </row>
    <row r="878" spans="4:4" ht="15.75" customHeight="1">
      <c r="D878" s="6"/>
    </row>
    <row r="879" spans="4:4" ht="15.75" customHeight="1">
      <c r="D879" s="6"/>
    </row>
    <row r="880" spans="4:4" ht="15.75" customHeight="1">
      <c r="D880" s="6"/>
    </row>
    <row r="881" spans="4:4" ht="15.75" customHeight="1">
      <c r="D881" s="6"/>
    </row>
    <row r="882" spans="4:4" ht="15.75" customHeight="1">
      <c r="D882" s="6"/>
    </row>
    <row r="883" spans="4:4" ht="15.75" customHeight="1">
      <c r="D883" s="6"/>
    </row>
    <row r="884" spans="4:4" ht="15.75" customHeight="1">
      <c r="D884" s="6"/>
    </row>
    <row r="885" spans="4:4" ht="15.75" customHeight="1">
      <c r="D885" s="6"/>
    </row>
    <row r="886" spans="4:4" ht="15.75" customHeight="1">
      <c r="D886" s="6"/>
    </row>
    <row r="887" spans="4:4" ht="15.75" customHeight="1">
      <c r="D887" s="6"/>
    </row>
    <row r="888" spans="4:4" ht="15.75" customHeight="1">
      <c r="D888" s="6"/>
    </row>
    <row r="889" spans="4:4" ht="15.75" customHeight="1">
      <c r="D889" s="6"/>
    </row>
    <row r="890" spans="4:4" ht="15.75" customHeight="1">
      <c r="D890" s="6"/>
    </row>
    <row r="891" spans="4:4" ht="15.75" customHeight="1">
      <c r="D891" s="6"/>
    </row>
    <row r="892" spans="4:4" ht="15.75" customHeight="1">
      <c r="D892" s="6"/>
    </row>
    <row r="893" spans="4:4" ht="15.75" customHeight="1">
      <c r="D893" s="6"/>
    </row>
    <row r="894" spans="4:4" ht="15.75" customHeight="1">
      <c r="D894" s="6"/>
    </row>
    <row r="895" spans="4:4" ht="15.75" customHeight="1">
      <c r="D895" s="6"/>
    </row>
    <row r="896" spans="4:4" ht="15.75" customHeight="1">
      <c r="D896" s="6"/>
    </row>
    <row r="897" spans="4:4" ht="15.75" customHeight="1">
      <c r="D897" s="6"/>
    </row>
    <row r="898" spans="4:4" ht="15.75" customHeight="1">
      <c r="D898" s="6"/>
    </row>
    <row r="899" spans="4:4" ht="15.75" customHeight="1">
      <c r="D899" s="6"/>
    </row>
    <row r="900" spans="4:4" ht="15.75" customHeight="1">
      <c r="D900" s="6"/>
    </row>
    <row r="901" spans="4:4" ht="15.75" customHeight="1">
      <c r="D901" s="6"/>
    </row>
    <row r="902" spans="4:4" ht="15.75" customHeight="1">
      <c r="D902" s="6"/>
    </row>
    <row r="903" spans="4:4" ht="15.75" customHeight="1">
      <c r="D903" s="6"/>
    </row>
    <row r="904" spans="4:4" ht="15.75" customHeight="1">
      <c r="D904" s="6"/>
    </row>
    <row r="905" spans="4:4" ht="15.75" customHeight="1">
      <c r="D905" s="6"/>
    </row>
    <row r="906" spans="4:4" ht="15.75" customHeight="1">
      <c r="D906" s="6"/>
    </row>
    <row r="907" spans="4:4" ht="15.75" customHeight="1">
      <c r="D907" s="6"/>
    </row>
    <row r="908" spans="4:4" ht="15.75" customHeight="1">
      <c r="D908" s="6"/>
    </row>
    <row r="909" spans="4:4" ht="15.75" customHeight="1">
      <c r="D909" s="6"/>
    </row>
    <row r="910" spans="4:4" ht="15.75" customHeight="1">
      <c r="D910" s="6"/>
    </row>
    <row r="911" spans="4:4" ht="15.75" customHeight="1">
      <c r="D911" s="6"/>
    </row>
    <row r="912" spans="4:4" ht="15.75" customHeight="1">
      <c r="D912" s="6"/>
    </row>
    <row r="913" spans="4:4" ht="15.75" customHeight="1">
      <c r="D913" s="6"/>
    </row>
    <row r="914" spans="4:4" ht="15.75" customHeight="1">
      <c r="D914" s="6"/>
    </row>
    <row r="915" spans="4:4" ht="15.75" customHeight="1">
      <c r="D915" s="6"/>
    </row>
    <row r="916" spans="4:4" ht="15.75" customHeight="1">
      <c r="D916" s="6"/>
    </row>
    <row r="917" spans="4:4" ht="15.75" customHeight="1">
      <c r="D917" s="6"/>
    </row>
    <row r="918" spans="4:4" ht="15.75" customHeight="1">
      <c r="D918" s="6"/>
    </row>
    <row r="919" spans="4:4" ht="15.75" customHeight="1">
      <c r="D919" s="6"/>
    </row>
    <row r="920" spans="4:4" ht="15.75" customHeight="1">
      <c r="D920" s="6"/>
    </row>
    <row r="921" spans="4:4" ht="15.75" customHeight="1">
      <c r="D921" s="6"/>
    </row>
    <row r="922" spans="4:4" ht="15.75" customHeight="1">
      <c r="D922" s="6"/>
    </row>
    <row r="923" spans="4:4" ht="15.75" customHeight="1">
      <c r="D923" s="6"/>
    </row>
    <row r="924" spans="4:4" ht="15.75" customHeight="1">
      <c r="D924" s="6"/>
    </row>
    <row r="925" spans="4:4" ht="15.75" customHeight="1">
      <c r="D925" s="6"/>
    </row>
    <row r="926" spans="4:4" ht="15.75" customHeight="1">
      <c r="D926" s="6"/>
    </row>
    <row r="927" spans="4:4" ht="15.75" customHeight="1">
      <c r="D927" s="6"/>
    </row>
    <row r="928" spans="4:4" ht="15.75" customHeight="1">
      <c r="D928" s="6"/>
    </row>
    <row r="929" spans="4:4" ht="15.75" customHeight="1">
      <c r="D929" s="6"/>
    </row>
    <row r="930" spans="4:4" ht="15.75" customHeight="1">
      <c r="D930" s="6"/>
    </row>
    <row r="931" spans="4:4" ht="15.75" customHeight="1">
      <c r="D931" s="6"/>
    </row>
    <row r="932" spans="4:4" ht="15.75" customHeight="1">
      <c r="D932" s="6"/>
    </row>
    <row r="933" spans="4:4" ht="15.75" customHeight="1">
      <c r="D933" s="6"/>
    </row>
    <row r="934" spans="4:4" ht="15.75" customHeight="1">
      <c r="D934" s="6"/>
    </row>
    <row r="935" spans="4:4" ht="15.75" customHeight="1">
      <c r="D935" s="6"/>
    </row>
    <row r="936" spans="4:4" ht="15.75" customHeight="1">
      <c r="D936" s="6"/>
    </row>
    <row r="937" spans="4:4" ht="15.75" customHeight="1">
      <c r="D937" s="6"/>
    </row>
    <row r="938" spans="4:4" ht="15.75" customHeight="1">
      <c r="D938" s="6"/>
    </row>
    <row r="939" spans="4:4" ht="15.75" customHeight="1">
      <c r="D939" s="6"/>
    </row>
    <row r="940" spans="4:4" ht="15.75" customHeight="1">
      <c r="D940" s="6"/>
    </row>
    <row r="941" spans="4:4" ht="15.75" customHeight="1">
      <c r="D941" s="6"/>
    </row>
    <row r="942" spans="4:4" ht="15.75" customHeight="1">
      <c r="D942" s="6"/>
    </row>
    <row r="943" spans="4:4" ht="15.75" customHeight="1">
      <c r="D943" s="6"/>
    </row>
    <row r="944" spans="4:4" ht="15.75" customHeight="1">
      <c r="D944" s="6"/>
    </row>
    <row r="945" spans="4:4" ht="15.75" customHeight="1">
      <c r="D945" s="6"/>
    </row>
    <row r="946" spans="4:4" ht="15.75" customHeight="1">
      <c r="D946" s="6"/>
    </row>
    <row r="947" spans="4:4" ht="15.75" customHeight="1">
      <c r="D947" s="6"/>
    </row>
    <row r="948" spans="4:4" ht="15.75" customHeight="1">
      <c r="D948" s="6"/>
    </row>
    <row r="949" spans="4:4" ht="15.75" customHeight="1">
      <c r="D949" s="6"/>
    </row>
    <row r="950" spans="4:4" ht="15.75" customHeight="1">
      <c r="D950" s="6"/>
    </row>
    <row r="951" spans="4:4" ht="15.75" customHeight="1">
      <c r="D951" s="6"/>
    </row>
    <row r="952" spans="4:4" ht="15.75" customHeight="1">
      <c r="D952" s="6"/>
    </row>
    <row r="953" spans="4:4" ht="15.75" customHeight="1">
      <c r="D953" s="6"/>
    </row>
    <row r="954" spans="4:4" ht="15.75" customHeight="1">
      <c r="D954" s="6"/>
    </row>
    <row r="955" spans="4:4" ht="15.75" customHeight="1">
      <c r="D955" s="6"/>
    </row>
    <row r="956" spans="4:4" ht="15.75" customHeight="1">
      <c r="D956" s="6"/>
    </row>
    <row r="957" spans="4:4" ht="15.75" customHeight="1">
      <c r="D957" s="6"/>
    </row>
    <row r="958" spans="4:4" ht="15.75" customHeight="1">
      <c r="D958" s="6"/>
    </row>
    <row r="959" spans="4:4" ht="15.75" customHeight="1">
      <c r="D959" s="6"/>
    </row>
    <row r="960" spans="4:4" ht="15.75" customHeight="1">
      <c r="D960" s="6"/>
    </row>
    <row r="961" spans="4:4" ht="15.75" customHeight="1">
      <c r="D961" s="6"/>
    </row>
    <row r="962" spans="4:4" ht="15.75" customHeight="1">
      <c r="D962" s="6"/>
    </row>
    <row r="963" spans="4:4" ht="15.75" customHeight="1">
      <c r="D963" s="6"/>
    </row>
    <row r="964" spans="4:4" ht="15.75" customHeight="1">
      <c r="D964" s="6"/>
    </row>
    <row r="965" spans="4:4" ht="15.75" customHeight="1">
      <c r="D965" s="6"/>
    </row>
    <row r="966" spans="4:4" ht="15.75" customHeight="1">
      <c r="D966" s="6"/>
    </row>
    <row r="967" spans="4:4" ht="15.75" customHeight="1">
      <c r="D967" s="6"/>
    </row>
    <row r="968" spans="4:4" ht="15.75" customHeight="1">
      <c r="D968" s="6"/>
    </row>
    <row r="969" spans="4:4" ht="15.75" customHeight="1">
      <c r="D969" s="6"/>
    </row>
    <row r="970" spans="4:4" ht="15.75" customHeight="1">
      <c r="D970" s="6"/>
    </row>
    <row r="971" spans="4:4" ht="15.75" customHeight="1">
      <c r="D971" s="6"/>
    </row>
    <row r="972" spans="4:4" ht="15.75" customHeight="1">
      <c r="D972" s="6"/>
    </row>
    <row r="973" spans="4:4" ht="15.75" customHeight="1">
      <c r="D973" s="6"/>
    </row>
    <row r="974" spans="4:4" ht="15.75" customHeight="1">
      <c r="D974" s="6"/>
    </row>
    <row r="975" spans="4:4" ht="15.75" customHeight="1">
      <c r="D975" s="6"/>
    </row>
    <row r="976" spans="4:4" ht="15.75" customHeight="1">
      <c r="D976" s="6"/>
    </row>
    <row r="977" spans="4:4" ht="15.75" customHeight="1">
      <c r="D977" s="6"/>
    </row>
    <row r="978" spans="4:4" ht="15.75" customHeight="1">
      <c r="D978" s="6"/>
    </row>
    <row r="979" spans="4:4" ht="15.75" customHeight="1">
      <c r="D979" s="6"/>
    </row>
    <row r="980" spans="4:4" ht="15.75" customHeight="1">
      <c r="D980" s="6"/>
    </row>
    <row r="981" spans="4:4" ht="15.75" customHeight="1">
      <c r="D981" s="6"/>
    </row>
    <row r="982" spans="4:4" ht="15.75" customHeight="1">
      <c r="D982" s="6"/>
    </row>
    <row r="983" spans="4:4" ht="15.75" customHeight="1">
      <c r="D983" s="6"/>
    </row>
    <row r="984" spans="4:4" ht="15.75" customHeight="1">
      <c r="D984" s="6"/>
    </row>
    <row r="985" spans="4:4" ht="15.75" customHeight="1">
      <c r="D985" s="6"/>
    </row>
    <row r="986" spans="4:4" ht="15.75" customHeight="1">
      <c r="D986" s="6"/>
    </row>
    <row r="987" spans="4:4" ht="15.75" customHeight="1">
      <c r="D987" s="6"/>
    </row>
    <row r="988" spans="4:4" ht="15.75" customHeight="1">
      <c r="D988" s="6"/>
    </row>
    <row r="989" spans="4:4" ht="15.75" customHeight="1">
      <c r="D989" s="6"/>
    </row>
    <row r="990" spans="4:4" ht="15.75" customHeight="1">
      <c r="D990" s="6"/>
    </row>
    <row r="991" spans="4:4" ht="15.75" customHeight="1">
      <c r="D991" s="6"/>
    </row>
    <row r="992" spans="4:4" ht="15.75" customHeight="1">
      <c r="D992" s="6"/>
    </row>
    <row r="993" spans="4:4" ht="15.75" customHeight="1">
      <c r="D993" s="6"/>
    </row>
    <row r="994" spans="4:4" ht="15.75" customHeight="1">
      <c r="D994" s="6"/>
    </row>
    <row r="995" spans="4:4" ht="15.75" customHeight="1">
      <c r="D995" s="6"/>
    </row>
    <row r="996" spans="4:4" ht="15.75" customHeight="1">
      <c r="D996" s="6"/>
    </row>
    <row r="997" spans="4:4" ht="15.75" customHeight="1">
      <c r="D997" s="6"/>
    </row>
    <row r="998" spans="4:4" ht="15.75" customHeight="1">
      <c r="D998" s="6"/>
    </row>
    <row r="999" spans="4:4" ht="15.75" customHeight="1">
      <c r="D999" s="6"/>
    </row>
    <row r="1000" spans="4:4" ht="15.75" customHeight="1">
      <c r="D1000" s="6"/>
    </row>
  </sheetData>
  <mergeCells count="2">
    <mergeCell ref="A23:D23"/>
    <mergeCell ref="F23:G23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K4" sqref="K4"/>
    </sheetView>
  </sheetViews>
  <sheetFormatPr defaultColWidth="14.42578125" defaultRowHeight="15" customHeight="1"/>
  <cols>
    <col min="1" max="1" width="28" customWidth="1"/>
    <col min="2" max="2" width="12" customWidth="1"/>
    <col min="3" max="5" width="8.7109375" customWidth="1"/>
    <col min="6" max="6" width="18.42578125" customWidth="1"/>
    <col min="7" max="7" width="13.28515625" customWidth="1"/>
    <col min="8" max="8" width="14" customWidth="1"/>
    <col min="9" max="9" width="5.140625" customWidth="1"/>
    <col min="10" max="10" width="8.7109375" customWidth="1"/>
    <col min="11" max="11" width="20.28515625" customWidth="1"/>
    <col min="12" max="26" width="8.7109375" customWidth="1"/>
  </cols>
  <sheetData>
    <row r="1" spans="1:11" ht="31.5">
      <c r="A1" s="4" t="s">
        <v>104</v>
      </c>
      <c r="C1" s="7"/>
      <c r="E1" s="4" t="s">
        <v>105</v>
      </c>
    </row>
    <row r="2" spans="1:11">
      <c r="A2" s="19" t="s">
        <v>35</v>
      </c>
      <c r="B2" s="19" t="s">
        <v>106</v>
      </c>
      <c r="E2" s="19" t="s">
        <v>107</v>
      </c>
      <c r="F2" s="19" t="s">
        <v>108</v>
      </c>
      <c r="G2" s="19" t="s">
        <v>109</v>
      </c>
      <c r="H2" s="19" t="s">
        <v>110</v>
      </c>
      <c r="J2" s="60" t="s">
        <v>111</v>
      </c>
      <c r="K2" s="61"/>
    </row>
    <row r="3" spans="1:11">
      <c r="A3" s="20" t="s">
        <v>112</v>
      </c>
      <c r="B3" s="21" t="s">
        <v>113</v>
      </c>
      <c r="E3" s="21">
        <v>1001</v>
      </c>
      <c r="F3" s="20" t="s">
        <v>114</v>
      </c>
      <c r="G3" s="21">
        <v>4</v>
      </c>
      <c r="H3" s="22">
        <v>3500000</v>
      </c>
      <c r="J3" s="23" t="s">
        <v>115</v>
      </c>
      <c r="K3" s="23" t="s">
        <v>5</v>
      </c>
    </row>
    <row r="4" spans="1:11">
      <c r="A4" s="2" t="s">
        <v>116</v>
      </c>
      <c r="B4" s="5" t="s">
        <v>113</v>
      </c>
      <c r="E4" s="5">
        <v>1002</v>
      </c>
      <c r="F4" s="2" t="s">
        <v>117</v>
      </c>
      <c r="G4" s="5">
        <v>2</v>
      </c>
      <c r="H4" s="12">
        <v>2650000</v>
      </c>
      <c r="J4" s="5">
        <v>1</v>
      </c>
      <c r="K4" s="34">
        <f>SUMIF($G$3:$G$12,1,$H$3:$H$12)</f>
        <v>12880000</v>
      </c>
    </row>
    <row r="5" spans="1:11">
      <c r="A5" s="2" t="s">
        <v>118</v>
      </c>
      <c r="B5" s="5" t="s">
        <v>119</v>
      </c>
      <c r="E5" s="5">
        <v>1003</v>
      </c>
      <c r="F5" s="2" t="s">
        <v>120</v>
      </c>
      <c r="G5" s="5">
        <v>1</v>
      </c>
      <c r="H5" s="12">
        <v>5430000</v>
      </c>
      <c r="J5" s="5">
        <v>2</v>
      </c>
      <c r="K5" s="34">
        <f>SUMIF($G$3:$G$12,2,$H$3:$H$12)</f>
        <v>7310000</v>
      </c>
    </row>
    <row r="6" spans="1:11">
      <c r="A6" s="2" t="s">
        <v>121</v>
      </c>
      <c r="B6" s="5" t="s">
        <v>119</v>
      </c>
      <c r="E6" s="5">
        <v>1004</v>
      </c>
      <c r="F6" s="2" t="s">
        <v>122</v>
      </c>
      <c r="G6" s="5">
        <v>3</v>
      </c>
      <c r="H6" s="12">
        <v>4300000</v>
      </c>
      <c r="J6" s="5">
        <v>3</v>
      </c>
      <c r="K6" s="34">
        <f>SUMIF($G$3:$G$12,3,$H$3:$H$12)</f>
        <v>7190000</v>
      </c>
    </row>
    <row r="7" spans="1:11">
      <c r="A7" s="2" t="s">
        <v>123</v>
      </c>
      <c r="B7" s="5" t="s">
        <v>113</v>
      </c>
      <c r="E7" s="5">
        <v>1005</v>
      </c>
      <c r="F7" s="2" t="s">
        <v>124</v>
      </c>
      <c r="G7" s="5">
        <v>1</v>
      </c>
      <c r="H7" s="12">
        <v>3950000</v>
      </c>
      <c r="J7" s="5">
        <v>4</v>
      </c>
      <c r="K7" s="34">
        <f>SUMIF($G$3:$G$12,4,$H$3:$H$12)</f>
        <v>7800000</v>
      </c>
    </row>
    <row r="8" spans="1:11">
      <c r="E8" s="5">
        <v>1006</v>
      </c>
      <c r="F8" s="2" t="s">
        <v>125</v>
      </c>
      <c r="G8" s="5">
        <v>2</v>
      </c>
      <c r="H8" s="12">
        <v>2100000</v>
      </c>
      <c r="K8" s="24"/>
    </row>
    <row r="9" spans="1:11">
      <c r="A9" s="25" t="s">
        <v>126</v>
      </c>
      <c r="B9" s="35">
        <f>COUNTIF(B3:B7,"LULUS")</f>
        <v>3</v>
      </c>
      <c r="E9" s="5">
        <v>1007</v>
      </c>
      <c r="F9" s="2" t="s">
        <v>127</v>
      </c>
      <c r="G9" s="5">
        <v>3</v>
      </c>
      <c r="H9" s="12">
        <v>2890000</v>
      </c>
    </row>
    <row r="10" spans="1:11">
      <c r="A10" s="25" t="s">
        <v>128</v>
      </c>
      <c r="B10" s="35">
        <f>COUNTIF(B3:B7,"TIDAK LULUS")</f>
        <v>2</v>
      </c>
      <c r="E10" s="5">
        <v>1008</v>
      </c>
      <c r="F10" s="2" t="s">
        <v>129</v>
      </c>
      <c r="G10" s="5">
        <v>4</v>
      </c>
      <c r="H10" s="12">
        <v>4300000</v>
      </c>
    </row>
    <row r="11" spans="1:11">
      <c r="E11" s="5">
        <v>1009</v>
      </c>
      <c r="F11" s="2" t="s">
        <v>130</v>
      </c>
      <c r="G11" s="5">
        <v>2</v>
      </c>
      <c r="H11" s="12">
        <v>2560000</v>
      </c>
      <c r="K11" s="64"/>
    </row>
    <row r="12" spans="1:11">
      <c r="E12" s="5">
        <v>1010</v>
      </c>
      <c r="F12" s="2" t="s">
        <v>131</v>
      </c>
      <c r="G12" s="5">
        <v>1</v>
      </c>
      <c r="H12" s="12">
        <v>3500000</v>
      </c>
    </row>
    <row r="13" spans="1:11">
      <c r="E13" s="6"/>
      <c r="H13" s="24"/>
    </row>
    <row r="14" spans="1:11" ht="26.25">
      <c r="A14" s="26" t="s">
        <v>132</v>
      </c>
      <c r="E14" s="6"/>
      <c r="F14" s="26" t="s">
        <v>132</v>
      </c>
    </row>
    <row r="15" spans="1:11" ht="26.25">
      <c r="A15" s="27" t="s">
        <v>133</v>
      </c>
      <c r="E15" s="6"/>
      <c r="F15" s="27" t="s">
        <v>134</v>
      </c>
    </row>
    <row r="16" spans="1:11">
      <c r="E16" s="6"/>
    </row>
    <row r="17" spans="5:5">
      <c r="E17" s="6"/>
    </row>
    <row r="18" spans="5:5">
      <c r="E18" s="6"/>
    </row>
    <row r="19" spans="5:5">
      <c r="E19" s="6"/>
    </row>
    <row r="20" spans="5:5">
      <c r="E20" s="6"/>
    </row>
    <row r="21" spans="5:5" ht="15.75" customHeight="1">
      <c r="E21" s="6"/>
    </row>
    <row r="22" spans="5:5" ht="15.75" customHeight="1">
      <c r="E22" s="6"/>
    </row>
    <row r="23" spans="5:5" ht="15.75" customHeight="1">
      <c r="E23" s="6"/>
    </row>
    <row r="24" spans="5:5" ht="15.75" customHeight="1">
      <c r="E24" s="6"/>
    </row>
    <row r="25" spans="5:5" ht="15.75" customHeight="1">
      <c r="E25" s="6"/>
    </row>
    <row r="26" spans="5:5" ht="15.75" customHeight="1">
      <c r="E26" s="6"/>
    </row>
    <row r="27" spans="5:5" ht="15.75" customHeight="1">
      <c r="E27" s="6"/>
    </row>
    <row r="28" spans="5:5" ht="15.75" customHeight="1">
      <c r="E28" s="6"/>
    </row>
    <row r="29" spans="5:5" ht="15.75" customHeight="1">
      <c r="E29" s="6"/>
    </row>
    <row r="30" spans="5:5" ht="15.75" customHeight="1">
      <c r="E30" s="6"/>
    </row>
    <row r="31" spans="5:5" ht="15.75" customHeight="1">
      <c r="E31" s="6"/>
    </row>
    <row r="32" spans="5:5" ht="15.75" customHeight="1">
      <c r="E32" s="6"/>
    </row>
    <row r="33" spans="5:5" ht="15.75" customHeight="1">
      <c r="E33" s="6"/>
    </row>
    <row r="34" spans="5:5" ht="15.75" customHeight="1">
      <c r="E34" s="6"/>
    </row>
    <row r="35" spans="5:5" ht="15.75" customHeight="1">
      <c r="E35" s="6"/>
    </row>
    <row r="36" spans="5:5" ht="15.75" customHeight="1">
      <c r="E36" s="6"/>
    </row>
    <row r="37" spans="5:5" ht="15.75" customHeight="1">
      <c r="E37" s="6"/>
    </row>
    <row r="38" spans="5:5" ht="15.75" customHeight="1">
      <c r="E38" s="6"/>
    </row>
    <row r="39" spans="5:5" ht="15.75" customHeight="1">
      <c r="E39" s="6"/>
    </row>
    <row r="40" spans="5:5" ht="15.75" customHeight="1">
      <c r="E40" s="6"/>
    </row>
    <row r="41" spans="5:5" ht="15.75" customHeight="1">
      <c r="E41" s="6"/>
    </row>
    <row r="42" spans="5:5" ht="15.75" customHeight="1">
      <c r="E42" s="6"/>
    </row>
    <row r="43" spans="5:5" ht="15.75" customHeight="1">
      <c r="E43" s="6"/>
    </row>
    <row r="44" spans="5:5" ht="15.75" customHeight="1">
      <c r="E44" s="6"/>
    </row>
    <row r="45" spans="5:5" ht="15.75" customHeight="1">
      <c r="E45" s="6"/>
    </row>
    <row r="46" spans="5:5" ht="15.75" customHeight="1">
      <c r="E46" s="6"/>
    </row>
    <row r="47" spans="5:5" ht="15.75" customHeight="1">
      <c r="E47" s="6"/>
    </row>
    <row r="48" spans="5:5" ht="15.75" customHeight="1">
      <c r="E48" s="6"/>
    </row>
    <row r="49" spans="5:5" ht="15.75" customHeight="1">
      <c r="E49" s="6"/>
    </row>
    <row r="50" spans="5:5" ht="15.75" customHeight="1">
      <c r="E50" s="6"/>
    </row>
    <row r="51" spans="5:5" ht="15.75" customHeight="1">
      <c r="E51" s="6"/>
    </row>
    <row r="52" spans="5:5" ht="15.75" customHeight="1">
      <c r="E52" s="6"/>
    </row>
    <row r="53" spans="5:5" ht="15.75" customHeight="1">
      <c r="E53" s="6"/>
    </row>
    <row r="54" spans="5:5" ht="15.75" customHeight="1">
      <c r="E54" s="6"/>
    </row>
    <row r="55" spans="5:5" ht="15.75" customHeight="1">
      <c r="E55" s="6"/>
    </row>
    <row r="56" spans="5:5" ht="15.75" customHeight="1">
      <c r="E56" s="6"/>
    </row>
    <row r="57" spans="5:5" ht="15.75" customHeight="1">
      <c r="E57" s="6"/>
    </row>
    <row r="58" spans="5:5" ht="15.75" customHeight="1">
      <c r="E58" s="6"/>
    </row>
    <row r="59" spans="5:5" ht="15.75" customHeight="1">
      <c r="E59" s="6"/>
    </row>
    <row r="60" spans="5:5" ht="15.75" customHeight="1">
      <c r="E60" s="6"/>
    </row>
    <row r="61" spans="5:5" ht="15.75" customHeight="1">
      <c r="E61" s="6"/>
    </row>
    <row r="62" spans="5:5" ht="15.75" customHeight="1">
      <c r="E62" s="6"/>
    </row>
    <row r="63" spans="5:5" ht="15.75" customHeight="1">
      <c r="E63" s="6"/>
    </row>
    <row r="64" spans="5:5" ht="15.75" customHeight="1">
      <c r="E64" s="6"/>
    </row>
    <row r="65" spans="5:5" ht="15.75" customHeight="1">
      <c r="E65" s="6"/>
    </row>
    <row r="66" spans="5:5" ht="15.75" customHeight="1">
      <c r="E66" s="6"/>
    </row>
    <row r="67" spans="5:5" ht="15.75" customHeight="1">
      <c r="E67" s="6"/>
    </row>
    <row r="68" spans="5:5" ht="15.75" customHeight="1">
      <c r="E68" s="6"/>
    </row>
    <row r="69" spans="5:5" ht="15.75" customHeight="1">
      <c r="E69" s="6"/>
    </row>
    <row r="70" spans="5:5" ht="15.75" customHeight="1">
      <c r="E70" s="6"/>
    </row>
    <row r="71" spans="5:5" ht="15.75" customHeight="1">
      <c r="E71" s="6"/>
    </row>
    <row r="72" spans="5:5" ht="15.75" customHeight="1">
      <c r="E72" s="6"/>
    </row>
    <row r="73" spans="5:5" ht="15.75" customHeight="1">
      <c r="E73" s="6"/>
    </row>
    <row r="74" spans="5:5" ht="15.75" customHeight="1">
      <c r="E74" s="6"/>
    </row>
    <row r="75" spans="5:5" ht="15.75" customHeight="1">
      <c r="E75" s="6"/>
    </row>
    <row r="76" spans="5:5" ht="15.75" customHeight="1">
      <c r="E76" s="6"/>
    </row>
    <row r="77" spans="5:5" ht="15.75" customHeight="1">
      <c r="E77" s="6"/>
    </row>
    <row r="78" spans="5:5" ht="15.75" customHeight="1">
      <c r="E78" s="6"/>
    </row>
    <row r="79" spans="5:5" ht="15.75" customHeight="1">
      <c r="E79" s="6"/>
    </row>
    <row r="80" spans="5:5" ht="15.75" customHeight="1">
      <c r="E80" s="6"/>
    </row>
    <row r="81" spans="5:5" ht="15.75" customHeight="1">
      <c r="E81" s="6"/>
    </row>
    <row r="82" spans="5:5" ht="15.75" customHeight="1">
      <c r="E82" s="6"/>
    </row>
    <row r="83" spans="5:5" ht="15.75" customHeight="1">
      <c r="E83" s="6"/>
    </row>
    <row r="84" spans="5:5" ht="15.75" customHeight="1">
      <c r="E84" s="6"/>
    </row>
    <row r="85" spans="5:5" ht="15.75" customHeight="1">
      <c r="E85" s="6"/>
    </row>
    <row r="86" spans="5:5" ht="15.75" customHeight="1">
      <c r="E86" s="6"/>
    </row>
    <row r="87" spans="5:5" ht="15.75" customHeight="1">
      <c r="E87" s="6"/>
    </row>
    <row r="88" spans="5:5" ht="15.75" customHeight="1">
      <c r="E88" s="6"/>
    </row>
    <row r="89" spans="5:5" ht="15.75" customHeight="1">
      <c r="E89" s="6"/>
    </row>
    <row r="90" spans="5:5" ht="15.75" customHeight="1">
      <c r="E90" s="6"/>
    </row>
    <row r="91" spans="5:5" ht="15.75" customHeight="1">
      <c r="E91" s="6"/>
    </row>
    <row r="92" spans="5:5" ht="15.75" customHeight="1">
      <c r="E92" s="6"/>
    </row>
    <row r="93" spans="5:5" ht="15.75" customHeight="1">
      <c r="E93" s="6"/>
    </row>
    <row r="94" spans="5:5" ht="15.75" customHeight="1">
      <c r="E94" s="6"/>
    </row>
    <row r="95" spans="5:5" ht="15.75" customHeight="1">
      <c r="E95" s="6"/>
    </row>
    <row r="96" spans="5:5" ht="15.75" customHeight="1">
      <c r="E96" s="6"/>
    </row>
    <row r="97" spans="5:5" ht="15.75" customHeight="1">
      <c r="E97" s="6"/>
    </row>
    <row r="98" spans="5:5" ht="15.75" customHeight="1">
      <c r="E98" s="6"/>
    </row>
    <row r="99" spans="5:5" ht="15.75" customHeight="1">
      <c r="E99" s="6"/>
    </row>
    <row r="100" spans="5:5" ht="15.75" customHeight="1">
      <c r="E100" s="6"/>
    </row>
    <row r="101" spans="5:5" ht="15.75" customHeight="1">
      <c r="E101" s="6"/>
    </row>
    <row r="102" spans="5:5" ht="15.75" customHeight="1">
      <c r="E102" s="6"/>
    </row>
    <row r="103" spans="5:5" ht="15.75" customHeight="1">
      <c r="E103" s="6"/>
    </row>
    <row r="104" spans="5:5" ht="15.75" customHeight="1">
      <c r="E104" s="6"/>
    </row>
    <row r="105" spans="5:5" ht="15.75" customHeight="1">
      <c r="E105" s="6"/>
    </row>
    <row r="106" spans="5:5" ht="15.75" customHeight="1">
      <c r="E106" s="6"/>
    </row>
    <row r="107" spans="5:5" ht="15.75" customHeight="1">
      <c r="E107" s="6"/>
    </row>
    <row r="108" spans="5:5" ht="15.75" customHeight="1">
      <c r="E108" s="6"/>
    </row>
    <row r="109" spans="5:5" ht="15.75" customHeight="1">
      <c r="E109" s="6"/>
    </row>
    <row r="110" spans="5:5" ht="15.75" customHeight="1">
      <c r="E110" s="6"/>
    </row>
    <row r="111" spans="5:5" ht="15.75" customHeight="1">
      <c r="E111" s="6"/>
    </row>
    <row r="112" spans="5:5" ht="15.75" customHeight="1">
      <c r="E112" s="6"/>
    </row>
    <row r="113" spans="5:5" ht="15.75" customHeight="1">
      <c r="E113" s="6"/>
    </row>
    <row r="114" spans="5:5" ht="15.75" customHeight="1">
      <c r="E114" s="6"/>
    </row>
    <row r="115" spans="5:5" ht="15.75" customHeight="1">
      <c r="E115" s="6"/>
    </row>
    <row r="116" spans="5:5" ht="15.75" customHeight="1">
      <c r="E116" s="6"/>
    </row>
    <row r="117" spans="5:5" ht="15.75" customHeight="1">
      <c r="E117" s="6"/>
    </row>
    <row r="118" spans="5:5" ht="15.75" customHeight="1">
      <c r="E118" s="6"/>
    </row>
    <row r="119" spans="5:5" ht="15.75" customHeight="1">
      <c r="E119" s="6"/>
    </row>
    <row r="120" spans="5:5" ht="15.75" customHeight="1">
      <c r="E120" s="6"/>
    </row>
    <row r="121" spans="5:5" ht="15.75" customHeight="1">
      <c r="E121" s="6"/>
    </row>
    <row r="122" spans="5:5" ht="15.75" customHeight="1">
      <c r="E122" s="6"/>
    </row>
    <row r="123" spans="5:5" ht="15.75" customHeight="1">
      <c r="E123" s="6"/>
    </row>
    <row r="124" spans="5:5" ht="15.75" customHeight="1">
      <c r="E124" s="6"/>
    </row>
    <row r="125" spans="5:5" ht="15.75" customHeight="1">
      <c r="E125" s="6"/>
    </row>
    <row r="126" spans="5:5" ht="15.75" customHeight="1">
      <c r="E126" s="6"/>
    </row>
    <row r="127" spans="5:5" ht="15.75" customHeight="1">
      <c r="E127" s="6"/>
    </row>
    <row r="128" spans="5:5" ht="15.75" customHeight="1">
      <c r="E128" s="6"/>
    </row>
    <row r="129" spans="5:5" ht="15.75" customHeight="1">
      <c r="E129" s="6"/>
    </row>
    <row r="130" spans="5:5" ht="15.75" customHeight="1">
      <c r="E130" s="6"/>
    </row>
    <row r="131" spans="5:5" ht="15.75" customHeight="1">
      <c r="E131" s="6"/>
    </row>
    <row r="132" spans="5:5" ht="15.75" customHeight="1">
      <c r="E132" s="6"/>
    </row>
    <row r="133" spans="5:5" ht="15.75" customHeight="1">
      <c r="E133" s="6"/>
    </row>
    <row r="134" spans="5:5" ht="15.75" customHeight="1">
      <c r="E134" s="6"/>
    </row>
    <row r="135" spans="5:5" ht="15.75" customHeight="1">
      <c r="E135" s="6"/>
    </row>
    <row r="136" spans="5:5" ht="15.75" customHeight="1">
      <c r="E136" s="6"/>
    </row>
    <row r="137" spans="5:5" ht="15.75" customHeight="1">
      <c r="E137" s="6"/>
    </row>
    <row r="138" spans="5:5" ht="15.75" customHeight="1">
      <c r="E138" s="6"/>
    </row>
    <row r="139" spans="5:5" ht="15.75" customHeight="1">
      <c r="E139" s="6"/>
    </row>
    <row r="140" spans="5:5" ht="15.75" customHeight="1">
      <c r="E140" s="6"/>
    </row>
    <row r="141" spans="5:5" ht="15.75" customHeight="1">
      <c r="E141" s="6"/>
    </row>
    <row r="142" spans="5:5" ht="15.75" customHeight="1">
      <c r="E142" s="6"/>
    </row>
    <row r="143" spans="5:5" ht="15.75" customHeight="1">
      <c r="E143" s="6"/>
    </row>
    <row r="144" spans="5:5" ht="15.75" customHeight="1">
      <c r="E144" s="6"/>
    </row>
    <row r="145" spans="5:5" ht="15.75" customHeight="1">
      <c r="E145" s="6"/>
    </row>
    <row r="146" spans="5:5" ht="15.75" customHeight="1">
      <c r="E146" s="6"/>
    </row>
    <row r="147" spans="5:5" ht="15.75" customHeight="1">
      <c r="E147" s="6"/>
    </row>
    <row r="148" spans="5:5" ht="15.75" customHeight="1">
      <c r="E148" s="6"/>
    </row>
    <row r="149" spans="5:5" ht="15.75" customHeight="1">
      <c r="E149" s="6"/>
    </row>
    <row r="150" spans="5:5" ht="15.75" customHeight="1">
      <c r="E150" s="6"/>
    </row>
    <row r="151" spans="5:5" ht="15.75" customHeight="1">
      <c r="E151" s="6"/>
    </row>
    <row r="152" spans="5:5" ht="15.75" customHeight="1">
      <c r="E152" s="6"/>
    </row>
    <row r="153" spans="5:5" ht="15.75" customHeight="1">
      <c r="E153" s="6"/>
    </row>
    <row r="154" spans="5:5" ht="15.75" customHeight="1">
      <c r="E154" s="6"/>
    </row>
    <row r="155" spans="5:5" ht="15.75" customHeight="1">
      <c r="E155" s="6"/>
    </row>
    <row r="156" spans="5:5" ht="15.75" customHeight="1">
      <c r="E156" s="6"/>
    </row>
    <row r="157" spans="5:5" ht="15.75" customHeight="1">
      <c r="E157" s="6"/>
    </row>
    <row r="158" spans="5:5" ht="15.75" customHeight="1">
      <c r="E158" s="6"/>
    </row>
    <row r="159" spans="5:5" ht="15.75" customHeight="1">
      <c r="E159" s="6"/>
    </row>
    <row r="160" spans="5:5" ht="15.75" customHeight="1">
      <c r="E160" s="6"/>
    </row>
    <row r="161" spans="5:5" ht="15.75" customHeight="1">
      <c r="E161" s="6"/>
    </row>
    <row r="162" spans="5:5" ht="15.75" customHeight="1">
      <c r="E162" s="6"/>
    </row>
    <row r="163" spans="5:5" ht="15.75" customHeight="1">
      <c r="E163" s="6"/>
    </row>
    <row r="164" spans="5:5" ht="15.75" customHeight="1">
      <c r="E164" s="6"/>
    </row>
    <row r="165" spans="5:5" ht="15.75" customHeight="1">
      <c r="E165" s="6"/>
    </row>
    <row r="166" spans="5:5" ht="15.75" customHeight="1">
      <c r="E166" s="6"/>
    </row>
    <row r="167" spans="5:5" ht="15.75" customHeight="1">
      <c r="E167" s="6"/>
    </row>
    <row r="168" spans="5:5" ht="15.75" customHeight="1">
      <c r="E168" s="6"/>
    </row>
    <row r="169" spans="5:5" ht="15.75" customHeight="1">
      <c r="E169" s="6"/>
    </row>
    <row r="170" spans="5:5" ht="15.75" customHeight="1">
      <c r="E170" s="6"/>
    </row>
    <row r="171" spans="5:5" ht="15.75" customHeight="1">
      <c r="E171" s="6"/>
    </row>
    <row r="172" spans="5:5" ht="15.75" customHeight="1">
      <c r="E172" s="6"/>
    </row>
    <row r="173" spans="5:5" ht="15.75" customHeight="1">
      <c r="E173" s="6"/>
    </row>
    <row r="174" spans="5:5" ht="15.75" customHeight="1">
      <c r="E174" s="6"/>
    </row>
    <row r="175" spans="5:5" ht="15.75" customHeight="1">
      <c r="E175" s="6"/>
    </row>
    <row r="176" spans="5:5" ht="15.75" customHeight="1">
      <c r="E176" s="6"/>
    </row>
    <row r="177" spans="5:5" ht="15.75" customHeight="1">
      <c r="E177" s="6"/>
    </row>
    <row r="178" spans="5:5" ht="15.75" customHeight="1">
      <c r="E178" s="6"/>
    </row>
    <row r="179" spans="5:5" ht="15.75" customHeight="1">
      <c r="E179" s="6"/>
    </row>
    <row r="180" spans="5:5" ht="15.75" customHeight="1">
      <c r="E180" s="6"/>
    </row>
    <row r="181" spans="5:5" ht="15.75" customHeight="1">
      <c r="E181" s="6"/>
    </row>
    <row r="182" spans="5:5" ht="15.75" customHeight="1">
      <c r="E182" s="6"/>
    </row>
    <row r="183" spans="5:5" ht="15.75" customHeight="1">
      <c r="E183" s="6"/>
    </row>
    <row r="184" spans="5:5" ht="15.75" customHeight="1">
      <c r="E184" s="6"/>
    </row>
    <row r="185" spans="5:5" ht="15.75" customHeight="1">
      <c r="E185" s="6"/>
    </row>
    <row r="186" spans="5:5" ht="15.75" customHeight="1">
      <c r="E186" s="6"/>
    </row>
    <row r="187" spans="5:5" ht="15.75" customHeight="1">
      <c r="E187" s="6"/>
    </row>
    <row r="188" spans="5:5" ht="15.75" customHeight="1">
      <c r="E188" s="6"/>
    </row>
    <row r="189" spans="5:5" ht="15.75" customHeight="1">
      <c r="E189" s="6"/>
    </row>
    <row r="190" spans="5:5" ht="15.75" customHeight="1">
      <c r="E190" s="6"/>
    </row>
    <row r="191" spans="5:5" ht="15.75" customHeight="1">
      <c r="E191" s="6"/>
    </row>
    <row r="192" spans="5:5" ht="15.75" customHeight="1">
      <c r="E192" s="6"/>
    </row>
    <row r="193" spans="5:5" ht="15.75" customHeight="1">
      <c r="E193" s="6"/>
    </row>
    <row r="194" spans="5:5" ht="15.75" customHeight="1">
      <c r="E194" s="6"/>
    </row>
    <row r="195" spans="5:5" ht="15.75" customHeight="1">
      <c r="E195" s="6"/>
    </row>
    <row r="196" spans="5:5" ht="15.75" customHeight="1">
      <c r="E196" s="6"/>
    </row>
    <row r="197" spans="5:5" ht="15.75" customHeight="1">
      <c r="E197" s="6"/>
    </row>
    <row r="198" spans="5:5" ht="15.75" customHeight="1">
      <c r="E198" s="6"/>
    </row>
    <row r="199" spans="5:5" ht="15.75" customHeight="1">
      <c r="E199" s="6"/>
    </row>
    <row r="200" spans="5:5" ht="15.75" customHeight="1">
      <c r="E200" s="6"/>
    </row>
    <row r="201" spans="5:5" ht="15.75" customHeight="1">
      <c r="E201" s="6"/>
    </row>
    <row r="202" spans="5:5" ht="15.75" customHeight="1">
      <c r="E202" s="6"/>
    </row>
    <row r="203" spans="5:5" ht="15.75" customHeight="1">
      <c r="E203" s="6"/>
    </row>
    <row r="204" spans="5:5" ht="15.75" customHeight="1">
      <c r="E204" s="6"/>
    </row>
    <row r="205" spans="5:5" ht="15.75" customHeight="1">
      <c r="E205" s="6"/>
    </row>
    <row r="206" spans="5:5" ht="15.75" customHeight="1">
      <c r="E206" s="6"/>
    </row>
    <row r="207" spans="5:5" ht="15.75" customHeight="1">
      <c r="E207" s="6"/>
    </row>
    <row r="208" spans="5:5" ht="15.75" customHeight="1">
      <c r="E208" s="6"/>
    </row>
    <row r="209" spans="5:5" ht="15.75" customHeight="1">
      <c r="E209" s="6"/>
    </row>
    <row r="210" spans="5:5" ht="15.75" customHeight="1">
      <c r="E210" s="6"/>
    </row>
    <row r="211" spans="5:5" ht="15.75" customHeight="1">
      <c r="E211" s="6"/>
    </row>
    <row r="212" spans="5:5" ht="15.75" customHeight="1">
      <c r="E212" s="6"/>
    </row>
    <row r="213" spans="5:5" ht="15.75" customHeight="1">
      <c r="E213" s="6"/>
    </row>
    <row r="214" spans="5:5" ht="15.75" customHeight="1">
      <c r="E214" s="6"/>
    </row>
    <row r="215" spans="5:5" ht="15.75" customHeight="1">
      <c r="E215" s="6"/>
    </row>
    <row r="216" spans="5:5" ht="15.75" customHeight="1">
      <c r="E216" s="6"/>
    </row>
    <row r="217" spans="5:5" ht="15.75" customHeight="1">
      <c r="E217" s="6"/>
    </row>
    <row r="218" spans="5:5" ht="15.75" customHeight="1">
      <c r="E218" s="6"/>
    </row>
    <row r="219" spans="5:5" ht="15.75" customHeight="1">
      <c r="E219" s="6"/>
    </row>
    <row r="220" spans="5:5" ht="15.75" customHeight="1">
      <c r="E220" s="6"/>
    </row>
    <row r="221" spans="5:5" ht="15.75" customHeight="1">
      <c r="E221" s="6"/>
    </row>
    <row r="222" spans="5:5" ht="15.75" customHeight="1">
      <c r="E222" s="6"/>
    </row>
    <row r="223" spans="5:5" ht="15.75" customHeight="1">
      <c r="E223" s="6"/>
    </row>
    <row r="224" spans="5:5" ht="15.75" customHeight="1">
      <c r="E224" s="6"/>
    </row>
    <row r="225" spans="5:5" ht="15.75" customHeight="1">
      <c r="E225" s="6"/>
    </row>
    <row r="226" spans="5:5" ht="15.75" customHeight="1">
      <c r="E226" s="6"/>
    </row>
    <row r="227" spans="5:5" ht="15.75" customHeight="1">
      <c r="E227" s="6"/>
    </row>
    <row r="228" spans="5:5" ht="15.75" customHeight="1">
      <c r="E228" s="6"/>
    </row>
    <row r="229" spans="5:5" ht="15.75" customHeight="1">
      <c r="E229" s="6"/>
    </row>
    <row r="230" spans="5:5" ht="15.75" customHeight="1">
      <c r="E230" s="6"/>
    </row>
    <row r="231" spans="5:5" ht="15.75" customHeight="1">
      <c r="E231" s="6"/>
    </row>
    <row r="232" spans="5:5" ht="15.75" customHeight="1">
      <c r="E232" s="6"/>
    </row>
    <row r="233" spans="5:5" ht="15.75" customHeight="1">
      <c r="E233" s="6"/>
    </row>
    <row r="234" spans="5:5" ht="15.75" customHeight="1">
      <c r="E234" s="6"/>
    </row>
    <row r="235" spans="5:5" ht="15.75" customHeight="1">
      <c r="E235" s="6"/>
    </row>
    <row r="236" spans="5:5" ht="15.75" customHeight="1">
      <c r="E236" s="6"/>
    </row>
    <row r="237" spans="5:5" ht="15.75" customHeight="1">
      <c r="E237" s="6"/>
    </row>
    <row r="238" spans="5:5" ht="15.75" customHeight="1">
      <c r="E238" s="6"/>
    </row>
    <row r="239" spans="5:5" ht="15.75" customHeight="1">
      <c r="E239" s="6"/>
    </row>
    <row r="240" spans="5:5" ht="15.75" customHeight="1">
      <c r="E240" s="6"/>
    </row>
    <row r="241" spans="5:5" ht="15.75" customHeight="1">
      <c r="E241" s="6"/>
    </row>
    <row r="242" spans="5:5" ht="15.75" customHeight="1">
      <c r="E242" s="6"/>
    </row>
    <row r="243" spans="5:5" ht="15.75" customHeight="1">
      <c r="E243" s="6"/>
    </row>
    <row r="244" spans="5:5" ht="15.75" customHeight="1">
      <c r="E244" s="6"/>
    </row>
    <row r="245" spans="5:5" ht="15.75" customHeight="1">
      <c r="E245" s="6"/>
    </row>
    <row r="246" spans="5:5" ht="15.75" customHeight="1">
      <c r="E246" s="6"/>
    </row>
    <row r="247" spans="5:5" ht="15.75" customHeight="1">
      <c r="E247" s="6"/>
    </row>
    <row r="248" spans="5:5" ht="15.75" customHeight="1">
      <c r="E248" s="6"/>
    </row>
    <row r="249" spans="5:5" ht="15.75" customHeight="1">
      <c r="E249" s="6"/>
    </row>
    <row r="250" spans="5:5" ht="15.75" customHeight="1">
      <c r="E250" s="6"/>
    </row>
    <row r="251" spans="5:5" ht="15.75" customHeight="1">
      <c r="E251" s="6"/>
    </row>
    <row r="252" spans="5:5" ht="15.75" customHeight="1">
      <c r="E252" s="6"/>
    </row>
    <row r="253" spans="5:5" ht="15.75" customHeight="1">
      <c r="E253" s="6"/>
    </row>
    <row r="254" spans="5:5" ht="15.75" customHeight="1">
      <c r="E254" s="6"/>
    </row>
    <row r="255" spans="5:5" ht="15.75" customHeight="1">
      <c r="E255" s="6"/>
    </row>
    <row r="256" spans="5:5" ht="15.75" customHeight="1">
      <c r="E256" s="6"/>
    </row>
    <row r="257" spans="5:5" ht="15.75" customHeight="1">
      <c r="E257" s="6"/>
    </row>
    <row r="258" spans="5:5" ht="15.75" customHeight="1">
      <c r="E258" s="6"/>
    </row>
    <row r="259" spans="5:5" ht="15.75" customHeight="1">
      <c r="E259" s="6"/>
    </row>
    <row r="260" spans="5:5" ht="15.75" customHeight="1">
      <c r="E260" s="6"/>
    </row>
    <row r="261" spans="5:5" ht="15.75" customHeight="1">
      <c r="E261" s="6"/>
    </row>
    <row r="262" spans="5:5" ht="15.75" customHeight="1">
      <c r="E262" s="6"/>
    </row>
    <row r="263" spans="5:5" ht="15.75" customHeight="1">
      <c r="E263" s="6"/>
    </row>
    <row r="264" spans="5:5" ht="15.75" customHeight="1">
      <c r="E264" s="6"/>
    </row>
    <row r="265" spans="5:5" ht="15.75" customHeight="1">
      <c r="E265" s="6"/>
    </row>
    <row r="266" spans="5:5" ht="15.75" customHeight="1">
      <c r="E266" s="6"/>
    </row>
    <row r="267" spans="5:5" ht="15.75" customHeight="1">
      <c r="E267" s="6"/>
    </row>
    <row r="268" spans="5:5" ht="15.75" customHeight="1">
      <c r="E268" s="6"/>
    </row>
    <row r="269" spans="5:5" ht="15.75" customHeight="1">
      <c r="E269" s="6"/>
    </row>
    <row r="270" spans="5:5" ht="15.75" customHeight="1">
      <c r="E270" s="6"/>
    </row>
    <row r="271" spans="5:5" ht="15.75" customHeight="1">
      <c r="E271" s="6"/>
    </row>
    <row r="272" spans="5:5" ht="15.75" customHeight="1">
      <c r="E272" s="6"/>
    </row>
    <row r="273" spans="5:5" ht="15.75" customHeight="1">
      <c r="E273" s="6"/>
    </row>
    <row r="274" spans="5:5" ht="15.75" customHeight="1">
      <c r="E274" s="6"/>
    </row>
    <row r="275" spans="5:5" ht="15.75" customHeight="1">
      <c r="E275" s="6"/>
    </row>
    <row r="276" spans="5:5" ht="15.75" customHeight="1">
      <c r="E276" s="6"/>
    </row>
    <row r="277" spans="5:5" ht="15.75" customHeight="1">
      <c r="E277" s="6"/>
    </row>
    <row r="278" spans="5:5" ht="15.75" customHeight="1">
      <c r="E278" s="6"/>
    </row>
    <row r="279" spans="5:5" ht="15.75" customHeight="1">
      <c r="E279" s="6"/>
    </row>
    <row r="280" spans="5:5" ht="15.75" customHeight="1">
      <c r="E280" s="6"/>
    </row>
    <row r="281" spans="5:5" ht="15.75" customHeight="1">
      <c r="E281" s="6"/>
    </row>
    <row r="282" spans="5:5" ht="15.75" customHeight="1">
      <c r="E282" s="6"/>
    </row>
    <row r="283" spans="5:5" ht="15.75" customHeight="1">
      <c r="E283" s="6"/>
    </row>
    <row r="284" spans="5:5" ht="15.75" customHeight="1">
      <c r="E284" s="6"/>
    </row>
    <row r="285" spans="5:5" ht="15.75" customHeight="1">
      <c r="E285" s="6"/>
    </row>
    <row r="286" spans="5:5" ht="15.75" customHeight="1">
      <c r="E286" s="6"/>
    </row>
    <row r="287" spans="5:5" ht="15.75" customHeight="1">
      <c r="E287" s="6"/>
    </row>
    <row r="288" spans="5:5" ht="15.75" customHeight="1">
      <c r="E288" s="6"/>
    </row>
    <row r="289" spans="5:5" ht="15.75" customHeight="1">
      <c r="E289" s="6"/>
    </row>
    <row r="290" spans="5:5" ht="15.75" customHeight="1">
      <c r="E290" s="6"/>
    </row>
    <row r="291" spans="5:5" ht="15.75" customHeight="1">
      <c r="E291" s="6"/>
    </row>
    <row r="292" spans="5:5" ht="15.75" customHeight="1">
      <c r="E292" s="6"/>
    </row>
    <row r="293" spans="5:5" ht="15.75" customHeight="1">
      <c r="E293" s="6"/>
    </row>
    <row r="294" spans="5:5" ht="15.75" customHeight="1">
      <c r="E294" s="6"/>
    </row>
    <row r="295" spans="5:5" ht="15.75" customHeight="1">
      <c r="E295" s="6"/>
    </row>
    <row r="296" spans="5:5" ht="15.75" customHeight="1">
      <c r="E296" s="6"/>
    </row>
    <row r="297" spans="5:5" ht="15.75" customHeight="1">
      <c r="E297" s="6"/>
    </row>
    <row r="298" spans="5:5" ht="15.75" customHeight="1">
      <c r="E298" s="6"/>
    </row>
    <row r="299" spans="5:5" ht="15.75" customHeight="1">
      <c r="E299" s="6"/>
    </row>
    <row r="300" spans="5:5" ht="15.75" customHeight="1">
      <c r="E300" s="6"/>
    </row>
    <row r="301" spans="5:5" ht="15.75" customHeight="1">
      <c r="E301" s="6"/>
    </row>
    <row r="302" spans="5:5" ht="15.75" customHeight="1">
      <c r="E302" s="6"/>
    </row>
    <row r="303" spans="5:5" ht="15.75" customHeight="1">
      <c r="E303" s="6"/>
    </row>
    <row r="304" spans="5:5" ht="15.75" customHeight="1">
      <c r="E304" s="6"/>
    </row>
    <row r="305" spans="5:5" ht="15.75" customHeight="1">
      <c r="E305" s="6"/>
    </row>
    <row r="306" spans="5:5" ht="15.75" customHeight="1">
      <c r="E306" s="6"/>
    </row>
    <row r="307" spans="5:5" ht="15.75" customHeight="1">
      <c r="E307" s="6"/>
    </row>
    <row r="308" spans="5:5" ht="15.75" customHeight="1">
      <c r="E308" s="6"/>
    </row>
    <row r="309" spans="5:5" ht="15.75" customHeight="1">
      <c r="E309" s="6"/>
    </row>
    <row r="310" spans="5:5" ht="15.75" customHeight="1">
      <c r="E310" s="6"/>
    </row>
    <row r="311" spans="5:5" ht="15.75" customHeight="1">
      <c r="E311" s="6"/>
    </row>
    <row r="312" spans="5:5" ht="15.75" customHeight="1">
      <c r="E312" s="6"/>
    </row>
    <row r="313" spans="5:5" ht="15.75" customHeight="1">
      <c r="E313" s="6"/>
    </row>
    <row r="314" spans="5:5" ht="15.75" customHeight="1">
      <c r="E314" s="6"/>
    </row>
    <row r="315" spans="5:5" ht="15.75" customHeight="1">
      <c r="E315" s="6"/>
    </row>
    <row r="316" spans="5:5" ht="15.75" customHeight="1">
      <c r="E316" s="6"/>
    </row>
    <row r="317" spans="5:5" ht="15.75" customHeight="1">
      <c r="E317" s="6"/>
    </row>
    <row r="318" spans="5:5" ht="15.75" customHeight="1">
      <c r="E318" s="6"/>
    </row>
    <row r="319" spans="5:5" ht="15.75" customHeight="1">
      <c r="E319" s="6"/>
    </row>
    <row r="320" spans="5:5" ht="15.75" customHeight="1">
      <c r="E320" s="6"/>
    </row>
    <row r="321" spans="5:5" ht="15.75" customHeight="1">
      <c r="E321" s="6"/>
    </row>
    <row r="322" spans="5:5" ht="15.75" customHeight="1">
      <c r="E322" s="6"/>
    </row>
    <row r="323" spans="5:5" ht="15.75" customHeight="1">
      <c r="E323" s="6"/>
    </row>
    <row r="324" spans="5:5" ht="15.75" customHeight="1">
      <c r="E324" s="6"/>
    </row>
    <row r="325" spans="5:5" ht="15.75" customHeight="1">
      <c r="E325" s="6"/>
    </row>
    <row r="326" spans="5:5" ht="15.75" customHeight="1">
      <c r="E326" s="6"/>
    </row>
    <row r="327" spans="5:5" ht="15.75" customHeight="1">
      <c r="E327" s="6"/>
    </row>
    <row r="328" spans="5:5" ht="15.75" customHeight="1">
      <c r="E328" s="6"/>
    </row>
    <row r="329" spans="5:5" ht="15.75" customHeight="1">
      <c r="E329" s="6"/>
    </row>
    <row r="330" spans="5:5" ht="15.75" customHeight="1">
      <c r="E330" s="6"/>
    </row>
    <row r="331" spans="5:5" ht="15.75" customHeight="1">
      <c r="E331" s="6"/>
    </row>
    <row r="332" spans="5:5" ht="15.75" customHeight="1">
      <c r="E332" s="6"/>
    </row>
    <row r="333" spans="5:5" ht="15.75" customHeight="1">
      <c r="E333" s="6"/>
    </row>
    <row r="334" spans="5:5" ht="15.75" customHeight="1">
      <c r="E334" s="6"/>
    </row>
    <row r="335" spans="5:5" ht="15.75" customHeight="1">
      <c r="E335" s="6"/>
    </row>
    <row r="336" spans="5:5" ht="15.75" customHeight="1">
      <c r="E336" s="6"/>
    </row>
    <row r="337" spans="5:5" ht="15.75" customHeight="1">
      <c r="E337" s="6"/>
    </row>
    <row r="338" spans="5:5" ht="15.75" customHeight="1">
      <c r="E338" s="6"/>
    </row>
    <row r="339" spans="5:5" ht="15.75" customHeight="1">
      <c r="E339" s="6"/>
    </row>
    <row r="340" spans="5:5" ht="15.75" customHeight="1">
      <c r="E340" s="6"/>
    </row>
    <row r="341" spans="5:5" ht="15.75" customHeight="1">
      <c r="E341" s="6"/>
    </row>
    <row r="342" spans="5:5" ht="15.75" customHeight="1">
      <c r="E342" s="6"/>
    </row>
    <row r="343" spans="5:5" ht="15.75" customHeight="1">
      <c r="E343" s="6"/>
    </row>
    <row r="344" spans="5:5" ht="15.75" customHeight="1">
      <c r="E344" s="6"/>
    </row>
    <row r="345" spans="5:5" ht="15.75" customHeight="1">
      <c r="E345" s="6"/>
    </row>
    <row r="346" spans="5:5" ht="15.75" customHeight="1">
      <c r="E346" s="6"/>
    </row>
    <row r="347" spans="5:5" ht="15.75" customHeight="1">
      <c r="E347" s="6"/>
    </row>
    <row r="348" spans="5:5" ht="15.75" customHeight="1">
      <c r="E348" s="6"/>
    </row>
    <row r="349" spans="5:5" ht="15.75" customHeight="1">
      <c r="E349" s="6"/>
    </row>
    <row r="350" spans="5:5" ht="15.75" customHeight="1">
      <c r="E350" s="6"/>
    </row>
    <row r="351" spans="5:5" ht="15.75" customHeight="1">
      <c r="E351" s="6"/>
    </row>
    <row r="352" spans="5:5" ht="15.75" customHeight="1">
      <c r="E352" s="6"/>
    </row>
    <row r="353" spans="5:5" ht="15.75" customHeight="1">
      <c r="E353" s="6"/>
    </row>
    <row r="354" spans="5:5" ht="15.75" customHeight="1">
      <c r="E354" s="6"/>
    </row>
    <row r="355" spans="5:5" ht="15.75" customHeight="1">
      <c r="E355" s="6"/>
    </row>
    <row r="356" spans="5:5" ht="15.75" customHeight="1">
      <c r="E356" s="6"/>
    </row>
    <row r="357" spans="5:5" ht="15.75" customHeight="1">
      <c r="E357" s="6"/>
    </row>
    <row r="358" spans="5:5" ht="15.75" customHeight="1">
      <c r="E358" s="6"/>
    </row>
    <row r="359" spans="5:5" ht="15.75" customHeight="1">
      <c r="E359" s="6"/>
    </row>
    <row r="360" spans="5:5" ht="15.75" customHeight="1">
      <c r="E360" s="6"/>
    </row>
    <row r="361" spans="5:5" ht="15.75" customHeight="1">
      <c r="E361" s="6"/>
    </row>
    <row r="362" spans="5:5" ht="15.75" customHeight="1">
      <c r="E362" s="6"/>
    </row>
    <row r="363" spans="5:5" ht="15.75" customHeight="1">
      <c r="E363" s="6"/>
    </row>
    <row r="364" spans="5:5" ht="15.75" customHeight="1">
      <c r="E364" s="6"/>
    </row>
    <row r="365" spans="5:5" ht="15.75" customHeight="1">
      <c r="E365" s="6"/>
    </row>
    <row r="366" spans="5:5" ht="15.75" customHeight="1">
      <c r="E366" s="6"/>
    </row>
    <row r="367" spans="5:5" ht="15.75" customHeight="1">
      <c r="E367" s="6"/>
    </row>
    <row r="368" spans="5:5" ht="15.75" customHeight="1">
      <c r="E368" s="6"/>
    </row>
    <row r="369" spans="5:5" ht="15.75" customHeight="1">
      <c r="E369" s="6"/>
    </row>
    <row r="370" spans="5:5" ht="15.75" customHeight="1">
      <c r="E370" s="6"/>
    </row>
    <row r="371" spans="5:5" ht="15.75" customHeight="1">
      <c r="E371" s="6"/>
    </row>
    <row r="372" spans="5:5" ht="15.75" customHeight="1">
      <c r="E372" s="6"/>
    </row>
    <row r="373" spans="5:5" ht="15.75" customHeight="1">
      <c r="E373" s="6"/>
    </row>
    <row r="374" spans="5:5" ht="15.75" customHeight="1">
      <c r="E374" s="6"/>
    </row>
    <row r="375" spans="5:5" ht="15.75" customHeight="1">
      <c r="E375" s="6"/>
    </row>
    <row r="376" spans="5:5" ht="15.75" customHeight="1">
      <c r="E376" s="6"/>
    </row>
    <row r="377" spans="5:5" ht="15.75" customHeight="1">
      <c r="E377" s="6"/>
    </row>
    <row r="378" spans="5:5" ht="15.75" customHeight="1">
      <c r="E378" s="6"/>
    </row>
    <row r="379" spans="5:5" ht="15.75" customHeight="1">
      <c r="E379" s="6"/>
    </row>
    <row r="380" spans="5:5" ht="15.75" customHeight="1">
      <c r="E380" s="6"/>
    </row>
    <row r="381" spans="5:5" ht="15.75" customHeight="1">
      <c r="E381" s="6"/>
    </row>
    <row r="382" spans="5:5" ht="15.75" customHeight="1">
      <c r="E382" s="6"/>
    </row>
    <row r="383" spans="5:5" ht="15.75" customHeight="1">
      <c r="E383" s="6"/>
    </row>
    <row r="384" spans="5:5" ht="15.75" customHeight="1">
      <c r="E384" s="6"/>
    </row>
    <row r="385" spans="5:5" ht="15.75" customHeight="1">
      <c r="E385" s="6"/>
    </row>
    <row r="386" spans="5:5" ht="15.75" customHeight="1">
      <c r="E386" s="6"/>
    </row>
    <row r="387" spans="5:5" ht="15.75" customHeight="1">
      <c r="E387" s="6"/>
    </row>
    <row r="388" spans="5:5" ht="15.75" customHeight="1">
      <c r="E388" s="6"/>
    </row>
    <row r="389" spans="5:5" ht="15.75" customHeight="1">
      <c r="E389" s="6"/>
    </row>
    <row r="390" spans="5:5" ht="15.75" customHeight="1">
      <c r="E390" s="6"/>
    </row>
    <row r="391" spans="5:5" ht="15.75" customHeight="1">
      <c r="E391" s="6"/>
    </row>
    <row r="392" spans="5:5" ht="15.75" customHeight="1">
      <c r="E392" s="6"/>
    </row>
    <row r="393" spans="5:5" ht="15.75" customHeight="1">
      <c r="E393" s="6"/>
    </row>
    <row r="394" spans="5:5" ht="15.75" customHeight="1">
      <c r="E394" s="6"/>
    </row>
    <row r="395" spans="5:5" ht="15.75" customHeight="1">
      <c r="E395" s="6"/>
    </row>
    <row r="396" spans="5:5" ht="15.75" customHeight="1">
      <c r="E396" s="6"/>
    </row>
    <row r="397" spans="5:5" ht="15.75" customHeight="1">
      <c r="E397" s="6"/>
    </row>
    <row r="398" spans="5:5" ht="15.75" customHeight="1">
      <c r="E398" s="6"/>
    </row>
    <row r="399" spans="5:5" ht="15.75" customHeight="1">
      <c r="E399" s="6"/>
    </row>
    <row r="400" spans="5:5" ht="15.75" customHeight="1">
      <c r="E400" s="6"/>
    </row>
    <row r="401" spans="5:5" ht="15.75" customHeight="1">
      <c r="E401" s="6"/>
    </row>
    <row r="402" spans="5:5" ht="15.75" customHeight="1">
      <c r="E402" s="6"/>
    </row>
    <row r="403" spans="5:5" ht="15.75" customHeight="1">
      <c r="E403" s="6"/>
    </row>
    <row r="404" spans="5:5" ht="15.75" customHeight="1">
      <c r="E404" s="6"/>
    </row>
    <row r="405" spans="5:5" ht="15.75" customHeight="1">
      <c r="E405" s="6"/>
    </row>
    <row r="406" spans="5:5" ht="15.75" customHeight="1">
      <c r="E406" s="6"/>
    </row>
    <row r="407" spans="5:5" ht="15.75" customHeight="1">
      <c r="E407" s="6"/>
    </row>
    <row r="408" spans="5:5" ht="15.75" customHeight="1">
      <c r="E408" s="6"/>
    </row>
    <row r="409" spans="5:5" ht="15.75" customHeight="1">
      <c r="E409" s="6"/>
    </row>
    <row r="410" spans="5:5" ht="15.75" customHeight="1">
      <c r="E410" s="6"/>
    </row>
    <row r="411" spans="5:5" ht="15.75" customHeight="1">
      <c r="E411" s="6"/>
    </row>
    <row r="412" spans="5:5" ht="15.75" customHeight="1">
      <c r="E412" s="6"/>
    </row>
    <row r="413" spans="5:5" ht="15.75" customHeight="1">
      <c r="E413" s="6"/>
    </row>
    <row r="414" spans="5:5" ht="15.75" customHeight="1">
      <c r="E414" s="6"/>
    </row>
    <row r="415" spans="5:5" ht="15.75" customHeight="1">
      <c r="E415" s="6"/>
    </row>
    <row r="416" spans="5:5" ht="15.75" customHeight="1">
      <c r="E416" s="6"/>
    </row>
    <row r="417" spans="5:5" ht="15.75" customHeight="1">
      <c r="E417" s="6"/>
    </row>
    <row r="418" spans="5:5" ht="15.75" customHeight="1">
      <c r="E418" s="6"/>
    </row>
    <row r="419" spans="5:5" ht="15.75" customHeight="1">
      <c r="E419" s="6"/>
    </row>
    <row r="420" spans="5:5" ht="15.75" customHeight="1">
      <c r="E420" s="6"/>
    </row>
    <row r="421" spans="5:5" ht="15.75" customHeight="1">
      <c r="E421" s="6"/>
    </row>
    <row r="422" spans="5:5" ht="15.75" customHeight="1">
      <c r="E422" s="6"/>
    </row>
    <row r="423" spans="5:5" ht="15.75" customHeight="1">
      <c r="E423" s="6"/>
    </row>
    <row r="424" spans="5:5" ht="15.75" customHeight="1">
      <c r="E424" s="6"/>
    </row>
    <row r="425" spans="5:5" ht="15.75" customHeight="1">
      <c r="E425" s="6"/>
    </row>
    <row r="426" spans="5:5" ht="15.75" customHeight="1">
      <c r="E426" s="6"/>
    </row>
    <row r="427" spans="5:5" ht="15.75" customHeight="1">
      <c r="E427" s="6"/>
    </row>
    <row r="428" spans="5:5" ht="15.75" customHeight="1">
      <c r="E428" s="6"/>
    </row>
    <row r="429" spans="5:5" ht="15.75" customHeight="1">
      <c r="E429" s="6"/>
    </row>
    <row r="430" spans="5:5" ht="15.75" customHeight="1">
      <c r="E430" s="6"/>
    </row>
    <row r="431" spans="5:5" ht="15.75" customHeight="1">
      <c r="E431" s="6"/>
    </row>
    <row r="432" spans="5:5" ht="15.75" customHeight="1">
      <c r="E432" s="6"/>
    </row>
    <row r="433" spans="5:5" ht="15.75" customHeight="1">
      <c r="E433" s="6"/>
    </row>
    <row r="434" spans="5:5" ht="15.75" customHeight="1">
      <c r="E434" s="6"/>
    </row>
    <row r="435" spans="5:5" ht="15.75" customHeight="1">
      <c r="E435" s="6"/>
    </row>
    <row r="436" spans="5:5" ht="15.75" customHeight="1">
      <c r="E436" s="6"/>
    </row>
    <row r="437" spans="5:5" ht="15.75" customHeight="1">
      <c r="E437" s="6"/>
    </row>
    <row r="438" spans="5:5" ht="15.75" customHeight="1">
      <c r="E438" s="6"/>
    </row>
    <row r="439" spans="5:5" ht="15.75" customHeight="1">
      <c r="E439" s="6"/>
    </row>
    <row r="440" spans="5:5" ht="15.75" customHeight="1">
      <c r="E440" s="6"/>
    </row>
    <row r="441" spans="5:5" ht="15.75" customHeight="1">
      <c r="E441" s="6"/>
    </row>
    <row r="442" spans="5:5" ht="15.75" customHeight="1">
      <c r="E442" s="6"/>
    </row>
    <row r="443" spans="5:5" ht="15.75" customHeight="1">
      <c r="E443" s="6"/>
    </row>
    <row r="444" spans="5:5" ht="15.75" customHeight="1">
      <c r="E444" s="6"/>
    </row>
    <row r="445" spans="5:5" ht="15.75" customHeight="1">
      <c r="E445" s="6"/>
    </row>
    <row r="446" spans="5:5" ht="15.75" customHeight="1">
      <c r="E446" s="6"/>
    </row>
    <row r="447" spans="5:5" ht="15.75" customHeight="1">
      <c r="E447" s="6"/>
    </row>
    <row r="448" spans="5:5" ht="15.75" customHeight="1">
      <c r="E448" s="6"/>
    </row>
    <row r="449" spans="5:5" ht="15.75" customHeight="1">
      <c r="E449" s="6"/>
    </row>
    <row r="450" spans="5:5" ht="15.75" customHeight="1">
      <c r="E450" s="6"/>
    </row>
    <row r="451" spans="5:5" ht="15.75" customHeight="1">
      <c r="E451" s="6"/>
    </row>
    <row r="452" spans="5:5" ht="15.75" customHeight="1">
      <c r="E452" s="6"/>
    </row>
    <row r="453" spans="5:5" ht="15.75" customHeight="1">
      <c r="E453" s="6"/>
    </row>
    <row r="454" spans="5:5" ht="15.75" customHeight="1">
      <c r="E454" s="6"/>
    </row>
    <row r="455" spans="5:5" ht="15.75" customHeight="1">
      <c r="E455" s="6"/>
    </row>
    <row r="456" spans="5:5" ht="15.75" customHeight="1">
      <c r="E456" s="6"/>
    </row>
    <row r="457" spans="5:5" ht="15.75" customHeight="1">
      <c r="E457" s="6"/>
    </row>
    <row r="458" spans="5:5" ht="15.75" customHeight="1">
      <c r="E458" s="6"/>
    </row>
    <row r="459" spans="5:5" ht="15.75" customHeight="1">
      <c r="E459" s="6"/>
    </row>
    <row r="460" spans="5:5" ht="15.75" customHeight="1">
      <c r="E460" s="6"/>
    </row>
    <row r="461" spans="5:5" ht="15.75" customHeight="1">
      <c r="E461" s="6"/>
    </row>
    <row r="462" spans="5:5" ht="15.75" customHeight="1">
      <c r="E462" s="6"/>
    </row>
    <row r="463" spans="5:5" ht="15.75" customHeight="1">
      <c r="E463" s="6"/>
    </row>
    <row r="464" spans="5:5" ht="15.75" customHeight="1">
      <c r="E464" s="6"/>
    </row>
    <row r="465" spans="5:5" ht="15.75" customHeight="1">
      <c r="E465" s="6"/>
    </row>
    <row r="466" spans="5:5" ht="15.75" customHeight="1">
      <c r="E466" s="6"/>
    </row>
    <row r="467" spans="5:5" ht="15.75" customHeight="1">
      <c r="E467" s="6"/>
    </row>
    <row r="468" spans="5:5" ht="15.75" customHeight="1">
      <c r="E468" s="6"/>
    </row>
    <row r="469" spans="5:5" ht="15.75" customHeight="1">
      <c r="E469" s="6"/>
    </row>
    <row r="470" spans="5:5" ht="15.75" customHeight="1">
      <c r="E470" s="6"/>
    </row>
    <row r="471" spans="5:5" ht="15.75" customHeight="1">
      <c r="E471" s="6"/>
    </row>
    <row r="472" spans="5:5" ht="15.75" customHeight="1">
      <c r="E472" s="6"/>
    </row>
    <row r="473" spans="5:5" ht="15.75" customHeight="1">
      <c r="E473" s="6"/>
    </row>
    <row r="474" spans="5:5" ht="15.75" customHeight="1">
      <c r="E474" s="6"/>
    </row>
    <row r="475" spans="5:5" ht="15.75" customHeight="1">
      <c r="E475" s="6"/>
    </row>
    <row r="476" spans="5:5" ht="15.75" customHeight="1">
      <c r="E476" s="6"/>
    </row>
    <row r="477" spans="5:5" ht="15.75" customHeight="1">
      <c r="E477" s="6"/>
    </row>
    <row r="478" spans="5:5" ht="15.75" customHeight="1">
      <c r="E478" s="6"/>
    </row>
    <row r="479" spans="5:5" ht="15.75" customHeight="1">
      <c r="E479" s="6"/>
    </row>
    <row r="480" spans="5:5" ht="15.75" customHeight="1">
      <c r="E480" s="6"/>
    </row>
    <row r="481" spans="5:5" ht="15.75" customHeight="1">
      <c r="E481" s="6"/>
    </row>
    <row r="482" spans="5:5" ht="15.75" customHeight="1">
      <c r="E482" s="6"/>
    </row>
    <row r="483" spans="5:5" ht="15.75" customHeight="1">
      <c r="E483" s="6"/>
    </row>
    <row r="484" spans="5:5" ht="15.75" customHeight="1">
      <c r="E484" s="6"/>
    </row>
    <row r="485" spans="5:5" ht="15.75" customHeight="1">
      <c r="E485" s="6"/>
    </row>
    <row r="486" spans="5:5" ht="15.75" customHeight="1">
      <c r="E486" s="6"/>
    </row>
    <row r="487" spans="5:5" ht="15.75" customHeight="1">
      <c r="E487" s="6"/>
    </row>
    <row r="488" spans="5:5" ht="15.75" customHeight="1">
      <c r="E488" s="6"/>
    </row>
    <row r="489" spans="5:5" ht="15.75" customHeight="1">
      <c r="E489" s="6"/>
    </row>
    <row r="490" spans="5:5" ht="15.75" customHeight="1">
      <c r="E490" s="6"/>
    </row>
    <row r="491" spans="5:5" ht="15.75" customHeight="1">
      <c r="E491" s="6"/>
    </row>
    <row r="492" spans="5:5" ht="15.75" customHeight="1">
      <c r="E492" s="6"/>
    </row>
    <row r="493" spans="5:5" ht="15.75" customHeight="1">
      <c r="E493" s="6"/>
    </row>
    <row r="494" spans="5:5" ht="15.75" customHeight="1">
      <c r="E494" s="6"/>
    </row>
    <row r="495" spans="5:5" ht="15.75" customHeight="1">
      <c r="E495" s="6"/>
    </row>
    <row r="496" spans="5:5" ht="15.75" customHeight="1">
      <c r="E496" s="6"/>
    </row>
    <row r="497" spans="5:5" ht="15.75" customHeight="1">
      <c r="E497" s="6"/>
    </row>
    <row r="498" spans="5:5" ht="15.75" customHeight="1">
      <c r="E498" s="6"/>
    </row>
    <row r="499" spans="5:5" ht="15.75" customHeight="1">
      <c r="E499" s="6"/>
    </row>
    <row r="500" spans="5:5" ht="15.75" customHeight="1">
      <c r="E500" s="6"/>
    </row>
    <row r="501" spans="5:5" ht="15.75" customHeight="1">
      <c r="E501" s="6"/>
    </row>
    <row r="502" spans="5:5" ht="15.75" customHeight="1">
      <c r="E502" s="6"/>
    </row>
    <row r="503" spans="5:5" ht="15.75" customHeight="1">
      <c r="E503" s="6"/>
    </row>
    <row r="504" spans="5:5" ht="15.75" customHeight="1">
      <c r="E504" s="6"/>
    </row>
    <row r="505" spans="5:5" ht="15.75" customHeight="1">
      <c r="E505" s="6"/>
    </row>
    <row r="506" spans="5:5" ht="15.75" customHeight="1">
      <c r="E506" s="6"/>
    </row>
    <row r="507" spans="5:5" ht="15.75" customHeight="1">
      <c r="E507" s="6"/>
    </row>
    <row r="508" spans="5:5" ht="15.75" customHeight="1">
      <c r="E508" s="6"/>
    </row>
    <row r="509" spans="5:5" ht="15.75" customHeight="1">
      <c r="E509" s="6"/>
    </row>
    <row r="510" spans="5:5" ht="15.75" customHeight="1">
      <c r="E510" s="6"/>
    </row>
    <row r="511" spans="5:5" ht="15.75" customHeight="1">
      <c r="E511" s="6"/>
    </row>
    <row r="512" spans="5:5" ht="15.75" customHeight="1">
      <c r="E512" s="6"/>
    </row>
    <row r="513" spans="5:5" ht="15.75" customHeight="1">
      <c r="E513" s="6"/>
    </row>
    <row r="514" spans="5:5" ht="15.75" customHeight="1">
      <c r="E514" s="6"/>
    </row>
    <row r="515" spans="5:5" ht="15.75" customHeight="1">
      <c r="E515" s="6"/>
    </row>
    <row r="516" spans="5:5" ht="15.75" customHeight="1">
      <c r="E516" s="6"/>
    </row>
    <row r="517" spans="5:5" ht="15.75" customHeight="1">
      <c r="E517" s="6"/>
    </row>
    <row r="518" spans="5:5" ht="15.75" customHeight="1">
      <c r="E518" s="6"/>
    </row>
    <row r="519" spans="5:5" ht="15.75" customHeight="1">
      <c r="E519" s="6"/>
    </row>
    <row r="520" spans="5:5" ht="15.75" customHeight="1">
      <c r="E520" s="6"/>
    </row>
    <row r="521" spans="5:5" ht="15.75" customHeight="1">
      <c r="E521" s="6"/>
    </row>
    <row r="522" spans="5:5" ht="15.75" customHeight="1">
      <c r="E522" s="6"/>
    </row>
    <row r="523" spans="5:5" ht="15.75" customHeight="1">
      <c r="E523" s="6"/>
    </row>
    <row r="524" spans="5:5" ht="15.75" customHeight="1">
      <c r="E524" s="6"/>
    </row>
    <row r="525" spans="5:5" ht="15.75" customHeight="1">
      <c r="E525" s="6"/>
    </row>
    <row r="526" spans="5:5" ht="15.75" customHeight="1">
      <c r="E526" s="6"/>
    </row>
    <row r="527" spans="5:5" ht="15.75" customHeight="1">
      <c r="E527" s="6"/>
    </row>
    <row r="528" spans="5:5" ht="15.75" customHeight="1">
      <c r="E528" s="6"/>
    </row>
    <row r="529" spans="5:5" ht="15.75" customHeight="1">
      <c r="E529" s="6"/>
    </row>
    <row r="530" spans="5:5" ht="15.75" customHeight="1">
      <c r="E530" s="6"/>
    </row>
    <row r="531" spans="5:5" ht="15.75" customHeight="1">
      <c r="E531" s="6"/>
    </row>
    <row r="532" spans="5:5" ht="15.75" customHeight="1">
      <c r="E532" s="6"/>
    </row>
    <row r="533" spans="5:5" ht="15.75" customHeight="1">
      <c r="E533" s="6"/>
    </row>
    <row r="534" spans="5:5" ht="15.75" customHeight="1">
      <c r="E534" s="6"/>
    </row>
    <row r="535" spans="5:5" ht="15.75" customHeight="1">
      <c r="E535" s="6"/>
    </row>
    <row r="536" spans="5:5" ht="15.75" customHeight="1">
      <c r="E536" s="6"/>
    </row>
    <row r="537" spans="5:5" ht="15.75" customHeight="1">
      <c r="E537" s="6"/>
    </row>
    <row r="538" spans="5:5" ht="15.75" customHeight="1">
      <c r="E538" s="6"/>
    </row>
    <row r="539" spans="5:5" ht="15.75" customHeight="1">
      <c r="E539" s="6"/>
    </row>
    <row r="540" spans="5:5" ht="15.75" customHeight="1">
      <c r="E540" s="6"/>
    </row>
    <row r="541" spans="5:5" ht="15.75" customHeight="1">
      <c r="E541" s="6"/>
    </row>
    <row r="542" spans="5:5" ht="15.75" customHeight="1">
      <c r="E542" s="6"/>
    </row>
    <row r="543" spans="5:5" ht="15.75" customHeight="1">
      <c r="E543" s="6"/>
    </row>
    <row r="544" spans="5:5" ht="15.75" customHeight="1">
      <c r="E544" s="6"/>
    </row>
    <row r="545" spans="5:5" ht="15.75" customHeight="1">
      <c r="E545" s="6"/>
    </row>
    <row r="546" spans="5:5" ht="15.75" customHeight="1">
      <c r="E546" s="6"/>
    </row>
    <row r="547" spans="5:5" ht="15.75" customHeight="1">
      <c r="E547" s="6"/>
    </row>
    <row r="548" spans="5:5" ht="15.75" customHeight="1">
      <c r="E548" s="6"/>
    </row>
    <row r="549" spans="5:5" ht="15.75" customHeight="1">
      <c r="E549" s="6"/>
    </row>
    <row r="550" spans="5:5" ht="15.75" customHeight="1">
      <c r="E550" s="6"/>
    </row>
    <row r="551" spans="5:5" ht="15.75" customHeight="1">
      <c r="E551" s="6"/>
    </row>
    <row r="552" spans="5:5" ht="15.75" customHeight="1">
      <c r="E552" s="6"/>
    </row>
    <row r="553" spans="5:5" ht="15.75" customHeight="1">
      <c r="E553" s="6"/>
    </row>
    <row r="554" spans="5:5" ht="15.75" customHeight="1">
      <c r="E554" s="6"/>
    </row>
    <row r="555" spans="5:5" ht="15.75" customHeight="1">
      <c r="E555" s="6"/>
    </row>
    <row r="556" spans="5:5" ht="15.75" customHeight="1">
      <c r="E556" s="6"/>
    </row>
    <row r="557" spans="5:5" ht="15.75" customHeight="1">
      <c r="E557" s="6"/>
    </row>
    <row r="558" spans="5:5" ht="15.75" customHeight="1">
      <c r="E558" s="6"/>
    </row>
    <row r="559" spans="5:5" ht="15.75" customHeight="1">
      <c r="E559" s="6"/>
    </row>
    <row r="560" spans="5:5" ht="15.75" customHeight="1">
      <c r="E560" s="6"/>
    </row>
    <row r="561" spans="5:5" ht="15.75" customHeight="1">
      <c r="E561" s="6"/>
    </row>
    <row r="562" spans="5:5" ht="15.75" customHeight="1">
      <c r="E562" s="6"/>
    </row>
    <row r="563" spans="5:5" ht="15.75" customHeight="1">
      <c r="E563" s="6"/>
    </row>
    <row r="564" spans="5:5" ht="15.75" customHeight="1">
      <c r="E564" s="6"/>
    </row>
    <row r="565" spans="5:5" ht="15.75" customHeight="1">
      <c r="E565" s="6"/>
    </row>
    <row r="566" spans="5:5" ht="15.75" customHeight="1">
      <c r="E566" s="6"/>
    </row>
    <row r="567" spans="5:5" ht="15.75" customHeight="1">
      <c r="E567" s="6"/>
    </row>
    <row r="568" spans="5:5" ht="15.75" customHeight="1">
      <c r="E568" s="6"/>
    </row>
    <row r="569" spans="5:5" ht="15.75" customHeight="1">
      <c r="E569" s="6"/>
    </row>
    <row r="570" spans="5:5" ht="15.75" customHeight="1">
      <c r="E570" s="6"/>
    </row>
    <row r="571" spans="5:5" ht="15.75" customHeight="1">
      <c r="E571" s="6"/>
    </row>
    <row r="572" spans="5:5" ht="15.75" customHeight="1">
      <c r="E572" s="6"/>
    </row>
    <row r="573" spans="5:5" ht="15.75" customHeight="1">
      <c r="E573" s="6"/>
    </row>
    <row r="574" spans="5:5" ht="15.75" customHeight="1">
      <c r="E574" s="6"/>
    </row>
    <row r="575" spans="5:5" ht="15.75" customHeight="1">
      <c r="E575" s="6"/>
    </row>
    <row r="576" spans="5:5" ht="15.75" customHeight="1">
      <c r="E576" s="6"/>
    </row>
    <row r="577" spans="5:5" ht="15.75" customHeight="1">
      <c r="E577" s="6"/>
    </row>
    <row r="578" spans="5:5" ht="15.75" customHeight="1">
      <c r="E578" s="6"/>
    </row>
    <row r="579" spans="5:5" ht="15.75" customHeight="1">
      <c r="E579" s="6"/>
    </row>
    <row r="580" spans="5:5" ht="15.75" customHeight="1">
      <c r="E580" s="6"/>
    </row>
    <row r="581" spans="5:5" ht="15.75" customHeight="1">
      <c r="E581" s="6"/>
    </row>
    <row r="582" spans="5:5" ht="15.75" customHeight="1">
      <c r="E582" s="6"/>
    </row>
    <row r="583" spans="5:5" ht="15.75" customHeight="1">
      <c r="E583" s="6"/>
    </row>
    <row r="584" spans="5:5" ht="15.75" customHeight="1">
      <c r="E584" s="6"/>
    </row>
    <row r="585" spans="5:5" ht="15.75" customHeight="1">
      <c r="E585" s="6"/>
    </row>
    <row r="586" spans="5:5" ht="15.75" customHeight="1">
      <c r="E586" s="6"/>
    </row>
    <row r="587" spans="5:5" ht="15.75" customHeight="1">
      <c r="E587" s="6"/>
    </row>
    <row r="588" spans="5:5" ht="15.75" customHeight="1">
      <c r="E588" s="6"/>
    </row>
    <row r="589" spans="5:5" ht="15.75" customHeight="1">
      <c r="E589" s="6"/>
    </row>
    <row r="590" spans="5:5" ht="15.75" customHeight="1">
      <c r="E590" s="6"/>
    </row>
    <row r="591" spans="5:5" ht="15.75" customHeight="1">
      <c r="E591" s="6"/>
    </row>
    <row r="592" spans="5:5" ht="15.75" customHeight="1">
      <c r="E592" s="6"/>
    </row>
    <row r="593" spans="5:5" ht="15.75" customHeight="1">
      <c r="E593" s="6"/>
    </row>
    <row r="594" spans="5:5" ht="15.75" customHeight="1">
      <c r="E594" s="6"/>
    </row>
    <row r="595" spans="5:5" ht="15.75" customHeight="1">
      <c r="E595" s="6"/>
    </row>
    <row r="596" spans="5:5" ht="15.75" customHeight="1">
      <c r="E596" s="6"/>
    </row>
    <row r="597" spans="5:5" ht="15.75" customHeight="1">
      <c r="E597" s="6"/>
    </row>
    <row r="598" spans="5:5" ht="15.75" customHeight="1">
      <c r="E598" s="6"/>
    </row>
    <row r="599" spans="5:5" ht="15.75" customHeight="1">
      <c r="E599" s="6"/>
    </row>
    <row r="600" spans="5:5" ht="15.75" customHeight="1">
      <c r="E600" s="6"/>
    </row>
    <row r="601" spans="5:5" ht="15.75" customHeight="1">
      <c r="E601" s="6"/>
    </row>
    <row r="602" spans="5:5" ht="15.75" customHeight="1">
      <c r="E602" s="6"/>
    </row>
    <row r="603" spans="5:5" ht="15.75" customHeight="1">
      <c r="E603" s="6"/>
    </row>
    <row r="604" spans="5:5" ht="15.75" customHeight="1">
      <c r="E604" s="6"/>
    </row>
    <row r="605" spans="5:5" ht="15.75" customHeight="1">
      <c r="E605" s="6"/>
    </row>
    <row r="606" spans="5:5" ht="15.75" customHeight="1">
      <c r="E606" s="6"/>
    </row>
    <row r="607" spans="5:5" ht="15.75" customHeight="1">
      <c r="E607" s="6"/>
    </row>
    <row r="608" spans="5:5" ht="15.75" customHeight="1">
      <c r="E608" s="6"/>
    </row>
    <row r="609" spans="5:5" ht="15.75" customHeight="1">
      <c r="E609" s="6"/>
    </row>
    <row r="610" spans="5:5" ht="15.75" customHeight="1">
      <c r="E610" s="6"/>
    </row>
    <row r="611" spans="5:5" ht="15.75" customHeight="1">
      <c r="E611" s="6"/>
    </row>
    <row r="612" spans="5:5" ht="15.75" customHeight="1">
      <c r="E612" s="6"/>
    </row>
    <row r="613" spans="5:5" ht="15.75" customHeight="1">
      <c r="E613" s="6"/>
    </row>
    <row r="614" spans="5:5" ht="15.75" customHeight="1">
      <c r="E614" s="6"/>
    </row>
    <row r="615" spans="5:5" ht="15.75" customHeight="1">
      <c r="E615" s="6"/>
    </row>
    <row r="616" spans="5:5" ht="15.75" customHeight="1">
      <c r="E616" s="6"/>
    </row>
    <row r="617" spans="5:5" ht="15.75" customHeight="1">
      <c r="E617" s="6"/>
    </row>
    <row r="618" spans="5:5" ht="15.75" customHeight="1">
      <c r="E618" s="6"/>
    </row>
    <row r="619" spans="5:5" ht="15.75" customHeight="1">
      <c r="E619" s="6"/>
    </row>
    <row r="620" spans="5:5" ht="15.75" customHeight="1">
      <c r="E620" s="6"/>
    </row>
    <row r="621" spans="5:5" ht="15.75" customHeight="1">
      <c r="E621" s="6"/>
    </row>
    <row r="622" spans="5:5" ht="15.75" customHeight="1">
      <c r="E622" s="6"/>
    </row>
    <row r="623" spans="5:5" ht="15.75" customHeight="1">
      <c r="E623" s="6"/>
    </row>
    <row r="624" spans="5:5" ht="15.75" customHeight="1">
      <c r="E624" s="6"/>
    </row>
    <row r="625" spans="5:5" ht="15.75" customHeight="1">
      <c r="E625" s="6"/>
    </row>
    <row r="626" spans="5:5" ht="15.75" customHeight="1">
      <c r="E626" s="6"/>
    </row>
    <row r="627" spans="5:5" ht="15.75" customHeight="1">
      <c r="E627" s="6"/>
    </row>
    <row r="628" spans="5:5" ht="15.75" customHeight="1">
      <c r="E628" s="6"/>
    </row>
    <row r="629" spans="5:5" ht="15.75" customHeight="1">
      <c r="E629" s="6"/>
    </row>
    <row r="630" spans="5:5" ht="15.75" customHeight="1">
      <c r="E630" s="6"/>
    </row>
    <row r="631" spans="5:5" ht="15.75" customHeight="1">
      <c r="E631" s="6"/>
    </row>
    <row r="632" spans="5:5" ht="15.75" customHeight="1">
      <c r="E632" s="6"/>
    </row>
    <row r="633" spans="5:5" ht="15.75" customHeight="1">
      <c r="E633" s="6"/>
    </row>
    <row r="634" spans="5:5" ht="15.75" customHeight="1">
      <c r="E634" s="6"/>
    </row>
    <row r="635" spans="5:5" ht="15.75" customHeight="1">
      <c r="E635" s="6"/>
    </row>
    <row r="636" spans="5:5" ht="15.75" customHeight="1">
      <c r="E636" s="6"/>
    </row>
    <row r="637" spans="5:5" ht="15.75" customHeight="1">
      <c r="E637" s="6"/>
    </row>
    <row r="638" spans="5:5" ht="15.75" customHeight="1">
      <c r="E638" s="6"/>
    </row>
    <row r="639" spans="5:5" ht="15.75" customHeight="1">
      <c r="E639" s="6"/>
    </row>
    <row r="640" spans="5:5" ht="15.75" customHeight="1">
      <c r="E640" s="6"/>
    </row>
    <row r="641" spans="5:5" ht="15.75" customHeight="1">
      <c r="E641" s="6"/>
    </row>
    <row r="642" spans="5:5" ht="15.75" customHeight="1">
      <c r="E642" s="6"/>
    </row>
    <row r="643" spans="5:5" ht="15.75" customHeight="1">
      <c r="E643" s="6"/>
    </row>
    <row r="644" spans="5:5" ht="15.75" customHeight="1">
      <c r="E644" s="6"/>
    </row>
    <row r="645" spans="5:5" ht="15.75" customHeight="1">
      <c r="E645" s="6"/>
    </row>
    <row r="646" spans="5:5" ht="15.75" customHeight="1">
      <c r="E646" s="6"/>
    </row>
    <row r="647" spans="5:5" ht="15.75" customHeight="1">
      <c r="E647" s="6"/>
    </row>
    <row r="648" spans="5:5" ht="15.75" customHeight="1">
      <c r="E648" s="6"/>
    </row>
    <row r="649" spans="5:5" ht="15.75" customHeight="1">
      <c r="E649" s="6"/>
    </row>
    <row r="650" spans="5:5" ht="15.75" customHeight="1">
      <c r="E650" s="6"/>
    </row>
    <row r="651" spans="5:5" ht="15.75" customHeight="1">
      <c r="E651" s="6"/>
    </row>
    <row r="652" spans="5:5" ht="15.75" customHeight="1">
      <c r="E652" s="6"/>
    </row>
    <row r="653" spans="5:5" ht="15.75" customHeight="1">
      <c r="E653" s="6"/>
    </row>
    <row r="654" spans="5:5" ht="15.75" customHeight="1">
      <c r="E654" s="6"/>
    </row>
    <row r="655" spans="5:5" ht="15.75" customHeight="1">
      <c r="E655" s="6"/>
    </row>
    <row r="656" spans="5:5" ht="15.75" customHeight="1">
      <c r="E656" s="6"/>
    </row>
    <row r="657" spans="5:5" ht="15.75" customHeight="1">
      <c r="E657" s="6"/>
    </row>
    <row r="658" spans="5:5" ht="15.75" customHeight="1">
      <c r="E658" s="6"/>
    </row>
    <row r="659" spans="5:5" ht="15.75" customHeight="1">
      <c r="E659" s="6"/>
    </row>
    <row r="660" spans="5:5" ht="15.75" customHeight="1">
      <c r="E660" s="6"/>
    </row>
    <row r="661" spans="5:5" ht="15.75" customHeight="1">
      <c r="E661" s="6"/>
    </row>
    <row r="662" spans="5:5" ht="15.75" customHeight="1">
      <c r="E662" s="6"/>
    </row>
    <row r="663" spans="5:5" ht="15.75" customHeight="1">
      <c r="E663" s="6"/>
    </row>
    <row r="664" spans="5:5" ht="15.75" customHeight="1">
      <c r="E664" s="6"/>
    </row>
    <row r="665" spans="5:5" ht="15.75" customHeight="1">
      <c r="E665" s="6"/>
    </row>
    <row r="666" spans="5:5" ht="15.75" customHeight="1">
      <c r="E666" s="6"/>
    </row>
    <row r="667" spans="5:5" ht="15.75" customHeight="1">
      <c r="E667" s="6"/>
    </row>
    <row r="668" spans="5:5" ht="15.75" customHeight="1">
      <c r="E668" s="6"/>
    </row>
    <row r="669" spans="5:5" ht="15.75" customHeight="1">
      <c r="E669" s="6"/>
    </row>
    <row r="670" spans="5:5" ht="15.75" customHeight="1">
      <c r="E670" s="6"/>
    </row>
    <row r="671" spans="5:5" ht="15.75" customHeight="1">
      <c r="E671" s="6"/>
    </row>
    <row r="672" spans="5:5" ht="15.75" customHeight="1">
      <c r="E672" s="6"/>
    </row>
    <row r="673" spans="5:5" ht="15.75" customHeight="1">
      <c r="E673" s="6"/>
    </row>
    <row r="674" spans="5:5" ht="15.75" customHeight="1">
      <c r="E674" s="6"/>
    </row>
    <row r="675" spans="5:5" ht="15.75" customHeight="1">
      <c r="E675" s="6"/>
    </row>
    <row r="676" spans="5:5" ht="15.75" customHeight="1">
      <c r="E676" s="6"/>
    </row>
    <row r="677" spans="5:5" ht="15.75" customHeight="1">
      <c r="E677" s="6"/>
    </row>
    <row r="678" spans="5:5" ht="15.75" customHeight="1">
      <c r="E678" s="6"/>
    </row>
    <row r="679" spans="5:5" ht="15.75" customHeight="1">
      <c r="E679" s="6"/>
    </row>
    <row r="680" spans="5:5" ht="15.75" customHeight="1">
      <c r="E680" s="6"/>
    </row>
    <row r="681" spans="5:5" ht="15.75" customHeight="1">
      <c r="E681" s="6"/>
    </row>
    <row r="682" spans="5:5" ht="15.75" customHeight="1">
      <c r="E682" s="6"/>
    </row>
    <row r="683" spans="5:5" ht="15.75" customHeight="1">
      <c r="E683" s="6"/>
    </row>
    <row r="684" spans="5:5" ht="15.75" customHeight="1">
      <c r="E684" s="6"/>
    </row>
    <row r="685" spans="5:5" ht="15.75" customHeight="1">
      <c r="E685" s="6"/>
    </row>
    <row r="686" spans="5:5" ht="15.75" customHeight="1">
      <c r="E686" s="6"/>
    </row>
    <row r="687" spans="5:5" ht="15.75" customHeight="1">
      <c r="E687" s="6"/>
    </row>
    <row r="688" spans="5:5" ht="15.75" customHeight="1">
      <c r="E688" s="6"/>
    </row>
    <row r="689" spans="5:5" ht="15.75" customHeight="1">
      <c r="E689" s="6"/>
    </row>
    <row r="690" spans="5:5" ht="15.75" customHeight="1">
      <c r="E690" s="6"/>
    </row>
    <row r="691" spans="5:5" ht="15.75" customHeight="1">
      <c r="E691" s="6"/>
    </row>
    <row r="692" spans="5:5" ht="15.75" customHeight="1">
      <c r="E692" s="6"/>
    </row>
    <row r="693" spans="5:5" ht="15.75" customHeight="1">
      <c r="E693" s="6"/>
    </row>
    <row r="694" spans="5:5" ht="15.75" customHeight="1">
      <c r="E694" s="6"/>
    </row>
    <row r="695" spans="5:5" ht="15.75" customHeight="1">
      <c r="E695" s="6"/>
    </row>
    <row r="696" spans="5:5" ht="15.75" customHeight="1">
      <c r="E696" s="6"/>
    </row>
    <row r="697" spans="5:5" ht="15.75" customHeight="1">
      <c r="E697" s="6"/>
    </row>
    <row r="698" spans="5:5" ht="15.75" customHeight="1">
      <c r="E698" s="6"/>
    </row>
    <row r="699" spans="5:5" ht="15.75" customHeight="1">
      <c r="E699" s="6"/>
    </row>
    <row r="700" spans="5:5" ht="15.75" customHeight="1">
      <c r="E700" s="6"/>
    </row>
    <row r="701" spans="5:5" ht="15.75" customHeight="1">
      <c r="E701" s="6"/>
    </row>
    <row r="702" spans="5:5" ht="15.75" customHeight="1">
      <c r="E702" s="6"/>
    </row>
    <row r="703" spans="5:5" ht="15.75" customHeight="1">
      <c r="E703" s="6"/>
    </row>
    <row r="704" spans="5:5" ht="15.75" customHeight="1">
      <c r="E704" s="6"/>
    </row>
    <row r="705" spans="5:5" ht="15.75" customHeight="1">
      <c r="E705" s="6"/>
    </row>
    <row r="706" spans="5:5" ht="15.75" customHeight="1">
      <c r="E706" s="6"/>
    </row>
    <row r="707" spans="5:5" ht="15.75" customHeight="1">
      <c r="E707" s="6"/>
    </row>
    <row r="708" spans="5:5" ht="15.75" customHeight="1">
      <c r="E708" s="6"/>
    </row>
    <row r="709" spans="5:5" ht="15.75" customHeight="1">
      <c r="E709" s="6"/>
    </row>
    <row r="710" spans="5:5" ht="15.75" customHeight="1">
      <c r="E710" s="6"/>
    </row>
    <row r="711" spans="5:5" ht="15.75" customHeight="1">
      <c r="E711" s="6"/>
    </row>
    <row r="712" spans="5:5" ht="15.75" customHeight="1">
      <c r="E712" s="6"/>
    </row>
    <row r="713" spans="5:5" ht="15.75" customHeight="1">
      <c r="E713" s="6"/>
    </row>
    <row r="714" spans="5:5" ht="15.75" customHeight="1">
      <c r="E714" s="6"/>
    </row>
    <row r="715" spans="5:5" ht="15.75" customHeight="1">
      <c r="E715" s="6"/>
    </row>
    <row r="716" spans="5:5" ht="15.75" customHeight="1">
      <c r="E716" s="6"/>
    </row>
    <row r="717" spans="5:5" ht="15.75" customHeight="1">
      <c r="E717" s="6"/>
    </row>
    <row r="718" spans="5:5" ht="15.75" customHeight="1">
      <c r="E718" s="6"/>
    </row>
    <row r="719" spans="5:5" ht="15.75" customHeight="1">
      <c r="E719" s="6"/>
    </row>
    <row r="720" spans="5:5" ht="15.75" customHeight="1">
      <c r="E720" s="6"/>
    </row>
    <row r="721" spans="5:5" ht="15.75" customHeight="1">
      <c r="E721" s="6"/>
    </row>
    <row r="722" spans="5:5" ht="15.75" customHeight="1">
      <c r="E722" s="6"/>
    </row>
    <row r="723" spans="5:5" ht="15.75" customHeight="1">
      <c r="E723" s="6"/>
    </row>
    <row r="724" spans="5:5" ht="15.75" customHeight="1">
      <c r="E724" s="6"/>
    </row>
    <row r="725" spans="5:5" ht="15.75" customHeight="1">
      <c r="E725" s="6"/>
    </row>
    <row r="726" spans="5:5" ht="15.75" customHeight="1">
      <c r="E726" s="6"/>
    </row>
    <row r="727" spans="5:5" ht="15.75" customHeight="1">
      <c r="E727" s="6"/>
    </row>
    <row r="728" spans="5:5" ht="15.75" customHeight="1">
      <c r="E728" s="6"/>
    </row>
    <row r="729" spans="5:5" ht="15.75" customHeight="1">
      <c r="E729" s="6"/>
    </row>
    <row r="730" spans="5:5" ht="15.75" customHeight="1">
      <c r="E730" s="6"/>
    </row>
    <row r="731" spans="5:5" ht="15.75" customHeight="1">
      <c r="E731" s="6"/>
    </row>
    <row r="732" spans="5:5" ht="15.75" customHeight="1">
      <c r="E732" s="6"/>
    </row>
    <row r="733" spans="5:5" ht="15.75" customHeight="1">
      <c r="E733" s="6"/>
    </row>
    <row r="734" spans="5:5" ht="15.75" customHeight="1">
      <c r="E734" s="6"/>
    </row>
    <row r="735" spans="5:5" ht="15.75" customHeight="1">
      <c r="E735" s="6"/>
    </row>
    <row r="736" spans="5:5" ht="15.75" customHeight="1">
      <c r="E736" s="6"/>
    </row>
    <row r="737" spans="5:5" ht="15.75" customHeight="1">
      <c r="E737" s="6"/>
    </row>
    <row r="738" spans="5:5" ht="15.75" customHeight="1">
      <c r="E738" s="6"/>
    </row>
    <row r="739" spans="5:5" ht="15.75" customHeight="1">
      <c r="E739" s="6"/>
    </row>
    <row r="740" spans="5:5" ht="15.75" customHeight="1">
      <c r="E740" s="6"/>
    </row>
    <row r="741" spans="5:5" ht="15.75" customHeight="1">
      <c r="E741" s="6"/>
    </row>
    <row r="742" spans="5:5" ht="15.75" customHeight="1">
      <c r="E742" s="6"/>
    </row>
    <row r="743" spans="5:5" ht="15.75" customHeight="1">
      <c r="E743" s="6"/>
    </row>
    <row r="744" spans="5:5" ht="15.75" customHeight="1">
      <c r="E744" s="6"/>
    </row>
    <row r="745" spans="5:5" ht="15.75" customHeight="1">
      <c r="E745" s="6"/>
    </row>
    <row r="746" spans="5:5" ht="15.75" customHeight="1">
      <c r="E746" s="6"/>
    </row>
    <row r="747" spans="5:5" ht="15.75" customHeight="1">
      <c r="E747" s="6"/>
    </row>
    <row r="748" spans="5:5" ht="15.75" customHeight="1">
      <c r="E748" s="6"/>
    </row>
    <row r="749" spans="5:5" ht="15.75" customHeight="1">
      <c r="E749" s="6"/>
    </row>
    <row r="750" spans="5:5" ht="15.75" customHeight="1">
      <c r="E750" s="6"/>
    </row>
    <row r="751" spans="5:5" ht="15.75" customHeight="1">
      <c r="E751" s="6"/>
    </row>
    <row r="752" spans="5:5" ht="15.75" customHeight="1">
      <c r="E752" s="6"/>
    </row>
    <row r="753" spans="5:5" ht="15.75" customHeight="1">
      <c r="E753" s="6"/>
    </row>
    <row r="754" spans="5:5" ht="15.75" customHeight="1">
      <c r="E754" s="6"/>
    </row>
    <row r="755" spans="5:5" ht="15.75" customHeight="1">
      <c r="E755" s="6"/>
    </row>
    <row r="756" spans="5:5" ht="15.75" customHeight="1">
      <c r="E756" s="6"/>
    </row>
    <row r="757" spans="5:5" ht="15.75" customHeight="1">
      <c r="E757" s="6"/>
    </row>
    <row r="758" spans="5:5" ht="15.75" customHeight="1">
      <c r="E758" s="6"/>
    </row>
    <row r="759" spans="5:5" ht="15.75" customHeight="1">
      <c r="E759" s="6"/>
    </row>
    <row r="760" spans="5:5" ht="15.75" customHeight="1">
      <c r="E760" s="6"/>
    </row>
    <row r="761" spans="5:5" ht="15.75" customHeight="1">
      <c r="E761" s="6"/>
    </row>
    <row r="762" spans="5:5" ht="15.75" customHeight="1">
      <c r="E762" s="6"/>
    </row>
    <row r="763" spans="5:5" ht="15.75" customHeight="1">
      <c r="E763" s="6"/>
    </row>
    <row r="764" spans="5:5" ht="15.75" customHeight="1">
      <c r="E764" s="6"/>
    </row>
    <row r="765" spans="5:5" ht="15.75" customHeight="1">
      <c r="E765" s="6"/>
    </row>
    <row r="766" spans="5:5" ht="15.75" customHeight="1">
      <c r="E766" s="6"/>
    </row>
    <row r="767" spans="5:5" ht="15.75" customHeight="1">
      <c r="E767" s="6"/>
    </row>
    <row r="768" spans="5:5" ht="15.75" customHeight="1">
      <c r="E768" s="6"/>
    </row>
    <row r="769" spans="5:5" ht="15.75" customHeight="1">
      <c r="E769" s="6"/>
    </row>
    <row r="770" spans="5:5" ht="15.75" customHeight="1">
      <c r="E770" s="6"/>
    </row>
    <row r="771" spans="5:5" ht="15.75" customHeight="1">
      <c r="E771" s="6"/>
    </row>
    <row r="772" spans="5:5" ht="15.75" customHeight="1">
      <c r="E772" s="6"/>
    </row>
    <row r="773" spans="5:5" ht="15.75" customHeight="1">
      <c r="E773" s="6"/>
    </row>
    <row r="774" spans="5:5" ht="15.75" customHeight="1">
      <c r="E774" s="6"/>
    </row>
    <row r="775" spans="5:5" ht="15.75" customHeight="1">
      <c r="E775" s="6"/>
    </row>
    <row r="776" spans="5:5" ht="15.75" customHeight="1">
      <c r="E776" s="6"/>
    </row>
    <row r="777" spans="5:5" ht="15.75" customHeight="1">
      <c r="E777" s="6"/>
    </row>
    <row r="778" spans="5:5" ht="15.75" customHeight="1">
      <c r="E778" s="6"/>
    </row>
    <row r="779" spans="5:5" ht="15.75" customHeight="1">
      <c r="E779" s="6"/>
    </row>
    <row r="780" spans="5:5" ht="15.75" customHeight="1">
      <c r="E780" s="6"/>
    </row>
    <row r="781" spans="5:5" ht="15.75" customHeight="1">
      <c r="E781" s="6"/>
    </row>
    <row r="782" spans="5:5" ht="15.75" customHeight="1">
      <c r="E782" s="6"/>
    </row>
    <row r="783" spans="5:5" ht="15.75" customHeight="1">
      <c r="E783" s="6"/>
    </row>
    <row r="784" spans="5:5" ht="15.75" customHeight="1">
      <c r="E784" s="6"/>
    </row>
    <row r="785" spans="5:5" ht="15.75" customHeight="1">
      <c r="E785" s="6"/>
    </row>
    <row r="786" spans="5:5" ht="15.75" customHeight="1">
      <c r="E786" s="6"/>
    </row>
    <row r="787" spans="5:5" ht="15.75" customHeight="1">
      <c r="E787" s="6"/>
    </row>
    <row r="788" spans="5:5" ht="15.75" customHeight="1">
      <c r="E788" s="6"/>
    </row>
    <row r="789" spans="5:5" ht="15.75" customHeight="1">
      <c r="E789" s="6"/>
    </row>
    <row r="790" spans="5:5" ht="15.75" customHeight="1">
      <c r="E790" s="6"/>
    </row>
    <row r="791" spans="5:5" ht="15.75" customHeight="1">
      <c r="E791" s="6"/>
    </row>
    <row r="792" spans="5:5" ht="15.75" customHeight="1">
      <c r="E792" s="6"/>
    </row>
    <row r="793" spans="5:5" ht="15.75" customHeight="1">
      <c r="E793" s="6"/>
    </row>
    <row r="794" spans="5:5" ht="15.75" customHeight="1">
      <c r="E794" s="6"/>
    </row>
    <row r="795" spans="5:5" ht="15.75" customHeight="1">
      <c r="E795" s="6"/>
    </row>
    <row r="796" spans="5:5" ht="15.75" customHeight="1">
      <c r="E796" s="6"/>
    </row>
    <row r="797" spans="5:5" ht="15.75" customHeight="1">
      <c r="E797" s="6"/>
    </row>
    <row r="798" spans="5:5" ht="15.75" customHeight="1">
      <c r="E798" s="6"/>
    </row>
    <row r="799" spans="5:5" ht="15.75" customHeight="1">
      <c r="E799" s="6"/>
    </row>
    <row r="800" spans="5:5" ht="15.75" customHeight="1">
      <c r="E800" s="6"/>
    </row>
    <row r="801" spans="5:5" ht="15.75" customHeight="1">
      <c r="E801" s="6"/>
    </row>
    <row r="802" spans="5:5" ht="15.75" customHeight="1">
      <c r="E802" s="6"/>
    </row>
    <row r="803" spans="5:5" ht="15.75" customHeight="1">
      <c r="E803" s="6"/>
    </row>
    <row r="804" spans="5:5" ht="15.75" customHeight="1">
      <c r="E804" s="6"/>
    </row>
    <row r="805" spans="5:5" ht="15.75" customHeight="1">
      <c r="E805" s="6"/>
    </row>
    <row r="806" spans="5:5" ht="15.75" customHeight="1">
      <c r="E806" s="6"/>
    </row>
    <row r="807" spans="5:5" ht="15.75" customHeight="1">
      <c r="E807" s="6"/>
    </row>
    <row r="808" spans="5:5" ht="15.75" customHeight="1">
      <c r="E808" s="6"/>
    </row>
    <row r="809" spans="5:5" ht="15.75" customHeight="1">
      <c r="E809" s="6"/>
    </row>
    <row r="810" spans="5:5" ht="15.75" customHeight="1">
      <c r="E810" s="6"/>
    </row>
    <row r="811" spans="5:5" ht="15.75" customHeight="1">
      <c r="E811" s="6"/>
    </row>
    <row r="812" spans="5:5" ht="15.75" customHeight="1">
      <c r="E812" s="6"/>
    </row>
    <row r="813" spans="5:5" ht="15.75" customHeight="1">
      <c r="E813" s="6"/>
    </row>
    <row r="814" spans="5:5" ht="15.75" customHeight="1">
      <c r="E814" s="6"/>
    </row>
    <row r="815" spans="5:5" ht="15.75" customHeight="1">
      <c r="E815" s="6"/>
    </row>
    <row r="816" spans="5:5" ht="15.75" customHeight="1">
      <c r="E816" s="6"/>
    </row>
    <row r="817" spans="5:5" ht="15.75" customHeight="1">
      <c r="E817" s="6"/>
    </row>
    <row r="818" spans="5:5" ht="15.75" customHeight="1">
      <c r="E818" s="6"/>
    </row>
    <row r="819" spans="5:5" ht="15.75" customHeight="1">
      <c r="E819" s="6"/>
    </row>
    <row r="820" spans="5:5" ht="15.75" customHeight="1">
      <c r="E820" s="6"/>
    </row>
    <row r="821" spans="5:5" ht="15.75" customHeight="1">
      <c r="E821" s="6"/>
    </row>
    <row r="822" spans="5:5" ht="15.75" customHeight="1">
      <c r="E822" s="6"/>
    </row>
    <row r="823" spans="5:5" ht="15.75" customHeight="1">
      <c r="E823" s="6"/>
    </row>
    <row r="824" spans="5:5" ht="15.75" customHeight="1">
      <c r="E824" s="6"/>
    </row>
    <row r="825" spans="5:5" ht="15.75" customHeight="1">
      <c r="E825" s="6"/>
    </row>
    <row r="826" spans="5:5" ht="15.75" customHeight="1">
      <c r="E826" s="6"/>
    </row>
    <row r="827" spans="5:5" ht="15.75" customHeight="1">
      <c r="E827" s="6"/>
    </row>
    <row r="828" spans="5:5" ht="15.75" customHeight="1">
      <c r="E828" s="6"/>
    </row>
    <row r="829" spans="5:5" ht="15.75" customHeight="1">
      <c r="E829" s="6"/>
    </row>
    <row r="830" spans="5:5" ht="15.75" customHeight="1">
      <c r="E830" s="6"/>
    </row>
    <row r="831" spans="5:5" ht="15.75" customHeight="1">
      <c r="E831" s="6"/>
    </row>
    <row r="832" spans="5:5" ht="15.75" customHeight="1">
      <c r="E832" s="6"/>
    </row>
    <row r="833" spans="5:5" ht="15.75" customHeight="1">
      <c r="E833" s="6"/>
    </row>
    <row r="834" spans="5:5" ht="15.75" customHeight="1">
      <c r="E834" s="6"/>
    </row>
    <row r="835" spans="5:5" ht="15.75" customHeight="1">
      <c r="E835" s="6"/>
    </row>
    <row r="836" spans="5:5" ht="15.75" customHeight="1">
      <c r="E836" s="6"/>
    </row>
    <row r="837" spans="5:5" ht="15.75" customHeight="1">
      <c r="E837" s="6"/>
    </row>
    <row r="838" spans="5:5" ht="15.75" customHeight="1">
      <c r="E838" s="6"/>
    </row>
    <row r="839" spans="5:5" ht="15.75" customHeight="1">
      <c r="E839" s="6"/>
    </row>
    <row r="840" spans="5:5" ht="15.75" customHeight="1">
      <c r="E840" s="6"/>
    </row>
    <row r="841" spans="5:5" ht="15.75" customHeight="1">
      <c r="E841" s="6"/>
    </row>
    <row r="842" spans="5:5" ht="15.75" customHeight="1">
      <c r="E842" s="6"/>
    </row>
    <row r="843" spans="5:5" ht="15.75" customHeight="1">
      <c r="E843" s="6"/>
    </row>
    <row r="844" spans="5:5" ht="15.75" customHeight="1">
      <c r="E844" s="6"/>
    </row>
    <row r="845" spans="5:5" ht="15.75" customHeight="1">
      <c r="E845" s="6"/>
    </row>
    <row r="846" spans="5:5" ht="15.75" customHeight="1">
      <c r="E846" s="6"/>
    </row>
    <row r="847" spans="5:5" ht="15.75" customHeight="1">
      <c r="E847" s="6"/>
    </row>
    <row r="848" spans="5:5" ht="15.75" customHeight="1">
      <c r="E848" s="6"/>
    </row>
    <row r="849" spans="5:5" ht="15.75" customHeight="1">
      <c r="E849" s="6"/>
    </row>
    <row r="850" spans="5:5" ht="15.75" customHeight="1">
      <c r="E850" s="6"/>
    </row>
    <row r="851" spans="5:5" ht="15.75" customHeight="1">
      <c r="E851" s="6"/>
    </row>
    <row r="852" spans="5:5" ht="15.75" customHeight="1">
      <c r="E852" s="6"/>
    </row>
    <row r="853" spans="5:5" ht="15.75" customHeight="1">
      <c r="E853" s="6"/>
    </row>
    <row r="854" spans="5:5" ht="15.75" customHeight="1">
      <c r="E854" s="6"/>
    </row>
    <row r="855" spans="5:5" ht="15.75" customHeight="1">
      <c r="E855" s="6"/>
    </row>
    <row r="856" spans="5:5" ht="15.75" customHeight="1">
      <c r="E856" s="6"/>
    </row>
    <row r="857" spans="5:5" ht="15.75" customHeight="1">
      <c r="E857" s="6"/>
    </row>
    <row r="858" spans="5:5" ht="15.75" customHeight="1">
      <c r="E858" s="6"/>
    </row>
    <row r="859" spans="5:5" ht="15.75" customHeight="1">
      <c r="E859" s="6"/>
    </row>
    <row r="860" spans="5:5" ht="15.75" customHeight="1">
      <c r="E860" s="6"/>
    </row>
    <row r="861" spans="5:5" ht="15.75" customHeight="1">
      <c r="E861" s="6"/>
    </row>
    <row r="862" spans="5:5" ht="15.75" customHeight="1">
      <c r="E862" s="6"/>
    </row>
    <row r="863" spans="5:5" ht="15.75" customHeight="1">
      <c r="E863" s="6"/>
    </row>
    <row r="864" spans="5:5" ht="15.75" customHeight="1">
      <c r="E864" s="6"/>
    </row>
    <row r="865" spans="5:5" ht="15.75" customHeight="1">
      <c r="E865" s="6"/>
    </row>
    <row r="866" spans="5:5" ht="15.75" customHeight="1">
      <c r="E866" s="6"/>
    </row>
    <row r="867" spans="5:5" ht="15.75" customHeight="1">
      <c r="E867" s="6"/>
    </row>
    <row r="868" spans="5:5" ht="15.75" customHeight="1">
      <c r="E868" s="6"/>
    </row>
    <row r="869" spans="5:5" ht="15.75" customHeight="1">
      <c r="E869" s="6"/>
    </row>
    <row r="870" spans="5:5" ht="15.75" customHeight="1">
      <c r="E870" s="6"/>
    </row>
    <row r="871" spans="5:5" ht="15.75" customHeight="1">
      <c r="E871" s="6"/>
    </row>
    <row r="872" spans="5:5" ht="15.75" customHeight="1">
      <c r="E872" s="6"/>
    </row>
    <row r="873" spans="5:5" ht="15.75" customHeight="1">
      <c r="E873" s="6"/>
    </row>
    <row r="874" spans="5:5" ht="15.75" customHeight="1">
      <c r="E874" s="6"/>
    </row>
    <row r="875" spans="5:5" ht="15.75" customHeight="1">
      <c r="E875" s="6"/>
    </row>
    <row r="876" spans="5:5" ht="15.75" customHeight="1">
      <c r="E876" s="6"/>
    </row>
    <row r="877" spans="5:5" ht="15.75" customHeight="1">
      <c r="E877" s="6"/>
    </row>
    <row r="878" spans="5:5" ht="15.75" customHeight="1">
      <c r="E878" s="6"/>
    </row>
    <row r="879" spans="5:5" ht="15.75" customHeight="1">
      <c r="E879" s="6"/>
    </row>
    <row r="880" spans="5:5" ht="15.75" customHeight="1">
      <c r="E880" s="6"/>
    </row>
    <row r="881" spans="5:5" ht="15.75" customHeight="1">
      <c r="E881" s="6"/>
    </row>
    <row r="882" spans="5:5" ht="15.75" customHeight="1">
      <c r="E882" s="6"/>
    </row>
    <row r="883" spans="5:5" ht="15.75" customHeight="1">
      <c r="E883" s="6"/>
    </row>
    <row r="884" spans="5:5" ht="15.75" customHeight="1">
      <c r="E884" s="6"/>
    </row>
    <row r="885" spans="5:5" ht="15.75" customHeight="1">
      <c r="E885" s="6"/>
    </row>
    <row r="886" spans="5:5" ht="15.75" customHeight="1">
      <c r="E886" s="6"/>
    </row>
    <row r="887" spans="5:5" ht="15.75" customHeight="1">
      <c r="E887" s="6"/>
    </row>
    <row r="888" spans="5:5" ht="15.75" customHeight="1">
      <c r="E888" s="6"/>
    </row>
    <row r="889" spans="5:5" ht="15.75" customHeight="1">
      <c r="E889" s="6"/>
    </row>
    <row r="890" spans="5:5" ht="15.75" customHeight="1">
      <c r="E890" s="6"/>
    </row>
    <row r="891" spans="5:5" ht="15.75" customHeight="1">
      <c r="E891" s="6"/>
    </row>
    <row r="892" spans="5:5" ht="15.75" customHeight="1">
      <c r="E892" s="6"/>
    </row>
    <row r="893" spans="5:5" ht="15.75" customHeight="1">
      <c r="E893" s="6"/>
    </row>
    <row r="894" spans="5:5" ht="15.75" customHeight="1">
      <c r="E894" s="6"/>
    </row>
    <row r="895" spans="5:5" ht="15.75" customHeight="1">
      <c r="E895" s="6"/>
    </row>
    <row r="896" spans="5:5" ht="15.75" customHeight="1">
      <c r="E896" s="6"/>
    </row>
    <row r="897" spans="5:5" ht="15.75" customHeight="1">
      <c r="E897" s="6"/>
    </row>
    <row r="898" spans="5:5" ht="15.75" customHeight="1">
      <c r="E898" s="6"/>
    </row>
    <row r="899" spans="5:5" ht="15.75" customHeight="1">
      <c r="E899" s="6"/>
    </row>
    <row r="900" spans="5:5" ht="15.75" customHeight="1">
      <c r="E900" s="6"/>
    </row>
    <row r="901" spans="5:5" ht="15.75" customHeight="1">
      <c r="E901" s="6"/>
    </row>
    <row r="902" spans="5:5" ht="15.75" customHeight="1">
      <c r="E902" s="6"/>
    </row>
    <row r="903" spans="5:5" ht="15.75" customHeight="1">
      <c r="E903" s="6"/>
    </row>
    <row r="904" spans="5:5" ht="15.75" customHeight="1">
      <c r="E904" s="6"/>
    </row>
    <row r="905" spans="5:5" ht="15.75" customHeight="1">
      <c r="E905" s="6"/>
    </row>
    <row r="906" spans="5:5" ht="15.75" customHeight="1">
      <c r="E906" s="6"/>
    </row>
    <row r="907" spans="5:5" ht="15.75" customHeight="1">
      <c r="E907" s="6"/>
    </row>
    <row r="908" spans="5:5" ht="15.75" customHeight="1">
      <c r="E908" s="6"/>
    </row>
    <row r="909" spans="5:5" ht="15.75" customHeight="1">
      <c r="E909" s="6"/>
    </row>
    <row r="910" spans="5:5" ht="15.75" customHeight="1">
      <c r="E910" s="6"/>
    </row>
    <row r="911" spans="5:5" ht="15.75" customHeight="1">
      <c r="E911" s="6"/>
    </row>
    <row r="912" spans="5:5" ht="15.75" customHeight="1">
      <c r="E912" s="6"/>
    </row>
    <row r="913" spans="5:5" ht="15.75" customHeight="1">
      <c r="E913" s="6"/>
    </row>
    <row r="914" spans="5:5" ht="15.75" customHeight="1">
      <c r="E914" s="6"/>
    </row>
    <row r="915" spans="5:5" ht="15.75" customHeight="1">
      <c r="E915" s="6"/>
    </row>
    <row r="916" spans="5:5" ht="15.75" customHeight="1">
      <c r="E916" s="6"/>
    </row>
    <row r="917" spans="5:5" ht="15.75" customHeight="1">
      <c r="E917" s="6"/>
    </row>
    <row r="918" spans="5:5" ht="15.75" customHeight="1">
      <c r="E918" s="6"/>
    </row>
    <row r="919" spans="5:5" ht="15.75" customHeight="1">
      <c r="E919" s="6"/>
    </row>
    <row r="920" spans="5:5" ht="15.75" customHeight="1">
      <c r="E920" s="6"/>
    </row>
    <row r="921" spans="5:5" ht="15.75" customHeight="1">
      <c r="E921" s="6"/>
    </row>
    <row r="922" spans="5:5" ht="15.75" customHeight="1">
      <c r="E922" s="6"/>
    </row>
    <row r="923" spans="5:5" ht="15.75" customHeight="1">
      <c r="E923" s="6"/>
    </row>
    <row r="924" spans="5:5" ht="15.75" customHeight="1">
      <c r="E924" s="6"/>
    </row>
    <row r="925" spans="5:5" ht="15.75" customHeight="1">
      <c r="E925" s="6"/>
    </row>
    <row r="926" spans="5:5" ht="15.75" customHeight="1">
      <c r="E926" s="6"/>
    </row>
    <row r="927" spans="5:5" ht="15.75" customHeight="1">
      <c r="E927" s="6"/>
    </row>
    <row r="928" spans="5:5" ht="15.75" customHeight="1">
      <c r="E928" s="6"/>
    </row>
    <row r="929" spans="5:5" ht="15.75" customHeight="1">
      <c r="E929" s="6"/>
    </row>
    <row r="930" spans="5:5" ht="15.75" customHeight="1">
      <c r="E930" s="6"/>
    </row>
    <row r="931" spans="5:5" ht="15.75" customHeight="1">
      <c r="E931" s="6"/>
    </row>
    <row r="932" spans="5:5" ht="15.75" customHeight="1">
      <c r="E932" s="6"/>
    </row>
    <row r="933" spans="5:5" ht="15.75" customHeight="1">
      <c r="E933" s="6"/>
    </row>
    <row r="934" spans="5:5" ht="15.75" customHeight="1">
      <c r="E934" s="6"/>
    </row>
    <row r="935" spans="5:5" ht="15.75" customHeight="1">
      <c r="E935" s="6"/>
    </row>
    <row r="936" spans="5:5" ht="15.75" customHeight="1">
      <c r="E936" s="6"/>
    </row>
    <row r="937" spans="5:5" ht="15.75" customHeight="1">
      <c r="E937" s="6"/>
    </row>
    <row r="938" spans="5:5" ht="15.75" customHeight="1">
      <c r="E938" s="6"/>
    </row>
    <row r="939" spans="5:5" ht="15.75" customHeight="1">
      <c r="E939" s="6"/>
    </row>
    <row r="940" spans="5:5" ht="15.75" customHeight="1">
      <c r="E940" s="6"/>
    </row>
    <row r="941" spans="5:5" ht="15.75" customHeight="1">
      <c r="E941" s="6"/>
    </row>
    <row r="942" spans="5:5" ht="15.75" customHeight="1">
      <c r="E942" s="6"/>
    </row>
    <row r="943" spans="5:5" ht="15.75" customHeight="1">
      <c r="E943" s="6"/>
    </row>
    <row r="944" spans="5:5" ht="15.75" customHeight="1">
      <c r="E944" s="6"/>
    </row>
    <row r="945" spans="5:5" ht="15.75" customHeight="1">
      <c r="E945" s="6"/>
    </row>
    <row r="946" spans="5:5" ht="15.75" customHeight="1">
      <c r="E946" s="6"/>
    </row>
    <row r="947" spans="5:5" ht="15.75" customHeight="1">
      <c r="E947" s="6"/>
    </row>
    <row r="948" spans="5:5" ht="15.75" customHeight="1">
      <c r="E948" s="6"/>
    </row>
    <row r="949" spans="5:5" ht="15.75" customHeight="1">
      <c r="E949" s="6"/>
    </row>
    <row r="950" spans="5:5" ht="15.75" customHeight="1">
      <c r="E950" s="6"/>
    </row>
    <row r="951" spans="5:5" ht="15.75" customHeight="1">
      <c r="E951" s="6"/>
    </row>
    <row r="952" spans="5:5" ht="15.75" customHeight="1">
      <c r="E952" s="6"/>
    </row>
    <row r="953" spans="5:5" ht="15.75" customHeight="1">
      <c r="E953" s="6"/>
    </row>
    <row r="954" spans="5:5" ht="15.75" customHeight="1">
      <c r="E954" s="6"/>
    </row>
    <row r="955" spans="5:5" ht="15.75" customHeight="1">
      <c r="E955" s="6"/>
    </row>
    <row r="956" spans="5:5" ht="15.75" customHeight="1">
      <c r="E956" s="6"/>
    </row>
    <row r="957" spans="5:5" ht="15.75" customHeight="1">
      <c r="E957" s="6"/>
    </row>
    <row r="958" spans="5:5" ht="15.75" customHeight="1">
      <c r="E958" s="6"/>
    </row>
    <row r="959" spans="5:5" ht="15.75" customHeight="1">
      <c r="E959" s="6"/>
    </row>
    <row r="960" spans="5:5" ht="15.75" customHeight="1">
      <c r="E960" s="6"/>
    </row>
    <row r="961" spans="5:5" ht="15.75" customHeight="1">
      <c r="E961" s="6"/>
    </row>
    <row r="962" spans="5:5" ht="15.75" customHeight="1">
      <c r="E962" s="6"/>
    </row>
    <row r="963" spans="5:5" ht="15.75" customHeight="1">
      <c r="E963" s="6"/>
    </row>
    <row r="964" spans="5:5" ht="15.75" customHeight="1">
      <c r="E964" s="6"/>
    </row>
    <row r="965" spans="5:5" ht="15.75" customHeight="1">
      <c r="E965" s="6"/>
    </row>
    <row r="966" spans="5:5" ht="15.75" customHeight="1">
      <c r="E966" s="6"/>
    </row>
    <row r="967" spans="5:5" ht="15.75" customHeight="1">
      <c r="E967" s="6"/>
    </row>
    <row r="968" spans="5:5" ht="15.75" customHeight="1">
      <c r="E968" s="6"/>
    </row>
    <row r="969" spans="5:5" ht="15.75" customHeight="1">
      <c r="E969" s="6"/>
    </row>
    <row r="970" spans="5:5" ht="15.75" customHeight="1">
      <c r="E970" s="6"/>
    </row>
    <row r="971" spans="5:5" ht="15.75" customHeight="1">
      <c r="E971" s="6"/>
    </row>
    <row r="972" spans="5:5" ht="15.75" customHeight="1">
      <c r="E972" s="6"/>
    </row>
    <row r="973" spans="5:5" ht="15.75" customHeight="1">
      <c r="E973" s="6"/>
    </row>
    <row r="974" spans="5:5" ht="15.75" customHeight="1">
      <c r="E974" s="6"/>
    </row>
    <row r="975" spans="5:5" ht="15.75" customHeight="1">
      <c r="E975" s="6"/>
    </row>
    <row r="976" spans="5:5" ht="15.75" customHeight="1">
      <c r="E976" s="6"/>
    </row>
    <row r="977" spans="5:5" ht="15.75" customHeight="1">
      <c r="E977" s="6"/>
    </row>
    <row r="978" spans="5:5" ht="15.75" customHeight="1">
      <c r="E978" s="6"/>
    </row>
    <row r="979" spans="5:5" ht="15.75" customHeight="1">
      <c r="E979" s="6"/>
    </row>
    <row r="980" spans="5:5" ht="15.75" customHeight="1">
      <c r="E980" s="6"/>
    </row>
    <row r="981" spans="5:5" ht="15.75" customHeight="1">
      <c r="E981" s="6"/>
    </row>
    <row r="982" spans="5:5" ht="15.75" customHeight="1">
      <c r="E982" s="6"/>
    </row>
    <row r="983" spans="5:5" ht="15.75" customHeight="1">
      <c r="E983" s="6"/>
    </row>
    <row r="984" spans="5:5" ht="15.75" customHeight="1">
      <c r="E984" s="6"/>
    </row>
    <row r="985" spans="5:5" ht="15.75" customHeight="1">
      <c r="E985" s="6"/>
    </row>
    <row r="986" spans="5:5" ht="15.75" customHeight="1">
      <c r="E986" s="6"/>
    </row>
    <row r="987" spans="5:5" ht="15.75" customHeight="1">
      <c r="E987" s="6"/>
    </row>
    <row r="988" spans="5:5" ht="15.75" customHeight="1">
      <c r="E988" s="6"/>
    </row>
    <row r="989" spans="5:5" ht="15.75" customHeight="1">
      <c r="E989" s="6"/>
    </row>
    <row r="990" spans="5:5" ht="15.75" customHeight="1">
      <c r="E990" s="6"/>
    </row>
    <row r="991" spans="5:5" ht="15.75" customHeight="1">
      <c r="E991" s="6"/>
    </row>
    <row r="992" spans="5:5" ht="15.75" customHeight="1">
      <c r="E992" s="6"/>
    </row>
    <row r="993" spans="5:5" ht="15.75" customHeight="1">
      <c r="E993" s="6"/>
    </row>
    <row r="994" spans="5:5" ht="15.75" customHeight="1">
      <c r="E994" s="6"/>
    </row>
    <row r="995" spans="5:5" ht="15.75" customHeight="1">
      <c r="E995" s="6"/>
    </row>
    <row r="996" spans="5:5" ht="15.75" customHeight="1">
      <c r="E996" s="6"/>
    </row>
    <row r="997" spans="5:5" ht="15.75" customHeight="1">
      <c r="E997" s="6"/>
    </row>
    <row r="998" spans="5:5" ht="15.75" customHeight="1">
      <c r="E998" s="6"/>
    </row>
    <row r="999" spans="5:5" ht="15.75" customHeight="1">
      <c r="E999" s="6"/>
    </row>
    <row r="1000" spans="5:5" ht="15.75" customHeight="1">
      <c r="E1000" s="6"/>
    </row>
  </sheetData>
  <mergeCells count="1">
    <mergeCell ref="J2:K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C4" sqref="C4"/>
    </sheetView>
  </sheetViews>
  <sheetFormatPr defaultColWidth="14.42578125" defaultRowHeight="15" customHeight="1"/>
  <cols>
    <col min="1" max="1" width="4.140625" customWidth="1"/>
    <col min="2" max="2" width="19" customWidth="1"/>
    <col min="3" max="5" width="26.85546875" customWidth="1"/>
    <col min="6" max="26" width="8.7109375" customWidth="1"/>
  </cols>
  <sheetData>
    <row r="1" spans="1:5" ht="31.5">
      <c r="A1" s="4" t="s">
        <v>135</v>
      </c>
    </row>
    <row r="2" spans="1:5">
      <c r="A2" s="53" t="s">
        <v>1</v>
      </c>
      <c r="B2" s="53" t="s">
        <v>35</v>
      </c>
      <c r="C2" s="1" t="s">
        <v>136</v>
      </c>
      <c r="D2" s="1" t="s">
        <v>137</v>
      </c>
      <c r="E2" s="1" t="s">
        <v>138</v>
      </c>
    </row>
    <row r="3" spans="1:5">
      <c r="A3" s="54"/>
      <c r="B3" s="54"/>
      <c r="C3" s="1" t="s">
        <v>139</v>
      </c>
      <c r="D3" s="1" t="s">
        <v>140</v>
      </c>
      <c r="E3" s="1" t="s">
        <v>141</v>
      </c>
    </row>
    <row r="4" spans="1:5">
      <c r="A4" s="5">
        <v>1</v>
      </c>
      <c r="B4" s="2" t="s">
        <v>142</v>
      </c>
      <c r="C4" s="29" t="str">
        <f>UPPER(B4)</f>
        <v>MULAN JAMELA</v>
      </c>
      <c r="D4" s="29" t="str">
        <f>PROPER(B4)</f>
        <v>Mulan Jamela</v>
      </c>
      <c r="E4" s="29" t="str">
        <f>LOWER(B4)</f>
        <v>mulan jamela</v>
      </c>
    </row>
    <row r="5" spans="1:5">
      <c r="A5" s="5">
        <v>2</v>
      </c>
      <c r="B5" s="2" t="s">
        <v>143</v>
      </c>
      <c r="C5" s="29" t="str">
        <f t="shared" ref="C5:C15" si="0">UPPER(B5)</f>
        <v>AYU AZHARI</v>
      </c>
      <c r="D5" s="29" t="str">
        <f t="shared" ref="D5:D15" si="1">PROPER(B5)</f>
        <v>Ayu Azhari</v>
      </c>
      <c r="E5" s="29" t="str">
        <f t="shared" ref="E5:E15" si="2">LOWER(B5)</f>
        <v>ayu azhari</v>
      </c>
    </row>
    <row r="6" spans="1:5">
      <c r="A6" s="5">
        <v>3</v>
      </c>
      <c r="B6" s="2" t="s">
        <v>144</v>
      </c>
      <c r="C6" s="29" t="str">
        <f t="shared" si="0"/>
        <v>ASMIRANDAH</v>
      </c>
      <c r="D6" s="29" t="str">
        <f t="shared" si="1"/>
        <v>Asmirandah</v>
      </c>
      <c r="E6" s="29" t="str">
        <f t="shared" si="2"/>
        <v>asmirandah</v>
      </c>
    </row>
    <row r="7" spans="1:5">
      <c r="A7" s="5">
        <v>4</v>
      </c>
      <c r="B7" s="2" t="s">
        <v>145</v>
      </c>
      <c r="C7" s="29" t="str">
        <f t="shared" si="0"/>
        <v>DESI RATNASARI</v>
      </c>
      <c r="D7" s="29" t="str">
        <f t="shared" si="1"/>
        <v>Desi Ratnasari</v>
      </c>
      <c r="E7" s="29" t="str">
        <f t="shared" si="2"/>
        <v>desi ratnasari</v>
      </c>
    </row>
    <row r="8" spans="1:5">
      <c r="A8" s="5">
        <v>5</v>
      </c>
      <c r="B8" s="2" t="s">
        <v>146</v>
      </c>
      <c r="C8" s="29" t="str">
        <f t="shared" si="0"/>
        <v>TITI DWI JAYANTI</v>
      </c>
      <c r="D8" s="29" t="str">
        <f t="shared" si="1"/>
        <v>Titi Dwi Jayanti</v>
      </c>
      <c r="E8" s="29" t="str">
        <f t="shared" si="2"/>
        <v>titi dwi jayanti</v>
      </c>
    </row>
    <row r="9" spans="1:5">
      <c r="A9" s="5">
        <v>6</v>
      </c>
      <c r="B9" s="2" t="s">
        <v>147</v>
      </c>
      <c r="C9" s="29" t="str">
        <f t="shared" si="0"/>
        <v>MAIA ESTIANTI</v>
      </c>
      <c r="D9" s="29" t="str">
        <f t="shared" si="1"/>
        <v>Maia Estianti</v>
      </c>
      <c r="E9" s="29" t="str">
        <f t="shared" si="2"/>
        <v>maia estianti</v>
      </c>
    </row>
    <row r="10" spans="1:5">
      <c r="A10" s="5">
        <v>7</v>
      </c>
      <c r="B10" s="2" t="s">
        <v>148</v>
      </c>
      <c r="C10" s="29" t="str">
        <f t="shared" si="0"/>
        <v>SANDRA DEWI</v>
      </c>
      <c r="D10" s="29" t="str">
        <f t="shared" si="1"/>
        <v>Sandra Dewi</v>
      </c>
      <c r="E10" s="29" t="str">
        <f t="shared" si="2"/>
        <v>sandra dewi</v>
      </c>
    </row>
    <row r="11" spans="1:5">
      <c r="A11" s="5">
        <v>8</v>
      </c>
      <c r="B11" s="2" t="s">
        <v>149</v>
      </c>
      <c r="C11" s="29" t="str">
        <f t="shared" si="0"/>
        <v>PUPUT MELATI</v>
      </c>
      <c r="D11" s="29" t="str">
        <f t="shared" si="1"/>
        <v>Puput Melati</v>
      </c>
      <c r="E11" s="29" t="str">
        <f t="shared" si="2"/>
        <v>puput melati</v>
      </c>
    </row>
    <row r="12" spans="1:5">
      <c r="A12" s="5">
        <v>9</v>
      </c>
      <c r="B12" s="2" t="s">
        <v>150</v>
      </c>
      <c r="C12" s="29" t="str">
        <f t="shared" si="0"/>
        <v>DEWI PERSIK</v>
      </c>
      <c r="D12" s="29" t="str">
        <f t="shared" si="1"/>
        <v>Dewi Persik</v>
      </c>
      <c r="E12" s="29" t="str">
        <f t="shared" si="2"/>
        <v>dewi persik</v>
      </c>
    </row>
    <row r="13" spans="1:5">
      <c r="A13" s="5">
        <v>10</v>
      </c>
      <c r="B13" s="2" t="s">
        <v>151</v>
      </c>
      <c r="C13" s="29" t="str">
        <f t="shared" si="0"/>
        <v>AGNEZ MONICA</v>
      </c>
      <c r="D13" s="29" t="str">
        <f t="shared" si="1"/>
        <v>Agnez Monica</v>
      </c>
      <c r="E13" s="29" t="str">
        <f t="shared" si="2"/>
        <v>agnez monica</v>
      </c>
    </row>
    <row r="14" spans="1:5">
      <c r="A14" s="5">
        <v>11</v>
      </c>
      <c r="B14" s="25" t="s">
        <v>152</v>
      </c>
      <c r="C14" s="29" t="str">
        <f t="shared" si="0"/>
        <v>ANYA GERALDINE</v>
      </c>
      <c r="D14" s="29" t="str">
        <f t="shared" si="1"/>
        <v>Anya Geraldine</v>
      </c>
      <c r="E14" s="29" t="str">
        <f t="shared" si="2"/>
        <v>anya geraldine</v>
      </c>
    </row>
    <row r="15" spans="1:5">
      <c r="A15" s="5">
        <v>12</v>
      </c>
      <c r="B15" s="2" t="s">
        <v>153</v>
      </c>
      <c r="C15" s="29" t="str">
        <f t="shared" si="0"/>
        <v>PARAMITHA RUSADI</v>
      </c>
      <c r="D15" s="29" t="str">
        <f t="shared" si="1"/>
        <v>Paramitha Rusadi</v>
      </c>
      <c r="E15" s="29" t="str">
        <f t="shared" si="2"/>
        <v>paramitha rusadi</v>
      </c>
    </row>
    <row r="16" spans="1:5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 ht="15.75" customHeight="1">
      <c r="A21" s="6"/>
    </row>
    <row r="22" spans="1:1" ht="15.75" customHeight="1">
      <c r="A22" s="6"/>
    </row>
    <row r="23" spans="1:1" ht="15.75" customHeight="1">
      <c r="A23" s="6"/>
    </row>
    <row r="24" spans="1:1" ht="15.75" customHeight="1">
      <c r="A24" s="6"/>
    </row>
    <row r="25" spans="1:1" ht="15.75" customHeight="1">
      <c r="A25" s="6"/>
    </row>
    <row r="26" spans="1:1" ht="15.75" customHeight="1">
      <c r="A26" s="6"/>
    </row>
    <row r="27" spans="1:1" ht="15.75" customHeight="1">
      <c r="A27" s="6"/>
    </row>
    <row r="28" spans="1:1" ht="15.75" customHeight="1">
      <c r="A28" s="6"/>
    </row>
    <row r="29" spans="1:1" ht="15.75" customHeight="1">
      <c r="A29" s="6"/>
    </row>
    <row r="30" spans="1:1" ht="15.75" customHeight="1">
      <c r="A30" s="6"/>
    </row>
    <row r="31" spans="1:1" ht="15.75" customHeight="1">
      <c r="A31" s="6"/>
    </row>
    <row r="32" spans="1:1" ht="15.75" customHeight="1">
      <c r="A32" s="6"/>
    </row>
    <row r="33" spans="1:1" ht="15.75" customHeight="1">
      <c r="A33" s="6"/>
    </row>
    <row r="34" spans="1:1" ht="15.75" customHeight="1">
      <c r="A34" s="6"/>
    </row>
    <row r="35" spans="1:1" ht="15.75" customHeight="1">
      <c r="A35" s="6"/>
    </row>
    <row r="36" spans="1:1" ht="15.75" customHeight="1">
      <c r="A36" s="6"/>
    </row>
    <row r="37" spans="1:1" ht="15.75" customHeight="1">
      <c r="A37" s="6"/>
    </row>
    <row r="38" spans="1:1" ht="15.75" customHeight="1">
      <c r="A38" s="6"/>
    </row>
    <row r="39" spans="1:1" ht="15.75" customHeight="1">
      <c r="A39" s="6"/>
    </row>
    <row r="40" spans="1:1" ht="15.75" customHeight="1">
      <c r="A40" s="6"/>
    </row>
    <row r="41" spans="1:1" ht="15.75" customHeight="1">
      <c r="A41" s="6"/>
    </row>
    <row r="42" spans="1:1" ht="15.75" customHeight="1">
      <c r="A42" s="6"/>
    </row>
    <row r="43" spans="1:1" ht="15.75" customHeight="1">
      <c r="A43" s="6"/>
    </row>
    <row r="44" spans="1:1" ht="15.75" customHeight="1">
      <c r="A44" s="6"/>
    </row>
    <row r="45" spans="1:1" ht="15.75" customHeight="1">
      <c r="A45" s="6"/>
    </row>
    <row r="46" spans="1:1" ht="15.75" customHeight="1">
      <c r="A46" s="6"/>
    </row>
    <row r="47" spans="1:1" ht="15.75" customHeight="1">
      <c r="A47" s="6"/>
    </row>
    <row r="48" spans="1:1" ht="15.75" customHeight="1">
      <c r="A48" s="6"/>
    </row>
    <row r="49" spans="1:1" ht="15.75" customHeight="1">
      <c r="A49" s="6"/>
    </row>
    <row r="50" spans="1:1" ht="15.75" customHeight="1">
      <c r="A50" s="6"/>
    </row>
    <row r="51" spans="1:1" ht="15.75" customHeight="1">
      <c r="A51" s="6"/>
    </row>
    <row r="52" spans="1:1" ht="15.75" customHeight="1">
      <c r="A52" s="6"/>
    </row>
    <row r="53" spans="1:1" ht="15.75" customHeight="1">
      <c r="A53" s="6"/>
    </row>
    <row r="54" spans="1:1" ht="15.75" customHeight="1">
      <c r="A54" s="6"/>
    </row>
    <row r="55" spans="1:1" ht="15.75" customHeight="1">
      <c r="A55" s="6"/>
    </row>
    <row r="56" spans="1:1" ht="15.75" customHeight="1">
      <c r="A56" s="6"/>
    </row>
    <row r="57" spans="1:1" ht="15.75" customHeight="1">
      <c r="A57" s="6"/>
    </row>
    <row r="58" spans="1:1" ht="15.75" customHeight="1">
      <c r="A58" s="6"/>
    </row>
    <row r="59" spans="1:1" ht="15.75" customHeight="1">
      <c r="A59" s="6"/>
    </row>
    <row r="60" spans="1:1" ht="15.75" customHeight="1">
      <c r="A60" s="6"/>
    </row>
    <row r="61" spans="1:1" ht="15.75" customHeight="1">
      <c r="A61" s="6"/>
    </row>
    <row r="62" spans="1:1" ht="15.75" customHeight="1">
      <c r="A62" s="6"/>
    </row>
    <row r="63" spans="1:1" ht="15.75" customHeight="1">
      <c r="A63" s="6"/>
    </row>
    <row r="64" spans="1:1" ht="15.75" customHeight="1">
      <c r="A64" s="6"/>
    </row>
    <row r="65" spans="1:1" ht="15.75" customHeight="1">
      <c r="A65" s="6"/>
    </row>
    <row r="66" spans="1:1" ht="15.75" customHeight="1">
      <c r="A66" s="6"/>
    </row>
    <row r="67" spans="1:1" ht="15.75" customHeight="1">
      <c r="A67" s="6"/>
    </row>
    <row r="68" spans="1:1" ht="15.75" customHeight="1">
      <c r="A68" s="6"/>
    </row>
    <row r="69" spans="1:1" ht="15.75" customHeight="1">
      <c r="A69" s="6"/>
    </row>
    <row r="70" spans="1:1" ht="15.75" customHeight="1">
      <c r="A70" s="6"/>
    </row>
    <row r="71" spans="1:1" ht="15.75" customHeight="1">
      <c r="A71" s="6"/>
    </row>
    <row r="72" spans="1:1" ht="15.75" customHeight="1">
      <c r="A72" s="6"/>
    </row>
    <row r="73" spans="1:1" ht="15.75" customHeight="1">
      <c r="A73" s="6"/>
    </row>
    <row r="74" spans="1:1" ht="15.75" customHeight="1">
      <c r="A74" s="6"/>
    </row>
    <row r="75" spans="1:1" ht="15.75" customHeight="1">
      <c r="A75" s="6"/>
    </row>
    <row r="76" spans="1:1" ht="15.75" customHeight="1">
      <c r="A76" s="6"/>
    </row>
    <row r="77" spans="1:1" ht="15.75" customHeight="1">
      <c r="A77" s="6"/>
    </row>
    <row r="78" spans="1:1" ht="15.75" customHeight="1">
      <c r="A78" s="6"/>
    </row>
    <row r="79" spans="1:1" ht="15.75" customHeight="1">
      <c r="A79" s="6"/>
    </row>
    <row r="80" spans="1:1" ht="15.75" customHeight="1">
      <c r="A80" s="6"/>
    </row>
    <row r="81" spans="1:1" ht="15.75" customHeight="1">
      <c r="A81" s="6"/>
    </row>
    <row r="82" spans="1:1" ht="15.75" customHeight="1">
      <c r="A82" s="6"/>
    </row>
    <row r="83" spans="1:1" ht="15.75" customHeight="1">
      <c r="A83" s="6"/>
    </row>
    <row r="84" spans="1:1" ht="15.75" customHeight="1">
      <c r="A84" s="6"/>
    </row>
    <row r="85" spans="1:1" ht="15.75" customHeight="1">
      <c r="A85" s="6"/>
    </row>
    <row r="86" spans="1:1" ht="15.75" customHeight="1">
      <c r="A86" s="6"/>
    </row>
    <row r="87" spans="1:1" ht="15.75" customHeight="1">
      <c r="A87" s="6"/>
    </row>
    <row r="88" spans="1:1" ht="15.75" customHeight="1">
      <c r="A88" s="6"/>
    </row>
    <row r="89" spans="1:1" ht="15.75" customHeight="1">
      <c r="A89" s="6"/>
    </row>
    <row r="90" spans="1:1" ht="15.75" customHeight="1">
      <c r="A90" s="6"/>
    </row>
    <row r="91" spans="1:1" ht="15.75" customHeight="1">
      <c r="A91" s="6"/>
    </row>
    <row r="92" spans="1:1" ht="15.75" customHeight="1">
      <c r="A92" s="6"/>
    </row>
    <row r="93" spans="1:1" ht="15.75" customHeight="1">
      <c r="A93" s="6"/>
    </row>
    <row r="94" spans="1:1" ht="15.75" customHeight="1">
      <c r="A94" s="6"/>
    </row>
    <row r="95" spans="1:1" ht="15.75" customHeight="1">
      <c r="A95" s="6"/>
    </row>
    <row r="96" spans="1:1" ht="15.75" customHeight="1">
      <c r="A96" s="6"/>
    </row>
    <row r="97" spans="1:1" ht="15.75" customHeight="1">
      <c r="A97" s="6"/>
    </row>
    <row r="98" spans="1:1" ht="15.75" customHeight="1">
      <c r="A98" s="6"/>
    </row>
    <row r="99" spans="1:1" ht="15.75" customHeight="1">
      <c r="A99" s="6"/>
    </row>
    <row r="100" spans="1:1" ht="15.75" customHeight="1">
      <c r="A100" s="6"/>
    </row>
    <row r="101" spans="1:1" ht="15.75" customHeight="1">
      <c r="A101" s="6"/>
    </row>
    <row r="102" spans="1:1" ht="15.75" customHeight="1">
      <c r="A102" s="6"/>
    </row>
    <row r="103" spans="1:1" ht="15.75" customHeight="1">
      <c r="A103" s="6"/>
    </row>
    <row r="104" spans="1:1" ht="15.75" customHeight="1">
      <c r="A104" s="6"/>
    </row>
    <row r="105" spans="1:1" ht="15.75" customHeight="1">
      <c r="A105" s="6"/>
    </row>
    <row r="106" spans="1:1" ht="15.75" customHeight="1">
      <c r="A106" s="6"/>
    </row>
    <row r="107" spans="1:1" ht="15.75" customHeight="1">
      <c r="A107" s="6"/>
    </row>
    <row r="108" spans="1:1" ht="15.75" customHeight="1">
      <c r="A108" s="6"/>
    </row>
    <row r="109" spans="1:1" ht="15.75" customHeight="1">
      <c r="A109" s="6"/>
    </row>
    <row r="110" spans="1:1" ht="15.75" customHeight="1">
      <c r="A110" s="6"/>
    </row>
    <row r="111" spans="1:1" ht="15.75" customHeight="1">
      <c r="A111" s="6"/>
    </row>
    <row r="112" spans="1:1" ht="15.75" customHeight="1">
      <c r="A112" s="6"/>
    </row>
    <row r="113" spans="1:1" ht="15.75" customHeight="1">
      <c r="A113" s="6"/>
    </row>
    <row r="114" spans="1:1" ht="15.75" customHeight="1">
      <c r="A114" s="6"/>
    </row>
    <row r="115" spans="1:1" ht="15.75" customHeight="1">
      <c r="A115" s="6"/>
    </row>
    <row r="116" spans="1:1" ht="15.75" customHeight="1">
      <c r="A116" s="6"/>
    </row>
    <row r="117" spans="1:1" ht="15.75" customHeight="1">
      <c r="A117" s="6"/>
    </row>
    <row r="118" spans="1:1" ht="15.75" customHeight="1">
      <c r="A118" s="6"/>
    </row>
    <row r="119" spans="1:1" ht="15.75" customHeight="1">
      <c r="A119" s="6"/>
    </row>
    <row r="120" spans="1:1" ht="15.75" customHeight="1">
      <c r="A120" s="6"/>
    </row>
    <row r="121" spans="1:1" ht="15.75" customHeight="1">
      <c r="A121" s="6"/>
    </row>
    <row r="122" spans="1:1" ht="15.75" customHeight="1">
      <c r="A122" s="6"/>
    </row>
    <row r="123" spans="1:1" ht="15.75" customHeight="1">
      <c r="A123" s="6"/>
    </row>
    <row r="124" spans="1:1" ht="15.75" customHeight="1">
      <c r="A124" s="6"/>
    </row>
    <row r="125" spans="1:1" ht="15.75" customHeight="1">
      <c r="A125" s="6"/>
    </row>
    <row r="126" spans="1:1" ht="15.75" customHeight="1">
      <c r="A126" s="6"/>
    </row>
    <row r="127" spans="1:1" ht="15.75" customHeight="1">
      <c r="A127" s="6"/>
    </row>
    <row r="128" spans="1:1" ht="15.75" customHeight="1">
      <c r="A128" s="6"/>
    </row>
    <row r="129" spans="1:1" ht="15.75" customHeight="1">
      <c r="A129" s="6"/>
    </row>
    <row r="130" spans="1:1" ht="15.75" customHeight="1">
      <c r="A130" s="6"/>
    </row>
    <row r="131" spans="1:1" ht="15.75" customHeight="1">
      <c r="A131" s="6"/>
    </row>
    <row r="132" spans="1:1" ht="15.75" customHeight="1">
      <c r="A132" s="6"/>
    </row>
    <row r="133" spans="1:1" ht="15.75" customHeight="1">
      <c r="A133" s="6"/>
    </row>
    <row r="134" spans="1:1" ht="15.75" customHeight="1">
      <c r="A134" s="6"/>
    </row>
    <row r="135" spans="1:1" ht="15.75" customHeight="1">
      <c r="A135" s="6"/>
    </row>
    <row r="136" spans="1:1" ht="15.75" customHeight="1">
      <c r="A136" s="6"/>
    </row>
    <row r="137" spans="1:1" ht="15.75" customHeight="1">
      <c r="A137" s="6"/>
    </row>
    <row r="138" spans="1:1" ht="15.75" customHeight="1">
      <c r="A138" s="6"/>
    </row>
    <row r="139" spans="1:1" ht="15.75" customHeight="1">
      <c r="A139" s="6"/>
    </row>
    <row r="140" spans="1:1" ht="15.75" customHeight="1">
      <c r="A140" s="6"/>
    </row>
    <row r="141" spans="1:1" ht="15.75" customHeight="1">
      <c r="A141" s="6"/>
    </row>
    <row r="142" spans="1:1" ht="15.75" customHeight="1">
      <c r="A142" s="6"/>
    </row>
    <row r="143" spans="1:1" ht="15.75" customHeight="1">
      <c r="A143" s="6"/>
    </row>
    <row r="144" spans="1:1" ht="15.75" customHeight="1">
      <c r="A144" s="6"/>
    </row>
    <row r="145" spans="1:1" ht="15.75" customHeight="1">
      <c r="A145" s="6"/>
    </row>
    <row r="146" spans="1:1" ht="15.75" customHeight="1">
      <c r="A146" s="6"/>
    </row>
    <row r="147" spans="1:1" ht="15.75" customHeight="1">
      <c r="A147" s="6"/>
    </row>
    <row r="148" spans="1:1" ht="15.75" customHeight="1">
      <c r="A148" s="6"/>
    </row>
    <row r="149" spans="1:1" ht="15.75" customHeight="1">
      <c r="A149" s="6"/>
    </row>
    <row r="150" spans="1:1" ht="15.75" customHeight="1">
      <c r="A150" s="6"/>
    </row>
    <row r="151" spans="1:1" ht="15.75" customHeight="1">
      <c r="A151" s="6"/>
    </row>
    <row r="152" spans="1:1" ht="15.75" customHeight="1">
      <c r="A152" s="6"/>
    </row>
    <row r="153" spans="1:1" ht="15.75" customHeight="1">
      <c r="A153" s="6"/>
    </row>
    <row r="154" spans="1:1" ht="15.75" customHeight="1">
      <c r="A154" s="6"/>
    </row>
    <row r="155" spans="1:1" ht="15.75" customHeight="1">
      <c r="A155" s="6"/>
    </row>
    <row r="156" spans="1:1" ht="15.75" customHeight="1">
      <c r="A156" s="6"/>
    </row>
    <row r="157" spans="1:1" ht="15.75" customHeight="1">
      <c r="A157" s="6"/>
    </row>
    <row r="158" spans="1:1" ht="15.75" customHeight="1">
      <c r="A158" s="6"/>
    </row>
    <row r="159" spans="1:1" ht="15.75" customHeight="1">
      <c r="A159" s="6"/>
    </row>
    <row r="160" spans="1:1" ht="15.75" customHeight="1">
      <c r="A160" s="6"/>
    </row>
    <row r="161" spans="1:1" ht="15.75" customHeight="1">
      <c r="A161" s="6"/>
    </row>
    <row r="162" spans="1:1" ht="15.75" customHeight="1">
      <c r="A162" s="6"/>
    </row>
    <row r="163" spans="1:1" ht="15.75" customHeight="1">
      <c r="A163" s="6"/>
    </row>
    <row r="164" spans="1:1" ht="15.75" customHeight="1">
      <c r="A164" s="6"/>
    </row>
    <row r="165" spans="1:1" ht="15.75" customHeight="1">
      <c r="A165" s="6"/>
    </row>
    <row r="166" spans="1:1" ht="15.75" customHeight="1">
      <c r="A166" s="6"/>
    </row>
    <row r="167" spans="1:1" ht="15.75" customHeight="1">
      <c r="A167" s="6"/>
    </row>
    <row r="168" spans="1:1" ht="15.75" customHeight="1">
      <c r="A168" s="6"/>
    </row>
    <row r="169" spans="1:1" ht="15.75" customHeight="1">
      <c r="A169" s="6"/>
    </row>
    <row r="170" spans="1:1" ht="15.75" customHeight="1">
      <c r="A170" s="6"/>
    </row>
    <row r="171" spans="1:1" ht="15.75" customHeight="1">
      <c r="A171" s="6"/>
    </row>
    <row r="172" spans="1:1" ht="15.75" customHeight="1">
      <c r="A172" s="6"/>
    </row>
    <row r="173" spans="1:1" ht="15.75" customHeight="1">
      <c r="A173" s="6"/>
    </row>
    <row r="174" spans="1:1" ht="15.75" customHeight="1">
      <c r="A174" s="6"/>
    </row>
    <row r="175" spans="1:1" ht="15.75" customHeight="1">
      <c r="A175" s="6"/>
    </row>
    <row r="176" spans="1:1" ht="15.75" customHeight="1">
      <c r="A176" s="6"/>
    </row>
    <row r="177" spans="1:1" ht="15.75" customHeight="1">
      <c r="A177" s="6"/>
    </row>
    <row r="178" spans="1:1" ht="15.75" customHeight="1">
      <c r="A178" s="6"/>
    </row>
    <row r="179" spans="1:1" ht="15.75" customHeight="1">
      <c r="A179" s="6"/>
    </row>
    <row r="180" spans="1:1" ht="15.75" customHeight="1">
      <c r="A180" s="6"/>
    </row>
    <row r="181" spans="1:1" ht="15.75" customHeight="1">
      <c r="A181" s="6"/>
    </row>
    <row r="182" spans="1:1" ht="15.75" customHeight="1">
      <c r="A182" s="6"/>
    </row>
    <row r="183" spans="1:1" ht="15.75" customHeight="1">
      <c r="A183" s="6"/>
    </row>
    <row r="184" spans="1:1" ht="15.75" customHeight="1">
      <c r="A184" s="6"/>
    </row>
    <row r="185" spans="1:1" ht="15.75" customHeight="1">
      <c r="A185" s="6"/>
    </row>
    <row r="186" spans="1:1" ht="15.75" customHeight="1">
      <c r="A186" s="6"/>
    </row>
    <row r="187" spans="1:1" ht="15.75" customHeight="1">
      <c r="A187" s="6"/>
    </row>
    <row r="188" spans="1:1" ht="15.75" customHeight="1">
      <c r="A188" s="6"/>
    </row>
    <row r="189" spans="1:1" ht="15.75" customHeight="1">
      <c r="A189" s="6"/>
    </row>
    <row r="190" spans="1:1" ht="15.75" customHeight="1">
      <c r="A190" s="6"/>
    </row>
    <row r="191" spans="1:1" ht="15.75" customHeight="1">
      <c r="A191" s="6"/>
    </row>
    <row r="192" spans="1:1" ht="15.75" customHeight="1">
      <c r="A192" s="6"/>
    </row>
    <row r="193" spans="1:1" ht="15.75" customHeight="1">
      <c r="A193" s="6"/>
    </row>
    <row r="194" spans="1:1" ht="15.75" customHeight="1">
      <c r="A194" s="6"/>
    </row>
    <row r="195" spans="1:1" ht="15.75" customHeight="1">
      <c r="A195" s="6"/>
    </row>
    <row r="196" spans="1:1" ht="15.75" customHeight="1">
      <c r="A196" s="6"/>
    </row>
    <row r="197" spans="1:1" ht="15.75" customHeight="1">
      <c r="A197" s="6"/>
    </row>
    <row r="198" spans="1:1" ht="15.75" customHeight="1">
      <c r="A198" s="6"/>
    </row>
    <row r="199" spans="1:1" ht="15.75" customHeight="1">
      <c r="A199" s="6"/>
    </row>
    <row r="200" spans="1:1" ht="15.75" customHeight="1">
      <c r="A200" s="6"/>
    </row>
    <row r="201" spans="1:1" ht="15.75" customHeight="1">
      <c r="A201" s="6"/>
    </row>
    <row r="202" spans="1:1" ht="15.75" customHeight="1">
      <c r="A202" s="6"/>
    </row>
    <row r="203" spans="1:1" ht="15.75" customHeight="1">
      <c r="A203" s="6"/>
    </row>
    <row r="204" spans="1:1" ht="15.75" customHeight="1">
      <c r="A204" s="6"/>
    </row>
    <row r="205" spans="1:1" ht="15.75" customHeight="1">
      <c r="A205" s="6"/>
    </row>
    <row r="206" spans="1:1" ht="15.75" customHeight="1">
      <c r="A206" s="6"/>
    </row>
    <row r="207" spans="1:1" ht="15.75" customHeight="1">
      <c r="A207" s="6"/>
    </row>
    <row r="208" spans="1:1" ht="15.75" customHeight="1">
      <c r="A208" s="6"/>
    </row>
    <row r="209" spans="1:1" ht="15.75" customHeight="1">
      <c r="A209" s="6"/>
    </row>
    <row r="210" spans="1:1" ht="15.75" customHeight="1">
      <c r="A210" s="6"/>
    </row>
    <row r="211" spans="1:1" ht="15.75" customHeight="1">
      <c r="A211" s="6"/>
    </row>
    <row r="212" spans="1:1" ht="15.75" customHeight="1">
      <c r="A212" s="6"/>
    </row>
    <row r="213" spans="1:1" ht="15.75" customHeight="1">
      <c r="A213" s="6"/>
    </row>
    <row r="214" spans="1:1" ht="15.75" customHeight="1">
      <c r="A214" s="6"/>
    </row>
    <row r="215" spans="1:1" ht="15.75" customHeight="1">
      <c r="A215" s="6"/>
    </row>
    <row r="216" spans="1:1" ht="15.75" customHeight="1">
      <c r="A216" s="6"/>
    </row>
    <row r="217" spans="1:1" ht="15.75" customHeight="1">
      <c r="A217" s="6"/>
    </row>
    <row r="218" spans="1:1" ht="15.75" customHeight="1">
      <c r="A218" s="6"/>
    </row>
    <row r="219" spans="1:1" ht="15.75" customHeight="1">
      <c r="A219" s="6"/>
    </row>
    <row r="220" spans="1:1" ht="15.75" customHeight="1">
      <c r="A220" s="6"/>
    </row>
    <row r="221" spans="1:1" ht="15.75" customHeight="1">
      <c r="A221" s="6"/>
    </row>
    <row r="222" spans="1:1" ht="15.75" customHeight="1">
      <c r="A222" s="6"/>
    </row>
    <row r="223" spans="1:1" ht="15.75" customHeight="1">
      <c r="A223" s="6"/>
    </row>
    <row r="224" spans="1:1" ht="15.75" customHeight="1">
      <c r="A224" s="6"/>
    </row>
    <row r="225" spans="1:1" ht="15.75" customHeight="1">
      <c r="A225" s="6"/>
    </row>
    <row r="226" spans="1:1" ht="15.75" customHeight="1">
      <c r="A226" s="6"/>
    </row>
    <row r="227" spans="1:1" ht="15.75" customHeight="1">
      <c r="A227" s="6"/>
    </row>
    <row r="228" spans="1:1" ht="15.75" customHeight="1">
      <c r="A228" s="6"/>
    </row>
    <row r="229" spans="1:1" ht="15.75" customHeight="1">
      <c r="A229" s="6"/>
    </row>
    <row r="230" spans="1:1" ht="15.75" customHeight="1">
      <c r="A230" s="6"/>
    </row>
    <row r="231" spans="1:1" ht="15.75" customHeight="1">
      <c r="A231" s="6"/>
    </row>
    <row r="232" spans="1:1" ht="15.75" customHeight="1">
      <c r="A232" s="6"/>
    </row>
    <row r="233" spans="1:1" ht="15.75" customHeight="1">
      <c r="A233" s="6"/>
    </row>
    <row r="234" spans="1:1" ht="15.75" customHeight="1">
      <c r="A234" s="6"/>
    </row>
    <row r="235" spans="1:1" ht="15.75" customHeight="1">
      <c r="A235" s="6"/>
    </row>
    <row r="236" spans="1:1" ht="15.75" customHeight="1">
      <c r="A236" s="6"/>
    </row>
    <row r="237" spans="1:1" ht="15.75" customHeight="1">
      <c r="A237" s="6"/>
    </row>
    <row r="238" spans="1:1" ht="15.75" customHeight="1">
      <c r="A238" s="6"/>
    </row>
    <row r="239" spans="1:1" ht="15.75" customHeight="1">
      <c r="A239" s="6"/>
    </row>
    <row r="240" spans="1:1" ht="15.75" customHeight="1">
      <c r="A240" s="6"/>
    </row>
    <row r="241" spans="1:1" ht="15.75" customHeight="1">
      <c r="A241" s="6"/>
    </row>
    <row r="242" spans="1:1" ht="15.75" customHeight="1">
      <c r="A242" s="6"/>
    </row>
    <row r="243" spans="1:1" ht="15.75" customHeight="1">
      <c r="A243" s="6"/>
    </row>
    <row r="244" spans="1:1" ht="15.75" customHeight="1">
      <c r="A244" s="6"/>
    </row>
    <row r="245" spans="1:1" ht="15.75" customHeight="1">
      <c r="A245" s="6"/>
    </row>
    <row r="246" spans="1:1" ht="15.75" customHeight="1">
      <c r="A246" s="6"/>
    </row>
    <row r="247" spans="1:1" ht="15.75" customHeight="1">
      <c r="A247" s="6"/>
    </row>
    <row r="248" spans="1:1" ht="15.75" customHeight="1">
      <c r="A248" s="6"/>
    </row>
    <row r="249" spans="1:1" ht="15.75" customHeight="1">
      <c r="A249" s="6"/>
    </row>
    <row r="250" spans="1:1" ht="15.75" customHeight="1">
      <c r="A250" s="6"/>
    </row>
    <row r="251" spans="1:1" ht="15.75" customHeight="1">
      <c r="A251" s="6"/>
    </row>
    <row r="252" spans="1:1" ht="15.75" customHeight="1">
      <c r="A252" s="6"/>
    </row>
    <row r="253" spans="1:1" ht="15.75" customHeight="1">
      <c r="A253" s="6"/>
    </row>
    <row r="254" spans="1:1" ht="15.75" customHeight="1">
      <c r="A254" s="6"/>
    </row>
    <row r="255" spans="1:1" ht="15.75" customHeight="1">
      <c r="A255" s="6"/>
    </row>
    <row r="256" spans="1:1" ht="15.75" customHeight="1">
      <c r="A256" s="6"/>
    </row>
    <row r="257" spans="1:1" ht="15.75" customHeight="1">
      <c r="A257" s="6"/>
    </row>
    <row r="258" spans="1:1" ht="15.75" customHeight="1">
      <c r="A258" s="6"/>
    </row>
    <row r="259" spans="1:1" ht="15.75" customHeight="1">
      <c r="A259" s="6"/>
    </row>
    <row r="260" spans="1:1" ht="15.75" customHeight="1">
      <c r="A260" s="6"/>
    </row>
    <row r="261" spans="1:1" ht="15.75" customHeight="1">
      <c r="A261" s="6"/>
    </row>
    <row r="262" spans="1:1" ht="15.75" customHeight="1">
      <c r="A262" s="6"/>
    </row>
    <row r="263" spans="1:1" ht="15.75" customHeight="1">
      <c r="A263" s="6"/>
    </row>
    <row r="264" spans="1:1" ht="15.75" customHeight="1">
      <c r="A264" s="6"/>
    </row>
    <row r="265" spans="1:1" ht="15.75" customHeight="1">
      <c r="A265" s="6"/>
    </row>
    <row r="266" spans="1:1" ht="15.75" customHeight="1">
      <c r="A266" s="6"/>
    </row>
    <row r="267" spans="1:1" ht="15.75" customHeight="1">
      <c r="A267" s="6"/>
    </row>
    <row r="268" spans="1:1" ht="15.75" customHeight="1">
      <c r="A268" s="6"/>
    </row>
    <row r="269" spans="1:1" ht="15.75" customHeight="1">
      <c r="A269" s="6"/>
    </row>
    <row r="270" spans="1:1" ht="15.75" customHeight="1">
      <c r="A270" s="6"/>
    </row>
    <row r="271" spans="1:1" ht="15.75" customHeight="1">
      <c r="A271" s="6"/>
    </row>
    <row r="272" spans="1:1" ht="15.75" customHeight="1">
      <c r="A272" s="6"/>
    </row>
    <row r="273" spans="1:1" ht="15.75" customHeight="1">
      <c r="A273" s="6"/>
    </row>
    <row r="274" spans="1:1" ht="15.75" customHeight="1">
      <c r="A274" s="6"/>
    </row>
    <row r="275" spans="1:1" ht="15.75" customHeight="1">
      <c r="A275" s="6"/>
    </row>
    <row r="276" spans="1:1" ht="15.75" customHeight="1">
      <c r="A276" s="6"/>
    </row>
    <row r="277" spans="1:1" ht="15.75" customHeight="1">
      <c r="A277" s="6"/>
    </row>
    <row r="278" spans="1:1" ht="15.75" customHeight="1">
      <c r="A278" s="6"/>
    </row>
    <row r="279" spans="1:1" ht="15.75" customHeight="1">
      <c r="A279" s="6"/>
    </row>
    <row r="280" spans="1:1" ht="15.75" customHeight="1">
      <c r="A280" s="6"/>
    </row>
    <row r="281" spans="1:1" ht="15.75" customHeight="1">
      <c r="A281" s="6"/>
    </row>
    <row r="282" spans="1:1" ht="15.75" customHeight="1">
      <c r="A282" s="6"/>
    </row>
    <row r="283" spans="1:1" ht="15.75" customHeight="1">
      <c r="A283" s="6"/>
    </row>
    <row r="284" spans="1:1" ht="15.75" customHeight="1">
      <c r="A284" s="6"/>
    </row>
    <row r="285" spans="1:1" ht="15.75" customHeight="1">
      <c r="A285" s="6"/>
    </row>
    <row r="286" spans="1:1" ht="15.75" customHeight="1">
      <c r="A286" s="6"/>
    </row>
    <row r="287" spans="1:1" ht="15.75" customHeight="1">
      <c r="A287" s="6"/>
    </row>
    <row r="288" spans="1:1" ht="15.75" customHeight="1">
      <c r="A288" s="6"/>
    </row>
    <row r="289" spans="1:1" ht="15.75" customHeight="1">
      <c r="A289" s="6"/>
    </row>
    <row r="290" spans="1:1" ht="15.75" customHeight="1">
      <c r="A290" s="6"/>
    </row>
    <row r="291" spans="1:1" ht="15.75" customHeight="1">
      <c r="A291" s="6"/>
    </row>
    <row r="292" spans="1:1" ht="15.75" customHeight="1">
      <c r="A292" s="6"/>
    </row>
    <row r="293" spans="1:1" ht="15.75" customHeight="1">
      <c r="A293" s="6"/>
    </row>
    <row r="294" spans="1:1" ht="15.75" customHeight="1">
      <c r="A294" s="6"/>
    </row>
    <row r="295" spans="1:1" ht="15.75" customHeight="1">
      <c r="A295" s="6"/>
    </row>
    <row r="296" spans="1:1" ht="15.75" customHeight="1">
      <c r="A296" s="6"/>
    </row>
    <row r="297" spans="1:1" ht="15.75" customHeight="1">
      <c r="A297" s="6"/>
    </row>
    <row r="298" spans="1:1" ht="15.75" customHeight="1">
      <c r="A298" s="6"/>
    </row>
    <row r="299" spans="1:1" ht="15.75" customHeight="1">
      <c r="A299" s="6"/>
    </row>
    <row r="300" spans="1:1" ht="15.75" customHeight="1">
      <c r="A300" s="6"/>
    </row>
    <row r="301" spans="1:1" ht="15.75" customHeight="1">
      <c r="A301" s="6"/>
    </row>
    <row r="302" spans="1:1" ht="15.75" customHeight="1">
      <c r="A302" s="6"/>
    </row>
    <row r="303" spans="1:1" ht="15.75" customHeight="1">
      <c r="A303" s="6"/>
    </row>
    <row r="304" spans="1:1" ht="15.75" customHeight="1">
      <c r="A304" s="6"/>
    </row>
    <row r="305" spans="1:1" ht="15.75" customHeight="1">
      <c r="A305" s="6"/>
    </row>
    <row r="306" spans="1:1" ht="15.75" customHeight="1">
      <c r="A306" s="6"/>
    </row>
    <row r="307" spans="1:1" ht="15.75" customHeight="1">
      <c r="A307" s="6"/>
    </row>
    <row r="308" spans="1:1" ht="15.75" customHeight="1">
      <c r="A308" s="6"/>
    </row>
    <row r="309" spans="1:1" ht="15.75" customHeight="1">
      <c r="A309" s="6"/>
    </row>
    <row r="310" spans="1:1" ht="15.75" customHeight="1">
      <c r="A310" s="6"/>
    </row>
    <row r="311" spans="1:1" ht="15.75" customHeight="1">
      <c r="A311" s="6"/>
    </row>
    <row r="312" spans="1:1" ht="15.75" customHeight="1">
      <c r="A312" s="6"/>
    </row>
    <row r="313" spans="1:1" ht="15.75" customHeight="1">
      <c r="A313" s="6"/>
    </row>
    <row r="314" spans="1:1" ht="15.75" customHeight="1">
      <c r="A314" s="6"/>
    </row>
    <row r="315" spans="1:1" ht="15.75" customHeight="1">
      <c r="A315" s="6"/>
    </row>
    <row r="316" spans="1:1" ht="15.75" customHeight="1">
      <c r="A316" s="6"/>
    </row>
    <row r="317" spans="1:1" ht="15.75" customHeight="1">
      <c r="A317" s="6"/>
    </row>
    <row r="318" spans="1:1" ht="15.75" customHeight="1">
      <c r="A318" s="6"/>
    </row>
    <row r="319" spans="1:1" ht="15.75" customHeight="1">
      <c r="A319" s="6"/>
    </row>
    <row r="320" spans="1:1" ht="15.75" customHeight="1">
      <c r="A320" s="6"/>
    </row>
    <row r="321" spans="1:1" ht="15.75" customHeight="1">
      <c r="A321" s="6"/>
    </row>
    <row r="322" spans="1:1" ht="15.75" customHeight="1">
      <c r="A322" s="6"/>
    </row>
    <row r="323" spans="1:1" ht="15.75" customHeight="1">
      <c r="A323" s="6"/>
    </row>
    <row r="324" spans="1:1" ht="15.75" customHeight="1">
      <c r="A324" s="6"/>
    </row>
    <row r="325" spans="1:1" ht="15.75" customHeight="1">
      <c r="A325" s="6"/>
    </row>
    <row r="326" spans="1:1" ht="15.75" customHeight="1">
      <c r="A326" s="6"/>
    </row>
    <row r="327" spans="1:1" ht="15.75" customHeight="1">
      <c r="A327" s="6"/>
    </row>
    <row r="328" spans="1:1" ht="15.75" customHeight="1">
      <c r="A328" s="6"/>
    </row>
    <row r="329" spans="1:1" ht="15.75" customHeight="1">
      <c r="A329" s="6"/>
    </row>
    <row r="330" spans="1:1" ht="15.75" customHeight="1">
      <c r="A330" s="6"/>
    </row>
    <row r="331" spans="1:1" ht="15.75" customHeight="1">
      <c r="A331" s="6"/>
    </row>
    <row r="332" spans="1:1" ht="15.75" customHeight="1">
      <c r="A332" s="6"/>
    </row>
    <row r="333" spans="1:1" ht="15.75" customHeight="1">
      <c r="A333" s="6"/>
    </row>
    <row r="334" spans="1:1" ht="15.75" customHeight="1">
      <c r="A334" s="6"/>
    </row>
    <row r="335" spans="1:1" ht="15.75" customHeight="1">
      <c r="A335" s="6"/>
    </row>
    <row r="336" spans="1:1" ht="15.75" customHeight="1">
      <c r="A336" s="6"/>
    </row>
    <row r="337" spans="1:1" ht="15.75" customHeight="1">
      <c r="A337" s="6"/>
    </row>
    <row r="338" spans="1:1" ht="15.75" customHeight="1">
      <c r="A338" s="6"/>
    </row>
    <row r="339" spans="1:1" ht="15.75" customHeight="1">
      <c r="A339" s="6"/>
    </row>
    <row r="340" spans="1:1" ht="15.75" customHeight="1">
      <c r="A340" s="6"/>
    </row>
    <row r="341" spans="1:1" ht="15.75" customHeight="1">
      <c r="A341" s="6"/>
    </row>
    <row r="342" spans="1:1" ht="15.75" customHeight="1">
      <c r="A342" s="6"/>
    </row>
    <row r="343" spans="1:1" ht="15.75" customHeight="1">
      <c r="A343" s="6"/>
    </row>
    <row r="344" spans="1:1" ht="15.75" customHeight="1">
      <c r="A344" s="6"/>
    </row>
    <row r="345" spans="1:1" ht="15.75" customHeight="1">
      <c r="A345" s="6"/>
    </row>
    <row r="346" spans="1:1" ht="15.75" customHeight="1">
      <c r="A346" s="6"/>
    </row>
    <row r="347" spans="1:1" ht="15.75" customHeight="1">
      <c r="A347" s="6"/>
    </row>
    <row r="348" spans="1:1" ht="15.75" customHeight="1">
      <c r="A348" s="6"/>
    </row>
    <row r="349" spans="1:1" ht="15.75" customHeight="1">
      <c r="A349" s="6"/>
    </row>
    <row r="350" spans="1:1" ht="15.75" customHeight="1">
      <c r="A350" s="6"/>
    </row>
    <row r="351" spans="1:1" ht="15.75" customHeight="1">
      <c r="A351" s="6"/>
    </row>
    <row r="352" spans="1:1" ht="15.75" customHeight="1">
      <c r="A352" s="6"/>
    </row>
    <row r="353" spans="1:1" ht="15.75" customHeight="1">
      <c r="A353" s="6"/>
    </row>
    <row r="354" spans="1:1" ht="15.75" customHeight="1">
      <c r="A354" s="6"/>
    </row>
    <row r="355" spans="1:1" ht="15.75" customHeight="1">
      <c r="A355" s="6"/>
    </row>
    <row r="356" spans="1:1" ht="15.75" customHeight="1">
      <c r="A356" s="6"/>
    </row>
    <row r="357" spans="1:1" ht="15.75" customHeight="1">
      <c r="A357" s="6"/>
    </row>
    <row r="358" spans="1:1" ht="15.75" customHeight="1">
      <c r="A358" s="6"/>
    </row>
    <row r="359" spans="1:1" ht="15.75" customHeight="1">
      <c r="A359" s="6"/>
    </row>
    <row r="360" spans="1:1" ht="15.75" customHeight="1">
      <c r="A360" s="6"/>
    </row>
    <row r="361" spans="1:1" ht="15.75" customHeight="1">
      <c r="A361" s="6"/>
    </row>
    <row r="362" spans="1:1" ht="15.75" customHeight="1">
      <c r="A362" s="6"/>
    </row>
    <row r="363" spans="1:1" ht="15.75" customHeight="1">
      <c r="A363" s="6"/>
    </row>
    <row r="364" spans="1:1" ht="15.75" customHeight="1">
      <c r="A364" s="6"/>
    </row>
    <row r="365" spans="1:1" ht="15.75" customHeight="1">
      <c r="A365" s="6"/>
    </row>
    <row r="366" spans="1:1" ht="15.75" customHeight="1">
      <c r="A366" s="6"/>
    </row>
    <row r="367" spans="1:1" ht="15.75" customHeight="1">
      <c r="A367" s="6"/>
    </row>
    <row r="368" spans="1:1" ht="15.75" customHeight="1">
      <c r="A368" s="6"/>
    </row>
    <row r="369" spans="1:1" ht="15.75" customHeight="1">
      <c r="A369" s="6"/>
    </row>
    <row r="370" spans="1:1" ht="15.75" customHeight="1">
      <c r="A370" s="6"/>
    </row>
    <row r="371" spans="1:1" ht="15.75" customHeight="1">
      <c r="A371" s="6"/>
    </row>
    <row r="372" spans="1:1" ht="15.75" customHeight="1">
      <c r="A372" s="6"/>
    </row>
    <row r="373" spans="1:1" ht="15.75" customHeight="1">
      <c r="A373" s="6"/>
    </row>
    <row r="374" spans="1:1" ht="15.75" customHeight="1">
      <c r="A374" s="6"/>
    </row>
    <row r="375" spans="1:1" ht="15.75" customHeight="1">
      <c r="A375" s="6"/>
    </row>
    <row r="376" spans="1:1" ht="15.75" customHeight="1">
      <c r="A376" s="6"/>
    </row>
    <row r="377" spans="1:1" ht="15.75" customHeight="1">
      <c r="A377" s="6"/>
    </row>
    <row r="378" spans="1:1" ht="15.75" customHeight="1">
      <c r="A378" s="6"/>
    </row>
    <row r="379" spans="1:1" ht="15.75" customHeight="1">
      <c r="A379" s="6"/>
    </row>
    <row r="380" spans="1:1" ht="15.75" customHeight="1">
      <c r="A380" s="6"/>
    </row>
    <row r="381" spans="1:1" ht="15.75" customHeight="1">
      <c r="A381" s="6"/>
    </row>
    <row r="382" spans="1:1" ht="15.75" customHeight="1">
      <c r="A382" s="6"/>
    </row>
    <row r="383" spans="1:1" ht="15.75" customHeight="1">
      <c r="A383" s="6"/>
    </row>
    <row r="384" spans="1:1" ht="15.75" customHeight="1">
      <c r="A384" s="6"/>
    </row>
    <row r="385" spans="1:1" ht="15.75" customHeight="1">
      <c r="A385" s="6"/>
    </row>
    <row r="386" spans="1:1" ht="15.75" customHeight="1">
      <c r="A386" s="6"/>
    </row>
    <row r="387" spans="1:1" ht="15.75" customHeight="1">
      <c r="A387" s="6"/>
    </row>
    <row r="388" spans="1:1" ht="15.75" customHeight="1">
      <c r="A388" s="6"/>
    </row>
    <row r="389" spans="1:1" ht="15.75" customHeight="1">
      <c r="A389" s="6"/>
    </row>
    <row r="390" spans="1:1" ht="15.75" customHeight="1">
      <c r="A390" s="6"/>
    </row>
    <row r="391" spans="1:1" ht="15.75" customHeight="1">
      <c r="A391" s="6"/>
    </row>
    <row r="392" spans="1:1" ht="15.75" customHeight="1">
      <c r="A392" s="6"/>
    </row>
    <row r="393" spans="1:1" ht="15.75" customHeight="1">
      <c r="A393" s="6"/>
    </row>
    <row r="394" spans="1:1" ht="15.75" customHeight="1">
      <c r="A394" s="6"/>
    </row>
    <row r="395" spans="1:1" ht="15.75" customHeight="1">
      <c r="A395" s="6"/>
    </row>
    <row r="396" spans="1:1" ht="15.75" customHeight="1">
      <c r="A396" s="6"/>
    </row>
    <row r="397" spans="1:1" ht="15.75" customHeight="1">
      <c r="A397" s="6"/>
    </row>
    <row r="398" spans="1:1" ht="15.75" customHeight="1">
      <c r="A398" s="6"/>
    </row>
    <row r="399" spans="1:1" ht="15.75" customHeight="1">
      <c r="A399" s="6"/>
    </row>
    <row r="400" spans="1:1" ht="15.75" customHeight="1">
      <c r="A400" s="6"/>
    </row>
    <row r="401" spans="1:1" ht="15.75" customHeight="1">
      <c r="A401" s="6"/>
    </row>
    <row r="402" spans="1:1" ht="15.75" customHeight="1">
      <c r="A402" s="6"/>
    </row>
    <row r="403" spans="1:1" ht="15.75" customHeight="1">
      <c r="A403" s="6"/>
    </row>
    <row r="404" spans="1:1" ht="15.75" customHeight="1">
      <c r="A404" s="6"/>
    </row>
    <row r="405" spans="1:1" ht="15.75" customHeight="1">
      <c r="A405" s="6"/>
    </row>
    <row r="406" spans="1:1" ht="15.75" customHeight="1">
      <c r="A406" s="6"/>
    </row>
    <row r="407" spans="1:1" ht="15.75" customHeight="1">
      <c r="A407" s="6"/>
    </row>
    <row r="408" spans="1:1" ht="15.75" customHeight="1">
      <c r="A408" s="6"/>
    </row>
    <row r="409" spans="1:1" ht="15.75" customHeight="1">
      <c r="A409" s="6"/>
    </row>
    <row r="410" spans="1:1" ht="15.75" customHeight="1">
      <c r="A410" s="6"/>
    </row>
    <row r="411" spans="1:1" ht="15.75" customHeight="1">
      <c r="A411" s="6"/>
    </row>
    <row r="412" spans="1:1" ht="15.75" customHeight="1">
      <c r="A412" s="6"/>
    </row>
    <row r="413" spans="1:1" ht="15.75" customHeight="1">
      <c r="A413" s="6"/>
    </row>
    <row r="414" spans="1:1" ht="15.75" customHeight="1">
      <c r="A414" s="6"/>
    </row>
    <row r="415" spans="1:1" ht="15.75" customHeight="1">
      <c r="A415" s="6"/>
    </row>
    <row r="416" spans="1:1" ht="15.75" customHeight="1">
      <c r="A416" s="6"/>
    </row>
    <row r="417" spans="1:1" ht="15.75" customHeight="1">
      <c r="A417" s="6"/>
    </row>
    <row r="418" spans="1:1" ht="15.75" customHeight="1">
      <c r="A418" s="6"/>
    </row>
    <row r="419" spans="1:1" ht="15.75" customHeight="1">
      <c r="A419" s="6"/>
    </row>
    <row r="420" spans="1:1" ht="15.75" customHeight="1">
      <c r="A420" s="6"/>
    </row>
    <row r="421" spans="1:1" ht="15.75" customHeight="1">
      <c r="A421" s="6"/>
    </row>
    <row r="422" spans="1:1" ht="15.75" customHeight="1">
      <c r="A422" s="6"/>
    </row>
    <row r="423" spans="1:1" ht="15.75" customHeight="1">
      <c r="A423" s="6"/>
    </row>
    <row r="424" spans="1:1" ht="15.75" customHeight="1">
      <c r="A424" s="6"/>
    </row>
    <row r="425" spans="1:1" ht="15.75" customHeight="1">
      <c r="A425" s="6"/>
    </row>
    <row r="426" spans="1:1" ht="15.75" customHeight="1">
      <c r="A426" s="6"/>
    </row>
    <row r="427" spans="1:1" ht="15.75" customHeight="1">
      <c r="A427" s="6"/>
    </row>
    <row r="428" spans="1:1" ht="15.75" customHeight="1">
      <c r="A428" s="6"/>
    </row>
    <row r="429" spans="1:1" ht="15.75" customHeight="1">
      <c r="A429" s="6"/>
    </row>
    <row r="430" spans="1:1" ht="15.75" customHeight="1">
      <c r="A430" s="6"/>
    </row>
    <row r="431" spans="1:1" ht="15.75" customHeight="1">
      <c r="A431" s="6"/>
    </row>
    <row r="432" spans="1:1" ht="15.75" customHeight="1">
      <c r="A432" s="6"/>
    </row>
    <row r="433" spans="1:1" ht="15.75" customHeight="1">
      <c r="A433" s="6"/>
    </row>
    <row r="434" spans="1:1" ht="15.75" customHeight="1">
      <c r="A434" s="6"/>
    </row>
    <row r="435" spans="1:1" ht="15.75" customHeight="1">
      <c r="A435" s="6"/>
    </row>
    <row r="436" spans="1:1" ht="15.75" customHeight="1">
      <c r="A436" s="6"/>
    </row>
    <row r="437" spans="1:1" ht="15.75" customHeight="1">
      <c r="A437" s="6"/>
    </row>
    <row r="438" spans="1:1" ht="15.75" customHeight="1">
      <c r="A438" s="6"/>
    </row>
    <row r="439" spans="1:1" ht="15.75" customHeight="1">
      <c r="A439" s="6"/>
    </row>
    <row r="440" spans="1:1" ht="15.75" customHeight="1">
      <c r="A440" s="6"/>
    </row>
    <row r="441" spans="1:1" ht="15.75" customHeight="1">
      <c r="A441" s="6"/>
    </row>
    <row r="442" spans="1:1" ht="15.75" customHeight="1">
      <c r="A442" s="6"/>
    </row>
    <row r="443" spans="1:1" ht="15.75" customHeight="1">
      <c r="A443" s="6"/>
    </row>
    <row r="444" spans="1:1" ht="15.75" customHeight="1">
      <c r="A444" s="6"/>
    </row>
    <row r="445" spans="1:1" ht="15.75" customHeight="1">
      <c r="A445" s="6"/>
    </row>
    <row r="446" spans="1:1" ht="15.75" customHeight="1">
      <c r="A446" s="6"/>
    </row>
    <row r="447" spans="1:1" ht="15.75" customHeight="1">
      <c r="A447" s="6"/>
    </row>
    <row r="448" spans="1:1" ht="15.75" customHeight="1">
      <c r="A448" s="6"/>
    </row>
    <row r="449" spans="1:1" ht="15.75" customHeight="1">
      <c r="A449" s="6"/>
    </row>
    <row r="450" spans="1:1" ht="15.75" customHeight="1">
      <c r="A450" s="6"/>
    </row>
    <row r="451" spans="1:1" ht="15.75" customHeight="1">
      <c r="A451" s="6"/>
    </row>
    <row r="452" spans="1:1" ht="15.75" customHeight="1">
      <c r="A452" s="6"/>
    </row>
    <row r="453" spans="1:1" ht="15.75" customHeight="1">
      <c r="A453" s="6"/>
    </row>
    <row r="454" spans="1:1" ht="15.75" customHeight="1">
      <c r="A454" s="6"/>
    </row>
    <row r="455" spans="1:1" ht="15.75" customHeight="1">
      <c r="A455" s="6"/>
    </row>
    <row r="456" spans="1:1" ht="15.75" customHeight="1">
      <c r="A456" s="6"/>
    </row>
    <row r="457" spans="1:1" ht="15.75" customHeight="1">
      <c r="A457" s="6"/>
    </row>
    <row r="458" spans="1:1" ht="15.75" customHeight="1">
      <c r="A458" s="6"/>
    </row>
    <row r="459" spans="1:1" ht="15.75" customHeight="1">
      <c r="A459" s="6"/>
    </row>
    <row r="460" spans="1:1" ht="15.75" customHeight="1">
      <c r="A460" s="6"/>
    </row>
    <row r="461" spans="1:1" ht="15.75" customHeight="1">
      <c r="A461" s="6"/>
    </row>
    <row r="462" spans="1:1" ht="15.75" customHeight="1">
      <c r="A462" s="6"/>
    </row>
    <row r="463" spans="1:1" ht="15.75" customHeight="1">
      <c r="A463" s="6"/>
    </row>
    <row r="464" spans="1:1" ht="15.75" customHeight="1">
      <c r="A464" s="6"/>
    </row>
    <row r="465" spans="1:1" ht="15.75" customHeight="1">
      <c r="A465" s="6"/>
    </row>
    <row r="466" spans="1:1" ht="15.75" customHeight="1">
      <c r="A466" s="6"/>
    </row>
    <row r="467" spans="1:1" ht="15.75" customHeight="1">
      <c r="A467" s="6"/>
    </row>
    <row r="468" spans="1:1" ht="15.75" customHeight="1">
      <c r="A468" s="6"/>
    </row>
    <row r="469" spans="1:1" ht="15.75" customHeight="1">
      <c r="A469" s="6"/>
    </row>
    <row r="470" spans="1:1" ht="15.75" customHeight="1">
      <c r="A470" s="6"/>
    </row>
    <row r="471" spans="1:1" ht="15.75" customHeight="1">
      <c r="A471" s="6"/>
    </row>
    <row r="472" spans="1:1" ht="15.75" customHeight="1">
      <c r="A472" s="6"/>
    </row>
    <row r="473" spans="1:1" ht="15.75" customHeight="1">
      <c r="A473" s="6"/>
    </row>
    <row r="474" spans="1:1" ht="15.75" customHeight="1">
      <c r="A474" s="6"/>
    </row>
    <row r="475" spans="1:1" ht="15.75" customHeight="1">
      <c r="A475" s="6"/>
    </row>
    <row r="476" spans="1:1" ht="15.75" customHeight="1">
      <c r="A476" s="6"/>
    </row>
    <row r="477" spans="1:1" ht="15.75" customHeight="1">
      <c r="A477" s="6"/>
    </row>
    <row r="478" spans="1:1" ht="15.75" customHeight="1">
      <c r="A478" s="6"/>
    </row>
    <row r="479" spans="1:1" ht="15.75" customHeight="1">
      <c r="A479" s="6"/>
    </row>
    <row r="480" spans="1:1" ht="15.75" customHeight="1">
      <c r="A480" s="6"/>
    </row>
    <row r="481" spans="1:1" ht="15.75" customHeight="1">
      <c r="A481" s="6"/>
    </row>
    <row r="482" spans="1:1" ht="15.75" customHeight="1">
      <c r="A482" s="6"/>
    </row>
    <row r="483" spans="1:1" ht="15.75" customHeight="1">
      <c r="A483" s="6"/>
    </row>
    <row r="484" spans="1:1" ht="15.75" customHeight="1">
      <c r="A484" s="6"/>
    </row>
    <row r="485" spans="1:1" ht="15.75" customHeight="1">
      <c r="A485" s="6"/>
    </row>
    <row r="486" spans="1:1" ht="15.75" customHeight="1">
      <c r="A486" s="6"/>
    </row>
    <row r="487" spans="1:1" ht="15.75" customHeight="1">
      <c r="A487" s="6"/>
    </row>
    <row r="488" spans="1:1" ht="15.75" customHeight="1">
      <c r="A488" s="6"/>
    </row>
    <row r="489" spans="1:1" ht="15.75" customHeight="1">
      <c r="A489" s="6"/>
    </row>
    <row r="490" spans="1:1" ht="15.75" customHeight="1">
      <c r="A490" s="6"/>
    </row>
    <row r="491" spans="1:1" ht="15.75" customHeight="1">
      <c r="A491" s="6"/>
    </row>
    <row r="492" spans="1:1" ht="15.75" customHeight="1">
      <c r="A492" s="6"/>
    </row>
    <row r="493" spans="1:1" ht="15.75" customHeight="1">
      <c r="A493" s="6"/>
    </row>
    <row r="494" spans="1:1" ht="15.75" customHeight="1">
      <c r="A494" s="6"/>
    </row>
    <row r="495" spans="1:1" ht="15.75" customHeight="1">
      <c r="A495" s="6"/>
    </row>
    <row r="496" spans="1:1" ht="15.75" customHeight="1">
      <c r="A496" s="6"/>
    </row>
    <row r="497" spans="1:1" ht="15.75" customHeight="1">
      <c r="A497" s="6"/>
    </row>
    <row r="498" spans="1:1" ht="15.75" customHeight="1">
      <c r="A498" s="6"/>
    </row>
    <row r="499" spans="1:1" ht="15.75" customHeight="1">
      <c r="A499" s="6"/>
    </row>
    <row r="500" spans="1:1" ht="15.75" customHeight="1">
      <c r="A500" s="6"/>
    </row>
    <row r="501" spans="1:1" ht="15.75" customHeight="1">
      <c r="A501" s="6"/>
    </row>
    <row r="502" spans="1:1" ht="15.75" customHeight="1">
      <c r="A502" s="6"/>
    </row>
    <row r="503" spans="1:1" ht="15.75" customHeight="1">
      <c r="A503" s="6"/>
    </row>
    <row r="504" spans="1:1" ht="15.75" customHeight="1">
      <c r="A504" s="6"/>
    </row>
    <row r="505" spans="1:1" ht="15.75" customHeight="1">
      <c r="A505" s="6"/>
    </row>
    <row r="506" spans="1:1" ht="15.75" customHeight="1">
      <c r="A506" s="6"/>
    </row>
    <row r="507" spans="1:1" ht="15.75" customHeight="1">
      <c r="A507" s="6"/>
    </row>
    <row r="508" spans="1:1" ht="15.75" customHeight="1">
      <c r="A508" s="6"/>
    </row>
    <row r="509" spans="1:1" ht="15.75" customHeight="1">
      <c r="A509" s="6"/>
    </row>
    <row r="510" spans="1:1" ht="15.75" customHeight="1">
      <c r="A510" s="6"/>
    </row>
    <row r="511" spans="1:1" ht="15.75" customHeight="1">
      <c r="A511" s="6"/>
    </row>
    <row r="512" spans="1:1" ht="15.75" customHeight="1">
      <c r="A512" s="6"/>
    </row>
    <row r="513" spans="1:1" ht="15.75" customHeight="1">
      <c r="A513" s="6"/>
    </row>
    <row r="514" spans="1:1" ht="15.75" customHeight="1">
      <c r="A514" s="6"/>
    </row>
    <row r="515" spans="1:1" ht="15.75" customHeight="1">
      <c r="A515" s="6"/>
    </row>
    <row r="516" spans="1:1" ht="15.75" customHeight="1">
      <c r="A516" s="6"/>
    </row>
    <row r="517" spans="1:1" ht="15.75" customHeight="1">
      <c r="A517" s="6"/>
    </row>
    <row r="518" spans="1:1" ht="15.75" customHeight="1">
      <c r="A518" s="6"/>
    </row>
    <row r="519" spans="1:1" ht="15.75" customHeight="1">
      <c r="A519" s="6"/>
    </row>
    <row r="520" spans="1:1" ht="15.75" customHeight="1">
      <c r="A520" s="6"/>
    </row>
    <row r="521" spans="1:1" ht="15.75" customHeight="1">
      <c r="A521" s="6"/>
    </row>
    <row r="522" spans="1:1" ht="15.75" customHeight="1">
      <c r="A522" s="6"/>
    </row>
    <row r="523" spans="1:1" ht="15.75" customHeight="1">
      <c r="A523" s="6"/>
    </row>
    <row r="524" spans="1:1" ht="15.75" customHeight="1">
      <c r="A524" s="6"/>
    </row>
    <row r="525" spans="1:1" ht="15.75" customHeight="1">
      <c r="A525" s="6"/>
    </row>
    <row r="526" spans="1:1" ht="15.75" customHeight="1">
      <c r="A526" s="6"/>
    </row>
    <row r="527" spans="1:1" ht="15.75" customHeight="1">
      <c r="A527" s="6"/>
    </row>
    <row r="528" spans="1:1" ht="15.75" customHeight="1">
      <c r="A528" s="6"/>
    </row>
    <row r="529" spans="1:1" ht="15.75" customHeight="1">
      <c r="A529" s="6"/>
    </row>
    <row r="530" spans="1:1" ht="15.75" customHeight="1">
      <c r="A530" s="6"/>
    </row>
    <row r="531" spans="1:1" ht="15.75" customHeight="1">
      <c r="A531" s="6"/>
    </row>
    <row r="532" spans="1:1" ht="15.75" customHeight="1">
      <c r="A532" s="6"/>
    </row>
    <row r="533" spans="1:1" ht="15.75" customHeight="1">
      <c r="A533" s="6"/>
    </row>
    <row r="534" spans="1:1" ht="15.75" customHeight="1">
      <c r="A534" s="6"/>
    </row>
    <row r="535" spans="1:1" ht="15.75" customHeight="1">
      <c r="A535" s="6"/>
    </row>
    <row r="536" spans="1:1" ht="15.75" customHeight="1">
      <c r="A536" s="6"/>
    </row>
    <row r="537" spans="1:1" ht="15.75" customHeight="1">
      <c r="A537" s="6"/>
    </row>
    <row r="538" spans="1:1" ht="15.75" customHeight="1">
      <c r="A538" s="6"/>
    </row>
    <row r="539" spans="1:1" ht="15.75" customHeight="1">
      <c r="A539" s="6"/>
    </row>
    <row r="540" spans="1:1" ht="15.75" customHeight="1">
      <c r="A540" s="6"/>
    </row>
    <row r="541" spans="1:1" ht="15.75" customHeight="1">
      <c r="A541" s="6"/>
    </row>
    <row r="542" spans="1:1" ht="15.75" customHeight="1">
      <c r="A542" s="6"/>
    </row>
    <row r="543" spans="1:1" ht="15.75" customHeight="1">
      <c r="A543" s="6"/>
    </row>
    <row r="544" spans="1:1" ht="15.75" customHeight="1">
      <c r="A544" s="6"/>
    </row>
    <row r="545" spans="1:1" ht="15.75" customHeight="1">
      <c r="A545" s="6"/>
    </row>
    <row r="546" spans="1:1" ht="15.75" customHeight="1">
      <c r="A546" s="6"/>
    </row>
    <row r="547" spans="1:1" ht="15.75" customHeight="1">
      <c r="A547" s="6"/>
    </row>
    <row r="548" spans="1:1" ht="15.75" customHeight="1">
      <c r="A548" s="6"/>
    </row>
    <row r="549" spans="1:1" ht="15.75" customHeight="1">
      <c r="A549" s="6"/>
    </row>
    <row r="550" spans="1:1" ht="15.75" customHeight="1">
      <c r="A550" s="6"/>
    </row>
    <row r="551" spans="1:1" ht="15.75" customHeight="1">
      <c r="A551" s="6"/>
    </row>
    <row r="552" spans="1:1" ht="15.75" customHeight="1">
      <c r="A552" s="6"/>
    </row>
    <row r="553" spans="1:1" ht="15.75" customHeight="1">
      <c r="A553" s="6"/>
    </row>
    <row r="554" spans="1:1" ht="15.75" customHeight="1">
      <c r="A554" s="6"/>
    </row>
    <row r="555" spans="1:1" ht="15.75" customHeight="1">
      <c r="A555" s="6"/>
    </row>
    <row r="556" spans="1:1" ht="15.75" customHeight="1">
      <c r="A556" s="6"/>
    </row>
    <row r="557" spans="1:1" ht="15.75" customHeight="1">
      <c r="A557" s="6"/>
    </row>
    <row r="558" spans="1:1" ht="15.75" customHeight="1">
      <c r="A558" s="6"/>
    </row>
    <row r="559" spans="1:1" ht="15.75" customHeight="1">
      <c r="A559" s="6"/>
    </row>
    <row r="560" spans="1:1" ht="15.75" customHeight="1">
      <c r="A560" s="6"/>
    </row>
    <row r="561" spans="1:1" ht="15.75" customHeight="1">
      <c r="A561" s="6"/>
    </row>
    <row r="562" spans="1:1" ht="15.75" customHeight="1">
      <c r="A562" s="6"/>
    </row>
    <row r="563" spans="1:1" ht="15.75" customHeight="1">
      <c r="A563" s="6"/>
    </row>
    <row r="564" spans="1:1" ht="15.75" customHeight="1">
      <c r="A564" s="6"/>
    </row>
    <row r="565" spans="1:1" ht="15.75" customHeight="1">
      <c r="A565" s="6"/>
    </row>
    <row r="566" spans="1:1" ht="15.75" customHeight="1">
      <c r="A566" s="6"/>
    </row>
    <row r="567" spans="1:1" ht="15.75" customHeight="1">
      <c r="A567" s="6"/>
    </row>
    <row r="568" spans="1:1" ht="15.75" customHeight="1">
      <c r="A568" s="6"/>
    </row>
    <row r="569" spans="1:1" ht="15.75" customHeight="1">
      <c r="A569" s="6"/>
    </row>
    <row r="570" spans="1:1" ht="15.75" customHeight="1">
      <c r="A570" s="6"/>
    </row>
    <row r="571" spans="1:1" ht="15.75" customHeight="1">
      <c r="A571" s="6"/>
    </row>
    <row r="572" spans="1:1" ht="15.75" customHeight="1">
      <c r="A572" s="6"/>
    </row>
    <row r="573" spans="1:1" ht="15.75" customHeight="1">
      <c r="A573" s="6"/>
    </row>
    <row r="574" spans="1:1" ht="15.75" customHeight="1">
      <c r="A574" s="6"/>
    </row>
    <row r="575" spans="1:1" ht="15.75" customHeight="1">
      <c r="A575" s="6"/>
    </row>
    <row r="576" spans="1:1" ht="15.75" customHeight="1">
      <c r="A576" s="6"/>
    </row>
    <row r="577" spans="1:1" ht="15.75" customHeight="1">
      <c r="A577" s="6"/>
    </row>
    <row r="578" spans="1:1" ht="15.75" customHeight="1">
      <c r="A578" s="6"/>
    </row>
    <row r="579" spans="1:1" ht="15.75" customHeight="1">
      <c r="A579" s="6"/>
    </row>
    <row r="580" spans="1:1" ht="15.75" customHeight="1">
      <c r="A580" s="6"/>
    </row>
    <row r="581" spans="1:1" ht="15.75" customHeight="1">
      <c r="A581" s="6"/>
    </row>
    <row r="582" spans="1:1" ht="15.75" customHeight="1">
      <c r="A582" s="6"/>
    </row>
    <row r="583" spans="1:1" ht="15.75" customHeight="1">
      <c r="A583" s="6"/>
    </row>
    <row r="584" spans="1:1" ht="15.75" customHeight="1">
      <c r="A584" s="6"/>
    </row>
    <row r="585" spans="1:1" ht="15.75" customHeight="1">
      <c r="A585" s="6"/>
    </row>
    <row r="586" spans="1:1" ht="15.75" customHeight="1">
      <c r="A586" s="6"/>
    </row>
    <row r="587" spans="1:1" ht="15.75" customHeight="1">
      <c r="A587" s="6"/>
    </row>
    <row r="588" spans="1:1" ht="15.75" customHeight="1">
      <c r="A588" s="6"/>
    </row>
    <row r="589" spans="1:1" ht="15.75" customHeight="1">
      <c r="A589" s="6"/>
    </row>
    <row r="590" spans="1:1" ht="15.75" customHeight="1">
      <c r="A590" s="6"/>
    </row>
    <row r="591" spans="1:1" ht="15.75" customHeight="1">
      <c r="A591" s="6"/>
    </row>
    <row r="592" spans="1:1" ht="15.75" customHeight="1">
      <c r="A592" s="6"/>
    </row>
    <row r="593" spans="1:1" ht="15.75" customHeight="1">
      <c r="A593" s="6"/>
    </row>
    <row r="594" spans="1:1" ht="15.75" customHeight="1">
      <c r="A594" s="6"/>
    </row>
    <row r="595" spans="1:1" ht="15.75" customHeight="1">
      <c r="A595" s="6"/>
    </row>
    <row r="596" spans="1:1" ht="15.75" customHeight="1">
      <c r="A596" s="6"/>
    </row>
    <row r="597" spans="1:1" ht="15.75" customHeight="1">
      <c r="A597" s="6"/>
    </row>
    <row r="598" spans="1:1" ht="15.75" customHeight="1">
      <c r="A598" s="6"/>
    </row>
    <row r="599" spans="1:1" ht="15.75" customHeight="1">
      <c r="A599" s="6"/>
    </row>
    <row r="600" spans="1:1" ht="15.75" customHeight="1">
      <c r="A600" s="6"/>
    </row>
    <row r="601" spans="1:1" ht="15.75" customHeight="1">
      <c r="A601" s="6"/>
    </row>
    <row r="602" spans="1:1" ht="15.75" customHeight="1">
      <c r="A602" s="6"/>
    </row>
    <row r="603" spans="1:1" ht="15.75" customHeight="1">
      <c r="A603" s="6"/>
    </row>
    <row r="604" spans="1:1" ht="15.75" customHeight="1">
      <c r="A604" s="6"/>
    </row>
    <row r="605" spans="1:1" ht="15.75" customHeight="1">
      <c r="A605" s="6"/>
    </row>
    <row r="606" spans="1:1" ht="15.75" customHeight="1">
      <c r="A606" s="6"/>
    </row>
    <row r="607" spans="1:1" ht="15.75" customHeight="1">
      <c r="A607" s="6"/>
    </row>
    <row r="608" spans="1:1" ht="15.75" customHeight="1">
      <c r="A608" s="6"/>
    </row>
    <row r="609" spans="1:1" ht="15.75" customHeight="1">
      <c r="A609" s="6"/>
    </row>
    <row r="610" spans="1:1" ht="15.75" customHeight="1">
      <c r="A610" s="6"/>
    </row>
    <row r="611" spans="1:1" ht="15.75" customHeight="1">
      <c r="A611" s="6"/>
    </row>
    <row r="612" spans="1:1" ht="15.75" customHeight="1">
      <c r="A612" s="6"/>
    </row>
    <row r="613" spans="1:1" ht="15.75" customHeight="1">
      <c r="A613" s="6"/>
    </row>
    <row r="614" spans="1:1" ht="15.75" customHeight="1">
      <c r="A614" s="6"/>
    </row>
    <row r="615" spans="1:1" ht="15.75" customHeight="1">
      <c r="A615" s="6"/>
    </row>
    <row r="616" spans="1:1" ht="15.75" customHeight="1">
      <c r="A616" s="6"/>
    </row>
    <row r="617" spans="1:1" ht="15.75" customHeight="1">
      <c r="A617" s="6"/>
    </row>
    <row r="618" spans="1:1" ht="15.75" customHeight="1">
      <c r="A618" s="6"/>
    </row>
    <row r="619" spans="1:1" ht="15.75" customHeight="1">
      <c r="A619" s="6"/>
    </row>
    <row r="620" spans="1:1" ht="15.75" customHeight="1">
      <c r="A620" s="6"/>
    </row>
    <row r="621" spans="1:1" ht="15.75" customHeight="1">
      <c r="A621" s="6"/>
    </row>
    <row r="622" spans="1:1" ht="15.75" customHeight="1">
      <c r="A622" s="6"/>
    </row>
    <row r="623" spans="1:1" ht="15.75" customHeight="1">
      <c r="A623" s="6"/>
    </row>
    <row r="624" spans="1:1" ht="15.75" customHeight="1">
      <c r="A624" s="6"/>
    </row>
    <row r="625" spans="1:1" ht="15.75" customHeight="1">
      <c r="A625" s="6"/>
    </row>
    <row r="626" spans="1:1" ht="15.75" customHeight="1">
      <c r="A626" s="6"/>
    </row>
    <row r="627" spans="1:1" ht="15.75" customHeight="1">
      <c r="A627" s="6"/>
    </row>
    <row r="628" spans="1:1" ht="15.75" customHeight="1">
      <c r="A628" s="6"/>
    </row>
    <row r="629" spans="1:1" ht="15.75" customHeight="1">
      <c r="A629" s="6"/>
    </row>
    <row r="630" spans="1:1" ht="15.75" customHeight="1">
      <c r="A630" s="6"/>
    </row>
    <row r="631" spans="1:1" ht="15.75" customHeight="1">
      <c r="A631" s="6"/>
    </row>
    <row r="632" spans="1:1" ht="15.75" customHeight="1">
      <c r="A632" s="6"/>
    </row>
    <row r="633" spans="1:1" ht="15.75" customHeight="1">
      <c r="A633" s="6"/>
    </row>
    <row r="634" spans="1:1" ht="15.75" customHeight="1">
      <c r="A634" s="6"/>
    </row>
    <row r="635" spans="1:1" ht="15.75" customHeight="1">
      <c r="A635" s="6"/>
    </row>
    <row r="636" spans="1:1" ht="15.75" customHeight="1">
      <c r="A636" s="6"/>
    </row>
    <row r="637" spans="1:1" ht="15.75" customHeight="1">
      <c r="A637" s="6"/>
    </row>
    <row r="638" spans="1:1" ht="15.75" customHeight="1">
      <c r="A638" s="6"/>
    </row>
    <row r="639" spans="1:1" ht="15.75" customHeight="1">
      <c r="A639" s="6"/>
    </row>
    <row r="640" spans="1:1" ht="15.75" customHeight="1">
      <c r="A640" s="6"/>
    </row>
    <row r="641" spans="1:1" ht="15.75" customHeight="1">
      <c r="A641" s="6"/>
    </row>
    <row r="642" spans="1:1" ht="15.75" customHeight="1">
      <c r="A642" s="6"/>
    </row>
    <row r="643" spans="1:1" ht="15.75" customHeight="1">
      <c r="A643" s="6"/>
    </row>
    <row r="644" spans="1:1" ht="15.75" customHeight="1">
      <c r="A644" s="6"/>
    </row>
    <row r="645" spans="1:1" ht="15.75" customHeight="1">
      <c r="A645" s="6"/>
    </row>
    <row r="646" spans="1:1" ht="15.75" customHeight="1">
      <c r="A646" s="6"/>
    </row>
    <row r="647" spans="1:1" ht="15.75" customHeight="1">
      <c r="A647" s="6"/>
    </row>
    <row r="648" spans="1:1" ht="15.75" customHeight="1">
      <c r="A648" s="6"/>
    </row>
    <row r="649" spans="1:1" ht="15.75" customHeight="1">
      <c r="A649" s="6"/>
    </row>
    <row r="650" spans="1:1" ht="15.75" customHeight="1">
      <c r="A650" s="6"/>
    </row>
    <row r="651" spans="1:1" ht="15.75" customHeight="1">
      <c r="A651" s="6"/>
    </row>
    <row r="652" spans="1:1" ht="15.75" customHeight="1">
      <c r="A652" s="6"/>
    </row>
    <row r="653" spans="1:1" ht="15.75" customHeight="1">
      <c r="A653" s="6"/>
    </row>
    <row r="654" spans="1:1" ht="15.75" customHeight="1">
      <c r="A654" s="6"/>
    </row>
    <row r="655" spans="1:1" ht="15.75" customHeight="1">
      <c r="A655" s="6"/>
    </row>
    <row r="656" spans="1:1" ht="15.75" customHeight="1">
      <c r="A656" s="6"/>
    </row>
    <row r="657" spans="1:1" ht="15.75" customHeight="1">
      <c r="A657" s="6"/>
    </row>
    <row r="658" spans="1:1" ht="15.75" customHeight="1">
      <c r="A658" s="6"/>
    </row>
    <row r="659" spans="1:1" ht="15.75" customHeight="1">
      <c r="A659" s="6"/>
    </row>
    <row r="660" spans="1:1" ht="15.75" customHeight="1">
      <c r="A660" s="6"/>
    </row>
    <row r="661" spans="1:1" ht="15.75" customHeight="1">
      <c r="A661" s="6"/>
    </row>
    <row r="662" spans="1:1" ht="15.75" customHeight="1">
      <c r="A662" s="6"/>
    </row>
    <row r="663" spans="1:1" ht="15.75" customHeight="1">
      <c r="A663" s="6"/>
    </row>
    <row r="664" spans="1:1" ht="15.75" customHeight="1">
      <c r="A664" s="6"/>
    </row>
    <row r="665" spans="1:1" ht="15.75" customHeight="1">
      <c r="A665" s="6"/>
    </row>
    <row r="666" spans="1:1" ht="15.75" customHeight="1">
      <c r="A666" s="6"/>
    </row>
    <row r="667" spans="1:1" ht="15.75" customHeight="1">
      <c r="A667" s="6"/>
    </row>
    <row r="668" spans="1:1" ht="15.75" customHeight="1">
      <c r="A668" s="6"/>
    </row>
    <row r="669" spans="1:1" ht="15.75" customHeight="1">
      <c r="A669" s="6"/>
    </row>
    <row r="670" spans="1:1" ht="15.75" customHeight="1">
      <c r="A670" s="6"/>
    </row>
    <row r="671" spans="1:1" ht="15.75" customHeight="1">
      <c r="A671" s="6"/>
    </row>
    <row r="672" spans="1:1" ht="15.75" customHeight="1">
      <c r="A672" s="6"/>
    </row>
    <row r="673" spans="1:1" ht="15.75" customHeight="1">
      <c r="A673" s="6"/>
    </row>
    <row r="674" spans="1:1" ht="15.75" customHeight="1">
      <c r="A674" s="6"/>
    </row>
    <row r="675" spans="1:1" ht="15.75" customHeight="1">
      <c r="A675" s="6"/>
    </row>
    <row r="676" spans="1:1" ht="15.75" customHeight="1">
      <c r="A676" s="6"/>
    </row>
    <row r="677" spans="1:1" ht="15.75" customHeight="1">
      <c r="A677" s="6"/>
    </row>
    <row r="678" spans="1:1" ht="15.75" customHeight="1">
      <c r="A678" s="6"/>
    </row>
    <row r="679" spans="1:1" ht="15.75" customHeight="1">
      <c r="A679" s="6"/>
    </row>
    <row r="680" spans="1:1" ht="15.75" customHeight="1">
      <c r="A680" s="6"/>
    </row>
    <row r="681" spans="1:1" ht="15.75" customHeight="1">
      <c r="A681" s="6"/>
    </row>
    <row r="682" spans="1:1" ht="15.75" customHeight="1">
      <c r="A682" s="6"/>
    </row>
    <row r="683" spans="1:1" ht="15.75" customHeight="1">
      <c r="A683" s="6"/>
    </row>
    <row r="684" spans="1:1" ht="15.75" customHeight="1">
      <c r="A684" s="6"/>
    </row>
    <row r="685" spans="1:1" ht="15.75" customHeight="1">
      <c r="A685" s="6"/>
    </row>
    <row r="686" spans="1:1" ht="15.75" customHeight="1">
      <c r="A686" s="6"/>
    </row>
    <row r="687" spans="1:1" ht="15.75" customHeight="1">
      <c r="A687" s="6"/>
    </row>
    <row r="688" spans="1:1" ht="15.75" customHeight="1">
      <c r="A688" s="6"/>
    </row>
    <row r="689" spans="1:1" ht="15.75" customHeight="1">
      <c r="A689" s="6"/>
    </row>
    <row r="690" spans="1:1" ht="15.75" customHeight="1">
      <c r="A690" s="6"/>
    </row>
    <row r="691" spans="1:1" ht="15.75" customHeight="1">
      <c r="A691" s="6"/>
    </row>
    <row r="692" spans="1:1" ht="15.75" customHeight="1">
      <c r="A692" s="6"/>
    </row>
    <row r="693" spans="1:1" ht="15.75" customHeight="1">
      <c r="A693" s="6"/>
    </row>
    <row r="694" spans="1:1" ht="15.75" customHeight="1">
      <c r="A694" s="6"/>
    </row>
    <row r="695" spans="1:1" ht="15.75" customHeight="1">
      <c r="A695" s="6"/>
    </row>
    <row r="696" spans="1:1" ht="15.75" customHeight="1">
      <c r="A696" s="6"/>
    </row>
    <row r="697" spans="1:1" ht="15.75" customHeight="1">
      <c r="A697" s="6"/>
    </row>
    <row r="698" spans="1:1" ht="15.75" customHeight="1">
      <c r="A698" s="6"/>
    </row>
    <row r="699" spans="1:1" ht="15.75" customHeight="1">
      <c r="A699" s="6"/>
    </row>
    <row r="700" spans="1:1" ht="15.75" customHeight="1">
      <c r="A700" s="6"/>
    </row>
    <row r="701" spans="1:1" ht="15.75" customHeight="1">
      <c r="A701" s="6"/>
    </row>
    <row r="702" spans="1:1" ht="15.75" customHeight="1">
      <c r="A702" s="6"/>
    </row>
    <row r="703" spans="1:1" ht="15.75" customHeight="1">
      <c r="A703" s="6"/>
    </row>
    <row r="704" spans="1:1" ht="15.75" customHeight="1">
      <c r="A704" s="6"/>
    </row>
    <row r="705" spans="1:1" ht="15.75" customHeight="1">
      <c r="A705" s="6"/>
    </row>
    <row r="706" spans="1:1" ht="15.75" customHeight="1">
      <c r="A706" s="6"/>
    </row>
    <row r="707" spans="1:1" ht="15.75" customHeight="1">
      <c r="A707" s="6"/>
    </row>
    <row r="708" spans="1:1" ht="15.75" customHeight="1">
      <c r="A708" s="6"/>
    </row>
    <row r="709" spans="1:1" ht="15.75" customHeight="1">
      <c r="A709" s="6"/>
    </row>
    <row r="710" spans="1:1" ht="15.75" customHeight="1">
      <c r="A710" s="6"/>
    </row>
    <row r="711" spans="1:1" ht="15.75" customHeight="1">
      <c r="A711" s="6"/>
    </row>
    <row r="712" spans="1:1" ht="15.75" customHeight="1">
      <c r="A712" s="6"/>
    </row>
    <row r="713" spans="1:1" ht="15.75" customHeight="1">
      <c r="A713" s="6"/>
    </row>
    <row r="714" spans="1:1" ht="15.75" customHeight="1">
      <c r="A714" s="6"/>
    </row>
    <row r="715" spans="1:1" ht="15.75" customHeight="1">
      <c r="A715" s="6"/>
    </row>
    <row r="716" spans="1:1" ht="15.75" customHeight="1">
      <c r="A716" s="6"/>
    </row>
    <row r="717" spans="1:1" ht="15.75" customHeight="1">
      <c r="A717" s="6"/>
    </row>
    <row r="718" spans="1:1" ht="15.75" customHeight="1">
      <c r="A718" s="6"/>
    </row>
    <row r="719" spans="1:1" ht="15.75" customHeight="1">
      <c r="A719" s="6"/>
    </row>
    <row r="720" spans="1:1" ht="15.75" customHeight="1">
      <c r="A720" s="6"/>
    </row>
    <row r="721" spans="1:1" ht="15.75" customHeight="1">
      <c r="A721" s="6"/>
    </row>
    <row r="722" spans="1:1" ht="15.75" customHeight="1">
      <c r="A722" s="6"/>
    </row>
    <row r="723" spans="1:1" ht="15.75" customHeight="1">
      <c r="A723" s="6"/>
    </row>
    <row r="724" spans="1:1" ht="15.75" customHeight="1">
      <c r="A724" s="6"/>
    </row>
    <row r="725" spans="1:1" ht="15.75" customHeight="1">
      <c r="A725" s="6"/>
    </row>
    <row r="726" spans="1:1" ht="15.75" customHeight="1">
      <c r="A726" s="6"/>
    </row>
    <row r="727" spans="1:1" ht="15.75" customHeight="1">
      <c r="A727" s="6"/>
    </row>
    <row r="728" spans="1:1" ht="15.75" customHeight="1">
      <c r="A728" s="6"/>
    </row>
    <row r="729" spans="1:1" ht="15.75" customHeight="1">
      <c r="A729" s="6"/>
    </row>
    <row r="730" spans="1:1" ht="15.75" customHeight="1">
      <c r="A730" s="6"/>
    </row>
    <row r="731" spans="1:1" ht="15.75" customHeight="1">
      <c r="A731" s="6"/>
    </row>
    <row r="732" spans="1:1" ht="15.75" customHeight="1">
      <c r="A732" s="6"/>
    </row>
    <row r="733" spans="1:1" ht="15.75" customHeight="1">
      <c r="A733" s="6"/>
    </row>
    <row r="734" spans="1:1" ht="15.75" customHeight="1">
      <c r="A734" s="6"/>
    </row>
    <row r="735" spans="1:1" ht="15.75" customHeight="1">
      <c r="A735" s="6"/>
    </row>
    <row r="736" spans="1:1" ht="15.75" customHeight="1">
      <c r="A736" s="6"/>
    </row>
    <row r="737" spans="1:1" ht="15.75" customHeight="1">
      <c r="A737" s="6"/>
    </row>
    <row r="738" spans="1:1" ht="15.75" customHeight="1">
      <c r="A738" s="6"/>
    </row>
    <row r="739" spans="1:1" ht="15.75" customHeight="1">
      <c r="A739" s="6"/>
    </row>
    <row r="740" spans="1:1" ht="15.75" customHeight="1">
      <c r="A740" s="6"/>
    </row>
    <row r="741" spans="1:1" ht="15.75" customHeight="1">
      <c r="A741" s="6"/>
    </row>
    <row r="742" spans="1:1" ht="15.75" customHeight="1">
      <c r="A742" s="6"/>
    </row>
    <row r="743" spans="1:1" ht="15.75" customHeight="1">
      <c r="A743" s="6"/>
    </row>
    <row r="744" spans="1:1" ht="15.75" customHeight="1">
      <c r="A744" s="6"/>
    </row>
    <row r="745" spans="1:1" ht="15.75" customHeight="1">
      <c r="A745" s="6"/>
    </row>
    <row r="746" spans="1:1" ht="15.75" customHeight="1">
      <c r="A746" s="6"/>
    </row>
    <row r="747" spans="1:1" ht="15.75" customHeight="1">
      <c r="A747" s="6"/>
    </row>
    <row r="748" spans="1:1" ht="15.75" customHeight="1">
      <c r="A748" s="6"/>
    </row>
    <row r="749" spans="1:1" ht="15.75" customHeight="1">
      <c r="A749" s="6"/>
    </row>
    <row r="750" spans="1:1" ht="15.75" customHeight="1">
      <c r="A750" s="6"/>
    </row>
    <row r="751" spans="1:1" ht="15.75" customHeight="1">
      <c r="A751" s="6"/>
    </row>
    <row r="752" spans="1:1" ht="15.75" customHeight="1">
      <c r="A752" s="6"/>
    </row>
    <row r="753" spans="1:1" ht="15.75" customHeight="1">
      <c r="A753" s="6"/>
    </row>
    <row r="754" spans="1:1" ht="15.75" customHeight="1">
      <c r="A754" s="6"/>
    </row>
    <row r="755" spans="1:1" ht="15.75" customHeight="1">
      <c r="A755" s="6"/>
    </row>
    <row r="756" spans="1:1" ht="15.75" customHeight="1">
      <c r="A756" s="6"/>
    </row>
    <row r="757" spans="1:1" ht="15.75" customHeight="1">
      <c r="A757" s="6"/>
    </row>
    <row r="758" spans="1:1" ht="15.75" customHeight="1">
      <c r="A758" s="6"/>
    </row>
    <row r="759" spans="1:1" ht="15.75" customHeight="1">
      <c r="A759" s="6"/>
    </row>
    <row r="760" spans="1:1" ht="15.75" customHeight="1">
      <c r="A760" s="6"/>
    </row>
    <row r="761" spans="1:1" ht="15.75" customHeight="1">
      <c r="A761" s="6"/>
    </row>
    <row r="762" spans="1:1" ht="15.75" customHeight="1">
      <c r="A762" s="6"/>
    </row>
    <row r="763" spans="1:1" ht="15.75" customHeight="1">
      <c r="A763" s="6"/>
    </row>
    <row r="764" spans="1:1" ht="15.75" customHeight="1">
      <c r="A764" s="6"/>
    </row>
    <row r="765" spans="1:1" ht="15.75" customHeight="1">
      <c r="A765" s="6"/>
    </row>
    <row r="766" spans="1:1" ht="15.75" customHeight="1">
      <c r="A766" s="6"/>
    </row>
    <row r="767" spans="1:1" ht="15.75" customHeight="1">
      <c r="A767" s="6"/>
    </row>
    <row r="768" spans="1:1" ht="15.75" customHeight="1">
      <c r="A768" s="6"/>
    </row>
    <row r="769" spans="1:1" ht="15.75" customHeight="1">
      <c r="A769" s="6"/>
    </row>
    <row r="770" spans="1:1" ht="15.75" customHeight="1">
      <c r="A770" s="6"/>
    </row>
    <row r="771" spans="1:1" ht="15.75" customHeight="1">
      <c r="A771" s="6"/>
    </row>
    <row r="772" spans="1:1" ht="15.75" customHeight="1">
      <c r="A772" s="6"/>
    </row>
    <row r="773" spans="1:1" ht="15.75" customHeight="1">
      <c r="A773" s="6"/>
    </row>
    <row r="774" spans="1:1" ht="15.75" customHeight="1">
      <c r="A774" s="6"/>
    </row>
    <row r="775" spans="1:1" ht="15.75" customHeight="1">
      <c r="A775" s="6"/>
    </row>
    <row r="776" spans="1:1" ht="15.75" customHeight="1">
      <c r="A776" s="6"/>
    </row>
    <row r="777" spans="1:1" ht="15.75" customHeight="1">
      <c r="A777" s="6"/>
    </row>
    <row r="778" spans="1:1" ht="15.75" customHeight="1">
      <c r="A778" s="6"/>
    </row>
    <row r="779" spans="1:1" ht="15.75" customHeight="1">
      <c r="A779" s="6"/>
    </row>
    <row r="780" spans="1:1" ht="15.75" customHeight="1">
      <c r="A780" s="6"/>
    </row>
    <row r="781" spans="1:1" ht="15.75" customHeight="1">
      <c r="A781" s="6"/>
    </row>
    <row r="782" spans="1:1" ht="15.75" customHeight="1">
      <c r="A782" s="6"/>
    </row>
    <row r="783" spans="1:1" ht="15.75" customHeight="1">
      <c r="A783" s="6"/>
    </row>
    <row r="784" spans="1:1" ht="15.75" customHeight="1">
      <c r="A784" s="6"/>
    </row>
    <row r="785" spans="1:1" ht="15.75" customHeight="1">
      <c r="A785" s="6"/>
    </row>
    <row r="786" spans="1:1" ht="15.75" customHeight="1">
      <c r="A786" s="6"/>
    </row>
    <row r="787" spans="1:1" ht="15.75" customHeight="1">
      <c r="A787" s="6"/>
    </row>
    <row r="788" spans="1:1" ht="15.75" customHeight="1">
      <c r="A788" s="6"/>
    </row>
    <row r="789" spans="1:1" ht="15.75" customHeight="1">
      <c r="A789" s="6"/>
    </row>
    <row r="790" spans="1:1" ht="15.75" customHeight="1">
      <c r="A790" s="6"/>
    </row>
    <row r="791" spans="1:1" ht="15.75" customHeight="1">
      <c r="A791" s="6"/>
    </row>
    <row r="792" spans="1:1" ht="15.75" customHeight="1">
      <c r="A792" s="6"/>
    </row>
    <row r="793" spans="1:1" ht="15.75" customHeight="1">
      <c r="A793" s="6"/>
    </row>
    <row r="794" spans="1:1" ht="15.75" customHeight="1">
      <c r="A794" s="6"/>
    </row>
    <row r="795" spans="1:1" ht="15.75" customHeight="1">
      <c r="A795" s="6"/>
    </row>
    <row r="796" spans="1:1" ht="15.75" customHeight="1">
      <c r="A796" s="6"/>
    </row>
    <row r="797" spans="1:1" ht="15.75" customHeight="1">
      <c r="A797" s="6"/>
    </row>
    <row r="798" spans="1:1" ht="15.75" customHeight="1">
      <c r="A798" s="6"/>
    </row>
    <row r="799" spans="1:1" ht="15.75" customHeight="1">
      <c r="A799" s="6"/>
    </row>
    <row r="800" spans="1:1" ht="15.75" customHeight="1">
      <c r="A800" s="6"/>
    </row>
    <row r="801" spans="1:1" ht="15.75" customHeight="1">
      <c r="A801" s="6"/>
    </row>
    <row r="802" spans="1:1" ht="15.75" customHeight="1">
      <c r="A802" s="6"/>
    </row>
    <row r="803" spans="1:1" ht="15.75" customHeight="1">
      <c r="A803" s="6"/>
    </row>
    <row r="804" spans="1:1" ht="15.75" customHeight="1">
      <c r="A804" s="6"/>
    </row>
    <row r="805" spans="1:1" ht="15.75" customHeight="1">
      <c r="A805" s="6"/>
    </row>
    <row r="806" spans="1:1" ht="15.75" customHeight="1">
      <c r="A806" s="6"/>
    </row>
    <row r="807" spans="1:1" ht="15.75" customHeight="1">
      <c r="A807" s="6"/>
    </row>
    <row r="808" spans="1:1" ht="15.75" customHeight="1">
      <c r="A808" s="6"/>
    </row>
    <row r="809" spans="1:1" ht="15.75" customHeight="1">
      <c r="A809" s="6"/>
    </row>
    <row r="810" spans="1:1" ht="15.75" customHeight="1">
      <c r="A810" s="6"/>
    </row>
    <row r="811" spans="1:1" ht="15.75" customHeight="1">
      <c r="A811" s="6"/>
    </row>
    <row r="812" spans="1:1" ht="15.75" customHeight="1">
      <c r="A812" s="6"/>
    </row>
    <row r="813" spans="1:1" ht="15.75" customHeight="1">
      <c r="A813" s="6"/>
    </row>
    <row r="814" spans="1:1" ht="15.75" customHeight="1">
      <c r="A814" s="6"/>
    </row>
    <row r="815" spans="1:1" ht="15.75" customHeight="1">
      <c r="A815" s="6"/>
    </row>
    <row r="816" spans="1:1" ht="15.75" customHeight="1">
      <c r="A816" s="6"/>
    </row>
    <row r="817" spans="1:1" ht="15.75" customHeight="1">
      <c r="A817" s="6"/>
    </row>
    <row r="818" spans="1:1" ht="15.75" customHeight="1">
      <c r="A818" s="6"/>
    </row>
    <row r="819" spans="1:1" ht="15.75" customHeight="1">
      <c r="A819" s="6"/>
    </row>
    <row r="820" spans="1:1" ht="15.75" customHeight="1">
      <c r="A820" s="6"/>
    </row>
    <row r="821" spans="1:1" ht="15.75" customHeight="1">
      <c r="A821" s="6"/>
    </row>
    <row r="822" spans="1:1" ht="15.75" customHeight="1">
      <c r="A822" s="6"/>
    </row>
    <row r="823" spans="1:1" ht="15.75" customHeight="1">
      <c r="A823" s="6"/>
    </row>
    <row r="824" spans="1:1" ht="15.75" customHeight="1">
      <c r="A824" s="6"/>
    </row>
    <row r="825" spans="1:1" ht="15.75" customHeight="1">
      <c r="A825" s="6"/>
    </row>
    <row r="826" spans="1:1" ht="15.75" customHeight="1">
      <c r="A826" s="6"/>
    </row>
    <row r="827" spans="1:1" ht="15.75" customHeight="1">
      <c r="A827" s="6"/>
    </row>
    <row r="828" spans="1:1" ht="15.75" customHeight="1">
      <c r="A828" s="6"/>
    </row>
    <row r="829" spans="1:1" ht="15.75" customHeight="1">
      <c r="A829" s="6"/>
    </row>
    <row r="830" spans="1:1" ht="15.75" customHeight="1">
      <c r="A830" s="6"/>
    </row>
    <row r="831" spans="1:1" ht="15.75" customHeight="1">
      <c r="A831" s="6"/>
    </row>
    <row r="832" spans="1:1" ht="15.75" customHeight="1">
      <c r="A832" s="6"/>
    </row>
    <row r="833" spans="1:1" ht="15.75" customHeight="1">
      <c r="A833" s="6"/>
    </row>
    <row r="834" spans="1:1" ht="15.75" customHeight="1">
      <c r="A834" s="6"/>
    </row>
    <row r="835" spans="1:1" ht="15.75" customHeight="1">
      <c r="A835" s="6"/>
    </row>
    <row r="836" spans="1:1" ht="15.75" customHeight="1">
      <c r="A836" s="6"/>
    </row>
    <row r="837" spans="1:1" ht="15.75" customHeight="1">
      <c r="A837" s="6"/>
    </row>
    <row r="838" spans="1:1" ht="15.75" customHeight="1">
      <c r="A838" s="6"/>
    </row>
    <row r="839" spans="1:1" ht="15.75" customHeight="1">
      <c r="A839" s="6"/>
    </row>
    <row r="840" spans="1:1" ht="15.75" customHeight="1">
      <c r="A840" s="6"/>
    </row>
    <row r="841" spans="1:1" ht="15.75" customHeight="1">
      <c r="A841" s="6"/>
    </row>
    <row r="842" spans="1:1" ht="15.75" customHeight="1">
      <c r="A842" s="6"/>
    </row>
    <row r="843" spans="1:1" ht="15.75" customHeight="1">
      <c r="A843" s="6"/>
    </row>
    <row r="844" spans="1:1" ht="15.75" customHeight="1">
      <c r="A844" s="6"/>
    </row>
    <row r="845" spans="1:1" ht="15.75" customHeight="1">
      <c r="A845" s="6"/>
    </row>
    <row r="846" spans="1:1" ht="15.75" customHeight="1">
      <c r="A846" s="6"/>
    </row>
    <row r="847" spans="1:1" ht="15.75" customHeight="1">
      <c r="A847" s="6"/>
    </row>
    <row r="848" spans="1:1" ht="15.75" customHeight="1">
      <c r="A848" s="6"/>
    </row>
    <row r="849" spans="1:1" ht="15.75" customHeight="1">
      <c r="A849" s="6"/>
    </row>
    <row r="850" spans="1:1" ht="15.75" customHeight="1">
      <c r="A850" s="6"/>
    </row>
    <row r="851" spans="1:1" ht="15.75" customHeight="1">
      <c r="A851" s="6"/>
    </row>
    <row r="852" spans="1:1" ht="15.75" customHeight="1">
      <c r="A852" s="6"/>
    </row>
    <row r="853" spans="1:1" ht="15.75" customHeight="1">
      <c r="A853" s="6"/>
    </row>
    <row r="854" spans="1:1" ht="15.75" customHeight="1">
      <c r="A854" s="6"/>
    </row>
    <row r="855" spans="1:1" ht="15.75" customHeight="1">
      <c r="A855" s="6"/>
    </row>
    <row r="856" spans="1:1" ht="15.75" customHeight="1">
      <c r="A856" s="6"/>
    </row>
    <row r="857" spans="1:1" ht="15.75" customHeight="1">
      <c r="A857" s="6"/>
    </row>
    <row r="858" spans="1:1" ht="15.75" customHeight="1">
      <c r="A858" s="6"/>
    </row>
    <row r="859" spans="1:1" ht="15.75" customHeight="1">
      <c r="A859" s="6"/>
    </row>
    <row r="860" spans="1:1" ht="15.75" customHeight="1">
      <c r="A860" s="6"/>
    </row>
    <row r="861" spans="1:1" ht="15.75" customHeight="1">
      <c r="A861" s="6"/>
    </row>
    <row r="862" spans="1:1" ht="15.75" customHeight="1">
      <c r="A862" s="6"/>
    </row>
    <row r="863" spans="1:1" ht="15.75" customHeight="1">
      <c r="A863" s="6"/>
    </row>
    <row r="864" spans="1:1" ht="15.75" customHeight="1">
      <c r="A864" s="6"/>
    </row>
    <row r="865" spans="1:1" ht="15.75" customHeight="1">
      <c r="A865" s="6"/>
    </row>
    <row r="866" spans="1:1" ht="15.75" customHeight="1">
      <c r="A866" s="6"/>
    </row>
    <row r="867" spans="1:1" ht="15.75" customHeight="1">
      <c r="A867" s="6"/>
    </row>
    <row r="868" spans="1:1" ht="15.75" customHeight="1">
      <c r="A868" s="6"/>
    </row>
    <row r="869" spans="1:1" ht="15.75" customHeight="1">
      <c r="A869" s="6"/>
    </row>
    <row r="870" spans="1:1" ht="15.75" customHeight="1">
      <c r="A870" s="6"/>
    </row>
    <row r="871" spans="1:1" ht="15.75" customHeight="1">
      <c r="A871" s="6"/>
    </row>
    <row r="872" spans="1:1" ht="15.75" customHeight="1">
      <c r="A872" s="6"/>
    </row>
    <row r="873" spans="1:1" ht="15.75" customHeight="1">
      <c r="A873" s="6"/>
    </row>
    <row r="874" spans="1:1" ht="15.75" customHeight="1">
      <c r="A874" s="6"/>
    </row>
    <row r="875" spans="1:1" ht="15.75" customHeight="1">
      <c r="A875" s="6"/>
    </row>
    <row r="876" spans="1:1" ht="15.75" customHeight="1">
      <c r="A876" s="6"/>
    </row>
    <row r="877" spans="1:1" ht="15.75" customHeight="1">
      <c r="A877" s="6"/>
    </row>
    <row r="878" spans="1:1" ht="15.75" customHeight="1">
      <c r="A878" s="6"/>
    </row>
    <row r="879" spans="1:1" ht="15.75" customHeight="1">
      <c r="A879" s="6"/>
    </row>
    <row r="880" spans="1:1" ht="15.75" customHeight="1">
      <c r="A880" s="6"/>
    </row>
    <row r="881" spans="1:1" ht="15.75" customHeight="1">
      <c r="A881" s="6"/>
    </row>
    <row r="882" spans="1:1" ht="15.75" customHeight="1">
      <c r="A882" s="6"/>
    </row>
    <row r="883" spans="1:1" ht="15.75" customHeight="1">
      <c r="A883" s="6"/>
    </row>
    <row r="884" spans="1:1" ht="15.75" customHeight="1">
      <c r="A884" s="6"/>
    </row>
    <row r="885" spans="1:1" ht="15.75" customHeight="1">
      <c r="A885" s="6"/>
    </row>
    <row r="886" spans="1:1" ht="15.75" customHeight="1">
      <c r="A886" s="6"/>
    </row>
    <row r="887" spans="1:1" ht="15.75" customHeight="1">
      <c r="A887" s="6"/>
    </row>
    <row r="888" spans="1:1" ht="15.75" customHeight="1">
      <c r="A888" s="6"/>
    </row>
    <row r="889" spans="1:1" ht="15.75" customHeight="1">
      <c r="A889" s="6"/>
    </row>
    <row r="890" spans="1:1" ht="15.75" customHeight="1">
      <c r="A890" s="6"/>
    </row>
    <row r="891" spans="1:1" ht="15.75" customHeight="1">
      <c r="A891" s="6"/>
    </row>
    <row r="892" spans="1:1" ht="15.75" customHeight="1">
      <c r="A892" s="6"/>
    </row>
    <row r="893" spans="1:1" ht="15.75" customHeight="1">
      <c r="A893" s="6"/>
    </row>
    <row r="894" spans="1:1" ht="15.75" customHeight="1">
      <c r="A894" s="6"/>
    </row>
    <row r="895" spans="1:1" ht="15.75" customHeight="1">
      <c r="A895" s="6"/>
    </row>
    <row r="896" spans="1:1" ht="15.75" customHeight="1">
      <c r="A896" s="6"/>
    </row>
    <row r="897" spans="1:1" ht="15.75" customHeight="1">
      <c r="A897" s="6"/>
    </row>
    <row r="898" spans="1:1" ht="15.75" customHeight="1">
      <c r="A898" s="6"/>
    </row>
    <row r="899" spans="1:1" ht="15.75" customHeight="1">
      <c r="A899" s="6"/>
    </row>
    <row r="900" spans="1:1" ht="15.75" customHeight="1">
      <c r="A900" s="6"/>
    </row>
    <row r="901" spans="1:1" ht="15.75" customHeight="1">
      <c r="A901" s="6"/>
    </row>
    <row r="902" spans="1:1" ht="15.75" customHeight="1">
      <c r="A902" s="6"/>
    </row>
    <row r="903" spans="1:1" ht="15.75" customHeight="1">
      <c r="A903" s="6"/>
    </row>
    <row r="904" spans="1:1" ht="15.75" customHeight="1">
      <c r="A904" s="6"/>
    </row>
    <row r="905" spans="1:1" ht="15.75" customHeight="1">
      <c r="A905" s="6"/>
    </row>
    <row r="906" spans="1:1" ht="15.75" customHeight="1">
      <c r="A906" s="6"/>
    </row>
    <row r="907" spans="1:1" ht="15.75" customHeight="1">
      <c r="A907" s="6"/>
    </row>
    <row r="908" spans="1:1" ht="15.75" customHeight="1">
      <c r="A908" s="6"/>
    </row>
    <row r="909" spans="1:1" ht="15.75" customHeight="1">
      <c r="A909" s="6"/>
    </row>
    <row r="910" spans="1:1" ht="15.75" customHeight="1">
      <c r="A910" s="6"/>
    </row>
    <row r="911" spans="1:1" ht="15.75" customHeight="1">
      <c r="A911" s="6"/>
    </row>
    <row r="912" spans="1:1" ht="15.75" customHeight="1">
      <c r="A912" s="6"/>
    </row>
    <row r="913" spans="1:1" ht="15.75" customHeight="1">
      <c r="A913" s="6"/>
    </row>
    <row r="914" spans="1:1" ht="15.75" customHeight="1">
      <c r="A914" s="6"/>
    </row>
    <row r="915" spans="1:1" ht="15.75" customHeight="1">
      <c r="A915" s="6"/>
    </row>
    <row r="916" spans="1:1" ht="15.75" customHeight="1">
      <c r="A916" s="6"/>
    </row>
    <row r="917" spans="1:1" ht="15.75" customHeight="1">
      <c r="A917" s="6"/>
    </row>
    <row r="918" spans="1:1" ht="15.75" customHeight="1">
      <c r="A918" s="6"/>
    </row>
    <row r="919" spans="1:1" ht="15.75" customHeight="1">
      <c r="A919" s="6"/>
    </row>
    <row r="920" spans="1:1" ht="15.75" customHeight="1">
      <c r="A920" s="6"/>
    </row>
    <row r="921" spans="1:1" ht="15.75" customHeight="1">
      <c r="A921" s="6"/>
    </row>
    <row r="922" spans="1:1" ht="15.75" customHeight="1">
      <c r="A922" s="6"/>
    </row>
    <row r="923" spans="1:1" ht="15.75" customHeight="1">
      <c r="A923" s="6"/>
    </row>
    <row r="924" spans="1:1" ht="15.75" customHeight="1">
      <c r="A924" s="6"/>
    </row>
    <row r="925" spans="1:1" ht="15.75" customHeight="1">
      <c r="A925" s="6"/>
    </row>
    <row r="926" spans="1:1" ht="15.75" customHeight="1">
      <c r="A926" s="6"/>
    </row>
    <row r="927" spans="1:1" ht="15.75" customHeight="1">
      <c r="A927" s="6"/>
    </row>
    <row r="928" spans="1:1" ht="15.75" customHeight="1">
      <c r="A928" s="6"/>
    </row>
    <row r="929" spans="1:1" ht="15.75" customHeight="1">
      <c r="A929" s="6"/>
    </row>
    <row r="930" spans="1:1" ht="15.75" customHeight="1">
      <c r="A930" s="6"/>
    </row>
    <row r="931" spans="1:1" ht="15.75" customHeight="1">
      <c r="A931" s="6"/>
    </row>
    <row r="932" spans="1:1" ht="15.75" customHeight="1">
      <c r="A932" s="6"/>
    </row>
    <row r="933" spans="1:1" ht="15.75" customHeight="1">
      <c r="A933" s="6"/>
    </row>
    <row r="934" spans="1:1" ht="15.75" customHeight="1">
      <c r="A934" s="6"/>
    </row>
    <row r="935" spans="1:1" ht="15.75" customHeight="1">
      <c r="A935" s="6"/>
    </row>
    <row r="936" spans="1:1" ht="15.75" customHeight="1">
      <c r="A936" s="6"/>
    </row>
    <row r="937" spans="1:1" ht="15.75" customHeight="1">
      <c r="A937" s="6"/>
    </row>
    <row r="938" spans="1:1" ht="15.75" customHeight="1">
      <c r="A938" s="6"/>
    </row>
    <row r="939" spans="1:1" ht="15.75" customHeight="1">
      <c r="A939" s="6"/>
    </row>
    <row r="940" spans="1:1" ht="15.75" customHeight="1">
      <c r="A940" s="6"/>
    </row>
    <row r="941" spans="1:1" ht="15.75" customHeight="1">
      <c r="A941" s="6"/>
    </row>
    <row r="942" spans="1:1" ht="15.75" customHeight="1">
      <c r="A942" s="6"/>
    </row>
    <row r="943" spans="1:1" ht="15.75" customHeight="1">
      <c r="A943" s="6"/>
    </row>
    <row r="944" spans="1:1" ht="15.75" customHeight="1">
      <c r="A944" s="6"/>
    </row>
    <row r="945" spans="1:1" ht="15.75" customHeight="1">
      <c r="A945" s="6"/>
    </row>
    <row r="946" spans="1:1" ht="15.75" customHeight="1">
      <c r="A946" s="6"/>
    </row>
    <row r="947" spans="1:1" ht="15.75" customHeight="1">
      <c r="A947" s="6"/>
    </row>
    <row r="948" spans="1:1" ht="15.75" customHeight="1">
      <c r="A948" s="6"/>
    </row>
    <row r="949" spans="1:1" ht="15.75" customHeight="1">
      <c r="A949" s="6"/>
    </row>
    <row r="950" spans="1:1" ht="15.75" customHeight="1">
      <c r="A950" s="6"/>
    </row>
    <row r="951" spans="1:1" ht="15.75" customHeight="1">
      <c r="A951" s="6"/>
    </row>
    <row r="952" spans="1:1" ht="15.75" customHeight="1">
      <c r="A952" s="6"/>
    </row>
    <row r="953" spans="1:1" ht="15.75" customHeight="1">
      <c r="A953" s="6"/>
    </row>
    <row r="954" spans="1:1" ht="15.75" customHeight="1">
      <c r="A954" s="6"/>
    </row>
    <row r="955" spans="1:1" ht="15.75" customHeight="1">
      <c r="A955" s="6"/>
    </row>
    <row r="956" spans="1:1" ht="15.75" customHeight="1">
      <c r="A956" s="6"/>
    </row>
    <row r="957" spans="1:1" ht="15.75" customHeight="1">
      <c r="A957" s="6"/>
    </row>
    <row r="958" spans="1:1" ht="15.75" customHeight="1">
      <c r="A958" s="6"/>
    </row>
    <row r="959" spans="1:1" ht="15.75" customHeight="1">
      <c r="A959" s="6"/>
    </row>
    <row r="960" spans="1:1" ht="15.75" customHeight="1">
      <c r="A960" s="6"/>
    </row>
    <row r="961" spans="1:1" ht="15.75" customHeight="1">
      <c r="A961" s="6"/>
    </row>
    <row r="962" spans="1:1" ht="15.75" customHeight="1">
      <c r="A962" s="6"/>
    </row>
    <row r="963" spans="1:1" ht="15.75" customHeight="1">
      <c r="A963" s="6"/>
    </row>
    <row r="964" spans="1:1" ht="15.75" customHeight="1">
      <c r="A964" s="6"/>
    </row>
    <row r="965" spans="1:1" ht="15.75" customHeight="1">
      <c r="A965" s="6"/>
    </row>
    <row r="966" spans="1:1" ht="15.75" customHeight="1">
      <c r="A966" s="6"/>
    </row>
    <row r="967" spans="1:1" ht="15.75" customHeight="1">
      <c r="A967" s="6"/>
    </row>
    <row r="968" spans="1:1" ht="15.75" customHeight="1">
      <c r="A968" s="6"/>
    </row>
    <row r="969" spans="1:1" ht="15.75" customHeight="1">
      <c r="A969" s="6"/>
    </row>
    <row r="970" spans="1:1" ht="15.75" customHeight="1">
      <c r="A970" s="6"/>
    </row>
    <row r="971" spans="1:1" ht="15.75" customHeight="1">
      <c r="A971" s="6"/>
    </row>
    <row r="972" spans="1:1" ht="15.75" customHeight="1">
      <c r="A972" s="6"/>
    </row>
    <row r="973" spans="1:1" ht="15.75" customHeight="1">
      <c r="A973" s="6"/>
    </row>
    <row r="974" spans="1:1" ht="15.75" customHeight="1">
      <c r="A974" s="6"/>
    </row>
    <row r="975" spans="1:1" ht="15.75" customHeight="1">
      <c r="A975" s="6"/>
    </row>
    <row r="976" spans="1:1" ht="15.75" customHeight="1">
      <c r="A976" s="6"/>
    </row>
    <row r="977" spans="1:1" ht="15.75" customHeight="1">
      <c r="A977" s="6"/>
    </row>
    <row r="978" spans="1:1" ht="15.75" customHeight="1">
      <c r="A978" s="6"/>
    </row>
    <row r="979" spans="1:1" ht="15.75" customHeight="1">
      <c r="A979" s="6"/>
    </row>
    <row r="980" spans="1:1" ht="15.75" customHeight="1">
      <c r="A980" s="6"/>
    </row>
    <row r="981" spans="1:1" ht="15.75" customHeight="1">
      <c r="A981" s="6"/>
    </row>
    <row r="982" spans="1:1" ht="15.75" customHeight="1">
      <c r="A982" s="6"/>
    </row>
    <row r="983" spans="1:1" ht="15.75" customHeight="1">
      <c r="A983" s="6"/>
    </row>
    <row r="984" spans="1:1" ht="15.75" customHeight="1">
      <c r="A984" s="6"/>
    </row>
    <row r="985" spans="1:1" ht="15.75" customHeight="1">
      <c r="A985" s="6"/>
    </row>
    <row r="986" spans="1:1" ht="15.75" customHeight="1">
      <c r="A986" s="6"/>
    </row>
    <row r="987" spans="1:1" ht="15.75" customHeight="1">
      <c r="A987" s="6"/>
    </row>
    <row r="988" spans="1:1" ht="15.75" customHeight="1">
      <c r="A988" s="6"/>
    </row>
    <row r="989" spans="1:1" ht="15.75" customHeight="1">
      <c r="A989" s="6"/>
    </row>
    <row r="990" spans="1:1" ht="15.75" customHeight="1">
      <c r="A990" s="6"/>
    </row>
    <row r="991" spans="1:1" ht="15.75" customHeight="1">
      <c r="A991" s="6"/>
    </row>
    <row r="992" spans="1:1" ht="15.75" customHeight="1">
      <c r="A992" s="6"/>
    </row>
    <row r="993" spans="1:1" ht="15.75" customHeight="1">
      <c r="A993" s="6"/>
    </row>
    <row r="994" spans="1:1" ht="15.75" customHeight="1">
      <c r="A994" s="6"/>
    </row>
    <row r="995" spans="1:1" ht="15.75" customHeight="1">
      <c r="A995" s="6"/>
    </row>
    <row r="996" spans="1:1" ht="15.75" customHeight="1">
      <c r="A996" s="6"/>
    </row>
    <row r="997" spans="1:1" ht="15.75" customHeight="1">
      <c r="A997" s="6"/>
    </row>
    <row r="998" spans="1:1" ht="15.75" customHeight="1">
      <c r="A998" s="6"/>
    </row>
    <row r="999" spans="1:1" ht="15.75" customHeight="1">
      <c r="A999" s="6"/>
    </row>
    <row r="1000" spans="1:1" ht="15.75" customHeight="1">
      <c r="A1000" s="6"/>
    </row>
  </sheetData>
  <mergeCells count="2">
    <mergeCell ref="A2:A3"/>
    <mergeCell ref="B2:B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tabSelected="1" topLeftCell="F2" workbookViewId="0">
      <selection activeCell="I4" sqref="I4"/>
    </sheetView>
  </sheetViews>
  <sheetFormatPr defaultColWidth="14.42578125" defaultRowHeight="15" customHeight="1"/>
  <cols>
    <col min="1" max="1" width="8.28515625" bestFit="1" customWidth="1"/>
    <col min="2" max="2" width="9.140625" bestFit="1" customWidth="1"/>
    <col min="3" max="3" width="13.42578125" bestFit="1" customWidth="1"/>
    <col min="4" max="4" width="10.5703125" bestFit="1" customWidth="1"/>
    <col min="5" max="7" width="11.28515625" bestFit="1" customWidth="1"/>
    <col min="8" max="8" width="8.85546875" customWidth="1"/>
    <col min="9" max="9" width="13.140625" bestFit="1" customWidth="1"/>
    <col min="10" max="10" width="16.5703125" bestFit="1" customWidth="1"/>
    <col min="11" max="12" width="12.85546875" bestFit="1" customWidth="1"/>
    <col min="13" max="13" width="16.5703125" bestFit="1" customWidth="1"/>
    <col min="14" max="15" width="12.85546875" bestFit="1" customWidth="1"/>
    <col min="16" max="16" width="13.42578125" bestFit="1" customWidth="1"/>
    <col min="17" max="18" width="12.85546875" bestFit="1" customWidth="1"/>
    <col min="19" max="19" width="16.5703125" bestFit="1" customWidth="1"/>
    <col min="20" max="20" width="21.7109375" bestFit="1" customWidth="1"/>
    <col min="21" max="21" width="16.140625" bestFit="1" customWidth="1"/>
    <col min="22" max="22" width="12.85546875" bestFit="1" customWidth="1"/>
    <col min="23" max="30" width="11.28515625" bestFit="1" customWidth="1"/>
    <col min="31" max="31" width="16.5703125" bestFit="1" customWidth="1"/>
    <col min="32" max="32" width="21.7109375" bestFit="1" customWidth="1"/>
    <col min="33" max="33" width="16.140625" bestFit="1" customWidth="1"/>
  </cols>
  <sheetData>
    <row r="1" spans="1:12" ht="21">
      <c r="A1" s="62" t="s">
        <v>154</v>
      </c>
      <c r="B1" s="59"/>
      <c r="C1" s="59"/>
      <c r="D1" s="59"/>
      <c r="E1" s="59"/>
      <c r="F1" s="59"/>
      <c r="G1" s="59"/>
    </row>
    <row r="2" spans="1:12">
      <c r="A2" s="36" t="s">
        <v>155</v>
      </c>
      <c r="B2" s="36" t="s">
        <v>156</v>
      </c>
      <c r="C2" s="36" t="s">
        <v>157</v>
      </c>
      <c r="D2" s="36" t="s">
        <v>158</v>
      </c>
      <c r="E2" s="37" t="s">
        <v>159</v>
      </c>
      <c r="F2" s="37" t="s">
        <v>160</v>
      </c>
      <c r="G2" s="38" t="s">
        <v>161</v>
      </c>
    </row>
    <row r="3" spans="1:12">
      <c r="A3" s="39">
        <v>44562</v>
      </c>
      <c r="B3" s="40" t="s">
        <v>57</v>
      </c>
      <c r="C3" s="40" t="s">
        <v>162</v>
      </c>
      <c r="D3" s="40" t="s">
        <v>163</v>
      </c>
      <c r="E3" s="41">
        <v>250000</v>
      </c>
      <c r="F3" s="41">
        <v>100000</v>
      </c>
      <c r="G3" s="42">
        <f t="shared" ref="G3:G37" si="0">E3-F3</f>
        <v>150000</v>
      </c>
      <c r="I3" s="66" t="s">
        <v>183</v>
      </c>
      <c r="J3" t="s">
        <v>184</v>
      </c>
      <c r="K3" t="s">
        <v>185</v>
      </c>
      <c r="L3" t="s">
        <v>181</v>
      </c>
    </row>
    <row r="4" spans="1:12">
      <c r="A4" s="43">
        <v>44562</v>
      </c>
      <c r="B4" s="44" t="s">
        <v>56</v>
      </c>
      <c r="C4" s="44" t="s">
        <v>164</v>
      </c>
      <c r="D4" s="44" t="s">
        <v>165</v>
      </c>
      <c r="E4" s="45">
        <v>140000</v>
      </c>
      <c r="F4" s="45">
        <v>80000</v>
      </c>
      <c r="G4" s="46">
        <f t="shared" si="0"/>
        <v>60000</v>
      </c>
      <c r="I4" s="67" t="s">
        <v>56</v>
      </c>
      <c r="J4" s="65">
        <v>930000</v>
      </c>
      <c r="K4" s="65">
        <v>500000</v>
      </c>
      <c r="L4" s="65">
        <v>430000</v>
      </c>
    </row>
    <row r="5" spans="1:12">
      <c r="A5" s="39">
        <v>44562</v>
      </c>
      <c r="B5" s="40" t="s">
        <v>58</v>
      </c>
      <c r="C5" s="40" t="s">
        <v>166</v>
      </c>
      <c r="D5" s="40" t="s">
        <v>167</v>
      </c>
      <c r="E5" s="41">
        <v>340000</v>
      </c>
      <c r="F5" s="41">
        <v>150000</v>
      </c>
      <c r="G5" s="42">
        <f t="shared" si="0"/>
        <v>190000</v>
      </c>
      <c r="I5" s="67" t="s">
        <v>173</v>
      </c>
      <c r="J5" s="65">
        <v>1395000</v>
      </c>
      <c r="K5" s="65">
        <v>720000</v>
      </c>
      <c r="L5" s="65">
        <v>675000</v>
      </c>
    </row>
    <row r="6" spans="1:12">
      <c r="A6" s="43">
        <v>44562</v>
      </c>
      <c r="B6" s="44" t="s">
        <v>168</v>
      </c>
      <c r="C6" s="44" t="s">
        <v>166</v>
      </c>
      <c r="D6" s="44" t="s">
        <v>169</v>
      </c>
      <c r="E6" s="45">
        <v>120000</v>
      </c>
      <c r="F6" s="45">
        <v>75000</v>
      </c>
      <c r="G6" s="46">
        <f t="shared" si="0"/>
        <v>45000</v>
      </c>
      <c r="I6" s="67" t="s">
        <v>58</v>
      </c>
      <c r="J6" s="65">
        <v>1215000</v>
      </c>
      <c r="K6" s="65">
        <v>700000</v>
      </c>
      <c r="L6" s="65">
        <v>515000</v>
      </c>
    </row>
    <row r="7" spans="1:12">
      <c r="A7" s="39">
        <v>44562</v>
      </c>
      <c r="B7" s="40" t="s">
        <v>170</v>
      </c>
      <c r="C7" s="40" t="s">
        <v>162</v>
      </c>
      <c r="D7" s="40" t="s">
        <v>169</v>
      </c>
      <c r="E7" s="41">
        <v>230000</v>
      </c>
      <c r="F7" s="41">
        <v>150000</v>
      </c>
      <c r="G7" s="42">
        <f t="shared" si="0"/>
        <v>80000</v>
      </c>
      <c r="I7" s="67" t="s">
        <v>171</v>
      </c>
      <c r="J7" s="65">
        <v>1555000</v>
      </c>
      <c r="K7" s="65">
        <v>830000</v>
      </c>
      <c r="L7" s="65">
        <v>725000</v>
      </c>
    </row>
    <row r="8" spans="1:12">
      <c r="A8" s="43">
        <v>44562</v>
      </c>
      <c r="B8" s="44" t="s">
        <v>171</v>
      </c>
      <c r="C8" s="44" t="s">
        <v>164</v>
      </c>
      <c r="D8" s="44" t="s">
        <v>172</v>
      </c>
      <c r="E8" s="45">
        <v>310000</v>
      </c>
      <c r="F8" s="45">
        <v>170000</v>
      </c>
      <c r="G8" s="46">
        <f t="shared" si="0"/>
        <v>140000</v>
      </c>
      <c r="I8" s="67" t="s">
        <v>168</v>
      </c>
      <c r="J8" s="65">
        <v>120000</v>
      </c>
      <c r="K8" s="65">
        <v>75000</v>
      </c>
      <c r="L8" s="65">
        <v>45000</v>
      </c>
    </row>
    <row r="9" spans="1:12">
      <c r="A9" s="39">
        <v>44562</v>
      </c>
      <c r="B9" s="40" t="s">
        <v>173</v>
      </c>
      <c r="C9" s="40" t="s">
        <v>166</v>
      </c>
      <c r="D9" s="40" t="s">
        <v>165</v>
      </c>
      <c r="E9" s="41">
        <v>175000</v>
      </c>
      <c r="F9" s="41">
        <v>100000</v>
      </c>
      <c r="G9" s="42">
        <f t="shared" si="0"/>
        <v>75000</v>
      </c>
      <c r="I9" s="67" t="s">
        <v>170</v>
      </c>
      <c r="J9" s="65">
        <v>1225000</v>
      </c>
      <c r="K9" s="65">
        <v>675000</v>
      </c>
      <c r="L9" s="65">
        <v>550000</v>
      </c>
    </row>
    <row r="10" spans="1:12">
      <c r="A10" s="43">
        <v>44563</v>
      </c>
      <c r="B10" s="44" t="s">
        <v>170</v>
      </c>
      <c r="C10" s="44" t="s">
        <v>162</v>
      </c>
      <c r="D10" s="44" t="s">
        <v>163</v>
      </c>
      <c r="E10" s="45">
        <v>250000</v>
      </c>
      <c r="F10" s="45">
        <v>100000</v>
      </c>
      <c r="G10" s="46">
        <f t="shared" si="0"/>
        <v>150000</v>
      </c>
      <c r="I10" s="67" t="s">
        <v>57</v>
      </c>
      <c r="J10" s="65">
        <v>1385000</v>
      </c>
      <c r="K10" s="65">
        <v>625000</v>
      </c>
      <c r="L10" s="65">
        <v>760000</v>
      </c>
    </row>
    <row r="11" spans="1:12">
      <c r="A11" s="39">
        <v>44563</v>
      </c>
      <c r="B11" s="40" t="s">
        <v>171</v>
      </c>
      <c r="C11" s="40" t="s">
        <v>162</v>
      </c>
      <c r="D11" s="40" t="s">
        <v>163</v>
      </c>
      <c r="E11" s="41">
        <v>140000</v>
      </c>
      <c r="F11" s="41">
        <v>80000</v>
      </c>
      <c r="G11" s="42">
        <f t="shared" si="0"/>
        <v>60000</v>
      </c>
      <c r="I11" s="67" t="s">
        <v>182</v>
      </c>
      <c r="J11" s="65">
        <v>7825000</v>
      </c>
      <c r="K11" s="65">
        <v>4125000</v>
      </c>
      <c r="L11" s="65">
        <v>3700000</v>
      </c>
    </row>
    <row r="12" spans="1:12">
      <c r="A12" s="43">
        <v>44563</v>
      </c>
      <c r="B12" s="44" t="s">
        <v>173</v>
      </c>
      <c r="C12" s="44" t="s">
        <v>166</v>
      </c>
      <c r="D12" s="44" t="s">
        <v>165</v>
      </c>
      <c r="E12" s="45">
        <v>340000</v>
      </c>
      <c r="F12" s="45">
        <v>150000</v>
      </c>
      <c r="G12" s="46">
        <f t="shared" si="0"/>
        <v>190000</v>
      </c>
    </row>
    <row r="13" spans="1:12">
      <c r="A13" s="39">
        <v>44563</v>
      </c>
      <c r="B13" s="40" t="s">
        <v>57</v>
      </c>
      <c r="C13" s="40" t="s">
        <v>164</v>
      </c>
      <c r="D13" s="40" t="s">
        <v>172</v>
      </c>
      <c r="E13" s="41">
        <v>120000</v>
      </c>
      <c r="F13" s="41">
        <v>75000</v>
      </c>
      <c r="G13" s="42">
        <f t="shared" si="0"/>
        <v>45000</v>
      </c>
    </row>
    <row r="14" spans="1:12">
      <c r="A14" s="43">
        <v>44563</v>
      </c>
      <c r="B14" s="44" t="s">
        <v>58</v>
      </c>
      <c r="C14" s="44" t="s">
        <v>164</v>
      </c>
      <c r="D14" s="44" t="s">
        <v>169</v>
      </c>
      <c r="E14" s="45">
        <v>230000</v>
      </c>
      <c r="F14" s="45">
        <v>150000</v>
      </c>
      <c r="G14" s="46">
        <f t="shared" si="0"/>
        <v>80000</v>
      </c>
    </row>
    <row r="15" spans="1:12">
      <c r="A15" s="39">
        <v>44563</v>
      </c>
      <c r="B15" s="40" t="s">
        <v>170</v>
      </c>
      <c r="C15" s="40" t="s">
        <v>166</v>
      </c>
      <c r="D15" s="40" t="s">
        <v>167</v>
      </c>
      <c r="E15" s="41">
        <v>310000</v>
      </c>
      <c r="F15" s="41">
        <v>170000</v>
      </c>
      <c r="G15" s="42">
        <f t="shared" si="0"/>
        <v>140000</v>
      </c>
    </row>
    <row r="16" spans="1:12">
      <c r="A16" s="43">
        <v>44563</v>
      </c>
      <c r="B16" s="44" t="s">
        <v>170</v>
      </c>
      <c r="C16" s="44" t="s">
        <v>166</v>
      </c>
      <c r="D16" s="44" t="s">
        <v>172</v>
      </c>
      <c r="E16" s="45">
        <v>175000</v>
      </c>
      <c r="F16" s="45">
        <v>100000</v>
      </c>
      <c r="G16" s="46">
        <f t="shared" si="0"/>
        <v>75000</v>
      </c>
    </row>
    <row r="17" spans="1:7">
      <c r="A17" s="39">
        <v>44563</v>
      </c>
      <c r="B17" s="40" t="s">
        <v>57</v>
      </c>
      <c r="C17" s="40" t="s">
        <v>162</v>
      </c>
      <c r="D17" s="40" t="s">
        <v>165</v>
      </c>
      <c r="E17" s="41">
        <v>250000</v>
      </c>
      <c r="F17" s="41">
        <v>100000</v>
      </c>
      <c r="G17" s="42">
        <f t="shared" si="0"/>
        <v>150000</v>
      </c>
    </row>
    <row r="18" spans="1:7">
      <c r="A18" s="43">
        <v>44563</v>
      </c>
      <c r="B18" s="44" t="s">
        <v>171</v>
      </c>
      <c r="C18" s="44" t="s">
        <v>164</v>
      </c>
      <c r="D18" s="44" t="s">
        <v>165</v>
      </c>
      <c r="E18" s="45">
        <v>140000</v>
      </c>
      <c r="F18" s="45">
        <v>80000</v>
      </c>
      <c r="G18" s="46">
        <f t="shared" si="0"/>
        <v>60000</v>
      </c>
    </row>
    <row r="19" spans="1:7">
      <c r="A19" s="39">
        <v>44563</v>
      </c>
      <c r="B19" s="40" t="s">
        <v>173</v>
      </c>
      <c r="C19" s="40" t="s">
        <v>164</v>
      </c>
      <c r="D19" s="40" t="s">
        <v>167</v>
      </c>
      <c r="E19" s="41">
        <v>340000</v>
      </c>
      <c r="F19" s="41">
        <v>150000</v>
      </c>
      <c r="G19" s="42">
        <f t="shared" si="0"/>
        <v>190000</v>
      </c>
    </row>
    <row r="20" spans="1:7">
      <c r="A20" s="43">
        <v>44563</v>
      </c>
      <c r="B20" s="44" t="s">
        <v>58</v>
      </c>
      <c r="C20" s="44" t="s">
        <v>162</v>
      </c>
      <c r="D20" s="44" t="s">
        <v>165</v>
      </c>
      <c r="E20" s="45">
        <v>120000</v>
      </c>
      <c r="F20" s="45">
        <v>75000</v>
      </c>
      <c r="G20" s="46">
        <f t="shared" si="0"/>
        <v>45000</v>
      </c>
    </row>
    <row r="21" spans="1:7" ht="15.75" customHeight="1">
      <c r="A21" s="39">
        <v>44564</v>
      </c>
      <c r="B21" s="40" t="s">
        <v>58</v>
      </c>
      <c r="C21" s="40" t="s">
        <v>166</v>
      </c>
      <c r="D21" s="40" t="s">
        <v>174</v>
      </c>
      <c r="E21" s="41">
        <v>230000</v>
      </c>
      <c r="F21" s="41">
        <v>150000</v>
      </c>
      <c r="G21" s="42">
        <f t="shared" si="0"/>
        <v>80000</v>
      </c>
    </row>
    <row r="22" spans="1:7" ht="15.75" customHeight="1">
      <c r="A22" s="43">
        <v>44564</v>
      </c>
      <c r="B22" s="44" t="s">
        <v>171</v>
      </c>
      <c r="C22" s="44" t="s">
        <v>166</v>
      </c>
      <c r="D22" s="44" t="s">
        <v>174</v>
      </c>
      <c r="E22" s="45">
        <v>310000</v>
      </c>
      <c r="F22" s="45">
        <v>170000</v>
      </c>
      <c r="G22" s="46">
        <f t="shared" si="0"/>
        <v>140000</v>
      </c>
    </row>
    <row r="23" spans="1:7" ht="15.75" customHeight="1">
      <c r="A23" s="39">
        <v>44564</v>
      </c>
      <c r="B23" s="40" t="s">
        <v>57</v>
      </c>
      <c r="C23" s="40" t="s">
        <v>162</v>
      </c>
      <c r="D23" s="40" t="s">
        <v>163</v>
      </c>
      <c r="E23" s="41">
        <v>175000</v>
      </c>
      <c r="F23" s="41">
        <v>100000</v>
      </c>
      <c r="G23" s="42">
        <f t="shared" si="0"/>
        <v>75000</v>
      </c>
    </row>
    <row r="24" spans="1:7" ht="15.75" customHeight="1">
      <c r="A24" s="43">
        <v>44564</v>
      </c>
      <c r="B24" s="44" t="s">
        <v>57</v>
      </c>
      <c r="C24" s="44" t="s">
        <v>164</v>
      </c>
      <c r="D24" s="44" t="s">
        <v>174</v>
      </c>
      <c r="E24" s="45">
        <v>250000</v>
      </c>
      <c r="F24" s="45">
        <v>100000</v>
      </c>
      <c r="G24" s="46">
        <f t="shared" si="0"/>
        <v>150000</v>
      </c>
    </row>
    <row r="25" spans="1:7" ht="15.75" customHeight="1">
      <c r="A25" s="39">
        <v>44564</v>
      </c>
      <c r="B25" s="40" t="s">
        <v>171</v>
      </c>
      <c r="C25" s="40" t="s">
        <v>166</v>
      </c>
      <c r="D25" s="40" t="s">
        <v>169</v>
      </c>
      <c r="E25" s="41">
        <v>140000</v>
      </c>
      <c r="F25" s="41">
        <v>80000</v>
      </c>
      <c r="G25" s="42">
        <f t="shared" si="0"/>
        <v>60000</v>
      </c>
    </row>
    <row r="26" spans="1:7" ht="15.75" customHeight="1">
      <c r="A26" s="43">
        <v>44564</v>
      </c>
      <c r="B26" s="44" t="s">
        <v>171</v>
      </c>
      <c r="C26" s="44" t="s">
        <v>162</v>
      </c>
      <c r="D26" s="44" t="s">
        <v>172</v>
      </c>
      <c r="E26" s="45">
        <v>340000</v>
      </c>
      <c r="F26" s="45">
        <v>150000</v>
      </c>
      <c r="G26" s="46">
        <f t="shared" si="0"/>
        <v>190000</v>
      </c>
    </row>
    <row r="27" spans="1:7" ht="15.75" customHeight="1">
      <c r="A27" s="39">
        <v>44564</v>
      </c>
      <c r="B27" s="40" t="s">
        <v>170</v>
      </c>
      <c r="C27" s="40" t="s">
        <v>162</v>
      </c>
      <c r="D27" s="40" t="s">
        <v>165</v>
      </c>
      <c r="E27" s="41">
        <v>120000</v>
      </c>
      <c r="F27" s="41">
        <v>75000</v>
      </c>
      <c r="G27" s="42">
        <f t="shared" si="0"/>
        <v>45000</v>
      </c>
    </row>
    <row r="28" spans="1:7" ht="15.75" customHeight="1">
      <c r="A28" s="43">
        <v>44564</v>
      </c>
      <c r="B28" s="44" t="s">
        <v>56</v>
      </c>
      <c r="C28" s="44" t="s">
        <v>166</v>
      </c>
      <c r="D28" s="44" t="s">
        <v>174</v>
      </c>
      <c r="E28" s="45">
        <v>230000</v>
      </c>
      <c r="F28" s="45">
        <v>150000</v>
      </c>
      <c r="G28" s="46">
        <f t="shared" si="0"/>
        <v>80000</v>
      </c>
    </row>
    <row r="29" spans="1:7" ht="15.75" customHeight="1">
      <c r="A29" s="39">
        <v>44565</v>
      </c>
      <c r="B29" s="40" t="s">
        <v>56</v>
      </c>
      <c r="C29" s="40" t="s">
        <v>164</v>
      </c>
      <c r="D29" s="40" t="s">
        <v>175</v>
      </c>
      <c r="E29" s="41">
        <v>310000</v>
      </c>
      <c r="F29" s="41">
        <v>170000</v>
      </c>
      <c r="G29" s="42">
        <f t="shared" si="0"/>
        <v>140000</v>
      </c>
    </row>
    <row r="30" spans="1:7" ht="15.75" customHeight="1">
      <c r="A30" s="43">
        <v>44565</v>
      </c>
      <c r="B30" s="44" t="s">
        <v>58</v>
      </c>
      <c r="C30" s="44" t="s">
        <v>164</v>
      </c>
      <c r="D30" s="44" t="s">
        <v>175</v>
      </c>
      <c r="E30" s="45">
        <v>175000</v>
      </c>
      <c r="F30" s="45">
        <v>100000</v>
      </c>
      <c r="G30" s="46">
        <f t="shared" si="0"/>
        <v>75000</v>
      </c>
    </row>
    <row r="31" spans="1:7" ht="15.75" customHeight="1">
      <c r="A31" s="39">
        <v>44565</v>
      </c>
      <c r="B31" s="40" t="s">
        <v>56</v>
      </c>
      <c r="C31" s="40" t="s">
        <v>162</v>
      </c>
      <c r="D31" s="40" t="s">
        <v>169</v>
      </c>
      <c r="E31" s="41">
        <v>250000</v>
      </c>
      <c r="F31" s="41">
        <v>100000</v>
      </c>
      <c r="G31" s="42">
        <f t="shared" si="0"/>
        <v>150000</v>
      </c>
    </row>
    <row r="32" spans="1:7" ht="15.75" customHeight="1">
      <c r="A32" s="43">
        <v>44565</v>
      </c>
      <c r="B32" s="44" t="s">
        <v>170</v>
      </c>
      <c r="C32" s="44" t="s">
        <v>166</v>
      </c>
      <c r="D32" s="44" t="s">
        <v>163</v>
      </c>
      <c r="E32" s="45">
        <v>140000</v>
      </c>
      <c r="F32" s="45">
        <v>80000</v>
      </c>
      <c r="G32" s="46">
        <f t="shared" si="0"/>
        <v>60000</v>
      </c>
    </row>
    <row r="33" spans="1:7" ht="15.75" customHeight="1">
      <c r="A33" s="39">
        <v>44565</v>
      </c>
      <c r="B33" s="40" t="s">
        <v>57</v>
      </c>
      <c r="C33" s="40" t="s">
        <v>166</v>
      </c>
      <c r="D33" s="40" t="s">
        <v>163</v>
      </c>
      <c r="E33" s="41">
        <v>340000</v>
      </c>
      <c r="F33" s="41">
        <v>150000</v>
      </c>
      <c r="G33" s="42">
        <f t="shared" si="0"/>
        <v>190000</v>
      </c>
    </row>
    <row r="34" spans="1:7" ht="15.75" customHeight="1">
      <c r="A34" s="43">
        <v>44565</v>
      </c>
      <c r="B34" s="44" t="s">
        <v>58</v>
      </c>
      <c r="C34" s="44" t="s">
        <v>162</v>
      </c>
      <c r="D34" s="44" t="s">
        <v>174</v>
      </c>
      <c r="E34" s="45">
        <v>120000</v>
      </c>
      <c r="F34" s="45">
        <v>75000</v>
      </c>
      <c r="G34" s="46">
        <f t="shared" si="0"/>
        <v>45000</v>
      </c>
    </row>
    <row r="35" spans="1:7" ht="15.75" customHeight="1">
      <c r="A35" s="39">
        <v>44565</v>
      </c>
      <c r="B35" s="40" t="s">
        <v>173</v>
      </c>
      <c r="C35" s="40" t="s">
        <v>164</v>
      </c>
      <c r="D35" s="40" t="s">
        <v>165</v>
      </c>
      <c r="E35" s="41">
        <v>230000</v>
      </c>
      <c r="F35" s="41">
        <v>150000</v>
      </c>
      <c r="G35" s="42">
        <f t="shared" si="0"/>
        <v>80000</v>
      </c>
    </row>
    <row r="36" spans="1:7" ht="15.75" customHeight="1">
      <c r="A36" s="43">
        <v>44565</v>
      </c>
      <c r="B36" s="44" t="s">
        <v>173</v>
      </c>
      <c r="C36" s="44" t="s">
        <v>164</v>
      </c>
      <c r="D36" s="44" t="s">
        <v>165</v>
      </c>
      <c r="E36" s="45">
        <v>310000</v>
      </c>
      <c r="F36" s="45">
        <v>170000</v>
      </c>
      <c r="G36" s="46">
        <f t="shared" si="0"/>
        <v>140000</v>
      </c>
    </row>
    <row r="37" spans="1:7" ht="15.75" customHeight="1">
      <c r="A37" s="47">
        <v>44565</v>
      </c>
      <c r="B37" s="48" t="s">
        <v>171</v>
      </c>
      <c r="C37" s="48" t="s">
        <v>162</v>
      </c>
      <c r="D37" s="48" t="s">
        <v>172</v>
      </c>
      <c r="E37" s="49">
        <v>175000</v>
      </c>
      <c r="F37" s="49">
        <v>100000</v>
      </c>
      <c r="G37" s="50">
        <f t="shared" si="0"/>
        <v>75000</v>
      </c>
    </row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Rumus Dasar</vt:lpstr>
      <vt:lpstr>Left Mid Right</vt:lpstr>
      <vt:lpstr>IF</vt:lpstr>
      <vt:lpstr>Vlookup Hlookup</vt:lpstr>
      <vt:lpstr>CountIF SumIF</vt:lpstr>
      <vt:lpstr>Upper Proper Lower</vt:lpstr>
      <vt:lpstr>Pivot Tabel</vt:lpstr>
      <vt:lpstr>DaftarBarang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naufalizzudin36@gmail.com</cp:lastModifiedBy>
  <dcterms:created xsi:type="dcterms:W3CDTF">2022-11-11T16:41:35Z</dcterms:created>
  <dcterms:modified xsi:type="dcterms:W3CDTF">2026-03-02T21:39:16Z</dcterms:modified>
</cp:coreProperties>
</file>