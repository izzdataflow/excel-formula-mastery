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E997D4F7-83EE-4CAF-B8B2-756E19E23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oran Gaji Karyaw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f3TINZRoocecsJEefa9kFJFwPNykXTiLjJQqGEo66kM="/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5" i="2"/>
  <c r="K6" i="2"/>
  <c r="K7" i="2"/>
  <c r="K8" i="2"/>
  <c r="K9" i="2"/>
  <c r="K10" i="2"/>
  <c r="K11" i="2"/>
  <c r="K12" i="2"/>
  <c r="K13" i="2"/>
  <c r="K14" i="2"/>
  <c r="K5" i="2"/>
  <c r="J6" i="2"/>
  <c r="J7" i="2"/>
  <c r="J8" i="2"/>
  <c r="J9" i="2"/>
  <c r="J10" i="2"/>
  <c r="J11" i="2"/>
  <c r="J12" i="2"/>
  <c r="J13" i="2"/>
  <c r="J14" i="2"/>
  <c r="J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5" i="2" a="1"/>
  <c r="I5" i="2"/>
  <c r="H6" i="2"/>
  <c r="H7" i="2"/>
  <c r="H8" i="2"/>
  <c r="H9" i="2"/>
  <c r="H10" i="2"/>
  <c r="H11" i="2"/>
  <c r="H12" i="2"/>
  <c r="H13" i="2"/>
  <c r="H14" i="2"/>
  <c r="H5" i="2"/>
  <c r="H15" i="2"/>
  <c r="I15" i="2"/>
  <c r="J15" i="2"/>
  <c r="L15" i="2"/>
  <c r="G15" i="2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<sst xmlns="http://schemas.openxmlformats.org/spreadsheetml/2006/main" count="98" uniqueCount="61">
  <si>
    <t>NO.</t>
  </si>
  <si>
    <t>TOTAL</t>
  </si>
  <si>
    <t>KETERANGAN RUMUS :</t>
  </si>
  <si>
    <t>LAPORAN GAJI KARYAWAN</t>
  </si>
  <si>
    <t>NAMA KARYAWAN</t>
  </si>
  <si>
    <t>GOL</t>
  </si>
  <si>
    <t>STATUS</t>
  </si>
  <si>
    <t>JUMLAH ANAK</t>
  </si>
  <si>
    <t>JABATAN</t>
  </si>
  <si>
    <t>GAJI POKOK</t>
  </si>
  <si>
    <t>TUNJANGAN ISTRI</t>
  </si>
  <si>
    <t>TUNJANGAN ANAK</t>
  </si>
  <si>
    <t>TUNJANGAN JABATAN</t>
  </si>
  <si>
    <t>TUNJANGAN TRANSPORT</t>
  </si>
  <si>
    <t>TOTAL GAJI</t>
  </si>
  <si>
    <t>AMINI</t>
  </si>
  <si>
    <t>I</t>
  </si>
  <si>
    <t>NIKAH</t>
  </si>
  <si>
    <t>AKBAR</t>
  </si>
  <si>
    <t>IV</t>
  </si>
  <si>
    <t>ABDURRAHMAN</t>
  </si>
  <si>
    <t>III</t>
  </si>
  <si>
    <t>MEGAWATI</t>
  </si>
  <si>
    <t>II</t>
  </si>
  <si>
    <t>BELUM</t>
  </si>
  <si>
    <t>BAMBANG</t>
  </si>
  <si>
    <t>BAHARUDIN</t>
  </si>
  <si>
    <t>MATORI</t>
  </si>
  <si>
    <t>MAHFUD</t>
  </si>
  <si>
    <t>YUSRIL</t>
  </si>
  <si>
    <t>HAMZAH HAZ</t>
  </si>
  <si>
    <t>TABEL GOLONGAN</t>
  </si>
  <si>
    <t>TABEL TUNJANGAN JABATAN</t>
  </si>
  <si>
    <t>GOLONGAN</t>
  </si>
  <si>
    <t>TUNJ. ISTRI</t>
  </si>
  <si>
    <t>TUNJ. ANAK</t>
  </si>
  <si>
    <t>DIREKSI</t>
  </si>
  <si>
    <t>KABAG</t>
  </si>
  <si>
    <t>KASUBAG</t>
  </si>
  <si>
    <t>STAF</t>
  </si>
  <si>
    <t>Staf</t>
  </si>
  <si>
    <t>BESAR TUNJ</t>
  </si>
  <si>
    <t>Kasubag</t>
  </si>
  <si>
    <t>Kabag</t>
  </si>
  <si>
    <t>TABEL TUNJANGAN TRANSPORT</t>
  </si>
  <si>
    <t>Direksi</t>
  </si>
  <si>
    <t>TRANSPORT</t>
  </si>
  <si>
    <t>MOBIL</t>
  </si>
  <si>
    <t>MOTOR</t>
  </si>
  <si>
    <t>BUS PABRIK</t>
  </si>
  <si>
    <t>MIKROLET</t>
  </si>
  <si>
    <t>Jabatan = Diambil dari Tabel Golongan berdasarkan Golongan</t>
  </si>
  <si>
    <t>Gaji Pokok = Diambil dari Tabel Golongan berdasarkan Golongan</t>
  </si>
  <si>
    <t>Tunjangan Istri = Diambil dari Tabel Golongan berdasarkan Golongan dan hanya diberikan kepada karyawan yang statusnya Nikah</t>
  </si>
  <si>
    <t>Tunjangan Anak = Diambil dari Tabel Golongan berdasarkan Golongan dan hanya diberikan kepada karyawan yang statusnya Nikah</t>
  </si>
  <si>
    <t>dengan ketentuan :</t>
  </si>
  <si>
    <t>- Jika anak &lt;= 3, maka Tunjangan Anak = Tunjangan Anak * Jumlah Anak</t>
  </si>
  <si>
    <t>- Jika anak &gt; 3, maka Tunjangan Anak = Tunjangan Anak * 4</t>
  </si>
  <si>
    <t>Tunjangan Jabatan = Diambil dari Tabel Tunjangan Jabatan berdasarkan Jabatan</t>
  </si>
  <si>
    <t>Tunjangan Transport = Diambil dari Tabel Tunjangan Transport berdasarkan Jabatan</t>
  </si>
  <si>
    <t>Total Gaji = Gaji Pokok + Tunjangan Istri + Tunjangan Anak + Tunjangan 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</si>
</sst>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_(* #,##0_);_(* \(#,##0\);_(* &quot;-&quot;??_);_(@_)"/>
  </numFmts>
  <fonts count="7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1" xfId="0" applyNumberFormat="1" applyFont="1" applyBorder="1"/>
    <xf numFmtId="0" fontId="3" fillId="0" borderId="2" xfId="0" applyFont="1" applyBorder="1"/>
    <xf numFmtId="16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3" fillId="5" borderId="1" xfId="0" applyFont="1" applyFill="1" applyBorder="1"/>
    <xf numFmtId="164" fontId="3" fillId="5" borderId="1" xfId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1000"/>
  <sheetViews>
    <sheetView showGridLines="0" tabSelected="1" workbookViewId="0">
      <selection activeCell="N18" sqref="N18"/>
    </sheetView>
  </sheetViews>
  <sheetFormatPr defaultColWidth="14.42578125" defaultRowHeight="15" customHeight="1"/>
  <cols>
    <col min="1" max="1" width="4.42578125" customWidth="1"/>
    <col min="2" max="2" width="15.5703125" customWidth="1"/>
    <col min="3" max="3" width="9.140625" customWidth="1"/>
    <col min="4" max="6" width="11.85546875" customWidth="1"/>
    <col min="7" max="11" width="14" customWidth="1"/>
    <col min="12" max="12" width="17.42578125" customWidth="1"/>
    <col min="13" max="13" width="14" customWidth="1"/>
    <col min="14" max="14" width="21.85546875" bestFit="1" customWidth="1"/>
    <col min="15" max="15" width="118.5703125" bestFit="1" customWidth="1"/>
    <col min="16" max="26" width="8.7109375" customWidth="1"/>
  </cols>
  <sheetData>
    <row r="1" spans="1:26" ht="21">
      <c r="A1" s="18" t="s">
        <v>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8"/>
    </row>
    <row r="2" spans="1:26" ht="2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8"/>
    </row>
    <row r="4" spans="1:26" ht="43.5" customHeight="1">
      <c r="A4" s="9" t="s">
        <v>0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0"/>
      <c r="N4" s="6" t="s">
        <v>2</v>
      </c>
      <c r="X4" s="10"/>
      <c r="Y4" s="10"/>
      <c r="Z4" s="10"/>
    </row>
    <row r="5" spans="1:26">
      <c r="A5" s="1">
        <v>1</v>
      </c>
      <c r="B5" s="2" t="s">
        <v>15</v>
      </c>
      <c r="C5" s="1" t="s">
        <v>16</v>
      </c>
      <c r="D5" s="2" t="s">
        <v>17</v>
      </c>
      <c r="E5" s="1">
        <v>2</v>
      </c>
      <c r="F5" s="16" t="str">
        <f>_xlfn.XLOOKUP(C5,$B$19:$B$22,$C$19:$C$22)</f>
        <v>Staf</v>
      </c>
      <c r="G5" s="17">
        <f>_xlfn.XLOOKUP(C5,$B$19:$B$22,$D$19:$D$22)</f>
        <v>1500000</v>
      </c>
      <c r="H5" s="17">
        <f>IF(D5="NIKAH",_xlfn.XLOOKUP(C5,$B$19:$B$22,$E$19:$E$22),0)</f>
        <v>250000</v>
      </c>
      <c r="I5" s="17" cm="1">
        <f t="array" ref="I5">_xlfn.SWITCH(TRUE,E5&lt;=3,(_xlfn.XLOOKUP(C5,$B$19:$B$22,$F$19:$F$22)*E5),E5&gt;3,_xlfn.XLOOKUP(C5,$B$19:$B$22,$F$19:$F$22)*4)</f>
        <v>300000</v>
      </c>
      <c r="J5" s="17">
        <f>HLOOKUP(F5,$I$18:$L$19,2)</f>
        <v>250000</v>
      </c>
      <c r="K5" s="17" t="str">
        <f>HLOOKUP(F5,$I$22:$L$23,2)</f>
        <v>MIKROLET</v>
      </c>
      <c r="L5" s="17">
        <f>SUM(G5:J5)</f>
        <v>2300000</v>
      </c>
      <c r="N5" s="14">
        <v>1</v>
      </c>
      <c r="O5" s="7" t="s">
        <v>51</v>
      </c>
    </row>
    <row r="6" spans="1:26">
      <c r="A6" s="1"/>
      <c r="B6" s="2" t="s">
        <v>18</v>
      </c>
      <c r="C6" s="1" t="s">
        <v>19</v>
      </c>
      <c r="D6" s="2" t="s">
        <v>17</v>
      </c>
      <c r="E6" s="1">
        <v>4</v>
      </c>
      <c r="F6" s="16" t="str">
        <f t="shared" ref="F6:F14" si="0">_xlfn.XLOOKUP(C6,$B$19:$B$22,$C$19:$C$22)</f>
        <v>Direksi</v>
      </c>
      <c r="G6" s="17">
        <f t="shared" ref="G6:G14" si="1">_xlfn.XLOOKUP(C6,$B$19:$B$22,$D$19:$D$22)</f>
        <v>3000000</v>
      </c>
      <c r="H6" s="17">
        <f t="shared" ref="H6:H14" si="2">IF(D6="NIKAH",_xlfn.XLOOKUP(C6,$B$19:$B$22,$E$19:$E$22),0)</f>
        <v>1000000</v>
      </c>
      <c r="I6" s="17" cm="1">
        <f t="array" ref="I6">_xlfn.SWITCH(TRUE,E6&lt;=3,(_xlfn.XLOOKUP(C6,$B$19:$B$22,$F$19:$F$22)*E6),E6&gt;3,_xlfn.XLOOKUP(C6,$B$19:$B$22,$F$19:$F$22)*4)</f>
        <v>1200000</v>
      </c>
      <c r="J6" s="17">
        <f t="shared" ref="J6:J14" si="3">HLOOKUP(F6,$I$18:$L$19,2)</f>
        <v>1000000</v>
      </c>
      <c r="K6" s="17" t="str">
        <f t="shared" ref="K6:K14" si="4">HLOOKUP(F6,$I$22:$L$23,2)</f>
        <v>MOBIL</v>
      </c>
      <c r="L6" s="17">
        <f t="shared" ref="L6:L14" si="5">SUM(G6:J6)</f>
        <v>6200000</v>
      </c>
      <c r="N6" s="14">
        <v>2</v>
      </c>
      <c r="O6" s="7" t="s">
        <v>52</v>
      </c>
    </row>
    <row r="7" spans="1:26">
      <c r="A7" s="1"/>
      <c r="B7" s="2" t="s">
        <v>20</v>
      </c>
      <c r="C7" s="1" t="s">
        <v>21</v>
      </c>
      <c r="D7" s="2" t="s">
        <v>17</v>
      </c>
      <c r="E7" s="1">
        <v>0</v>
      </c>
      <c r="F7" s="16" t="str">
        <f t="shared" si="0"/>
        <v>Kabag</v>
      </c>
      <c r="G7" s="17">
        <f t="shared" si="1"/>
        <v>2500000</v>
      </c>
      <c r="H7" s="17">
        <f t="shared" si="2"/>
        <v>750000</v>
      </c>
      <c r="I7" s="17" cm="1">
        <f t="array" ref="I7">_xlfn.SWITCH(TRUE,E7&lt;=3,(_xlfn.XLOOKUP(C7,$B$19:$B$22,$F$19:$F$22)*E7),E7&gt;3,_xlfn.XLOOKUP(C7,$B$19:$B$22,$F$19:$F$22)*4)</f>
        <v>0</v>
      </c>
      <c r="J7" s="17">
        <f t="shared" si="3"/>
        <v>750000</v>
      </c>
      <c r="K7" s="17" t="str">
        <f t="shared" si="4"/>
        <v>MOTOR</v>
      </c>
      <c r="L7" s="17">
        <f t="shared" si="5"/>
        <v>4000000</v>
      </c>
      <c r="N7" s="14">
        <v>3</v>
      </c>
      <c r="O7" s="7" t="s">
        <v>53</v>
      </c>
    </row>
    <row r="8" spans="1:26">
      <c r="A8" s="1"/>
      <c r="B8" s="2" t="s">
        <v>22</v>
      </c>
      <c r="C8" s="1" t="s">
        <v>23</v>
      </c>
      <c r="D8" s="2" t="s">
        <v>24</v>
      </c>
      <c r="E8" s="1">
        <v>0</v>
      </c>
      <c r="F8" s="16" t="str">
        <f t="shared" si="0"/>
        <v>Kasubag</v>
      </c>
      <c r="G8" s="17">
        <f t="shared" si="1"/>
        <v>2000000</v>
      </c>
      <c r="H8" s="17">
        <f t="shared" si="2"/>
        <v>0</v>
      </c>
      <c r="I8" s="17" cm="1">
        <f t="array" ref="I8">_xlfn.SWITCH(TRUE,E8&lt;=3,(_xlfn.XLOOKUP(C8,$B$19:$B$22,$F$19:$F$22)*E8),E8&gt;3,_xlfn.XLOOKUP(C8,$B$19:$B$22,$F$19:$F$22)*4)</f>
        <v>0</v>
      </c>
      <c r="J8" s="17">
        <f t="shared" si="3"/>
        <v>500000</v>
      </c>
      <c r="K8" s="17" t="str">
        <f t="shared" si="4"/>
        <v>BUS PABRIK</v>
      </c>
      <c r="L8" s="17">
        <f t="shared" si="5"/>
        <v>2500000</v>
      </c>
      <c r="N8" s="14">
        <v>4</v>
      </c>
      <c r="O8" s="7" t="s">
        <v>54</v>
      </c>
    </row>
    <row r="9" spans="1:26">
      <c r="A9" s="1"/>
      <c r="B9" s="2" t="s">
        <v>25</v>
      </c>
      <c r="C9" s="1" t="s">
        <v>21</v>
      </c>
      <c r="D9" s="2" t="s">
        <v>17</v>
      </c>
      <c r="E9" s="1">
        <v>0</v>
      </c>
      <c r="F9" s="16" t="str">
        <f t="shared" si="0"/>
        <v>Kabag</v>
      </c>
      <c r="G9" s="17">
        <f t="shared" si="1"/>
        <v>2500000</v>
      </c>
      <c r="H9" s="17">
        <f t="shared" si="2"/>
        <v>750000</v>
      </c>
      <c r="I9" s="17" cm="1">
        <f t="array" ref="I9">_xlfn.SWITCH(TRUE,E9&lt;=3,(_xlfn.XLOOKUP(C9,$B$19:$B$22,$F$19:$F$22)*E9),E9&gt;3,_xlfn.XLOOKUP(C9,$B$19:$B$22,$F$19:$F$22)*4)</f>
        <v>0</v>
      </c>
      <c r="J9" s="17">
        <f t="shared" si="3"/>
        <v>750000</v>
      </c>
      <c r="K9" s="17" t="str">
        <f t="shared" si="4"/>
        <v>MOTOR</v>
      </c>
      <c r="L9" s="17">
        <f t="shared" si="5"/>
        <v>4000000</v>
      </c>
      <c r="N9" s="14"/>
      <c r="O9" s="7" t="s">
        <v>55</v>
      </c>
    </row>
    <row r="10" spans="1:26">
      <c r="A10" s="1"/>
      <c r="B10" s="2" t="s">
        <v>26</v>
      </c>
      <c r="C10" s="1" t="s">
        <v>16</v>
      </c>
      <c r="D10" s="2" t="s">
        <v>24</v>
      </c>
      <c r="E10" s="1">
        <v>0</v>
      </c>
      <c r="F10" s="16" t="str">
        <f t="shared" si="0"/>
        <v>Staf</v>
      </c>
      <c r="G10" s="17">
        <f t="shared" si="1"/>
        <v>1500000</v>
      </c>
      <c r="H10" s="17">
        <f t="shared" si="2"/>
        <v>0</v>
      </c>
      <c r="I10" s="17" cm="1">
        <f t="array" ref="I10">_xlfn.SWITCH(TRUE,E10&lt;=3,(_xlfn.XLOOKUP(C10,$B$19:$B$22,$F$19:$F$22)*E10),E10&gt;3,_xlfn.XLOOKUP(C10,$B$19:$B$22,$F$19:$F$22)*4)</f>
        <v>0</v>
      </c>
      <c r="J10" s="17">
        <f t="shared" si="3"/>
        <v>250000</v>
      </c>
      <c r="K10" s="17" t="str">
        <f t="shared" si="4"/>
        <v>MIKROLET</v>
      </c>
      <c r="L10" s="17">
        <f t="shared" si="5"/>
        <v>1750000</v>
      </c>
      <c r="N10" s="14"/>
      <c r="O10" s="15" t="s">
        <v>56</v>
      </c>
    </row>
    <row r="11" spans="1:26">
      <c r="A11" s="1"/>
      <c r="B11" s="2" t="s">
        <v>27</v>
      </c>
      <c r="C11" s="1" t="s">
        <v>23</v>
      </c>
      <c r="D11" s="2" t="s">
        <v>24</v>
      </c>
      <c r="E11" s="1">
        <v>0</v>
      </c>
      <c r="F11" s="16" t="str">
        <f t="shared" si="0"/>
        <v>Kasubag</v>
      </c>
      <c r="G11" s="17">
        <f t="shared" si="1"/>
        <v>2000000</v>
      </c>
      <c r="H11" s="17">
        <f t="shared" si="2"/>
        <v>0</v>
      </c>
      <c r="I11" s="17" cm="1">
        <f t="array" ref="I11">_xlfn.SWITCH(TRUE,E11&lt;=3,(_xlfn.XLOOKUP(C11,$B$19:$B$22,$F$19:$F$22)*E11),E11&gt;3,_xlfn.XLOOKUP(C11,$B$19:$B$22,$F$19:$F$22)*4)</f>
        <v>0</v>
      </c>
      <c r="J11" s="17">
        <f t="shared" si="3"/>
        <v>500000</v>
      </c>
      <c r="K11" s="17" t="str">
        <f t="shared" si="4"/>
        <v>BUS PABRIK</v>
      </c>
      <c r="L11" s="17">
        <f t="shared" si="5"/>
        <v>2500000</v>
      </c>
      <c r="N11" s="14"/>
      <c r="O11" s="15" t="s">
        <v>57</v>
      </c>
    </row>
    <row r="12" spans="1:26">
      <c r="A12" s="1"/>
      <c r="B12" s="2" t="s">
        <v>28</v>
      </c>
      <c r="C12" s="1" t="s">
        <v>19</v>
      </c>
      <c r="D12" s="2" t="s">
        <v>17</v>
      </c>
      <c r="E12" s="1">
        <v>6</v>
      </c>
      <c r="F12" s="16" t="str">
        <f t="shared" si="0"/>
        <v>Direksi</v>
      </c>
      <c r="G12" s="17">
        <f t="shared" si="1"/>
        <v>3000000</v>
      </c>
      <c r="H12" s="17">
        <f t="shared" si="2"/>
        <v>1000000</v>
      </c>
      <c r="I12" s="17" cm="1">
        <f t="array" ref="I12">_xlfn.SWITCH(TRUE,E12&lt;=3,(_xlfn.XLOOKUP(C12,$B$19:$B$22,$F$19:$F$22)*E12),E12&gt;3,_xlfn.XLOOKUP(C12,$B$19:$B$22,$F$19:$F$22)*4)</f>
        <v>1200000</v>
      </c>
      <c r="J12" s="17">
        <f t="shared" si="3"/>
        <v>1000000</v>
      </c>
      <c r="K12" s="17" t="str">
        <f t="shared" si="4"/>
        <v>MOBIL</v>
      </c>
      <c r="L12" s="17">
        <f t="shared" si="5"/>
        <v>6200000</v>
      </c>
      <c r="N12" s="14">
        <v>5</v>
      </c>
      <c r="O12" s="7" t="s">
        <v>58</v>
      </c>
    </row>
    <row r="13" spans="1:26">
      <c r="A13" s="1"/>
      <c r="B13" s="2" t="s">
        <v>29</v>
      </c>
      <c r="C13" s="1" t="s">
        <v>21</v>
      </c>
      <c r="D13" s="2" t="s">
        <v>17</v>
      </c>
      <c r="E13" s="1">
        <v>1</v>
      </c>
      <c r="F13" s="16" t="str">
        <f t="shared" si="0"/>
        <v>Kabag</v>
      </c>
      <c r="G13" s="17">
        <f t="shared" si="1"/>
        <v>2500000</v>
      </c>
      <c r="H13" s="17">
        <f t="shared" si="2"/>
        <v>750000</v>
      </c>
      <c r="I13" s="17" cm="1">
        <f t="array" ref="I13">_xlfn.SWITCH(TRUE,E13&lt;=3,(_xlfn.XLOOKUP(C13,$B$19:$B$22,$F$19:$F$22)*E13),E13&gt;3,_xlfn.XLOOKUP(C13,$B$19:$B$22,$F$19:$F$22)*4)</f>
        <v>250000</v>
      </c>
      <c r="J13" s="17">
        <f t="shared" si="3"/>
        <v>750000</v>
      </c>
      <c r="K13" s="17" t="str">
        <f t="shared" si="4"/>
        <v>MOTOR</v>
      </c>
      <c r="L13" s="17">
        <f t="shared" si="5"/>
        <v>4250000</v>
      </c>
      <c r="N13" s="14">
        <v>6</v>
      </c>
      <c r="O13" s="7" t="s">
        <v>59</v>
      </c>
    </row>
    <row r="14" spans="1:26">
      <c r="A14" s="3"/>
      <c r="B14" s="12" t="s">
        <v>30</v>
      </c>
      <c r="C14" s="3" t="s">
        <v>23</v>
      </c>
      <c r="D14" s="12" t="s">
        <v>17</v>
      </c>
      <c r="E14" s="3">
        <v>1</v>
      </c>
      <c r="F14" s="16" t="str">
        <f t="shared" si="0"/>
        <v>Kasubag</v>
      </c>
      <c r="G14" s="17">
        <f t="shared" si="1"/>
        <v>2000000</v>
      </c>
      <c r="H14" s="17">
        <f t="shared" si="2"/>
        <v>500000</v>
      </c>
      <c r="I14" s="17" cm="1">
        <f t="array" ref="I14">_xlfn.SWITCH(TRUE,E14&lt;=3,(_xlfn.XLOOKUP(C14,$B$19:$B$22,$F$19:$F$22)*E14),E14&gt;3,_xlfn.XLOOKUP(C14,$B$19:$B$22,$F$19:$F$22)*4)</f>
        <v>200000</v>
      </c>
      <c r="J14" s="17">
        <f t="shared" si="3"/>
        <v>500000</v>
      </c>
      <c r="K14" s="17" t="str">
        <f t="shared" si="4"/>
        <v>BUS PABRIK</v>
      </c>
      <c r="L14" s="17">
        <f t="shared" si="5"/>
        <v>3200000</v>
      </c>
      <c r="N14" s="14">
        <v>7</v>
      </c>
      <c r="O14" s="7" t="s">
        <v>60</v>
      </c>
    </row>
    <row r="15" spans="1:26">
      <c r="A15" s="20" t="s">
        <v>1</v>
      </c>
      <c r="B15" s="21"/>
      <c r="C15" s="21"/>
      <c r="D15" s="21"/>
      <c r="E15" s="21"/>
      <c r="F15" s="22"/>
      <c r="G15" s="17">
        <f>SUM(G5:G14)</f>
        <v>22500000</v>
      </c>
      <c r="H15" s="17">
        <f t="shared" ref="H15:L15" si="6">SUM(H5:H14)</f>
        <v>5000000</v>
      </c>
      <c r="I15" s="17">
        <f t="shared" si="6"/>
        <v>3150000</v>
      </c>
      <c r="J15" s="17">
        <f t="shared" si="6"/>
        <v>6250000</v>
      </c>
      <c r="K15" s="17"/>
      <c r="L15" s="17">
        <f t="shared" si="6"/>
        <v>36900000</v>
      </c>
    </row>
    <row r="17" spans="1:12">
      <c r="B17" s="4" t="s">
        <v>31</v>
      </c>
      <c r="C17" s="4"/>
      <c r="H17" s="4" t="s">
        <v>32</v>
      </c>
    </row>
    <row r="18" spans="1:12">
      <c r="B18" s="5" t="s">
        <v>33</v>
      </c>
      <c r="C18" s="5" t="s">
        <v>8</v>
      </c>
      <c r="D18" s="5" t="s">
        <v>9</v>
      </c>
      <c r="E18" s="5" t="s">
        <v>34</v>
      </c>
      <c r="F18" s="5" t="s">
        <v>35</v>
      </c>
      <c r="H18" s="5" t="s">
        <v>8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>
      <c r="B19" s="1" t="s">
        <v>16</v>
      </c>
      <c r="C19" s="1" t="s">
        <v>40</v>
      </c>
      <c r="D19" s="11">
        <v>1500000</v>
      </c>
      <c r="E19" s="11">
        <v>250000</v>
      </c>
      <c r="F19" s="11">
        <v>150000</v>
      </c>
      <c r="H19" s="5" t="s">
        <v>41</v>
      </c>
      <c r="I19" s="13">
        <v>1000000</v>
      </c>
      <c r="J19" s="13">
        <v>750000</v>
      </c>
      <c r="K19" s="13">
        <v>500000</v>
      </c>
      <c r="L19" s="13">
        <v>250000</v>
      </c>
    </row>
    <row r="20" spans="1:12">
      <c r="B20" s="1" t="s">
        <v>23</v>
      </c>
      <c r="C20" s="1" t="s">
        <v>42</v>
      </c>
      <c r="D20" s="11">
        <v>2000000</v>
      </c>
      <c r="E20" s="11">
        <v>500000</v>
      </c>
      <c r="F20" s="11">
        <v>200000</v>
      </c>
    </row>
    <row r="21" spans="1:12" ht="15.75" customHeight="1">
      <c r="B21" s="1" t="s">
        <v>21</v>
      </c>
      <c r="C21" s="1" t="s">
        <v>43</v>
      </c>
      <c r="D21" s="11">
        <v>2500000</v>
      </c>
      <c r="E21" s="11">
        <v>750000</v>
      </c>
      <c r="F21" s="11">
        <v>250000</v>
      </c>
      <c r="H21" s="4" t="s">
        <v>44</v>
      </c>
    </row>
    <row r="22" spans="1:12" ht="15.75" customHeight="1">
      <c r="B22" s="1" t="s">
        <v>19</v>
      </c>
      <c r="C22" s="1" t="s">
        <v>45</v>
      </c>
      <c r="D22" s="11">
        <v>3000000</v>
      </c>
      <c r="E22" s="11">
        <v>1000000</v>
      </c>
      <c r="F22" s="11">
        <v>300000</v>
      </c>
      <c r="H22" s="5" t="s">
        <v>8</v>
      </c>
      <c r="I22" s="1" t="s">
        <v>36</v>
      </c>
      <c r="J22" s="1" t="s">
        <v>37</v>
      </c>
      <c r="K22" s="1" t="s">
        <v>38</v>
      </c>
      <c r="L22" s="1" t="s">
        <v>39</v>
      </c>
    </row>
    <row r="23" spans="1:12" ht="15.75" customHeight="1">
      <c r="H23" s="5" t="s">
        <v>46</v>
      </c>
      <c r="I23" s="1" t="s">
        <v>47</v>
      </c>
      <c r="J23" s="1" t="s">
        <v>48</v>
      </c>
      <c r="K23" s="1" t="s">
        <v>49</v>
      </c>
      <c r="L23" s="1" t="s">
        <v>50</v>
      </c>
    </row>
    <row r="24" spans="1:12" ht="15.75" customHeight="1"/>
    <row r="25" spans="1:12" ht="15.75" customHeight="1"/>
    <row r="26" spans="1:12" ht="15.75" customHeight="1">
      <c r="A26" s="6" t="s">
        <v>2</v>
      </c>
    </row>
    <row r="27" spans="1:12" ht="15.75" customHeight="1">
      <c r="A27" s="14">
        <v>1</v>
      </c>
      <c r="B27" s="7" t="s">
        <v>51</v>
      </c>
    </row>
    <row r="28" spans="1:12" ht="15.75" customHeight="1">
      <c r="A28" s="14">
        <v>2</v>
      </c>
      <c r="B28" s="7" t="s">
        <v>52</v>
      </c>
    </row>
    <row r="29" spans="1:12" ht="15.75" customHeight="1">
      <c r="A29" s="14">
        <v>3</v>
      </c>
      <c r="B29" s="7" t="s">
        <v>53</v>
      </c>
    </row>
    <row r="30" spans="1:12" ht="15.75" customHeight="1">
      <c r="A30" s="14">
        <v>4</v>
      </c>
      <c r="B30" s="7" t="s">
        <v>54</v>
      </c>
    </row>
    <row r="31" spans="1:12" ht="15.75" customHeight="1">
      <c r="A31" s="14"/>
      <c r="B31" s="7" t="s">
        <v>55</v>
      </c>
    </row>
    <row r="32" spans="1:12" ht="15.75" customHeight="1">
      <c r="A32" s="14"/>
      <c r="B32" s="15" t="s">
        <v>56</v>
      </c>
    </row>
    <row r="33" spans="1:2" ht="15.75" customHeight="1">
      <c r="A33" s="14"/>
      <c r="B33" s="15" t="s">
        <v>57</v>
      </c>
    </row>
    <row r="34" spans="1:2" ht="15.75" customHeight="1">
      <c r="A34" s="14">
        <v>5</v>
      </c>
      <c r="B34" s="7" t="s">
        <v>58</v>
      </c>
    </row>
    <row r="35" spans="1:2" ht="15.75" customHeight="1">
      <c r="A35" s="14">
        <v>6</v>
      </c>
      <c r="B35" s="7" t="s">
        <v>59</v>
      </c>
    </row>
    <row r="36" spans="1:2" ht="15.75" customHeight="1">
      <c r="A36" s="14">
        <v>7</v>
      </c>
      <c r="B36" s="7" t="s">
        <v>60</v>
      </c>
    </row>
    <row r="37" spans="1:2" ht="15.75" customHeight="1">
      <c r="A37" s="14"/>
    </row>
    <row r="38" spans="1:2" ht="15.75" customHeight="1">
      <c r="A38" s="14"/>
    </row>
    <row r="39" spans="1:2" ht="15.75" customHeight="1">
      <c r="A39" s="14"/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15:F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Gaji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dcterms:created xsi:type="dcterms:W3CDTF">2018-07-23T13:03:13Z</dcterms:created>
  <dcterms:modified xsi:type="dcterms:W3CDTF">2026-03-03T00:34:21Z</dcterms:modified>
</cp:coreProperties>
</file>