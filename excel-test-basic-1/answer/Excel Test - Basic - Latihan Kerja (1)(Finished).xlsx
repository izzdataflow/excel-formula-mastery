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 Test - Basic 1\Answer\"/>
    </mc:Choice>
  </mc:AlternateContent>
  <xr:revisionPtr revIDLastSave="0" documentId="13_ncr:1_{DE015106-65F6-42F9-8EC9-E8E07424A66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atihan" sheetId="1" r:id="rId1"/>
    <sheet name="Latihan 1 IF , 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oYo1PYnYcs3x7xVtwCLTG3bKD++r/5SGGmRZBH3fTug="/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13" i="2"/>
  <c r="G14" i="2"/>
  <c r="G15" i="2"/>
  <c r="G16" i="2"/>
  <c r="G17" i="2"/>
  <c r="G5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5" i="1" a="1"/>
  <c r="F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5" i="1" a="1"/>
  <c r="E5" i="1"/>
  <c r="D6" i="1"/>
  <c r="D7" i="1"/>
  <c r="D8" i="1"/>
  <c r="D9" i="1"/>
  <c r="D10" i="1"/>
  <c r="D11" i="1"/>
  <c r="D12" i="1"/>
  <c r="D13" i="1"/>
  <c r="D14" i="1"/>
  <c r="D5" i="1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<sst xmlns="http://schemas.openxmlformats.org/spreadsheetml/2006/main" count="91" uniqueCount="64">
  <si>
    <t>Daftar Karyawan PT Untung Sekali</t>
  </si>
  <si>
    <t>No.</t>
  </si>
  <si>
    <t>Nama</t>
  </si>
  <si>
    <t>Kode</t>
  </si>
  <si>
    <t>Jabatan</t>
  </si>
  <si>
    <t>Status</t>
  </si>
  <si>
    <t>Golongan</t>
  </si>
  <si>
    <t>Dina Wiayu</t>
  </si>
  <si>
    <t>A-1-M</t>
  </si>
  <si>
    <t>Indah Novia</t>
  </si>
  <si>
    <t>A-2-M</t>
  </si>
  <si>
    <t>Aisya Shaliha</t>
  </si>
  <si>
    <t>B-1-S</t>
  </si>
  <si>
    <t>Desi Novitasari</t>
  </si>
  <si>
    <t>B-3-M</t>
  </si>
  <si>
    <t>Tri Wulandari</t>
  </si>
  <si>
    <t>A-3-S</t>
  </si>
  <si>
    <t>Ayu Sari</t>
  </si>
  <si>
    <t>D-3-M</t>
  </si>
  <si>
    <t>Puput Silviana</t>
  </si>
  <si>
    <t>D-3-S</t>
  </si>
  <si>
    <t>Yulinda Devi</t>
  </si>
  <si>
    <t>B-2-S</t>
  </si>
  <si>
    <t>Sieny Putri</t>
  </si>
  <si>
    <t>C-2-M</t>
  </si>
  <si>
    <t>Dian Tri</t>
  </si>
  <si>
    <t>C-1-M</t>
  </si>
  <si>
    <t>DATA PENGGAJIAN PEGAWAI</t>
  </si>
  <si>
    <t>Tgl. Laporan :</t>
  </si>
  <si>
    <t>NO</t>
  </si>
  <si>
    <t>NAMA</t>
  </si>
  <si>
    <t>GOLONGAN</t>
  </si>
  <si>
    <t>Tgl. Masuk</t>
  </si>
  <si>
    <t>Kategori</t>
  </si>
  <si>
    <t>Gaji Pokok</t>
  </si>
  <si>
    <t>Gaji Pokok 2</t>
  </si>
  <si>
    <t>Ningning</t>
  </si>
  <si>
    <t>1.A</t>
  </si>
  <si>
    <t>Baru</t>
  </si>
  <si>
    <t>Giselle</t>
  </si>
  <si>
    <t>1.B</t>
  </si>
  <si>
    <t>Junior</t>
  </si>
  <si>
    <t>Karina</t>
  </si>
  <si>
    <t>2.B</t>
  </si>
  <si>
    <t>Winter</t>
  </si>
  <si>
    <t>3.A</t>
  </si>
  <si>
    <t>Jennie Kim</t>
  </si>
  <si>
    <t>3.B</t>
  </si>
  <si>
    <t>Senior</t>
  </si>
  <si>
    <t>Lisa</t>
  </si>
  <si>
    <t>Kim Ji-Soo</t>
  </si>
  <si>
    <t>2.A</t>
  </si>
  <si>
    <t>Rose</t>
  </si>
  <si>
    <t>Jeon Jung</t>
  </si>
  <si>
    <t>Park Ji-min</t>
  </si>
  <si>
    <t>Kim Seok-Jin</t>
  </si>
  <si>
    <t>Suga</t>
  </si>
  <si>
    <t>J-Hope</t>
  </si>
  <si>
    <t>TABEL GOLONGAN</t>
  </si>
  <si>
    <t>1. Jabatan : Diambil 1 karakter dari karakter ke-3</t>
  </si>
  <si>
    <t>➢ Jika : Kode = "1", maka "Kepala"</t>
  </si>
  <si>
    <t>➢ Kode="2", maka "Staff"</t>
  </si>
  <si>
    <t>➢ Kode="3", maka "Operator"</t>
  </si>
  <si>
    <t>if(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</si>
</sst>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&quot;Rp&quot;* #,##0_-;\-&quot;Rp&quot;* #,##0_-;_-&quot;Rp&quot;* &quot;-&quot;??_-;_-@"/>
  </numFmts>
  <fonts count="9">
    <font>
      <sz val="11"/>
      <color theme="1"/>
      <name val="Calibri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6"/>
      <color rgb="FFFF0000"/>
      <name val="Calibri"/>
    </font>
    <font>
      <b/>
      <sz val="11"/>
      <color rgb="FF1E4E79"/>
      <name val="Calibri"/>
    </font>
    <font>
      <sz val="11"/>
      <name val="Calibri"/>
    </font>
    <font>
      <b/>
      <sz val="11"/>
      <color theme="0"/>
      <name val="Calibri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1F3864"/>
        <bgColor rgb="FF1F38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4" fillId="0" borderId="0" xfId="0" applyFont="1"/>
    <xf numFmtId="0" fontId="3" fillId="3" borderId="5" xfId="0" applyFont="1" applyFill="1" applyBorder="1"/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7" fillId="5" borderId="5" xfId="0" applyFont="1" applyFill="1" applyBorder="1" applyAlignment="1">
      <alignment horizontal="center" vertical="center"/>
    </xf>
    <xf numFmtId="0" fontId="3" fillId="3" borderId="1" xfId="0" applyFont="1" applyFill="1" applyBorder="1"/>
    <xf numFmtId="14" fontId="3" fillId="3" borderId="1" xfId="0" applyNumberFormat="1" applyFont="1" applyFill="1" applyBorder="1"/>
    <xf numFmtId="165" fontId="3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164" fontId="5" fillId="4" borderId="6" xfId="0" applyNumberFormat="1" applyFont="1" applyFill="1" applyBorder="1" applyAlignment="1">
      <alignment horizontal="left"/>
    </xf>
    <xf numFmtId="0" fontId="6" fillId="0" borderId="7" xfId="0" applyFont="1" applyBorder="1"/>
    <xf numFmtId="0" fontId="8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14</xdr:row>
      <xdr:rowOff>47625</xdr:rowOff>
    </xdr:from>
    <xdr:ext cx="5495925" cy="2181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602800" y="2694150"/>
          <a:ext cx="5486400" cy="21717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6575" tIns="3200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PETUNJUK MENGERJAKAN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1. Jabatan : Diambil 1 karakter dari karakter ke-3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➢ Jika : Kode = "1", maka "Kepala"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➢ Kode="2", maka "Staff"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➢ Kode="3", maka "Operator"</a:t>
          </a: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2. Status : Diambil 1 karakter terakhir. 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➢ Jika Kode="S", maka "Single"; Kode="M", "Married"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100"/>
            <a:t>Isilah golongan dengan karakter Pertama dari KODE, jika A=I, B=II, C=III, D=IV</a:t>
          </a: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180975</xdr:rowOff>
    </xdr:from>
    <xdr:ext cx="5280660" cy="390906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505950" y="828675"/>
          <a:ext cx="5280660" cy="390906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PETUNJUK PENGERJAAN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Gaji Pokok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Gunakan Index</a:t>
          </a:r>
          <a:r>
            <a:rPr lang="en-US" sz="1100" baseline="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 Match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Disi Berdasarkan Golongan dari Tabel Golongan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Kategori Baru Maka Membaca kolom ke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Kategori Junior maka membaca kolom ke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kondisi yg lain membaca kolom ke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Tahap 2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Gunakan VLookup/Hlookup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Disi Berdasarkan Golongan dari Tabel Golongan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Kategori Baru Maka Membaca kolom ke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Kategori Junior maka membaca kolom ke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kondisi yg lain membaca kolom ke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2E75B5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00"/>
  <sheetViews>
    <sheetView workbookViewId="0">
      <selection activeCell="D7" sqref="D7"/>
    </sheetView>
  </sheetViews>
  <sheetFormatPr defaultColWidth="14.42578125" defaultRowHeight="15" customHeight="1"/>
  <cols>
    <col min="1" max="1" width="4.140625" customWidth="1"/>
    <col min="2" max="2" width="14.42578125" customWidth="1"/>
    <col min="3" max="3" width="6.42578125" customWidth="1"/>
    <col min="4" max="4" width="9" customWidth="1"/>
    <col min="5" max="5" width="8" customWidth="1"/>
    <col min="6" max="6" width="9.5703125" customWidth="1"/>
    <col min="7" max="26" width="8.7109375" customWidth="1"/>
  </cols>
  <sheetData>
    <row r="2" spans="1:13" ht="15.75">
      <c r="A2" s="13" t="s">
        <v>0</v>
      </c>
      <c r="B2" s="14"/>
      <c r="C2" s="14"/>
      <c r="D2" s="14"/>
      <c r="E2" s="14"/>
      <c r="F2" s="14"/>
    </row>
    <row r="4" spans="1:13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13">
      <c r="A5" s="3">
        <v>1</v>
      </c>
      <c r="B5" s="4" t="s">
        <v>7</v>
      </c>
      <c r="C5" s="4" t="s">
        <v>8</v>
      </c>
      <c r="D5" s="4" t="str">
        <f>IF(MID(C5,3,1)="1","Kepala",IF(MID(C5,3,1)="2","Staff",IF(MID(C5,3,1)="3","Operator")))</f>
        <v>Kepala</v>
      </c>
      <c r="E5" s="4" t="str" cm="1">
        <f t="array" ref="E5">_xlfn.SWITCH(RIGHT(C5,1),"S","Single","M","Married")</f>
        <v>Married</v>
      </c>
      <c r="F5" s="4" t="str" cm="1">
        <f t="array" ref="F5">_xlfn.SWITCH(LEFT(C5,1),"A","I","B","II","C","III","D","IV")</f>
        <v>I</v>
      </c>
    </row>
    <row r="6" spans="1:13">
      <c r="A6" s="3">
        <v>2</v>
      </c>
      <c r="B6" s="4" t="s">
        <v>9</v>
      </c>
      <c r="C6" s="4" t="s">
        <v>10</v>
      </c>
      <c r="D6" s="4" t="str">
        <f t="shared" ref="D6:D14" si="0">IF(MID(C6,3,1)="1","Kepala",IF(MID(C6,3,1)="2","Staff",IF(MID(C6,3,1)="3","Operator")))</f>
        <v>Staff</v>
      </c>
      <c r="E6" s="4" t="str" cm="1">
        <f t="array" ref="E6">_xlfn.SWITCH(RIGHT(C6,1),"S","Single","M","Married")</f>
        <v>Married</v>
      </c>
      <c r="F6" s="4" t="str" cm="1">
        <f t="array" ref="F6">_xlfn.SWITCH(LEFT(C6,1),"A","I","B","II","C","III","D","IV")</f>
        <v>I</v>
      </c>
    </row>
    <row r="7" spans="1:13">
      <c r="A7" s="3">
        <v>3</v>
      </c>
      <c r="B7" s="4" t="s">
        <v>11</v>
      </c>
      <c r="C7" s="4" t="s">
        <v>12</v>
      </c>
      <c r="D7" s="4" t="str">
        <f t="shared" si="0"/>
        <v>Kepala</v>
      </c>
      <c r="E7" s="4" t="str" cm="1">
        <f t="array" ref="E7">_xlfn.SWITCH(RIGHT(C7,1),"S","Single","M","Married")</f>
        <v>Single</v>
      </c>
      <c r="F7" s="4" t="str" cm="1">
        <f t="array" ref="F7">_xlfn.SWITCH(LEFT(C7,1),"A","I","B","II","C","III","D","IV")</f>
        <v>II</v>
      </c>
    </row>
    <row r="8" spans="1:13">
      <c r="A8" s="3">
        <v>4</v>
      </c>
      <c r="B8" s="4" t="s">
        <v>13</v>
      </c>
      <c r="C8" s="4" t="s">
        <v>14</v>
      </c>
      <c r="D8" s="4" t="str">
        <f t="shared" si="0"/>
        <v>Operator</v>
      </c>
      <c r="E8" s="4" t="str" cm="1">
        <f t="array" ref="E8">_xlfn.SWITCH(RIGHT(C8,1),"S","Single","M","Married")</f>
        <v>Married</v>
      </c>
      <c r="F8" s="4" t="str" cm="1">
        <f t="array" ref="F8">_xlfn.SWITCH(LEFT(C8,1),"A","I","B","II","C","III","D","IV")</f>
        <v>II</v>
      </c>
    </row>
    <row r="9" spans="1:13">
      <c r="A9" s="3">
        <v>5</v>
      </c>
      <c r="B9" s="4" t="s">
        <v>15</v>
      </c>
      <c r="C9" s="4" t="s">
        <v>16</v>
      </c>
      <c r="D9" s="4" t="str">
        <f t="shared" si="0"/>
        <v>Operator</v>
      </c>
      <c r="E9" s="4" t="str" cm="1">
        <f t="array" ref="E9">_xlfn.SWITCH(RIGHT(C9,1),"S","Single","M","Married")</f>
        <v>Single</v>
      </c>
      <c r="F9" s="4" t="str" cm="1">
        <f t="array" ref="F9">_xlfn.SWITCH(LEFT(C9,1),"A","I","B","II","C","III","D","IV")</f>
        <v>I</v>
      </c>
    </row>
    <row r="10" spans="1:13">
      <c r="A10" s="3">
        <v>6</v>
      </c>
      <c r="B10" s="4" t="s">
        <v>17</v>
      </c>
      <c r="C10" s="4" t="s">
        <v>18</v>
      </c>
      <c r="D10" s="4" t="str">
        <f t="shared" si="0"/>
        <v>Operator</v>
      </c>
      <c r="E10" s="4" t="str" cm="1">
        <f t="array" ref="E10">_xlfn.SWITCH(RIGHT(C10,1),"S","Single","M","Married")</f>
        <v>Married</v>
      </c>
      <c r="F10" s="4" t="str" cm="1">
        <f t="array" ref="F10">_xlfn.SWITCH(LEFT(C10,1),"A","I","B","II","C","III","D","IV")</f>
        <v>IV</v>
      </c>
    </row>
    <row r="11" spans="1:13">
      <c r="A11" s="3">
        <v>7</v>
      </c>
      <c r="B11" s="4" t="s">
        <v>19</v>
      </c>
      <c r="C11" s="4" t="s">
        <v>20</v>
      </c>
      <c r="D11" s="4" t="str">
        <f t="shared" si="0"/>
        <v>Operator</v>
      </c>
      <c r="E11" s="4" t="str" cm="1">
        <f t="array" ref="E11">_xlfn.SWITCH(RIGHT(C11,1),"S","Single","M","Married")</f>
        <v>Single</v>
      </c>
      <c r="F11" s="4" t="str" cm="1">
        <f t="array" ref="F11">_xlfn.SWITCH(LEFT(C11,1),"A","I","B","II","C","III","D","IV")</f>
        <v>IV</v>
      </c>
    </row>
    <row r="12" spans="1:13">
      <c r="A12" s="3">
        <v>8</v>
      </c>
      <c r="B12" s="4" t="s">
        <v>21</v>
      </c>
      <c r="C12" s="4" t="s">
        <v>22</v>
      </c>
      <c r="D12" s="4" t="str">
        <f t="shared" si="0"/>
        <v>Staff</v>
      </c>
      <c r="E12" s="4" t="str" cm="1">
        <f t="array" ref="E12">_xlfn.SWITCH(RIGHT(C12,1),"S","Single","M","Married")</f>
        <v>Single</v>
      </c>
      <c r="F12" s="4" t="str" cm="1">
        <f t="array" ref="F12">_xlfn.SWITCH(LEFT(C12,1),"A","I","B","II","C","III","D","IV")</f>
        <v>II</v>
      </c>
      <c r="M12" s="17" t="s">
        <v>59</v>
      </c>
    </row>
    <row r="13" spans="1:13">
      <c r="A13" s="3">
        <v>9</v>
      </c>
      <c r="B13" s="4" t="s">
        <v>23</v>
      </c>
      <c r="C13" s="4" t="s">
        <v>24</v>
      </c>
      <c r="D13" s="4" t="str">
        <f t="shared" si="0"/>
        <v>Staff</v>
      </c>
      <c r="E13" s="4" t="str" cm="1">
        <f t="array" ref="E13">_xlfn.SWITCH(RIGHT(C13,1),"S","Single","M","Married")</f>
        <v>Married</v>
      </c>
      <c r="F13" s="4" t="str" cm="1">
        <f t="array" ref="F13">_xlfn.SWITCH(LEFT(C13,1),"A","I","B","II","C","III","D","IV")</f>
        <v>III</v>
      </c>
      <c r="M13" s="17" t="s">
        <v>60</v>
      </c>
    </row>
    <row r="14" spans="1:13">
      <c r="A14" s="3">
        <v>10</v>
      </c>
      <c r="B14" s="4" t="s">
        <v>25</v>
      </c>
      <c r="C14" s="4" t="s">
        <v>26</v>
      </c>
      <c r="D14" s="4" t="str">
        <f t="shared" si="0"/>
        <v>Kepala</v>
      </c>
      <c r="E14" s="4" t="str" cm="1">
        <f t="array" ref="E14">_xlfn.SWITCH(RIGHT(C14,1),"S","Single","M","Married")</f>
        <v>Married</v>
      </c>
      <c r="F14" s="4" t="str" cm="1">
        <f t="array" ref="F14">_xlfn.SWITCH(LEFT(C14,1),"A","I","B","II","C","III","D","IV")</f>
        <v>III</v>
      </c>
      <c r="M14" s="17" t="s">
        <v>61</v>
      </c>
    </row>
    <row r="15" spans="1:13" ht="15" customHeight="1">
      <c r="M15" s="17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F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topLeftCell="A3" workbookViewId="0">
      <selection activeCell="G5" sqref="G5"/>
    </sheetView>
  </sheetViews>
  <sheetFormatPr defaultColWidth="14.42578125" defaultRowHeight="15" customHeight="1"/>
  <cols>
    <col min="1" max="1" width="4.5703125" customWidth="1"/>
    <col min="2" max="2" width="17.5703125" customWidth="1"/>
    <col min="3" max="3" width="13.140625" customWidth="1"/>
    <col min="4" max="4" width="16.5703125" customWidth="1"/>
    <col min="5" max="5" width="16" customWidth="1"/>
    <col min="6" max="7" width="15.5703125" customWidth="1"/>
    <col min="8" max="26" width="8.7109375" customWidth="1"/>
  </cols>
  <sheetData>
    <row r="1" spans="1:7" ht="21">
      <c r="B1" s="5" t="s">
        <v>27</v>
      </c>
    </row>
    <row r="2" spans="1:7">
      <c r="B2" s="6" t="s">
        <v>28</v>
      </c>
      <c r="C2" s="15">
        <f ca="1">NOW()</f>
        <v>46084.145806597226</v>
      </c>
      <c r="D2" s="16"/>
      <c r="E2" s="7"/>
    </row>
    <row r="3" spans="1:7">
      <c r="C3" s="8"/>
    </row>
    <row r="4" spans="1:7">
      <c r="A4" s="9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</row>
    <row r="5" spans="1:7">
      <c r="A5" s="10">
        <v>1</v>
      </c>
      <c r="B5" s="10" t="s">
        <v>36</v>
      </c>
      <c r="C5" s="10" t="s">
        <v>37</v>
      </c>
      <c r="D5" s="11">
        <v>44228</v>
      </c>
      <c r="E5" s="10" t="s">
        <v>38</v>
      </c>
      <c r="F5" s="12">
        <f>IF(E5="Baru",INDEX($C$23:$C$28,MATCH(C5,$B$23:$B$28)),IF(E5="Junior",INDEX($D$23:$D$28,MATCH(C5,$B$23:$B$28)),IF(E5="Senior",INDEX($E$23:$E$28,MATCH(C5,$B$23:$B$28)),"Unknown")))</f>
        <v>1000000</v>
      </c>
      <c r="G5" s="12">
        <f>IF(E5="Baru",VLOOKUP(C5,$B$23:$E$28,2,FALSE),IF(E5="Junior",VLOOKUP(C5,$B$23:$E$28,3,FALSE),IF(E5="Senior",VLOOKUP(C5,$B$23:$E$28,4,FALSE),"Unknown")))</f>
        <v>1000000</v>
      </c>
    </row>
    <row r="6" spans="1:7">
      <c r="A6" s="10">
        <v>2</v>
      </c>
      <c r="B6" s="10" t="s">
        <v>39</v>
      </c>
      <c r="C6" s="10" t="s">
        <v>40</v>
      </c>
      <c r="D6" s="11">
        <v>43863</v>
      </c>
      <c r="E6" s="10" t="s">
        <v>41</v>
      </c>
      <c r="F6" s="12">
        <f t="shared" ref="F6:F17" si="0">IF(E6="Baru",INDEX($C$23:$C$28,MATCH(C6,$B$23:$B$28)),IF(E6="Junior",INDEX($D$23:$D$28,MATCH(C6,$B$23:$B$28)),IF(E6="Senior",INDEX($E$23:$E$28,MATCH(C6,$B$23:$B$28)),"Unknown")))</f>
        <v>11000000</v>
      </c>
      <c r="G6" s="12">
        <f t="shared" ref="G6:H17" si="1">IF(E6="Baru",VLOOKUP(C6,$B$23:$E$28,2,FALSE),IF(E6="Junior",VLOOKUP(C6,$B$23:$E$28,3,FALSE),IF(E6="Senior",VLOOKUP(C6,$B$23:$E$28,4,FALSE),"Unknown")))</f>
        <v>14000000</v>
      </c>
    </row>
    <row r="7" spans="1:7">
      <c r="A7" s="10">
        <v>3</v>
      </c>
      <c r="B7" s="10" t="s">
        <v>42</v>
      </c>
      <c r="C7" s="10" t="s">
        <v>43</v>
      </c>
      <c r="D7" s="11">
        <v>43498</v>
      </c>
      <c r="E7" s="10" t="s">
        <v>38</v>
      </c>
      <c r="F7" s="12">
        <f t="shared" si="0"/>
        <v>2000000</v>
      </c>
      <c r="G7" s="12">
        <f t="shared" si="1"/>
        <v>5000000</v>
      </c>
    </row>
    <row r="8" spans="1:7">
      <c r="A8" s="10">
        <v>4</v>
      </c>
      <c r="B8" s="10" t="s">
        <v>44</v>
      </c>
      <c r="C8" s="10" t="s">
        <v>45</v>
      </c>
      <c r="D8" s="11">
        <v>42037</v>
      </c>
      <c r="E8" s="10" t="s">
        <v>41</v>
      </c>
      <c r="F8" s="12">
        <f t="shared" si="0"/>
        <v>13000000</v>
      </c>
      <c r="G8" s="12">
        <f t="shared" si="1"/>
        <v>13000000</v>
      </c>
    </row>
    <row r="9" spans="1:7">
      <c r="A9" s="10">
        <v>5</v>
      </c>
      <c r="B9" s="10" t="s">
        <v>46</v>
      </c>
      <c r="C9" s="10" t="s">
        <v>47</v>
      </c>
      <c r="D9" s="11">
        <v>42768</v>
      </c>
      <c r="E9" s="10" t="s">
        <v>48</v>
      </c>
      <c r="F9" s="12">
        <f t="shared" si="0"/>
        <v>26000000</v>
      </c>
      <c r="G9" s="12">
        <f t="shared" si="1"/>
        <v>26000000</v>
      </c>
    </row>
    <row r="10" spans="1:7">
      <c r="A10" s="10">
        <v>6</v>
      </c>
      <c r="B10" s="10" t="s">
        <v>49</v>
      </c>
      <c r="C10" s="10" t="s">
        <v>37</v>
      </c>
      <c r="D10" s="11">
        <v>40211</v>
      </c>
      <c r="E10" s="10" t="s">
        <v>48</v>
      </c>
      <c r="F10" s="12">
        <f t="shared" si="0"/>
        <v>21000000</v>
      </c>
      <c r="G10" s="12">
        <f t="shared" si="1"/>
        <v>21000000</v>
      </c>
    </row>
    <row r="11" spans="1:7">
      <c r="A11" s="10">
        <v>7</v>
      </c>
      <c r="B11" s="10" t="s">
        <v>50</v>
      </c>
      <c r="C11" s="10" t="s">
        <v>51</v>
      </c>
      <c r="D11" s="11">
        <v>40211</v>
      </c>
      <c r="E11" s="10" t="s">
        <v>38</v>
      </c>
      <c r="F11" s="12">
        <f t="shared" si="0"/>
        <v>2000000</v>
      </c>
      <c r="G11" s="12">
        <f t="shared" si="1"/>
        <v>2000000</v>
      </c>
    </row>
    <row r="12" spans="1:7">
      <c r="A12" s="10">
        <v>8</v>
      </c>
      <c r="B12" s="10" t="s">
        <v>52</v>
      </c>
      <c r="C12" s="10" t="s">
        <v>51</v>
      </c>
      <c r="D12" s="11">
        <v>42037</v>
      </c>
      <c r="E12" s="10" t="s">
        <v>41</v>
      </c>
      <c r="F12" s="12">
        <f t="shared" si="0"/>
        <v>12000000</v>
      </c>
      <c r="G12" s="12">
        <f t="shared" si="1"/>
        <v>12000000</v>
      </c>
    </row>
    <row r="13" spans="1:7">
      <c r="A13" s="10">
        <v>9</v>
      </c>
      <c r="B13" s="10" t="s">
        <v>53</v>
      </c>
      <c r="C13" s="10" t="s">
        <v>43</v>
      </c>
      <c r="D13" s="11">
        <v>40941</v>
      </c>
      <c r="E13" s="10" t="s">
        <v>48</v>
      </c>
      <c r="F13" s="12">
        <f t="shared" si="0"/>
        <v>22000000</v>
      </c>
      <c r="G13" s="12">
        <f t="shared" si="1"/>
        <v>25000000</v>
      </c>
    </row>
    <row r="14" spans="1:7">
      <c r="A14" s="10">
        <v>10</v>
      </c>
      <c r="B14" s="10" t="s">
        <v>54</v>
      </c>
      <c r="C14" s="10" t="s">
        <v>40</v>
      </c>
      <c r="D14" s="11">
        <v>42768</v>
      </c>
      <c r="E14" s="10" t="s">
        <v>38</v>
      </c>
      <c r="F14" s="12">
        <f t="shared" si="0"/>
        <v>1000000</v>
      </c>
      <c r="G14" s="12">
        <f t="shared" si="1"/>
        <v>4000000</v>
      </c>
    </row>
    <row r="15" spans="1:7">
      <c r="A15" s="10">
        <v>11</v>
      </c>
      <c r="B15" s="10" t="s">
        <v>55</v>
      </c>
      <c r="C15" s="10" t="s">
        <v>43</v>
      </c>
      <c r="D15" s="11">
        <v>44594</v>
      </c>
      <c r="E15" s="10" t="s">
        <v>48</v>
      </c>
      <c r="F15" s="12">
        <f t="shared" si="0"/>
        <v>22000000</v>
      </c>
      <c r="G15" s="12">
        <f t="shared" si="1"/>
        <v>25000000</v>
      </c>
    </row>
    <row r="16" spans="1:7">
      <c r="A16" s="10">
        <v>12</v>
      </c>
      <c r="B16" s="10" t="s">
        <v>56</v>
      </c>
      <c r="C16" s="10" t="s">
        <v>47</v>
      </c>
      <c r="D16" s="11">
        <v>36558</v>
      </c>
      <c r="E16" s="10" t="s">
        <v>41</v>
      </c>
      <c r="F16" s="12">
        <f t="shared" si="0"/>
        <v>16000000</v>
      </c>
      <c r="G16" s="12">
        <f t="shared" si="1"/>
        <v>16000000</v>
      </c>
    </row>
    <row r="17" spans="1:13">
      <c r="A17" s="10">
        <v>13</v>
      </c>
      <c r="B17" s="10" t="s">
        <v>57</v>
      </c>
      <c r="C17" s="10" t="s">
        <v>37</v>
      </c>
      <c r="D17" s="11">
        <v>36558</v>
      </c>
      <c r="E17" s="10" t="s">
        <v>48</v>
      </c>
      <c r="F17" s="12">
        <f t="shared" si="0"/>
        <v>21000000</v>
      </c>
      <c r="G17" s="12">
        <f t="shared" si="1"/>
        <v>21000000</v>
      </c>
    </row>
    <row r="20" spans="1:13" ht="21">
      <c r="B20" s="5" t="s">
        <v>58</v>
      </c>
    </row>
    <row r="21" spans="1:13" ht="15.75" customHeight="1"/>
    <row r="22" spans="1:13" ht="15.75" customHeight="1">
      <c r="B22" s="9" t="s">
        <v>31</v>
      </c>
      <c r="C22" s="9" t="s">
        <v>38</v>
      </c>
      <c r="D22" s="9" t="s">
        <v>41</v>
      </c>
      <c r="E22" s="9" t="s">
        <v>48</v>
      </c>
    </row>
    <row r="23" spans="1:13" ht="15.75" customHeight="1">
      <c r="B23" s="10" t="s">
        <v>37</v>
      </c>
      <c r="C23" s="12">
        <v>1000000</v>
      </c>
      <c r="D23" s="12">
        <v>11000000</v>
      </c>
      <c r="E23" s="12">
        <v>21000000</v>
      </c>
    </row>
    <row r="24" spans="1:13" ht="15.75" customHeight="1">
      <c r="B24" s="10" t="s">
        <v>51</v>
      </c>
      <c r="C24" s="12">
        <v>2000000</v>
      </c>
      <c r="D24" s="12">
        <v>12000000</v>
      </c>
      <c r="E24" s="12">
        <v>22000000</v>
      </c>
    </row>
    <row r="25" spans="1:13" ht="15.75" customHeight="1">
      <c r="B25" s="10" t="s">
        <v>45</v>
      </c>
      <c r="C25" s="12">
        <v>3000000</v>
      </c>
      <c r="D25" s="12">
        <v>13000000</v>
      </c>
      <c r="E25" s="12">
        <v>23000000</v>
      </c>
    </row>
    <row r="26" spans="1:13" ht="15.75" customHeight="1">
      <c r="B26" s="10" t="s">
        <v>40</v>
      </c>
      <c r="C26" s="12">
        <v>4000000</v>
      </c>
      <c r="D26" s="12">
        <v>14000000</v>
      </c>
      <c r="E26" s="12">
        <v>24000000</v>
      </c>
      <c r="M26" t="s">
        <v>63</v>
      </c>
    </row>
    <row r="27" spans="1:13" ht="15.75" customHeight="1">
      <c r="B27" s="10" t="s">
        <v>43</v>
      </c>
      <c r="C27" s="12">
        <v>5000000</v>
      </c>
      <c r="D27" s="12">
        <v>15000000</v>
      </c>
      <c r="E27" s="12">
        <v>25000000</v>
      </c>
    </row>
    <row r="28" spans="1:13" ht="15.75" customHeight="1">
      <c r="B28" s="10" t="s">
        <v>47</v>
      </c>
      <c r="C28" s="12">
        <v>6000000</v>
      </c>
      <c r="D28" s="12">
        <v>16000000</v>
      </c>
      <c r="E28" s="12">
        <v>26000000</v>
      </c>
    </row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D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Latihan</vt:lpstr>
      <vt:lpstr>Latihan 1 IF ,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naufalizzudin36@gmail.com</cp:lastModifiedBy>
  <dcterms:created xsi:type="dcterms:W3CDTF">2023-01-14T10:24:39Z</dcterms:created>
  <dcterms:modified xsi:type="dcterms:W3CDTF">2026-03-02T20:30:37Z</dcterms:modified>
</cp:coreProperties>
</file>