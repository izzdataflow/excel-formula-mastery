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\Excel\Training\excel-advanced\finished\"/>
    </mc:Choice>
  </mc:AlternateContent>
  <xr:revisionPtr revIDLastSave="0" documentId="13_ncr:1_{990ED363-5312-4D54-BFA5-2557641E3C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Glossary" sheetId="4" state="hidden" r:id="rId2"/>
    <sheet name="Excercise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7" l="1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V6" i="7"/>
  <c r="Q7" i="7" a="1"/>
  <c r="Q7" i="7"/>
  <c r="Q8" i="7" a="1"/>
  <c r="Q8" i="7"/>
  <c r="Q9" i="7" a="1"/>
  <c r="Q9" i="7"/>
  <c r="Q10" i="7" a="1"/>
  <c r="Q10" i="7"/>
  <c r="Q11" i="7" a="1"/>
  <c r="Q11" i="7"/>
  <c r="Q12" i="7" a="1"/>
  <c r="Q12" i="7"/>
  <c r="Q13" i="7" a="1"/>
  <c r="Q13" i="7"/>
  <c r="Q14" i="7" a="1"/>
  <c r="Q14" i="7"/>
  <c r="Q15" i="7" a="1"/>
  <c r="Q15" i="7"/>
  <c r="Q16" i="7" a="1"/>
  <c r="Q16" i="7"/>
  <c r="Q17" i="7" a="1"/>
  <c r="Q17" i="7"/>
  <c r="Q18" i="7" a="1"/>
  <c r="Q18" i="7"/>
  <c r="Q19" i="7" a="1"/>
  <c r="Q19" i="7"/>
  <c r="Q20" i="7" a="1"/>
  <c r="Q20" i="7"/>
  <c r="Q21" i="7" a="1"/>
  <c r="Q21" i="7"/>
  <c r="Q22" i="7" a="1"/>
  <c r="Q22" i="7"/>
  <c r="Q23" i="7" a="1"/>
  <c r="Q23" i="7"/>
  <c r="Q24" i="7" a="1"/>
  <c r="Q24" i="7"/>
  <c r="Q25" i="7" a="1"/>
  <c r="Q25" i="7"/>
  <c r="Q26" i="7" a="1"/>
  <c r="Q26" i="7"/>
  <c r="Q27" i="7" a="1"/>
  <c r="Q27" i="7"/>
  <c r="Q28" i="7" a="1"/>
  <c r="Q28" i="7"/>
  <c r="Q29" i="7" a="1"/>
  <c r="Q29" i="7"/>
  <c r="Q30" i="7" a="1"/>
  <c r="Q30" i="7"/>
  <c r="Q31" i="7" a="1"/>
  <c r="Q31" i="7"/>
  <c r="Q32" i="7" a="1"/>
  <c r="Q32" i="7"/>
  <c r="Q33" i="7" a="1"/>
  <c r="Q33" i="7"/>
  <c r="Q34" i="7" a="1"/>
  <c r="Q34" i="7"/>
  <c r="Q35" i="7" a="1"/>
  <c r="Q35" i="7"/>
  <c r="Q36" i="7" a="1"/>
  <c r="Q36" i="7"/>
  <c r="Q37" i="7" a="1"/>
  <c r="Q37" i="7"/>
  <c r="Q38" i="7" a="1"/>
  <c r="Q38" i="7"/>
  <c r="Q39" i="7" a="1"/>
  <c r="Q39" i="7"/>
  <c r="Q40" i="7" a="1"/>
  <c r="Q40" i="7"/>
  <c r="Q41" i="7" a="1"/>
  <c r="Q41" i="7"/>
  <c r="Q42" i="7" a="1"/>
  <c r="Q42" i="7"/>
  <c r="Q43" i="7" a="1"/>
  <c r="Q43" i="7"/>
  <c r="Q44" i="7" a="1"/>
  <c r="Q44" i="7"/>
  <c r="Q45" i="7" a="1"/>
  <c r="Q45" i="7"/>
  <c r="Q46" i="7" a="1"/>
  <c r="Q46" i="7"/>
  <c r="Q47" i="7" a="1"/>
  <c r="Q47" i="7"/>
  <c r="Q48" i="7" a="1"/>
  <c r="Q48" i="7"/>
  <c r="Q49" i="7" a="1"/>
  <c r="Q49" i="7"/>
  <c r="Q50" i="7" a="1"/>
  <c r="Q50" i="7"/>
  <c r="Q51" i="7" a="1"/>
  <c r="Q51" i="7"/>
  <c r="Q52" i="7" a="1"/>
  <c r="Q52" i="7"/>
  <c r="Q53" i="7" a="1"/>
  <c r="Q53" i="7"/>
  <c r="Q54" i="7" a="1"/>
  <c r="Q54" i="7"/>
  <c r="Q55" i="7" a="1"/>
  <c r="Q55" i="7"/>
  <c r="Q56" i="7" a="1"/>
  <c r="Q56" i="7"/>
  <c r="Q57" i="7" a="1"/>
  <c r="Q57" i="7"/>
  <c r="Q58" i="7" a="1"/>
  <c r="Q58" i="7"/>
  <c r="Q59" i="7" a="1"/>
  <c r="Q59" i="7"/>
  <c r="Q60" i="7" a="1"/>
  <c r="Q60" i="7"/>
  <c r="Q61" i="7" a="1"/>
  <c r="Q61" i="7"/>
  <c r="Q62" i="7" a="1"/>
  <c r="Q62" i="7"/>
  <c r="Q63" i="7" a="1"/>
  <c r="Q63" i="7"/>
  <c r="Q64" i="7" a="1"/>
  <c r="Q64" i="7"/>
  <c r="Q65" i="7" a="1"/>
  <c r="Q65" i="7"/>
  <c r="Q66" i="7" a="1"/>
  <c r="Q66" i="7"/>
  <c r="Q67" i="7" a="1"/>
  <c r="Q67" i="7"/>
  <c r="Q68" i="7" a="1"/>
  <c r="Q68" i="7"/>
  <c r="Q69" i="7" a="1"/>
  <c r="Q69" i="7"/>
  <c r="Q70" i="7" a="1"/>
  <c r="Q70" i="7"/>
  <c r="Q71" i="7" a="1"/>
  <c r="Q71" i="7"/>
  <c r="Q72" i="7" a="1"/>
  <c r="Q72" i="7"/>
  <c r="Q73" i="7" a="1"/>
  <c r="Q73" i="7"/>
  <c r="Q74" i="7" a="1"/>
  <c r="Q74" i="7"/>
  <c r="Q75" i="7" a="1"/>
  <c r="Q75" i="7"/>
  <c r="Q76" i="7" a="1"/>
  <c r="Q76" i="7"/>
  <c r="Q77" i="7" a="1"/>
  <c r="Q77" i="7"/>
  <c r="Q78" i="7" a="1"/>
  <c r="Q78" i="7"/>
  <c r="Q79" i="7" a="1"/>
  <c r="Q79" i="7"/>
  <c r="Q80" i="7" a="1"/>
  <c r="Q80" i="7"/>
  <c r="Q81" i="7" a="1"/>
  <c r="Q81" i="7"/>
  <c r="Q82" i="7" a="1"/>
  <c r="Q82" i="7"/>
  <c r="Q83" i="7" a="1"/>
  <c r="Q83" i="7"/>
  <c r="Q84" i="7" a="1"/>
  <c r="Q84" i="7"/>
  <c r="Q85" i="7" a="1"/>
  <c r="Q85" i="7"/>
  <c r="Q86" i="7" a="1"/>
  <c r="Q86" i="7"/>
  <c r="Q87" i="7" a="1"/>
  <c r="Q87" i="7"/>
  <c r="Q88" i="7" a="1"/>
  <c r="Q88" i="7"/>
  <c r="Q89" i="7" a="1"/>
  <c r="Q89" i="7"/>
  <c r="Q90" i="7" a="1"/>
  <c r="Q90" i="7"/>
  <c r="Q91" i="7" a="1"/>
  <c r="Q91" i="7"/>
  <c r="Q92" i="7" a="1"/>
  <c r="Q92" i="7"/>
  <c r="Q93" i="7" a="1"/>
  <c r="Q93" i="7"/>
  <c r="Q94" i="7" a="1"/>
  <c r="Q94" i="7"/>
  <c r="Q95" i="7" a="1"/>
  <c r="Q95" i="7"/>
  <c r="Q96" i="7" a="1"/>
  <c r="Q96" i="7"/>
  <c r="Q97" i="7" a="1"/>
  <c r="Q97" i="7"/>
  <c r="Q98" i="7" a="1"/>
  <c r="Q98" i="7"/>
  <c r="Q99" i="7" a="1"/>
  <c r="Q99" i="7"/>
  <c r="Q100" i="7" a="1"/>
  <c r="Q100" i="7"/>
  <c r="Q101" i="7" a="1"/>
  <c r="Q101" i="7"/>
  <c r="Q102" i="7" a="1"/>
  <c r="Q102" i="7"/>
  <c r="Q103" i="7" a="1"/>
  <c r="Q103" i="7"/>
  <c r="Q104" i="7" a="1"/>
  <c r="Q104" i="7"/>
  <c r="Q105" i="7" a="1"/>
  <c r="Q105" i="7"/>
  <c r="Q106" i="7" a="1"/>
  <c r="Q106" i="7"/>
  <c r="Q107" i="7" a="1"/>
  <c r="Q107" i="7"/>
  <c r="Q108" i="7" a="1"/>
  <c r="Q108" i="7"/>
  <c r="Q109" i="7" a="1"/>
  <c r="Q109" i="7"/>
  <c r="Q110" i="7" a="1"/>
  <c r="Q110" i="7"/>
  <c r="Q111" i="7" a="1"/>
  <c r="Q111" i="7"/>
  <c r="Q112" i="7" a="1"/>
  <c r="Q112" i="7"/>
  <c r="Q113" i="7" a="1"/>
  <c r="Q113" i="7"/>
  <c r="Q114" i="7" a="1"/>
  <c r="Q114" i="7"/>
  <c r="Q115" i="7" a="1"/>
  <c r="Q115" i="7"/>
  <c r="Q116" i="7" a="1"/>
  <c r="Q116" i="7"/>
  <c r="Q117" i="7" a="1"/>
  <c r="Q117" i="7"/>
  <c r="Q118" i="7" a="1"/>
  <c r="Q118" i="7"/>
  <c r="Q119" i="7" a="1"/>
  <c r="Q119" i="7"/>
  <c r="Q120" i="7" a="1"/>
  <c r="Q120" i="7"/>
  <c r="Q121" i="7" a="1"/>
  <c r="Q121" i="7"/>
  <c r="Q122" i="7" a="1"/>
  <c r="Q122" i="7"/>
  <c r="Q123" i="7" a="1"/>
  <c r="Q123" i="7"/>
  <c r="Q124" i="7" a="1"/>
  <c r="Q124" i="7"/>
  <c r="Q125" i="7" a="1"/>
  <c r="Q125" i="7"/>
  <c r="Q126" i="7" a="1"/>
  <c r="Q126" i="7"/>
  <c r="Q127" i="7" a="1"/>
  <c r="Q127" i="7"/>
  <c r="Q128" i="7" a="1"/>
  <c r="Q128" i="7"/>
  <c r="Q129" i="7" a="1"/>
  <c r="Q129" i="7"/>
  <c r="Q130" i="7" a="1"/>
  <c r="Q130" i="7"/>
  <c r="Q131" i="7" a="1"/>
  <c r="Q131" i="7"/>
  <c r="Q132" i="7" a="1"/>
  <c r="Q132" i="7"/>
  <c r="Q133" i="7" a="1"/>
  <c r="Q133" i="7"/>
  <c r="Q134" i="7" a="1"/>
  <c r="Q134" i="7"/>
  <c r="Q135" i="7" a="1"/>
  <c r="Q135" i="7"/>
  <c r="Q136" i="7" a="1"/>
  <c r="Q136" i="7"/>
  <c r="Q137" i="7" a="1"/>
  <c r="Q137" i="7"/>
  <c r="Q138" i="7" a="1"/>
  <c r="Q138" i="7"/>
  <c r="Q139" i="7" a="1"/>
  <c r="Q139" i="7"/>
  <c r="Q140" i="7" a="1"/>
  <c r="Q140" i="7"/>
  <c r="Q141" i="7" a="1"/>
  <c r="Q141" i="7"/>
  <c r="Q142" i="7" a="1"/>
  <c r="Q142" i="7"/>
  <c r="Q143" i="7" a="1"/>
  <c r="Q143" i="7"/>
  <c r="Q144" i="7" a="1"/>
  <c r="Q144" i="7"/>
  <c r="Q145" i="7" a="1"/>
  <c r="Q145" i="7"/>
  <c r="Q146" i="7" a="1"/>
  <c r="Q146" i="7"/>
  <c r="Q147" i="7" a="1"/>
  <c r="Q147" i="7"/>
  <c r="Q148" i="7" a="1"/>
  <c r="Q148" i="7"/>
  <c r="Q149" i="7" a="1"/>
  <c r="Q149" i="7"/>
  <c r="Q150" i="7" a="1"/>
  <c r="Q150" i="7"/>
  <c r="Q151" i="7" a="1"/>
  <c r="Q151" i="7"/>
  <c r="Q152" i="7" a="1"/>
  <c r="Q152" i="7"/>
  <c r="Q153" i="7" a="1"/>
  <c r="Q153" i="7"/>
  <c r="Q154" i="7" a="1"/>
  <c r="Q154" i="7"/>
  <c r="Q155" i="7" a="1"/>
  <c r="Q155" i="7"/>
  <c r="Q156" i="7" a="1"/>
  <c r="Q156" i="7"/>
  <c r="Q157" i="7" a="1"/>
  <c r="Q157" i="7"/>
  <c r="Q158" i="7" a="1"/>
  <c r="Q158" i="7"/>
  <c r="Q159" i="7" a="1"/>
  <c r="Q159" i="7"/>
  <c r="Q160" i="7" a="1"/>
  <c r="Q160" i="7"/>
  <c r="Q161" i="7" a="1"/>
  <c r="Q161" i="7"/>
  <c r="Q162" i="7" a="1"/>
  <c r="Q162" i="7"/>
  <c r="Q163" i="7" a="1"/>
  <c r="Q163" i="7"/>
  <c r="Q164" i="7" a="1"/>
  <c r="Q164" i="7"/>
  <c r="Q165" i="7" a="1"/>
  <c r="Q165" i="7"/>
  <c r="Q166" i="7" a="1"/>
  <c r="Q166" i="7"/>
  <c r="Q167" i="7" a="1"/>
  <c r="Q167" i="7"/>
  <c r="Q168" i="7" a="1"/>
  <c r="Q168" i="7"/>
  <c r="Q169" i="7" a="1"/>
  <c r="Q169" i="7"/>
  <c r="Q170" i="7" a="1"/>
  <c r="Q170" i="7"/>
  <c r="Q171" i="7" a="1"/>
  <c r="Q171" i="7"/>
  <c r="Q172" i="7" a="1"/>
  <c r="Q172" i="7"/>
  <c r="Q173" i="7" a="1"/>
  <c r="Q173" i="7"/>
  <c r="Q174" i="7" a="1"/>
  <c r="Q174" i="7"/>
  <c r="Q175" i="7" a="1"/>
  <c r="Q175" i="7"/>
  <c r="Q176" i="7" a="1"/>
  <c r="Q176" i="7"/>
  <c r="Q177" i="7" a="1"/>
  <c r="Q177" i="7"/>
  <c r="Q178" i="7" a="1"/>
  <c r="Q178" i="7"/>
  <c r="Q179" i="7" a="1"/>
  <c r="Q179" i="7"/>
  <c r="Q180" i="7" a="1"/>
  <c r="Q180" i="7"/>
  <c r="Q181" i="7" a="1"/>
  <c r="Q181" i="7"/>
  <c r="Q182" i="7" a="1"/>
  <c r="Q182" i="7"/>
  <c r="Q183" i="7" a="1"/>
  <c r="Q183" i="7"/>
  <c r="Q184" i="7" a="1"/>
  <c r="Q184" i="7"/>
  <c r="Q185" i="7" a="1"/>
  <c r="Q185" i="7"/>
  <c r="Q186" i="7" a="1"/>
  <c r="Q186" i="7"/>
  <c r="Q187" i="7" a="1"/>
  <c r="Q187" i="7"/>
  <c r="Q188" i="7" a="1"/>
  <c r="Q188" i="7"/>
  <c r="Q189" i="7" a="1"/>
  <c r="Q189" i="7"/>
  <c r="Q190" i="7" a="1"/>
  <c r="Q190" i="7"/>
  <c r="Q191" i="7" a="1"/>
  <c r="Q191" i="7"/>
  <c r="Q192" i="7" a="1"/>
  <c r="Q192" i="7"/>
  <c r="Q193" i="7" a="1"/>
  <c r="Q193" i="7"/>
  <c r="Q194" i="7" a="1"/>
  <c r="Q194" i="7"/>
  <c r="Q195" i="7" a="1"/>
  <c r="Q195" i="7"/>
  <c r="Q196" i="7" a="1"/>
  <c r="Q196" i="7"/>
  <c r="Q197" i="7" a="1"/>
  <c r="Q197" i="7"/>
  <c r="Q198" i="7" a="1"/>
  <c r="Q198" i="7"/>
  <c r="Q199" i="7" a="1"/>
  <c r="Q199" i="7"/>
  <c r="Q200" i="7" a="1"/>
  <c r="Q200" i="7"/>
  <c r="Q201" i="7" a="1"/>
  <c r="Q201" i="7"/>
  <c r="Q202" i="7" a="1"/>
  <c r="Q202" i="7"/>
  <c r="Q203" i="7" a="1"/>
  <c r="Q203" i="7"/>
  <c r="Q204" i="7" a="1"/>
  <c r="Q204" i="7"/>
  <c r="Q205" i="7" a="1"/>
  <c r="Q205" i="7"/>
  <c r="Q206" i="7" a="1"/>
  <c r="Q206" i="7"/>
  <c r="Q207" i="7" a="1"/>
  <c r="Q207" i="7"/>
  <c r="Q208" i="7" a="1"/>
  <c r="Q208" i="7"/>
  <c r="Q209" i="7" a="1"/>
  <c r="Q209" i="7"/>
  <c r="Q210" i="7" a="1"/>
  <c r="Q210" i="7"/>
  <c r="Q211" i="7" a="1"/>
  <c r="Q211" i="7"/>
  <c r="Q212" i="7" a="1"/>
  <c r="Q212" i="7"/>
  <c r="Q213" i="7" a="1"/>
  <c r="Q213" i="7"/>
  <c r="Q214" i="7" a="1"/>
  <c r="Q214" i="7"/>
  <c r="Q215" i="7" a="1"/>
  <c r="Q215" i="7"/>
  <c r="Q216" i="7" a="1"/>
  <c r="Q216" i="7"/>
  <c r="Q217" i="7" a="1"/>
  <c r="Q217" i="7"/>
  <c r="Q218" i="7" a="1"/>
  <c r="Q218" i="7"/>
  <c r="Q219" i="7" a="1"/>
  <c r="Q219" i="7"/>
  <c r="Q220" i="7" a="1"/>
  <c r="Q220" i="7"/>
  <c r="Q221" i="7" a="1"/>
  <c r="Q221" i="7"/>
  <c r="Q222" i="7" a="1"/>
  <c r="Q222" i="7"/>
  <c r="Q223" i="7" a="1"/>
  <c r="Q223" i="7"/>
  <c r="Q224" i="7" a="1"/>
  <c r="Q224" i="7"/>
  <c r="Q225" i="7" a="1"/>
  <c r="Q225" i="7"/>
  <c r="Q226" i="7" a="1"/>
  <c r="Q226" i="7"/>
  <c r="Q227" i="7" a="1"/>
  <c r="Q227" i="7"/>
  <c r="Q228" i="7" a="1"/>
  <c r="Q228" i="7"/>
  <c r="Q229" i="7" a="1"/>
  <c r="Q229" i="7"/>
  <c r="Q230" i="7" a="1"/>
  <c r="Q230" i="7"/>
  <c r="Q231" i="7" a="1"/>
  <c r="Q231" i="7"/>
  <c r="Q232" i="7" a="1"/>
  <c r="Q232" i="7"/>
  <c r="Q233" i="7" a="1"/>
  <c r="Q233" i="7"/>
  <c r="Q234" i="7" a="1"/>
  <c r="Q234" i="7"/>
  <c r="Q235" i="7" a="1"/>
  <c r="Q235" i="7"/>
  <c r="Q236" i="7" a="1"/>
  <c r="Q236" i="7"/>
  <c r="Q237" i="7" a="1"/>
  <c r="Q237" i="7"/>
  <c r="Q238" i="7" a="1"/>
  <c r="Q238" i="7"/>
  <c r="Q239" i="7" a="1"/>
  <c r="Q239" i="7"/>
  <c r="Q240" i="7" a="1"/>
  <c r="Q240" i="7"/>
  <c r="Q241" i="7" a="1"/>
  <c r="Q241" i="7"/>
  <c r="Q242" i="7" a="1"/>
  <c r="Q242" i="7"/>
  <c r="Q243" i="7" a="1"/>
  <c r="Q243" i="7"/>
  <c r="Q244" i="7" a="1"/>
  <c r="Q244" i="7"/>
  <c r="Q245" i="7" a="1"/>
  <c r="Q245" i="7"/>
  <c r="Q246" i="7" a="1"/>
  <c r="Q246" i="7"/>
  <c r="Q247" i="7" a="1"/>
  <c r="Q247" i="7"/>
  <c r="Q248" i="7" a="1"/>
  <c r="Q248" i="7"/>
  <c r="Q249" i="7" a="1"/>
  <c r="Q249" i="7"/>
  <c r="Q250" i="7" a="1"/>
  <c r="Q250" i="7"/>
  <c r="Q251" i="7" a="1"/>
  <c r="Q251" i="7"/>
  <c r="Q252" i="7" a="1"/>
  <c r="Q252" i="7"/>
  <c r="Q253" i="7" a="1"/>
  <c r="Q253" i="7"/>
  <c r="Q254" i="7" a="1"/>
  <c r="Q254" i="7"/>
  <c r="Q255" i="7" a="1"/>
  <c r="Q255" i="7"/>
  <c r="Q256" i="7" a="1"/>
  <c r="Q256" i="7"/>
  <c r="Q257" i="7" a="1"/>
  <c r="Q257" i="7"/>
  <c r="Q258" i="7" a="1"/>
  <c r="Q258" i="7"/>
  <c r="Q259" i="7" a="1"/>
  <c r="Q259" i="7"/>
  <c r="Q260" i="7" a="1"/>
  <c r="Q260" i="7"/>
  <c r="Q261" i="7" a="1"/>
  <c r="Q261" i="7"/>
  <c r="Q262" i="7" a="1"/>
  <c r="Q262" i="7"/>
  <c r="Q263" i="7" a="1"/>
  <c r="Q263" i="7"/>
  <c r="Q264" i="7" a="1"/>
  <c r="Q264" i="7"/>
  <c r="Q265" i="7" a="1"/>
  <c r="Q265" i="7"/>
  <c r="Q266" i="7" a="1"/>
  <c r="Q266" i="7"/>
  <c r="Q267" i="7" a="1"/>
  <c r="Q267" i="7"/>
  <c r="Q268" i="7" a="1"/>
  <c r="Q268" i="7"/>
  <c r="Q269" i="7" a="1"/>
  <c r="Q269" i="7"/>
  <c r="Q270" i="7" a="1"/>
  <c r="Q270" i="7"/>
  <c r="Q271" i="7" a="1"/>
  <c r="Q271" i="7"/>
  <c r="Q272" i="7" a="1"/>
  <c r="Q272" i="7"/>
  <c r="Q273" i="7" a="1"/>
  <c r="Q273" i="7"/>
  <c r="Q274" i="7" a="1"/>
  <c r="Q274" i="7"/>
  <c r="Q275" i="7" a="1"/>
  <c r="Q275" i="7"/>
  <c r="Q276" i="7" a="1"/>
  <c r="Q276" i="7"/>
  <c r="Q277" i="7" a="1"/>
  <c r="Q277" i="7"/>
  <c r="Q278" i="7" a="1"/>
  <c r="Q278" i="7"/>
  <c r="Q279" i="7" a="1"/>
  <c r="Q279" i="7"/>
  <c r="Q280" i="7" a="1"/>
  <c r="Q280" i="7"/>
  <c r="Q281" i="7" a="1"/>
  <c r="Q281" i="7"/>
  <c r="Q282" i="7" a="1"/>
  <c r="Q282" i="7"/>
  <c r="Q283" i="7" a="1"/>
  <c r="Q283" i="7"/>
  <c r="Q284" i="7" a="1"/>
  <c r="Q284" i="7"/>
  <c r="Q285" i="7" a="1"/>
  <c r="Q285" i="7"/>
  <c r="Q286" i="7" a="1"/>
  <c r="Q286" i="7"/>
  <c r="Q287" i="7" a="1"/>
  <c r="Q287" i="7"/>
  <c r="Q288" i="7" a="1"/>
  <c r="Q288" i="7"/>
  <c r="Q289" i="7" a="1"/>
  <c r="Q289" i="7"/>
  <c r="Q290" i="7" a="1"/>
  <c r="Q290" i="7"/>
  <c r="Q291" i="7" a="1"/>
  <c r="Q291" i="7"/>
  <c r="Q292" i="7" a="1"/>
  <c r="Q292" i="7"/>
  <c r="Q293" i="7" a="1"/>
  <c r="Q293" i="7"/>
  <c r="Q294" i="7" a="1"/>
  <c r="Q294" i="7"/>
  <c r="Q295" i="7" a="1"/>
  <c r="Q295" i="7"/>
  <c r="Q296" i="7" a="1"/>
  <c r="Q296" i="7"/>
  <c r="Q297" i="7" a="1"/>
  <c r="Q297" i="7"/>
  <c r="Q298" i="7" a="1"/>
  <c r="Q298" i="7"/>
  <c r="Q299" i="7" a="1"/>
  <c r="Q299" i="7"/>
  <c r="Q300" i="7" a="1"/>
  <c r="Q300" i="7"/>
  <c r="Q301" i="7" a="1"/>
  <c r="Q301" i="7"/>
  <c r="Q302" i="7" a="1"/>
  <c r="Q302" i="7"/>
  <c r="Q303" i="7" a="1"/>
  <c r="Q303" i="7"/>
  <c r="Q304" i="7" a="1"/>
  <c r="Q304" i="7"/>
  <c r="Q305" i="7" a="1"/>
  <c r="Q305" i="7"/>
  <c r="Q306" i="7" a="1"/>
  <c r="Q306" i="7"/>
  <c r="Q307" i="7" a="1"/>
  <c r="Q307" i="7"/>
  <c r="Q308" i="7" a="1"/>
  <c r="Q308" i="7"/>
  <c r="Q309" i="7" a="1"/>
  <c r="Q309" i="7"/>
  <c r="Q310" i="7" a="1"/>
  <c r="Q310" i="7"/>
  <c r="Q311" i="7" a="1"/>
  <c r="Q311" i="7"/>
  <c r="Q312" i="7" a="1"/>
  <c r="Q312" i="7"/>
  <c r="Q313" i="7" a="1"/>
  <c r="Q313" i="7"/>
  <c r="Q314" i="7" a="1"/>
  <c r="Q314" i="7"/>
  <c r="Q315" i="7" a="1"/>
  <c r="Q315" i="7"/>
  <c r="Q316" i="7" a="1"/>
  <c r="Q316" i="7"/>
  <c r="Q317" i="7" a="1"/>
  <c r="Q317" i="7"/>
  <c r="Q318" i="7" a="1"/>
  <c r="Q318" i="7"/>
  <c r="Q319" i="7" a="1"/>
  <c r="Q319" i="7"/>
  <c r="Q320" i="7" a="1"/>
  <c r="Q320" i="7"/>
  <c r="Q321" i="7" a="1"/>
  <c r="Q321" i="7"/>
  <c r="Q322" i="7" a="1"/>
  <c r="Q322" i="7"/>
  <c r="Q323" i="7" a="1"/>
  <c r="Q323" i="7"/>
  <c r="Q324" i="7" a="1"/>
  <c r="Q324" i="7"/>
  <c r="Q325" i="7" a="1"/>
  <c r="Q325" i="7"/>
  <c r="Q326" i="7" a="1"/>
  <c r="Q326" i="7"/>
  <c r="Q327" i="7" a="1"/>
  <c r="Q327" i="7"/>
  <c r="Q328" i="7" a="1"/>
  <c r="Q328" i="7"/>
  <c r="Q329" i="7" a="1"/>
  <c r="Q329" i="7"/>
  <c r="Q330" i="7" a="1"/>
  <c r="Q330" i="7"/>
  <c r="Q331" i="7" a="1"/>
  <c r="Q331" i="7"/>
  <c r="Q332" i="7" a="1"/>
  <c r="Q332" i="7"/>
  <c r="Q333" i="7" a="1"/>
  <c r="Q333" i="7"/>
  <c r="Q334" i="7" a="1"/>
  <c r="Q334" i="7"/>
  <c r="Q335" i="7" a="1"/>
  <c r="Q335" i="7"/>
  <c r="Q336" i="7" a="1"/>
  <c r="Q336" i="7"/>
  <c r="Q337" i="7" a="1"/>
  <c r="Q337" i="7"/>
  <c r="Q338" i="7" a="1"/>
  <c r="Q338" i="7"/>
  <c r="Q339" i="7" a="1"/>
  <c r="Q339" i="7"/>
  <c r="Q340" i="7" a="1"/>
  <c r="Q340" i="7"/>
  <c r="Q341" i="7" a="1"/>
  <c r="Q341" i="7"/>
  <c r="Q342" i="7" a="1"/>
  <c r="Q342" i="7"/>
  <c r="Q343" i="7" a="1"/>
  <c r="Q343" i="7"/>
  <c r="Q344" i="7" a="1"/>
  <c r="Q344" i="7"/>
  <c r="Q345" i="7" a="1"/>
  <c r="Q345" i="7"/>
  <c r="Q346" i="7" a="1"/>
  <c r="Q346" i="7"/>
  <c r="Q347" i="7" a="1"/>
  <c r="Q347" i="7"/>
  <c r="Q348" i="7" a="1"/>
  <c r="Q348" i="7"/>
  <c r="Q349" i="7" a="1"/>
  <c r="Q349" i="7"/>
  <c r="Q350" i="7" a="1"/>
  <c r="Q350" i="7"/>
  <c r="Q351" i="7" a="1"/>
  <c r="Q351" i="7"/>
  <c r="Q352" i="7" a="1"/>
  <c r="Q352" i="7"/>
  <c r="Q353" i="7" a="1"/>
  <c r="Q353" i="7"/>
  <c r="Q354" i="7" a="1"/>
  <c r="Q354" i="7"/>
  <c r="Q355" i="7" a="1"/>
  <c r="Q355" i="7"/>
  <c r="Q356" i="7" a="1"/>
  <c r="Q356" i="7"/>
  <c r="Q357" i="7" a="1"/>
  <c r="Q357" i="7"/>
  <c r="Q358" i="7" a="1"/>
  <c r="Q358" i="7"/>
  <c r="Q359" i="7" a="1"/>
  <c r="Q359" i="7"/>
  <c r="Q360" i="7" a="1"/>
  <c r="Q360" i="7"/>
  <c r="Q361" i="7" a="1"/>
  <c r="Q361" i="7"/>
  <c r="Q362" i="7" a="1"/>
  <c r="Q362" i="7"/>
  <c r="Q363" i="7" a="1"/>
  <c r="Q363" i="7"/>
  <c r="Q364" i="7" a="1"/>
  <c r="Q364" i="7"/>
  <c r="Q365" i="7" a="1"/>
  <c r="Q365" i="7"/>
  <c r="Q366" i="7" a="1"/>
  <c r="Q366" i="7"/>
  <c r="Q367" i="7" a="1"/>
  <c r="Q367" i="7"/>
  <c r="Q368" i="7" a="1"/>
  <c r="Q368" i="7"/>
  <c r="Q369" i="7" a="1"/>
  <c r="Q369" i="7"/>
  <c r="Q370" i="7" a="1"/>
  <c r="Q370" i="7"/>
  <c r="Q371" i="7" a="1"/>
  <c r="Q371" i="7"/>
  <c r="Q372" i="7" a="1"/>
  <c r="Q372" i="7"/>
  <c r="Q373" i="7" a="1"/>
  <c r="Q373" i="7"/>
  <c r="Q374" i="7" a="1"/>
  <c r="Q374" i="7"/>
  <c r="Q375" i="7" a="1"/>
  <c r="Q375" i="7"/>
  <c r="Q376" i="7" a="1"/>
  <c r="Q376" i="7"/>
  <c r="Q377" i="7" a="1"/>
  <c r="Q377" i="7"/>
  <c r="Q378" i="7" a="1"/>
  <c r="Q378" i="7"/>
  <c r="Q379" i="7" a="1"/>
  <c r="Q379" i="7"/>
  <c r="Q380" i="7" a="1"/>
  <c r="Q380" i="7"/>
  <c r="Q381" i="7" a="1"/>
  <c r="Q381" i="7"/>
  <c r="Q382" i="7" a="1"/>
  <c r="Q382" i="7"/>
  <c r="Q383" i="7" a="1"/>
  <c r="Q383" i="7"/>
  <c r="Q384" i="7" a="1"/>
  <c r="Q384" i="7"/>
  <c r="Q385" i="7" a="1"/>
  <c r="Q385" i="7"/>
  <c r="Q386" i="7" a="1"/>
  <c r="Q386" i="7"/>
  <c r="Q387" i="7" a="1"/>
  <c r="Q387" i="7"/>
  <c r="Q388" i="7" a="1"/>
  <c r="Q388" i="7"/>
  <c r="Q389" i="7" a="1"/>
  <c r="Q389" i="7"/>
  <c r="Q390" i="7" a="1"/>
  <c r="Q390" i="7"/>
  <c r="Q391" i="7" a="1"/>
  <c r="Q391" i="7"/>
  <c r="Q392" i="7" a="1"/>
  <c r="Q392" i="7"/>
  <c r="Q393" i="7" a="1"/>
  <c r="Q393" i="7"/>
  <c r="Q394" i="7" a="1"/>
  <c r="Q394" i="7"/>
  <c r="Q395" i="7" a="1"/>
  <c r="Q395" i="7"/>
  <c r="Q396" i="7" a="1"/>
  <c r="Q396" i="7"/>
  <c r="Q397" i="7" a="1"/>
  <c r="Q397" i="7"/>
  <c r="Q398" i="7" a="1"/>
  <c r="Q398" i="7"/>
  <c r="Q399" i="7" a="1"/>
  <c r="Q399" i="7"/>
  <c r="Q400" i="7" a="1"/>
  <c r="Q400" i="7"/>
  <c r="Q401" i="7" a="1"/>
  <c r="Q401" i="7"/>
  <c r="Q402" i="7" a="1"/>
  <c r="Q402" i="7"/>
  <c r="Q403" i="7" a="1"/>
  <c r="Q403" i="7"/>
  <c r="Q404" i="7" a="1"/>
  <c r="Q404" i="7"/>
  <c r="Q405" i="7" a="1"/>
  <c r="Q405" i="7"/>
  <c r="Q406" i="7" a="1"/>
  <c r="Q406" i="7"/>
  <c r="Q407" i="7" a="1"/>
  <c r="Q407" i="7"/>
  <c r="Q408" i="7" a="1"/>
  <c r="Q408" i="7"/>
  <c r="Q409" i="7" a="1"/>
  <c r="Q409" i="7"/>
  <c r="Q410" i="7" a="1"/>
  <c r="Q410" i="7"/>
  <c r="Q411" i="7" a="1"/>
  <c r="Q411" i="7"/>
  <c r="Q412" i="7" a="1"/>
  <c r="Q412" i="7"/>
  <c r="Q413" i="7" a="1"/>
  <c r="Q413" i="7"/>
  <c r="Q414" i="7" a="1"/>
  <c r="Q414" i="7"/>
  <c r="Q415" i="7" a="1"/>
  <c r="Q415" i="7"/>
  <c r="Q416" i="7" a="1"/>
  <c r="Q416" i="7"/>
  <c r="Q417" i="7" a="1"/>
  <c r="Q417" i="7"/>
  <c r="Q418" i="7" a="1"/>
  <c r="Q418" i="7"/>
  <c r="Q419" i="7" a="1"/>
  <c r="Q419" i="7"/>
  <c r="Q420" i="7" a="1"/>
  <c r="Q420" i="7"/>
  <c r="Q421" i="7" a="1"/>
  <c r="Q421" i="7"/>
  <c r="Q422" i="7" a="1"/>
  <c r="Q422" i="7"/>
  <c r="Q423" i="7" a="1"/>
  <c r="Q423" i="7"/>
  <c r="Q424" i="7" a="1"/>
  <c r="Q424" i="7"/>
  <c r="Q425" i="7" a="1"/>
  <c r="Q425" i="7"/>
  <c r="Q426" i="7" a="1"/>
  <c r="Q426" i="7"/>
  <c r="Q427" i="7" a="1"/>
  <c r="Q427" i="7"/>
  <c r="Q428" i="7" a="1"/>
  <c r="Q428" i="7"/>
  <c r="Q429" i="7" a="1"/>
  <c r="Q429" i="7"/>
  <c r="Q430" i="7" a="1"/>
  <c r="Q430" i="7"/>
  <c r="Q431" i="7" a="1"/>
  <c r="Q431" i="7"/>
  <c r="Q432" i="7" a="1"/>
  <c r="Q432" i="7"/>
  <c r="Q433" i="7" a="1"/>
  <c r="Q433" i="7"/>
  <c r="Q434" i="7" a="1"/>
  <c r="Q434" i="7"/>
  <c r="Q435" i="7" a="1"/>
  <c r="Q435" i="7"/>
  <c r="Q436" i="7" a="1"/>
  <c r="Q436" i="7"/>
  <c r="Q437" i="7" a="1"/>
  <c r="Q437" i="7"/>
  <c r="Q438" i="7" a="1"/>
  <c r="Q438" i="7"/>
  <c r="Q439" i="7" a="1"/>
  <c r="Q439" i="7"/>
  <c r="Q440" i="7" a="1"/>
  <c r="Q440" i="7"/>
  <c r="Q441" i="7" a="1"/>
  <c r="Q441" i="7"/>
  <c r="Q442" i="7" a="1"/>
  <c r="Q442" i="7"/>
  <c r="Q443" i="7" a="1"/>
  <c r="Q443" i="7"/>
  <c r="Q444" i="7" a="1"/>
  <c r="Q444" i="7"/>
  <c r="Q445" i="7" a="1"/>
  <c r="Q445" i="7"/>
  <c r="Q446" i="7" a="1"/>
  <c r="Q446" i="7"/>
  <c r="Q447" i="7" a="1"/>
  <c r="Q447" i="7"/>
  <c r="Q448" i="7" a="1"/>
  <c r="Q448" i="7"/>
  <c r="Q449" i="7" a="1"/>
  <c r="Q449" i="7"/>
  <c r="Q450" i="7" a="1"/>
  <c r="Q450" i="7"/>
  <c r="Q451" i="7" a="1"/>
  <c r="Q451" i="7"/>
  <c r="Q452" i="7" a="1"/>
  <c r="Q452" i="7"/>
  <c r="Q453" i="7" a="1"/>
  <c r="Q453" i="7"/>
  <c r="Q454" i="7" a="1"/>
  <c r="Q454" i="7"/>
  <c r="Q455" i="7" a="1"/>
  <c r="Q455" i="7"/>
  <c r="Q456" i="7" a="1"/>
  <c r="Q456" i="7"/>
  <c r="Q457" i="7" a="1"/>
  <c r="Q457" i="7"/>
  <c r="Q458" i="7" a="1"/>
  <c r="Q458" i="7"/>
  <c r="Q459" i="7" a="1"/>
  <c r="Q459" i="7"/>
  <c r="Q460" i="7" a="1"/>
  <c r="Q460" i="7"/>
  <c r="Q461" i="7" a="1"/>
  <c r="Q461" i="7"/>
  <c r="Q462" i="7" a="1"/>
  <c r="Q462" i="7"/>
  <c r="Q463" i="7" a="1"/>
  <c r="Q463" i="7"/>
  <c r="Q464" i="7" a="1"/>
  <c r="Q464" i="7"/>
  <c r="Q465" i="7" a="1"/>
  <c r="Q465" i="7"/>
  <c r="Q466" i="7" a="1"/>
  <c r="Q466" i="7"/>
  <c r="Q467" i="7" a="1"/>
  <c r="Q467" i="7"/>
  <c r="Q468" i="7" a="1"/>
  <c r="Q468" i="7"/>
  <c r="Q469" i="7" a="1"/>
  <c r="Q469" i="7"/>
  <c r="Q470" i="7" a="1"/>
  <c r="Q470" i="7"/>
  <c r="Q471" i="7" a="1"/>
  <c r="Q471" i="7"/>
  <c r="Q472" i="7" a="1"/>
  <c r="Q472" i="7"/>
  <c r="Q473" i="7" a="1"/>
  <c r="Q473" i="7"/>
  <c r="Q474" i="7" a="1"/>
  <c r="Q474" i="7"/>
  <c r="Q475" i="7" a="1"/>
  <c r="Q475" i="7"/>
  <c r="Q476" i="7" a="1"/>
  <c r="Q476" i="7"/>
  <c r="Q477" i="7" a="1"/>
  <c r="Q477" i="7"/>
  <c r="Q478" i="7" a="1"/>
  <c r="Q478" i="7"/>
  <c r="Q479" i="7" a="1"/>
  <c r="Q479" i="7"/>
  <c r="Q480" i="7" a="1"/>
  <c r="Q480" i="7"/>
  <c r="Q481" i="7" a="1"/>
  <c r="Q481" i="7"/>
  <c r="Q482" i="7" a="1"/>
  <c r="Q482" i="7"/>
  <c r="Q483" i="7" a="1"/>
  <c r="Q483" i="7"/>
  <c r="Q484" i="7" a="1"/>
  <c r="Q484" i="7"/>
  <c r="Q485" i="7" a="1"/>
  <c r="Q485" i="7"/>
  <c r="Q486" i="7" a="1"/>
  <c r="Q486" i="7"/>
  <c r="Q487" i="7" a="1"/>
  <c r="Q487" i="7"/>
  <c r="Q488" i="7" a="1"/>
  <c r="Q488" i="7"/>
  <c r="Q489" i="7" a="1"/>
  <c r="Q489" i="7"/>
  <c r="Q490" i="7" a="1"/>
  <c r="Q490" i="7"/>
  <c r="Q491" i="7" a="1"/>
  <c r="Q491" i="7"/>
  <c r="Q492" i="7" a="1"/>
  <c r="Q492" i="7"/>
  <c r="Q493" i="7" a="1"/>
  <c r="Q493" i="7"/>
  <c r="Q494" i="7" a="1"/>
  <c r="Q494" i="7"/>
  <c r="Q495" i="7" a="1"/>
  <c r="Q495" i="7"/>
  <c r="Q496" i="7" a="1"/>
  <c r="Q496" i="7"/>
  <c r="Q497" i="7" a="1"/>
  <c r="Q497" i="7"/>
  <c r="Q498" i="7" a="1"/>
  <c r="Q498" i="7"/>
  <c r="Q499" i="7" a="1"/>
  <c r="Q499" i="7"/>
  <c r="Q500" i="7" a="1"/>
  <c r="Q500" i="7"/>
  <c r="Q501" i="7" a="1"/>
  <c r="Q501" i="7"/>
  <c r="Q502" i="7" a="1"/>
  <c r="Q502" i="7"/>
  <c r="Q503" i="7" a="1"/>
  <c r="Q503" i="7"/>
  <c r="Q504" i="7" a="1"/>
  <c r="Q504" i="7"/>
  <c r="Q505" i="7" a="1"/>
  <c r="Q505" i="7"/>
  <c r="Q506" i="7" a="1"/>
  <c r="Q506" i="7"/>
  <c r="Q507" i="7" a="1"/>
  <c r="Q507" i="7"/>
  <c r="Q508" i="7" a="1"/>
  <c r="Q508" i="7"/>
  <c r="Q509" i="7" a="1"/>
  <c r="Q509" i="7"/>
  <c r="Q510" i="7" a="1"/>
  <c r="Q510" i="7"/>
  <c r="Q511" i="7" a="1"/>
  <c r="Q511" i="7"/>
  <c r="Q512" i="7" a="1"/>
  <c r="Q512" i="7"/>
  <c r="Q513" i="7" a="1"/>
  <c r="Q513" i="7"/>
  <c r="Q514" i="7" a="1"/>
  <c r="Q514" i="7"/>
  <c r="Q515" i="7" a="1"/>
  <c r="Q515" i="7"/>
  <c r="Q516" i="7" a="1"/>
  <c r="Q516" i="7"/>
  <c r="Q517" i="7" a="1"/>
  <c r="Q517" i="7"/>
  <c r="Q518" i="7" a="1"/>
  <c r="Q518" i="7"/>
  <c r="Q519" i="7" a="1"/>
  <c r="Q519" i="7"/>
  <c r="Q520" i="7" a="1"/>
  <c r="Q520" i="7"/>
  <c r="Q521" i="7" a="1"/>
  <c r="Q521" i="7"/>
  <c r="Q522" i="7" a="1"/>
  <c r="Q522" i="7"/>
  <c r="Q523" i="7" a="1"/>
  <c r="Q523" i="7"/>
  <c r="Q524" i="7" a="1"/>
  <c r="Q524" i="7"/>
  <c r="Q525" i="7" a="1"/>
  <c r="Q525" i="7"/>
  <c r="Q526" i="7" a="1"/>
  <c r="Q526" i="7"/>
  <c r="Q527" i="7" a="1"/>
  <c r="Q527" i="7"/>
  <c r="Q528" i="7" a="1"/>
  <c r="Q528" i="7"/>
  <c r="Q529" i="7" a="1"/>
  <c r="Q529" i="7"/>
  <c r="Q530" i="7" a="1"/>
  <c r="Q530" i="7"/>
  <c r="Q531" i="7" a="1"/>
  <c r="Q531" i="7"/>
  <c r="Q532" i="7" a="1"/>
  <c r="Q532" i="7"/>
  <c r="Q533" i="7" a="1"/>
  <c r="Q533" i="7"/>
  <c r="Q534" i="7" a="1"/>
  <c r="Q534" i="7"/>
  <c r="Q535" i="7" a="1"/>
  <c r="Q535" i="7"/>
  <c r="Q536" i="7" a="1"/>
  <c r="Q536" i="7"/>
  <c r="Q537" i="7" a="1"/>
  <c r="Q537" i="7"/>
  <c r="Q538" i="7" a="1"/>
  <c r="Q538" i="7"/>
  <c r="Q539" i="7" a="1"/>
  <c r="Q539" i="7"/>
  <c r="Q540" i="7" a="1"/>
  <c r="Q540" i="7"/>
  <c r="Q541" i="7" a="1"/>
  <c r="Q541" i="7"/>
  <c r="Q542" i="7" a="1"/>
  <c r="Q542" i="7"/>
  <c r="Q543" i="7" a="1"/>
  <c r="Q543" i="7"/>
  <c r="Q544" i="7" a="1"/>
  <c r="Q544" i="7"/>
  <c r="Q545" i="7" a="1"/>
  <c r="Q545" i="7"/>
  <c r="Q546" i="7" a="1"/>
  <c r="Q546" i="7"/>
  <c r="Q547" i="7" a="1"/>
  <c r="Q547" i="7"/>
  <c r="Q548" i="7" a="1"/>
  <c r="Q548" i="7"/>
  <c r="Q549" i="7" a="1"/>
  <c r="Q549" i="7"/>
  <c r="Q550" i="7" a="1"/>
  <c r="Q550" i="7"/>
  <c r="Q551" i="7" a="1"/>
  <c r="Q551" i="7"/>
  <c r="Q552" i="7" a="1"/>
  <c r="Q552" i="7"/>
  <c r="Q553" i="7" a="1"/>
  <c r="Q553" i="7"/>
  <c r="Q554" i="7" a="1"/>
  <c r="Q554" i="7"/>
  <c r="Q555" i="7" a="1"/>
  <c r="Q555" i="7"/>
  <c r="Q556" i="7" a="1"/>
  <c r="Q556" i="7"/>
  <c r="Q557" i="7" a="1"/>
  <c r="Q557" i="7"/>
  <c r="Q558" i="7" a="1"/>
  <c r="Q558" i="7"/>
  <c r="Q559" i="7" a="1"/>
  <c r="Q559" i="7"/>
  <c r="Q560" i="7" a="1"/>
  <c r="Q560" i="7"/>
  <c r="Q561" i="7" a="1"/>
  <c r="Q561" i="7"/>
  <c r="Q562" i="7" a="1"/>
  <c r="Q562" i="7"/>
  <c r="Q563" i="7" a="1"/>
  <c r="Q563" i="7"/>
  <c r="Q564" i="7" a="1"/>
  <c r="Q564" i="7"/>
  <c r="Q565" i="7" a="1"/>
  <c r="Q565" i="7"/>
  <c r="Q566" i="7" a="1"/>
  <c r="Q566" i="7"/>
  <c r="Q567" i="7" a="1"/>
  <c r="Q567" i="7"/>
  <c r="Q568" i="7" a="1"/>
  <c r="Q568" i="7"/>
  <c r="Q569" i="7" a="1"/>
  <c r="Q569" i="7"/>
  <c r="Q570" i="7" a="1"/>
  <c r="Q570" i="7"/>
  <c r="Q571" i="7" a="1"/>
  <c r="Q571" i="7"/>
  <c r="Q572" i="7" a="1"/>
  <c r="Q572" i="7"/>
  <c r="Q573" i="7" a="1"/>
  <c r="Q573" i="7"/>
  <c r="Q574" i="7" a="1"/>
  <c r="Q574" i="7"/>
  <c r="Q575" i="7" a="1"/>
  <c r="Q575" i="7"/>
  <c r="Q576" i="7" a="1"/>
  <c r="Q576" i="7"/>
  <c r="Q577" i="7" a="1"/>
  <c r="Q577" i="7"/>
  <c r="Q578" i="7" a="1"/>
  <c r="Q578" i="7"/>
  <c r="Q579" i="7" a="1"/>
  <c r="Q579" i="7"/>
  <c r="Q580" i="7" a="1"/>
  <c r="Q580" i="7"/>
  <c r="Q581" i="7" a="1"/>
  <c r="Q581" i="7"/>
  <c r="Q582" i="7" a="1"/>
  <c r="Q582" i="7"/>
  <c r="Q583" i="7" a="1"/>
  <c r="Q583" i="7"/>
  <c r="Q584" i="7" a="1"/>
  <c r="Q584" i="7"/>
  <c r="Q585" i="7" a="1"/>
  <c r="Q585" i="7"/>
  <c r="Q586" i="7" a="1"/>
  <c r="Q586" i="7"/>
  <c r="Q587" i="7" a="1"/>
  <c r="Q587" i="7"/>
  <c r="Q588" i="7" a="1"/>
  <c r="Q588" i="7"/>
  <c r="Q589" i="7" a="1"/>
  <c r="Q589" i="7"/>
  <c r="Q590" i="7" a="1"/>
  <c r="Q590" i="7"/>
  <c r="Q591" i="7" a="1"/>
  <c r="Q591" i="7"/>
  <c r="Q592" i="7" a="1"/>
  <c r="Q592" i="7"/>
  <c r="Q593" i="7" a="1"/>
  <c r="Q593" i="7"/>
  <c r="Q594" i="7" a="1"/>
  <c r="Q594" i="7"/>
  <c r="Q595" i="7" a="1"/>
  <c r="Q595" i="7"/>
  <c r="Q596" i="7" a="1"/>
  <c r="Q596" i="7"/>
  <c r="Q597" i="7" a="1"/>
  <c r="Q597" i="7"/>
  <c r="Q598" i="7" a="1"/>
  <c r="Q598" i="7"/>
  <c r="Q599" i="7" a="1"/>
  <c r="Q599" i="7"/>
  <c r="Q600" i="7" a="1"/>
  <c r="Q600" i="7"/>
  <c r="Q601" i="7" a="1"/>
  <c r="Q601" i="7"/>
  <c r="Q602" i="7" a="1"/>
  <c r="Q602" i="7"/>
  <c r="Q603" i="7" a="1"/>
  <c r="Q603" i="7"/>
  <c r="Q604" i="7" a="1"/>
  <c r="Q604" i="7"/>
  <c r="Q605" i="7" a="1"/>
  <c r="Q605" i="7"/>
  <c r="Q606" i="7" a="1"/>
  <c r="Q606" i="7"/>
  <c r="Q607" i="7" a="1"/>
  <c r="Q607" i="7"/>
  <c r="Q608" i="7" a="1"/>
  <c r="Q608" i="7"/>
  <c r="Q609" i="7" a="1"/>
  <c r="Q609" i="7"/>
  <c r="Q610" i="7" a="1"/>
  <c r="Q610" i="7"/>
  <c r="Q611" i="7" a="1"/>
  <c r="Q611" i="7"/>
  <c r="Q612" i="7" a="1"/>
  <c r="Q612" i="7"/>
  <c r="Q613" i="7" a="1"/>
  <c r="Q613" i="7"/>
  <c r="Q614" i="7" a="1"/>
  <c r="Q614" i="7"/>
  <c r="Q615" i="7" a="1"/>
  <c r="Q615" i="7"/>
  <c r="Q616" i="7" a="1"/>
  <c r="Q616" i="7"/>
  <c r="Q617" i="7" a="1"/>
  <c r="Q617" i="7"/>
  <c r="Q618" i="7" a="1"/>
  <c r="Q618" i="7"/>
  <c r="Q619" i="7" a="1"/>
  <c r="Q619" i="7"/>
  <c r="Q620" i="7" a="1"/>
  <c r="Q620" i="7"/>
  <c r="Q621" i="7" a="1"/>
  <c r="Q621" i="7"/>
  <c r="Q622" i="7" a="1"/>
  <c r="Q622" i="7"/>
  <c r="Q623" i="7" a="1"/>
  <c r="Q623" i="7"/>
  <c r="Q624" i="7" a="1"/>
  <c r="Q624" i="7"/>
  <c r="Q625" i="7" a="1"/>
  <c r="Q625" i="7"/>
  <c r="Q626" i="7" a="1"/>
  <c r="Q626" i="7"/>
  <c r="Q627" i="7" a="1"/>
  <c r="Q627" i="7"/>
  <c r="Q628" i="7" a="1"/>
  <c r="Q628" i="7"/>
  <c r="Q629" i="7" a="1"/>
  <c r="Q629" i="7"/>
  <c r="Q630" i="7" a="1"/>
  <c r="Q630" i="7"/>
  <c r="Q631" i="7" a="1"/>
  <c r="Q631" i="7"/>
  <c r="Q632" i="7" a="1"/>
  <c r="Q632" i="7"/>
  <c r="Q633" i="7" a="1"/>
  <c r="Q633" i="7"/>
  <c r="Q634" i="7" a="1"/>
  <c r="Q634" i="7"/>
  <c r="Q635" i="7" a="1"/>
  <c r="Q635" i="7"/>
  <c r="Q636" i="7" a="1"/>
  <c r="Q636" i="7"/>
  <c r="Q637" i="7" a="1"/>
  <c r="Q637" i="7"/>
  <c r="Q638" i="7" a="1"/>
  <c r="Q638" i="7"/>
  <c r="Q639" i="7" a="1"/>
  <c r="Q639" i="7"/>
  <c r="Q640" i="7" a="1"/>
  <c r="Q640" i="7"/>
  <c r="Q641" i="7" a="1"/>
  <c r="Q641" i="7"/>
  <c r="Q642" i="7" a="1"/>
  <c r="Q642" i="7"/>
  <c r="Q643" i="7" a="1"/>
  <c r="Q643" i="7"/>
  <c r="Q644" i="7" a="1"/>
  <c r="Q644" i="7"/>
  <c r="Q645" i="7" a="1"/>
  <c r="Q645" i="7"/>
  <c r="Q646" i="7" a="1"/>
  <c r="Q646" i="7"/>
  <c r="Q647" i="7" a="1"/>
  <c r="Q647" i="7"/>
  <c r="Q6" i="7" a="1"/>
  <c r="Q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7" i="7"/>
  <c r="M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" i="7"/>
  <c r="J7" i="7"/>
  <c r="K7" i="7" s="1"/>
  <c r="N7" i="7" s="1" a="1"/>
  <c r="N7" i="7" s="1"/>
  <c r="J8" i="7"/>
  <c r="K8" i="7" s="1"/>
  <c r="N8" i="7" s="1" a="1"/>
  <c r="N8" i="7" s="1"/>
  <c r="J9" i="7"/>
  <c r="K9" i="7" s="1"/>
  <c r="N9" i="7" s="1" a="1"/>
  <c r="N9" i="7" s="1"/>
  <c r="J10" i="7"/>
  <c r="K10" i="7" s="1"/>
  <c r="N10" i="7" s="1" a="1"/>
  <c r="N10" i="7" s="1"/>
  <c r="J11" i="7"/>
  <c r="K11" i="7" s="1"/>
  <c r="N11" i="7" s="1" a="1"/>
  <c r="N11" i="7" s="1"/>
  <c r="J12" i="7"/>
  <c r="K12" i="7" s="1"/>
  <c r="N12" i="7" s="1" a="1"/>
  <c r="N12" i="7" s="1"/>
  <c r="J13" i="7"/>
  <c r="K13" i="7" s="1"/>
  <c r="N13" i="7" s="1" a="1"/>
  <c r="N13" i="7" s="1"/>
  <c r="J14" i="7"/>
  <c r="K14" i="7" s="1"/>
  <c r="N14" i="7" s="1" a="1"/>
  <c r="N14" i="7" s="1"/>
  <c r="J15" i="7"/>
  <c r="K15" i="7" s="1"/>
  <c r="N15" i="7" s="1" a="1"/>
  <c r="N15" i="7" s="1"/>
  <c r="J16" i="7"/>
  <c r="K16" i="7" s="1"/>
  <c r="N16" i="7" s="1" a="1"/>
  <c r="N16" i="7" s="1"/>
  <c r="J17" i="7"/>
  <c r="K17" i="7" s="1"/>
  <c r="N17" i="7" s="1" a="1"/>
  <c r="N17" i="7" s="1"/>
  <c r="J18" i="7"/>
  <c r="K18" i="7" s="1"/>
  <c r="N18" i="7" s="1" a="1"/>
  <c r="N18" i="7" s="1"/>
  <c r="J19" i="7"/>
  <c r="K19" i="7" s="1"/>
  <c r="N19" i="7" s="1" a="1"/>
  <c r="N19" i="7" s="1"/>
  <c r="J20" i="7"/>
  <c r="K20" i="7" s="1"/>
  <c r="N20" i="7" s="1" a="1"/>
  <c r="N20" i="7" s="1"/>
  <c r="J21" i="7"/>
  <c r="K21" i="7" s="1"/>
  <c r="N21" i="7" s="1" a="1"/>
  <c r="N21" i="7" s="1"/>
  <c r="J22" i="7"/>
  <c r="K22" i="7" s="1"/>
  <c r="N22" i="7" s="1" a="1"/>
  <c r="N22" i="7" s="1"/>
  <c r="J23" i="7"/>
  <c r="K23" i="7" s="1"/>
  <c r="N23" i="7" s="1" a="1"/>
  <c r="N23" i="7" s="1"/>
  <c r="J24" i="7"/>
  <c r="K24" i="7" s="1"/>
  <c r="N24" i="7" s="1" a="1"/>
  <c r="N24" i="7" s="1"/>
  <c r="J25" i="7"/>
  <c r="K25" i="7" s="1"/>
  <c r="N25" i="7" s="1" a="1"/>
  <c r="N25" i="7" s="1"/>
  <c r="J26" i="7"/>
  <c r="K26" i="7" s="1"/>
  <c r="N26" i="7" s="1" a="1"/>
  <c r="N26" i="7" s="1"/>
  <c r="J27" i="7"/>
  <c r="K27" i="7" s="1"/>
  <c r="N27" i="7" s="1" a="1"/>
  <c r="N27" i="7" s="1"/>
  <c r="J28" i="7"/>
  <c r="K28" i="7" s="1"/>
  <c r="N28" i="7" s="1" a="1"/>
  <c r="N28" i="7" s="1"/>
  <c r="J29" i="7"/>
  <c r="K29" i="7" s="1"/>
  <c r="N29" i="7" s="1" a="1"/>
  <c r="N29" i="7" s="1"/>
  <c r="J30" i="7"/>
  <c r="K30" i="7" s="1"/>
  <c r="N30" i="7" s="1" a="1"/>
  <c r="N30" i="7" s="1"/>
  <c r="J31" i="7"/>
  <c r="K31" i="7" s="1"/>
  <c r="N31" i="7" s="1" a="1"/>
  <c r="N31" i="7" s="1"/>
  <c r="J32" i="7"/>
  <c r="K32" i="7" s="1"/>
  <c r="N32" i="7" s="1" a="1"/>
  <c r="N32" i="7" s="1"/>
  <c r="J33" i="7"/>
  <c r="K33" i="7" s="1"/>
  <c r="N33" i="7" s="1" a="1"/>
  <c r="N33" i="7" s="1"/>
  <c r="J34" i="7"/>
  <c r="K34" i="7" s="1"/>
  <c r="N34" i="7" s="1" a="1"/>
  <c r="N34" i="7" s="1"/>
  <c r="J35" i="7"/>
  <c r="K35" i="7" s="1"/>
  <c r="N35" i="7" s="1" a="1"/>
  <c r="N35" i="7" s="1"/>
  <c r="J36" i="7"/>
  <c r="K36" i="7" s="1"/>
  <c r="N36" i="7" s="1" a="1"/>
  <c r="N36" i="7" s="1"/>
  <c r="J37" i="7"/>
  <c r="K37" i="7" s="1"/>
  <c r="N37" i="7" s="1" a="1"/>
  <c r="N37" i="7" s="1"/>
  <c r="J38" i="7"/>
  <c r="K38" i="7" s="1"/>
  <c r="N38" i="7" s="1" a="1"/>
  <c r="N38" i="7" s="1"/>
  <c r="J39" i="7"/>
  <c r="K39" i="7" s="1"/>
  <c r="N39" i="7" s="1" a="1"/>
  <c r="N39" i="7" s="1"/>
  <c r="J40" i="7"/>
  <c r="K40" i="7" s="1"/>
  <c r="N40" i="7" s="1" a="1"/>
  <c r="N40" i="7" s="1"/>
  <c r="J41" i="7"/>
  <c r="K41" i="7" s="1"/>
  <c r="N41" i="7" s="1" a="1"/>
  <c r="N41" i="7" s="1"/>
  <c r="J42" i="7"/>
  <c r="K42" i="7" s="1"/>
  <c r="N42" i="7" s="1" a="1"/>
  <c r="N42" i="7" s="1"/>
  <c r="J43" i="7"/>
  <c r="K43" i="7" s="1"/>
  <c r="N43" i="7" s="1" a="1"/>
  <c r="N43" i="7" s="1"/>
  <c r="J44" i="7"/>
  <c r="K44" i="7" s="1"/>
  <c r="N44" i="7" s="1" a="1"/>
  <c r="N44" i="7" s="1"/>
  <c r="J45" i="7"/>
  <c r="K45" i="7" s="1"/>
  <c r="N45" i="7" s="1" a="1"/>
  <c r="N45" i="7" s="1"/>
  <c r="J46" i="7"/>
  <c r="K46" i="7" s="1"/>
  <c r="N46" i="7" s="1" a="1"/>
  <c r="N46" i="7" s="1"/>
  <c r="J47" i="7"/>
  <c r="K47" i="7" s="1"/>
  <c r="N47" i="7" s="1" a="1"/>
  <c r="N47" i="7" s="1"/>
  <c r="J48" i="7"/>
  <c r="K48" i="7" s="1"/>
  <c r="N48" i="7" s="1" a="1"/>
  <c r="N48" i="7" s="1"/>
  <c r="J49" i="7"/>
  <c r="K49" i="7" s="1"/>
  <c r="N49" i="7" s="1" a="1"/>
  <c r="N49" i="7" s="1"/>
  <c r="J50" i="7"/>
  <c r="K50" i="7" s="1"/>
  <c r="N50" i="7" s="1" a="1"/>
  <c r="N50" i="7" s="1"/>
  <c r="J51" i="7"/>
  <c r="K51" i="7" s="1"/>
  <c r="N51" i="7" s="1" a="1"/>
  <c r="N51" i="7" s="1"/>
  <c r="J52" i="7"/>
  <c r="K52" i="7" s="1"/>
  <c r="N52" i="7" s="1" a="1"/>
  <c r="N52" i="7" s="1"/>
  <c r="J53" i="7"/>
  <c r="K53" i="7" s="1"/>
  <c r="N53" i="7" s="1" a="1"/>
  <c r="N53" i="7" s="1"/>
  <c r="J54" i="7"/>
  <c r="K54" i="7" s="1"/>
  <c r="N54" i="7" s="1" a="1"/>
  <c r="N54" i="7" s="1"/>
  <c r="J55" i="7"/>
  <c r="K55" i="7" s="1"/>
  <c r="N55" i="7" s="1" a="1"/>
  <c r="N55" i="7" s="1"/>
  <c r="J56" i="7"/>
  <c r="K56" i="7" s="1"/>
  <c r="N56" i="7" s="1" a="1"/>
  <c r="N56" i="7" s="1"/>
  <c r="J57" i="7"/>
  <c r="K57" i="7" s="1"/>
  <c r="N57" i="7" s="1" a="1"/>
  <c r="N57" i="7" s="1"/>
  <c r="J58" i="7"/>
  <c r="K58" i="7" s="1"/>
  <c r="N58" i="7" s="1" a="1"/>
  <c r="N58" i="7" s="1"/>
  <c r="J59" i="7"/>
  <c r="K59" i="7" s="1"/>
  <c r="N59" i="7" s="1" a="1"/>
  <c r="N59" i="7" s="1"/>
  <c r="J60" i="7"/>
  <c r="K60" i="7" s="1"/>
  <c r="N60" i="7" s="1" a="1"/>
  <c r="N60" i="7" s="1"/>
  <c r="J61" i="7"/>
  <c r="K61" i="7" s="1"/>
  <c r="N61" i="7" s="1" a="1"/>
  <c r="N61" i="7" s="1"/>
  <c r="J62" i="7"/>
  <c r="K62" i="7" s="1"/>
  <c r="N62" i="7" s="1" a="1"/>
  <c r="N62" i="7" s="1"/>
  <c r="J63" i="7"/>
  <c r="K63" i="7" s="1"/>
  <c r="N63" i="7" s="1" a="1"/>
  <c r="N63" i="7" s="1"/>
  <c r="J64" i="7"/>
  <c r="K64" i="7" s="1"/>
  <c r="N64" i="7" s="1" a="1"/>
  <c r="N64" i="7" s="1"/>
  <c r="J65" i="7"/>
  <c r="K65" i="7" s="1"/>
  <c r="N65" i="7" s="1" a="1"/>
  <c r="N65" i="7" s="1"/>
  <c r="J66" i="7"/>
  <c r="K66" i="7" s="1"/>
  <c r="N66" i="7" s="1" a="1"/>
  <c r="N66" i="7" s="1"/>
  <c r="J67" i="7"/>
  <c r="K67" i="7" s="1"/>
  <c r="N67" i="7" s="1" a="1"/>
  <c r="N67" i="7" s="1"/>
  <c r="J68" i="7"/>
  <c r="K68" i="7" s="1"/>
  <c r="N68" i="7" s="1" a="1"/>
  <c r="N68" i="7" s="1"/>
  <c r="J69" i="7"/>
  <c r="K69" i="7" s="1"/>
  <c r="N69" i="7" s="1" a="1"/>
  <c r="N69" i="7" s="1"/>
  <c r="J70" i="7"/>
  <c r="K70" i="7" s="1"/>
  <c r="N70" i="7" s="1" a="1"/>
  <c r="N70" i="7" s="1"/>
  <c r="J71" i="7"/>
  <c r="K71" i="7" s="1"/>
  <c r="N71" i="7" s="1" a="1"/>
  <c r="N71" i="7" s="1"/>
  <c r="J72" i="7"/>
  <c r="K72" i="7" s="1"/>
  <c r="N72" i="7" s="1" a="1"/>
  <c r="N72" i="7" s="1"/>
  <c r="J73" i="7"/>
  <c r="K73" i="7" s="1"/>
  <c r="N73" i="7" s="1" a="1"/>
  <c r="N73" i="7" s="1"/>
  <c r="J74" i="7"/>
  <c r="K74" i="7" s="1"/>
  <c r="N74" i="7" s="1" a="1"/>
  <c r="N74" i="7" s="1"/>
  <c r="J75" i="7"/>
  <c r="K75" i="7" s="1"/>
  <c r="N75" i="7" s="1" a="1"/>
  <c r="N75" i="7" s="1"/>
  <c r="J76" i="7"/>
  <c r="K76" i="7" s="1"/>
  <c r="N76" i="7" s="1" a="1"/>
  <c r="N76" i="7" s="1"/>
  <c r="J77" i="7"/>
  <c r="K77" i="7" s="1"/>
  <c r="N77" i="7" s="1" a="1"/>
  <c r="N77" i="7" s="1"/>
  <c r="J78" i="7"/>
  <c r="K78" i="7" s="1"/>
  <c r="N78" i="7" s="1" a="1"/>
  <c r="N78" i="7" s="1"/>
  <c r="J79" i="7"/>
  <c r="K79" i="7" s="1"/>
  <c r="N79" i="7" s="1" a="1"/>
  <c r="N79" i="7" s="1"/>
  <c r="J80" i="7"/>
  <c r="K80" i="7" s="1"/>
  <c r="N80" i="7" s="1" a="1"/>
  <c r="N80" i="7" s="1"/>
  <c r="J81" i="7"/>
  <c r="K81" i="7" s="1"/>
  <c r="N81" i="7" s="1" a="1"/>
  <c r="N81" i="7" s="1"/>
  <c r="J82" i="7"/>
  <c r="K82" i="7" s="1"/>
  <c r="N82" i="7" s="1" a="1"/>
  <c r="N82" i="7" s="1"/>
  <c r="J83" i="7"/>
  <c r="K83" i="7" s="1"/>
  <c r="N83" i="7" s="1" a="1"/>
  <c r="N83" i="7" s="1"/>
  <c r="J84" i="7"/>
  <c r="K84" i="7" s="1"/>
  <c r="N84" i="7" s="1" a="1"/>
  <c r="N84" i="7" s="1"/>
  <c r="J85" i="7"/>
  <c r="K85" i="7" s="1"/>
  <c r="N85" i="7" s="1" a="1"/>
  <c r="N85" i="7" s="1"/>
  <c r="J86" i="7"/>
  <c r="K86" i="7" s="1"/>
  <c r="N86" i="7" s="1" a="1"/>
  <c r="N86" i="7" s="1"/>
  <c r="J87" i="7"/>
  <c r="K87" i="7" s="1"/>
  <c r="N87" i="7" s="1" a="1"/>
  <c r="N87" i="7" s="1"/>
  <c r="J88" i="7"/>
  <c r="K88" i="7" s="1"/>
  <c r="N88" i="7" s="1" a="1"/>
  <c r="N88" i="7" s="1"/>
  <c r="J89" i="7"/>
  <c r="K89" i="7" s="1"/>
  <c r="N89" i="7" s="1" a="1"/>
  <c r="N89" i="7" s="1"/>
  <c r="J90" i="7"/>
  <c r="K90" i="7" s="1"/>
  <c r="N90" i="7" s="1" a="1"/>
  <c r="N90" i="7" s="1"/>
  <c r="J91" i="7"/>
  <c r="K91" i="7" s="1"/>
  <c r="N91" i="7" s="1" a="1"/>
  <c r="N91" i="7" s="1"/>
  <c r="J92" i="7"/>
  <c r="K92" i="7" s="1"/>
  <c r="N92" i="7" s="1" a="1"/>
  <c r="N92" i="7" s="1"/>
  <c r="J93" i="7"/>
  <c r="K93" i="7" s="1"/>
  <c r="N93" i="7" s="1" a="1"/>
  <c r="N93" i="7" s="1"/>
  <c r="J94" i="7"/>
  <c r="K94" i="7" s="1"/>
  <c r="N94" i="7" s="1" a="1"/>
  <c r="N94" i="7" s="1"/>
  <c r="J95" i="7"/>
  <c r="K95" i="7" s="1"/>
  <c r="N95" i="7" s="1" a="1"/>
  <c r="N95" i="7" s="1"/>
  <c r="J96" i="7"/>
  <c r="K96" i="7" s="1"/>
  <c r="N96" i="7" s="1" a="1"/>
  <c r="N96" i="7" s="1"/>
  <c r="J97" i="7"/>
  <c r="K97" i="7" s="1"/>
  <c r="N97" i="7" s="1" a="1"/>
  <c r="N97" i="7" s="1"/>
  <c r="J98" i="7"/>
  <c r="K98" i="7" s="1"/>
  <c r="N98" i="7" s="1" a="1"/>
  <c r="N98" i="7" s="1"/>
  <c r="J99" i="7"/>
  <c r="K99" i="7" s="1"/>
  <c r="N99" i="7" s="1" a="1"/>
  <c r="N99" i="7" s="1"/>
  <c r="J100" i="7"/>
  <c r="K100" i="7" s="1"/>
  <c r="N100" i="7" s="1" a="1"/>
  <c r="N100" i="7" s="1"/>
  <c r="J101" i="7"/>
  <c r="K101" i="7" s="1"/>
  <c r="N101" i="7" s="1" a="1"/>
  <c r="N101" i="7" s="1"/>
  <c r="J102" i="7"/>
  <c r="K102" i="7" s="1"/>
  <c r="N102" i="7" s="1" a="1"/>
  <c r="N102" i="7" s="1"/>
  <c r="J103" i="7"/>
  <c r="K103" i="7" s="1"/>
  <c r="N103" i="7" s="1" a="1"/>
  <c r="N103" i="7" s="1"/>
  <c r="J104" i="7"/>
  <c r="K104" i="7" s="1"/>
  <c r="N104" i="7" s="1" a="1"/>
  <c r="N104" i="7" s="1"/>
  <c r="J105" i="7"/>
  <c r="K105" i="7" s="1"/>
  <c r="N105" i="7" s="1" a="1"/>
  <c r="N105" i="7" s="1"/>
  <c r="J106" i="7"/>
  <c r="K106" i="7" s="1"/>
  <c r="N106" i="7" s="1" a="1"/>
  <c r="N106" i="7" s="1"/>
  <c r="J107" i="7"/>
  <c r="K107" i="7" s="1"/>
  <c r="N107" i="7" s="1" a="1"/>
  <c r="N107" i="7" s="1"/>
  <c r="J108" i="7"/>
  <c r="K108" i="7" s="1"/>
  <c r="N108" i="7" s="1" a="1"/>
  <c r="N108" i="7" s="1"/>
  <c r="J109" i="7"/>
  <c r="K109" i="7" s="1"/>
  <c r="N109" i="7" s="1" a="1"/>
  <c r="N109" i="7" s="1"/>
  <c r="J110" i="7"/>
  <c r="K110" i="7" s="1"/>
  <c r="N110" i="7" s="1" a="1"/>
  <c r="N110" i="7" s="1"/>
  <c r="J111" i="7"/>
  <c r="K111" i="7" s="1"/>
  <c r="N111" i="7" s="1" a="1"/>
  <c r="N111" i="7" s="1"/>
  <c r="J112" i="7"/>
  <c r="K112" i="7" s="1"/>
  <c r="N112" i="7" s="1" a="1"/>
  <c r="N112" i="7" s="1"/>
  <c r="J113" i="7"/>
  <c r="K113" i="7" s="1"/>
  <c r="N113" i="7" s="1" a="1"/>
  <c r="N113" i="7" s="1"/>
  <c r="J114" i="7"/>
  <c r="K114" i="7" s="1"/>
  <c r="N114" i="7" s="1" a="1"/>
  <c r="N114" i="7" s="1"/>
  <c r="J115" i="7"/>
  <c r="K115" i="7" s="1"/>
  <c r="N115" i="7" s="1" a="1"/>
  <c r="N115" i="7" s="1"/>
  <c r="J116" i="7"/>
  <c r="K116" i="7" s="1"/>
  <c r="N116" i="7" s="1" a="1"/>
  <c r="N116" i="7" s="1"/>
  <c r="J117" i="7"/>
  <c r="K117" i="7" s="1"/>
  <c r="N117" i="7" s="1" a="1"/>
  <c r="N117" i="7" s="1"/>
  <c r="J118" i="7"/>
  <c r="K118" i="7" s="1"/>
  <c r="N118" i="7" s="1" a="1"/>
  <c r="N118" i="7" s="1"/>
  <c r="J119" i="7"/>
  <c r="K119" i="7" s="1"/>
  <c r="N119" i="7" s="1" a="1"/>
  <c r="N119" i="7" s="1"/>
  <c r="J120" i="7"/>
  <c r="K120" i="7" s="1"/>
  <c r="N120" i="7" s="1" a="1"/>
  <c r="N120" i="7" s="1"/>
  <c r="J121" i="7"/>
  <c r="K121" i="7" s="1"/>
  <c r="N121" i="7" s="1" a="1"/>
  <c r="N121" i="7" s="1"/>
  <c r="J122" i="7"/>
  <c r="K122" i="7" s="1"/>
  <c r="N122" i="7" s="1" a="1"/>
  <c r="N122" i="7" s="1"/>
  <c r="J123" i="7"/>
  <c r="K123" i="7" s="1"/>
  <c r="N123" i="7" s="1" a="1"/>
  <c r="N123" i="7" s="1"/>
  <c r="J124" i="7"/>
  <c r="K124" i="7" s="1"/>
  <c r="N124" i="7" s="1" a="1"/>
  <c r="N124" i="7" s="1"/>
  <c r="J125" i="7"/>
  <c r="K125" i="7" s="1"/>
  <c r="N125" i="7" s="1" a="1"/>
  <c r="N125" i="7" s="1"/>
  <c r="J126" i="7"/>
  <c r="K126" i="7" s="1"/>
  <c r="N126" i="7" s="1" a="1"/>
  <c r="N126" i="7" s="1"/>
  <c r="J127" i="7"/>
  <c r="K127" i="7" s="1"/>
  <c r="N127" i="7" s="1" a="1"/>
  <c r="N127" i="7" s="1"/>
  <c r="J128" i="7"/>
  <c r="K128" i="7" s="1"/>
  <c r="N128" i="7" s="1" a="1"/>
  <c r="N128" i="7" s="1"/>
  <c r="J129" i="7"/>
  <c r="K129" i="7" s="1"/>
  <c r="N129" i="7" s="1" a="1"/>
  <c r="N129" i="7" s="1"/>
  <c r="J130" i="7"/>
  <c r="K130" i="7" s="1"/>
  <c r="N130" i="7" s="1" a="1"/>
  <c r="N130" i="7" s="1"/>
  <c r="J131" i="7"/>
  <c r="K131" i="7" s="1"/>
  <c r="N131" i="7" s="1" a="1"/>
  <c r="N131" i="7" s="1"/>
  <c r="J132" i="7"/>
  <c r="K132" i="7" s="1"/>
  <c r="N132" i="7" s="1" a="1"/>
  <c r="N132" i="7" s="1"/>
  <c r="J133" i="7"/>
  <c r="K133" i="7" s="1"/>
  <c r="N133" i="7" s="1" a="1"/>
  <c r="N133" i="7" s="1"/>
  <c r="J134" i="7"/>
  <c r="K134" i="7" s="1"/>
  <c r="J135" i="7"/>
  <c r="K135" i="7" s="1"/>
  <c r="J136" i="7"/>
  <c r="K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K168" i="7" s="1"/>
  <c r="J169" i="7"/>
  <c r="K169" i="7" s="1"/>
  <c r="J170" i="7"/>
  <c r="K170" i="7" s="1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K180" i="7" s="1"/>
  <c r="J181" i="7"/>
  <c r="K181" i="7" s="1"/>
  <c r="J182" i="7"/>
  <c r="K182" i="7" s="1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K204" i="7" s="1"/>
  <c r="J205" i="7"/>
  <c r="K205" i="7" s="1"/>
  <c r="J206" i="7"/>
  <c r="K206" i="7" s="1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K216" i="7" s="1"/>
  <c r="J217" i="7"/>
  <c r="K217" i="7" s="1"/>
  <c r="J218" i="7"/>
  <c r="K218" i="7" s="1"/>
  <c r="J219" i="7"/>
  <c r="K219" i="7" s="1"/>
  <c r="J220" i="7"/>
  <c r="K220" i="7" s="1"/>
  <c r="J221" i="7"/>
  <c r="K221" i="7" s="1"/>
  <c r="J222" i="7"/>
  <c r="K222" i="7" s="1"/>
  <c r="J223" i="7"/>
  <c r="K223" i="7" s="1"/>
  <c r="J224" i="7"/>
  <c r="K224" i="7" s="1"/>
  <c r="J225" i="7"/>
  <c r="K225" i="7" s="1"/>
  <c r="J226" i="7"/>
  <c r="K226" i="7" s="1"/>
  <c r="J227" i="7"/>
  <c r="K227" i="7" s="1"/>
  <c r="J228" i="7"/>
  <c r="K228" i="7" s="1"/>
  <c r="J229" i="7"/>
  <c r="K229" i="7" s="1"/>
  <c r="J230" i="7"/>
  <c r="K230" i="7" s="1"/>
  <c r="J231" i="7"/>
  <c r="K231" i="7" s="1"/>
  <c r="J232" i="7"/>
  <c r="K232" i="7" s="1"/>
  <c r="J233" i="7"/>
  <c r="K233" i="7" s="1"/>
  <c r="J234" i="7"/>
  <c r="K234" i="7" s="1"/>
  <c r="J235" i="7"/>
  <c r="K235" i="7" s="1"/>
  <c r="J236" i="7"/>
  <c r="K236" i="7" s="1"/>
  <c r="J237" i="7"/>
  <c r="K237" i="7" s="1"/>
  <c r="J238" i="7"/>
  <c r="K238" i="7" s="1"/>
  <c r="J239" i="7"/>
  <c r="K239" i="7" s="1"/>
  <c r="J240" i="7"/>
  <c r="K240" i="7" s="1"/>
  <c r="J241" i="7"/>
  <c r="K241" i="7" s="1"/>
  <c r="J242" i="7"/>
  <c r="K242" i="7" s="1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K248" i="7" s="1"/>
  <c r="J249" i="7"/>
  <c r="K249" i="7" s="1"/>
  <c r="N249" i="7" s="1" a="1"/>
  <c r="N249" i="7" s="1"/>
  <c r="J250" i="7"/>
  <c r="K250" i="7" s="1"/>
  <c r="N250" i="7" s="1" a="1"/>
  <c r="N250" i="7" s="1"/>
  <c r="J251" i="7"/>
  <c r="K251" i="7" s="1"/>
  <c r="N251" i="7" s="1" a="1"/>
  <c r="N251" i="7" s="1"/>
  <c r="J252" i="7"/>
  <c r="K252" i="7" s="1"/>
  <c r="N252" i="7" s="1" a="1"/>
  <c r="N252" i="7" s="1"/>
  <c r="J253" i="7"/>
  <c r="K253" i="7" s="1"/>
  <c r="N253" i="7" s="1" a="1"/>
  <c r="N253" i="7" s="1"/>
  <c r="J254" i="7"/>
  <c r="K254" i="7" s="1"/>
  <c r="N254" i="7" s="1" a="1"/>
  <c r="N254" i="7" s="1"/>
  <c r="J255" i="7"/>
  <c r="K255" i="7" s="1"/>
  <c r="N255" i="7" s="1" a="1"/>
  <c r="N255" i="7" s="1"/>
  <c r="J256" i="7"/>
  <c r="K256" i="7" s="1"/>
  <c r="N256" i="7" s="1" a="1"/>
  <c r="N256" i="7" s="1"/>
  <c r="J257" i="7"/>
  <c r="K257" i="7" s="1"/>
  <c r="N257" i="7" s="1" a="1"/>
  <c r="N257" i="7" s="1"/>
  <c r="J258" i="7"/>
  <c r="K258" i="7" s="1"/>
  <c r="N258" i="7" s="1" a="1"/>
  <c r="N258" i="7" s="1"/>
  <c r="J259" i="7"/>
  <c r="K259" i="7" s="1"/>
  <c r="N259" i="7" s="1" a="1"/>
  <c r="N259" i="7" s="1"/>
  <c r="J260" i="7"/>
  <c r="K260" i="7" s="1"/>
  <c r="N260" i="7" s="1" a="1"/>
  <c r="N260" i="7" s="1"/>
  <c r="J261" i="7"/>
  <c r="K261" i="7" s="1"/>
  <c r="N261" i="7" s="1" a="1"/>
  <c r="N261" i="7" s="1"/>
  <c r="J262" i="7"/>
  <c r="K262" i="7" s="1"/>
  <c r="N262" i="7" s="1" a="1"/>
  <c r="N262" i="7" s="1"/>
  <c r="J263" i="7"/>
  <c r="K263" i="7" s="1"/>
  <c r="N263" i="7" s="1" a="1"/>
  <c r="N263" i="7" s="1"/>
  <c r="J264" i="7"/>
  <c r="K264" i="7" s="1"/>
  <c r="N264" i="7" s="1" a="1"/>
  <c r="N264" i="7" s="1"/>
  <c r="J265" i="7"/>
  <c r="K265" i="7" s="1"/>
  <c r="N265" i="7" s="1" a="1"/>
  <c r="N265" i="7" s="1"/>
  <c r="J266" i="7"/>
  <c r="K266" i="7" s="1"/>
  <c r="N266" i="7" s="1" a="1"/>
  <c r="N266" i="7" s="1"/>
  <c r="J267" i="7"/>
  <c r="K267" i="7" s="1"/>
  <c r="N267" i="7" s="1" a="1"/>
  <c r="N267" i="7" s="1"/>
  <c r="J268" i="7"/>
  <c r="K268" i="7" s="1"/>
  <c r="N268" i="7" s="1" a="1"/>
  <c r="N268" i="7" s="1"/>
  <c r="J269" i="7"/>
  <c r="K269" i="7" s="1"/>
  <c r="N269" i="7" s="1" a="1"/>
  <c r="N269" i="7" s="1"/>
  <c r="J270" i="7"/>
  <c r="K270" i="7" s="1"/>
  <c r="N270" i="7" s="1" a="1"/>
  <c r="N270" i="7" s="1"/>
  <c r="J271" i="7"/>
  <c r="K271" i="7" s="1"/>
  <c r="N271" i="7" s="1" a="1"/>
  <c r="N271" i="7" s="1"/>
  <c r="J272" i="7"/>
  <c r="K272" i="7" s="1"/>
  <c r="N272" i="7" s="1" a="1"/>
  <c r="N272" i="7" s="1"/>
  <c r="J273" i="7"/>
  <c r="K273" i="7" s="1"/>
  <c r="N273" i="7" s="1" a="1"/>
  <c r="N273" i="7" s="1"/>
  <c r="J274" i="7"/>
  <c r="K274" i="7" s="1"/>
  <c r="N274" i="7" s="1" a="1"/>
  <c r="N274" i="7" s="1"/>
  <c r="J275" i="7"/>
  <c r="K275" i="7" s="1"/>
  <c r="N275" i="7" s="1" a="1"/>
  <c r="N275" i="7" s="1"/>
  <c r="J276" i="7"/>
  <c r="K276" i="7" s="1"/>
  <c r="N276" i="7" s="1" a="1"/>
  <c r="N276" i="7" s="1"/>
  <c r="J277" i="7"/>
  <c r="K277" i="7" s="1"/>
  <c r="N277" i="7" s="1" a="1"/>
  <c r="N277" i="7" s="1"/>
  <c r="J278" i="7"/>
  <c r="K278" i="7" s="1"/>
  <c r="N278" i="7" s="1" a="1"/>
  <c r="N278" i="7" s="1"/>
  <c r="J279" i="7"/>
  <c r="K279" i="7" s="1"/>
  <c r="N279" i="7" s="1" a="1"/>
  <c r="N279" i="7" s="1"/>
  <c r="J280" i="7"/>
  <c r="K280" i="7" s="1"/>
  <c r="N280" i="7" s="1" a="1"/>
  <c r="N280" i="7" s="1"/>
  <c r="J281" i="7"/>
  <c r="K281" i="7" s="1"/>
  <c r="N281" i="7" s="1" a="1"/>
  <c r="N281" i="7" s="1"/>
  <c r="J282" i="7"/>
  <c r="K282" i="7" s="1"/>
  <c r="N282" i="7" s="1" a="1"/>
  <c r="N282" i="7" s="1"/>
  <c r="J283" i="7"/>
  <c r="K283" i="7" s="1"/>
  <c r="N283" i="7" s="1" a="1"/>
  <c r="N283" i="7" s="1"/>
  <c r="J284" i="7"/>
  <c r="K284" i="7" s="1"/>
  <c r="N284" i="7" s="1" a="1"/>
  <c r="N284" i="7" s="1"/>
  <c r="J285" i="7"/>
  <c r="K285" i="7" s="1"/>
  <c r="N285" i="7" s="1" a="1"/>
  <c r="N285" i="7" s="1"/>
  <c r="J286" i="7"/>
  <c r="K286" i="7" s="1"/>
  <c r="N286" i="7" s="1" a="1"/>
  <c r="N286" i="7" s="1"/>
  <c r="J287" i="7"/>
  <c r="K287" i="7" s="1"/>
  <c r="N287" i="7" s="1" a="1"/>
  <c r="N287" i="7" s="1"/>
  <c r="J288" i="7"/>
  <c r="K288" i="7" s="1"/>
  <c r="N288" i="7" s="1" a="1"/>
  <c r="N288" i="7" s="1"/>
  <c r="J289" i="7"/>
  <c r="K289" i="7" s="1"/>
  <c r="N289" i="7" s="1" a="1"/>
  <c r="N289" i="7" s="1"/>
  <c r="J290" i="7"/>
  <c r="K290" i="7" s="1"/>
  <c r="N290" i="7" s="1" a="1"/>
  <c r="N290" i="7" s="1"/>
  <c r="J291" i="7"/>
  <c r="K291" i="7" s="1"/>
  <c r="N291" i="7" s="1" a="1"/>
  <c r="N291" i="7" s="1"/>
  <c r="J292" i="7"/>
  <c r="K292" i="7" s="1"/>
  <c r="N292" i="7" s="1" a="1"/>
  <c r="N292" i="7" s="1"/>
  <c r="J293" i="7"/>
  <c r="K293" i="7" s="1"/>
  <c r="N293" i="7" s="1" a="1"/>
  <c r="N293" i="7" s="1"/>
  <c r="J294" i="7"/>
  <c r="K294" i="7" s="1"/>
  <c r="N294" i="7" s="1" a="1"/>
  <c r="N294" i="7" s="1"/>
  <c r="J295" i="7"/>
  <c r="K295" i="7" s="1"/>
  <c r="N295" i="7" s="1" a="1"/>
  <c r="N295" i="7" s="1"/>
  <c r="J296" i="7"/>
  <c r="K296" i="7" s="1"/>
  <c r="N296" i="7" s="1" a="1"/>
  <c r="N296" i="7" s="1"/>
  <c r="J297" i="7"/>
  <c r="K297" i="7" s="1"/>
  <c r="N297" i="7" s="1" a="1"/>
  <c r="N297" i="7" s="1"/>
  <c r="J298" i="7"/>
  <c r="K298" i="7" s="1"/>
  <c r="N298" i="7" s="1" a="1"/>
  <c r="N298" i="7" s="1"/>
  <c r="J299" i="7"/>
  <c r="K299" i="7" s="1"/>
  <c r="N299" i="7" s="1" a="1"/>
  <c r="N299" i="7" s="1"/>
  <c r="J300" i="7"/>
  <c r="K300" i="7" s="1"/>
  <c r="N300" i="7" s="1" a="1"/>
  <c r="N300" i="7" s="1"/>
  <c r="J301" i="7"/>
  <c r="K301" i="7" s="1"/>
  <c r="N301" i="7" s="1" a="1"/>
  <c r="N301" i="7" s="1"/>
  <c r="J302" i="7"/>
  <c r="K302" i="7" s="1"/>
  <c r="N302" i="7" s="1" a="1"/>
  <c r="N302" i="7" s="1"/>
  <c r="J303" i="7"/>
  <c r="K303" i="7" s="1"/>
  <c r="N303" i="7" s="1" a="1"/>
  <c r="N303" i="7" s="1"/>
  <c r="J304" i="7"/>
  <c r="K304" i="7" s="1"/>
  <c r="N304" i="7" s="1" a="1"/>
  <c r="N304" i="7" s="1"/>
  <c r="J305" i="7"/>
  <c r="K305" i="7" s="1"/>
  <c r="N305" i="7" s="1" a="1"/>
  <c r="N305" i="7" s="1"/>
  <c r="J306" i="7"/>
  <c r="K306" i="7" s="1"/>
  <c r="N306" i="7" s="1" a="1"/>
  <c r="N306" i="7" s="1"/>
  <c r="J307" i="7"/>
  <c r="K307" i="7" s="1"/>
  <c r="N307" i="7" s="1" a="1"/>
  <c r="N307" i="7" s="1"/>
  <c r="J308" i="7"/>
  <c r="K308" i="7" s="1"/>
  <c r="N308" i="7" s="1" a="1"/>
  <c r="N308" i="7" s="1"/>
  <c r="J309" i="7"/>
  <c r="K309" i="7" s="1"/>
  <c r="N309" i="7" s="1" a="1"/>
  <c r="N309" i="7" s="1"/>
  <c r="J310" i="7"/>
  <c r="K310" i="7" s="1"/>
  <c r="N310" i="7" s="1" a="1"/>
  <c r="N310" i="7" s="1"/>
  <c r="J311" i="7"/>
  <c r="K311" i="7" s="1"/>
  <c r="N311" i="7" s="1" a="1"/>
  <c r="N311" i="7" s="1"/>
  <c r="J312" i="7"/>
  <c r="K312" i="7" s="1"/>
  <c r="N312" i="7" s="1" a="1"/>
  <c r="N312" i="7" s="1"/>
  <c r="J313" i="7"/>
  <c r="K313" i="7" s="1"/>
  <c r="N313" i="7" s="1" a="1"/>
  <c r="N313" i="7" s="1"/>
  <c r="J314" i="7"/>
  <c r="K314" i="7" s="1"/>
  <c r="N314" i="7" s="1" a="1"/>
  <c r="N314" i="7" s="1"/>
  <c r="J315" i="7"/>
  <c r="K315" i="7" s="1"/>
  <c r="N315" i="7" s="1" a="1"/>
  <c r="N315" i="7" s="1"/>
  <c r="J316" i="7"/>
  <c r="K316" i="7" s="1"/>
  <c r="N316" i="7" s="1" a="1"/>
  <c r="N316" i="7" s="1"/>
  <c r="J317" i="7"/>
  <c r="K317" i="7" s="1"/>
  <c r="N317" i="7" s="1" a="1"/>
  <c r="N317" i="7" s="1"/>
  <c r="J318" i="7"/>
  <c r="K318" i="7" s="1"/>
  <c r="N318" i="7" s="1" a="1"/>
  <c r="N318" i="7" s="1"/>
  <c r="J319" i="7"/>
  <c r="K319" i="7" s="1"/>
  <c r="N319" i="7" s="1" a="1"/>
  <c r="N319" i="7" s="1"/>
  <c r="J320" i="7"/>
  <c r="K320" i="7" s="1"/>
  <c r="N320" i="7" s="1" a="1"/>
  <c r="N320" i="7" s="1"/>
  <c r="J321" i="7"/>
  <c r="K321" i="7" s="1"/>
  <c r="N321" i="7" s="1" a="1"/>
  <c r="N321" i="7" s="1"/>
  <c r="J322" i="7"/>
  <c r="K322" i="7" s="1"/>
  <c r="N322" i="7" s="1" a="1"/>
  <c r="N322" i="7" s="1"/>
  <c r="J323" i="7"/>
  <c r="K323" i="7" s="1"/>
  <c r="N323" i="7" s="1" a="1"/>
  <c r="N323" i="7" s="1"/>
  <c r="J324" i="7"/>
  <c r="K324" i="7" s="1"/>
  <c r="N324" i="7" s="1" a="1"/>
  <c r="N324" i="7" s="1"/>
  <c r="J325" i="7"/>
  <c r="K325" i="7" s="1"/>
  <c r="N325" i="7" s="1" a="1"/>
  <c r="N325" i="7" s="1"/>
  <c r="J326" i="7"/>
  <c r="K326" i="7" s="1"/>
  <c r="N326" i="7" s="1" a="1"/>
  <c r="N326" i="7" s="1"/>
  <c r="J327" i="7"/>
  <c r="K327" i="7" s="1"/>
  <c r="N327" i="7" s="1" a="1"/>
  <c r="N327" i="7" s="1"/>
  <c r="J328" i="7"/>
  <c r="K328" i="7" s="1"/>
  <c r="N328" i="7" s="1" a="1"/>
  <c r="N328" i="7" s="1"/>
  <c r="J329" i="7"/>
  <c r="K329" i="7" s="1"/>
  <c r="N329" i="7" s="1" a="1"/>
  <c r="N329" i="7" s="1"/>
  <c r="J330" i="7"/>
  <c r="K330" i="7" s="1"/>
  <c r="N330" i="7" s="1" a="1"/>
  <c r="N330" i="7" s="1"/>
  <c r="J331" i="7"/>
  <c r="K331" i="7" s="1"/>
  <c r="N331" i="7" s="1" a="1"/>
  <c r="N331" i="7" s="1"/>
  <c r="J332" i="7"/>
  <c r="K332" i="7" s="1"/>
  <c r="N332" i="7" s="1" a="1"/>
  <c r="N332" i="7" s="1"/>
  <c r="J333" i="7"/>
  <c r="K333" i="7" s="1"/>
  <c r="N333" i="7" s="1" a="1"/>
  <c r="N333" i="7" s="1"/>
  <c r="J334" i="7"/>
  <c r="K334" i="7" s="1"/>
  <c r="N334" i="7" s="1" a="1"/>
  <c r="N334" i="7" s="1"/>
  <c r="J335" i="7"/>
  <c r="K335" i="7" s="1"/>
  <c r="N335" i="7" s="1" a="1"/>
  <c r="N335" i="7" s="1"/>
  <c r="J336" i="7"/>
  <c r="K336" i="7" s="1"/>
  <c r="N336" i="7" s="1" a="1"/>
  <c r="N336" i="7" s="1"/>
  <c r="J337" i="7"/>
  <c r="K337" i="7" s="1"/>
  <c r="N337" i="7" s="1" a="1"/>
  <c r="N337" i="7" s="1"/>
  <c r="J338" i="7"/>
  <c r="K338" i="7" s="1"/>
  <c r="N338" i="7" s="1" a="1"/>
  <c r="N338" i="7" s="1"/>
  <c r="J339" i="7"/>
  <c r="K339" i="7" s="1"/>
  <c r="N339" i="7" s="1" a="1"/>
  <c r="N339" i="7" s="1"/>
  <c r="J340" i="7"/>
  <c r="K340" i="7" s="1"/>
  <c r="N340" i="7" s="1" a="1"/>
  <c r="N340" i="7" s="1"/>
  <c r="J341" i="7"/>
  <c r="K341" i="7" s="1"/>
  <c r="N341" i="7" s="1" a="1"/>
  <c r="N341" i="7" s="1"/>
  <c r="J342" i="7"/>
  <c r="K342" i="7" s="1"/>
  <c r="N342" i="7" s="1" a="1"/>
  <c r="N342" i="7" s="1"/>
  <c r="J343" i="7"/>
  <c r="K343" i="7" s="1"/>
  <c r="N343" i="7" s="1" a="1"/>
  <c r="N343" i="7" s="1"/>
  <c r="J344" i="7"/>
  <c r="K344" i="7" s="1"/>
  <c r="N344" i="7" s="1" a="1"/>
  <c r="N344" i="7" s="1"/>
  <c r="J345" i="7"/>
  <c r="K345" i="7" s="1"/>
  <c r="N345" i="7" s="1" a="1"/>
  <c r="N345" i="7" s="1"/>
  <c r="J346" i="7"/>
  <c r="K346" i="7" s="1"/>
  <c r="N346" i="7" s="1" a="1"/>
  <c r="N346" i="7" s="1"/>
  <c r="J347" i="7"/>
  <c r="K347" i="7" s="1"/>
  <c r="N347" i="7" s="1" a="1"/>
  <c r="N347" i="7" s="1"/>
  <c r="J348" i="7"/>
  <c r="K348" i="7" s="1"/>
  <c r="N348" i="7" s="1" a="1"/>
  <c r="N348" i="7" s="1"/>
  <c r="J349" i="7"/>
  <c r="K349" i="7" s="1"/>
  <c r="N349" i="7" s="1" a="1"/>
  <c r="N349" i="7" s="1"/>
  <c r="J350" i="7"/>
  <c r="K350" i="7" s="1"/>
  <c r="N350" i="7" s="1" a="1"/>
  <c r="N350" i="7" s="1"/>
  <c r="J351" i="7"/>
  <c r="K351" i="7" s="1"/>
  <c r="N351" i="7" s="1" a="1"/>
  <c r="N351" i="7" s="1"/>
  <c r="J352" i="7"/>
  <c r="K352" i="7" s="1"/>
  <c r="N352" i="7" s="1" a="1"/>
  <c r="N352" i="7" s="1"/>
  <c r="J353" i="7"/>
  <c r="K353" i="7" s="1"/>
  <c r="N353" i="7" s="1" a="1"/>
  <c r="N353" i="7" s="1"/>
  <c r="J354" i="7"/>
  <c r="K354" i="7" s="1"/>
  <c r="N354" i="7" s="1" a="1"/>
  <c r="N354" i="7" s="1"/>
  <c r="J355" i="7"/>
  <c r="K355" i="7" s="1"/>
  <c r="N355" i="7" s="1" a="1"/>
  <c r="N355" i="7" s="1"/>
  <c r="J356" i="7"/>
  <c r="K356" i="7" s="1"/>
  <c r="N356" i="7" s="1" a="1"/>
  <c r="N356" i="7" s="1"/>
  <c r="J357" i="7"/>
  <c r="K357" i="7" s="1"/>
  <c r="N357" i="7" s="1" a="1"/>
  <c r="N357" i="7" s="1"/>
  <c r="J358" i="7"/>
  <c r="K358" i="7" s="1"/>
  <c r="N358" i="7" s="1" a="1"/>
  <c r="N358" i="7" s="1"/>
  <c r="J359" i="7"/>
  <c r="K359" i="7" s="1"/>
  <c r="N359" i="7" s="1" a="1"/>
  <c r="N359" i="7" s="1"/>
  <c r="J360" i="7"/>
  <c r="K360" i="7" s="1"/>
  <c r="N360" i="7" s="1" a="1"/>
  <c r="N360" i="7" s="1"/>
  <c r="J361" i="7"/>
  <c r="K361" i="7" s="1"/>
  <c r="N361" i="7" s="1" a="1"/>
  <c r="N361" i="7" s="1"/>
  <c r="J362" i="7"/>
  <c r="K362" i="7" s="1"/>
  <c r="N362" i="7" s="1" a="1"/>
  <c r="N362" i="7" s="1"/>
  <c r="J363" i="7"/>
  <c r="K363" i="7" s="1"/>
  <c r="N363" i="7" s="1" a="1"/>
  <c r="N363" i="7" s="1"/>
  <c r="J364" i="7"/>
  <c r="K364" i="7" s="1"/>
  <c r="N364" i="7" s="1" a="1"/>
  <c r="N364" i="7" s="1"/>
  <c r="J365" i="7"/>
  <c r="K365" i="7" s="1"/>
  <c r="N365" i="7" s="1" a="1"/>
  <c r="N365" i="7" s="1"/>
  <c r="J366" i="7"/>
  <c r="K366" i="7" s="1"/>
  <c r="N366" i="7" s="1" a="1"/>
  <c r="N366" i="7" s="1"/>
  <c r="J367" i="7"/>
  <c r="K367" i="7" s="1"/>
  <c r="N367" i="7" s="1" a="1"/>
  <c r="N367" i="7" s="1"/>
  <c r="J368" i="7"/>
  <c r="K368" i="7" s="1"/>
  <c r="N368" i="7" s="1" a="1"/>
  <c r="N368" i="7" s="1"/>
  <c r="J369" i="7"/>
  <c r="K369" i="7" s="1"/>
  <c r="N369" i="7" s="1" a="1"/>
  <c r="N369" i="7" s="1"/>
  <c r="J370" i="7"/>
  <c r="K370" i="7" s="1"/>
  <c r="N370" i="7" s="1" a="1"/>
  <c r="N370" i="7" s="1"/>
  <c r="J371" i="7"/>
  <c r="K371" i="7" s="1"/>
  <c r="N371" i="7" s="1" a="1"/>
  <c r="N371" i="7" s="1"/>
  <c r="J372" i="7"/>
  <c r="K372" i="7" s="1"/>
  <c r="N372" i="7" s="1" a="1"/>
  <c r="N372" i="7" s="1"/>
  <c r="J373" i="7"/>
  <c r="K373" i="7" s="1"/>
  <c r="N373" i="7" s="1" a="1"/>
  <c r="N373" i="7" s="1"/>
  <c r="J374" i="7"/>
  <c r="K374" i="7" s="1"/>
  <c r="N374" i="7" s="1" a="1"/>
  <c r="N374" i="7" s="1"/>
  <c r="J375" i="7"/>
  <c r="K375" i="7" s="1"/>
  <c r="N375" i="7" s="1" a="1"/>
  <c r="N375" i="7" s="1"/>
  <c r="J376" i="7"/>
  <c r="K376" i="7" s="1"/>
  <c r="N376" i="7" s="1" a="1"/>
  <c r="N376" i="7" s="1"/>
  <c r="J377" i="7"/>
  <c r="K377" i="7" s="1"/>
  <c r="N377" i="7" s="1" a="1"/>
  <c r="N377" i="7" s="1"/>
  <c r="J378" i="7"/>
  <c r="K378" i="7" s="1"/>
  <c r="N378" i="7" s="1" a="1"/>
  <c r="N378" i="7" s="1"/>
  <c r="J379" i="7"/>
  <c r="K379" i="7" s="1"/>
  <c r="N379" i="7" s="1" a="1"/>
  <c r="N379" i="7" s="1"/>
  <c r="J380" i="7"/>
  <c r="K380" i="7" s="1"/>
  <c r="N380" i="7" s="1" a="1"/>
  <c r="N380" i="7" s="1"/>
  <c r="J381" i="7"/>
  <c r="K381" i="7" s="1"/>
  <c r="N381" i="7" s="1" a="1"/>
  <c r="N381" i="7" s="1"/>
  <c r="J382" i="7"/>
  <c r="K382" i="7" s="1"/>
  <c r="N382" i="7" s="1" a="1"/>
  <c r="N382" i="7" s="1"/>
  <c r="J383" i="7"/>
  <c r="K383" i="7" s="1"/>
  <c r="N383" i="7" s="1" a="1"/>
  <c r="N383" i="7" s="1"/>
  <c r="J384" i="7"/>
  <c r="K384" i="7" s="1"/>
  <c r="N384" i="7" s="1" a="1"/>
  <c r="N384" i="7" s="1"/>
  <c r="J385" i="7"/>
  <c r="K385" i="7" s="1"/>
  <c r="N385" i="7" s="1" a="1"/>
  <c r="N385" i="7" s="1"/>
  <c r="J386" i="7"/>
  <c r="K386" i="7" s="1"/>
  <c r="N386" i="7" s="1" a="1"/>
  <c r="N386" i="7" s="1"/>
  <c r="J387" i="7"/>
  <c r="K387" i="7" s="1"/>
  <c r="N387" i="7" s="1" a="1"/>
  <c r="N387" i="7" s="1"/>
  <c r="J388" i="7"/>
  <c r="K388" i="7" s="1"/>
  <c r="N388" i="7" s="1" a="1"/>
  <c r="N388" i="7" s="1"/>
  <c r="J389" i="7"/>
  <c r="K389" i="7" s="1"/>
  <c r="N389" i="7" s="1" a="1"/>
  <c r="N389" i="7" s="1"/>
  <c r="J390" i="7"/>
  <c r="K390" i="7" s="1"/>
  <c r="N390" i="7" s="1" a="1"/>
  <c r="N390" i="7" s="1"/>
  <c r="J391" i="7"/>
  <c r="K391" i="7" s="1"/>
  <c r="N391" i="7" s="1" a="1"/>
  <c r="N391" i="7" s="1"/>
  <c r="J392" i="7"/>
  <c r="K392" i="7" s="1"/>
  <c r="N392" i="7" s="1" a="1"/>
  <c r="N392" i="7" s="1"/>
  <c r="J393" i="7"/>
  <c r="K393" i="7" s="1"/>
  <c r="N393" i="7" s="1" a="1"/>
  <c r="N393" i="7" s="1"/>
  <c r="J394" i="7"/>
  <c r="K394" i="7" s="1"/>
  <c r="N394" i="7" s="1" a="1"/>
  <c r="N394" i="7" s="1"/>
  <c r="J395" i="7"/>
  <c r="K395" i="7" s="1"/>
  <c r="N395" i="7" s="1" a="1"/>
  <c r="N395" i="7" s="1"/>
  <c r="J396" i="7"/>
  <c r="K396" i="7" s="1"/>
  <c r="N396" i="7" s="1" a="1"/>
  <c r="N396" i="7" s="1"/>
  <c r="J397" i="7"/>
  <c r="K397" i="7" s="1"/>
  <c r="N397" i="7" s="1" a="1"/>
  <c r="N397" i="7" s="1"/>
  <c r="J398" i="7"/>
  <c r="K398" i="7" s="1"/>
  <c r="N398" i="7" s="1" a="1"/>
  <c r="N398" i="7" s="1"/>
  <c r="J399" i="7"/>
  <c r="K399" i="7" s="1"/>
  <c r="N399" i="7" s="1" a="1"/>
  <c r="N399" i="7" s="1"/>
  <c r="J400" i="7"/>
  <c r="K400" i="7" s="1"/>
  <c r="N400" i="7" s="1" a="1"/>
  <c r="N400" i="7" s="1"/>
  <c r="J401" i="7"/>
  <c r="K401" i="7" s="1"/>
  <c r="N401" i="7" s="1" a="1"/>
  <c r="N401" i="7" s="1"/>
  <c r="J402" i="7"/>
  <c r="K402" i="7" s="1"/>
  <c r="N402" i="7" s="1" a="1"/>
  <c r="N402" i="7" s="1"/>
  <c r="J403" i="7"/>
  <c r="K403" i="7" s="1"/>
  <c r="N403" i="7" s="1" a="1"/>
  <c r="N403" i="7" s="1"/>
  <c r="J404" i="7"/>
  <c r="K404" i="7" s="1"/>
  <c r="N404" i="7" s="1" a="1"/>
  <c r="N404" i="7" s="1"/>
  <c r="J405" i="7"/>
  <c r="K405" i="7" s="1"/>
  <c r="N405" i="7" s="1" a="1"/>
  <c r="N405" i="7" s="1"/>
  <c r="J406" i="7"/>
  <c r="K406" i="7" s="1"/>
  <c r="N406" i="7" s="1" a="1"/>
  <c r="N406" i="7" s="1"/>
  <c r="J407" i="7"/>
  <c r="K407" i="7" s="1"/>
  <c r="N407" i="7" s="1" a="1"/>
  <c r="N407" i="7" s="1"/>
  <c r="J408" i="7"/>
  <c r="K408" i="7" s="1"/>
  <c r="N408" i="7" s="1" a="1"/>
  <c r="N408" i="7" s="1"/>
  <c r="J409" i="7"/>
  <c r="K409" i="7" s="1"/>
  <c r="N409" i="7" s="1" a="1"/>
  <c r="N409" i="7" s="1"/>
  <c r="J410" i="7"/>
  <c r="K410" i="7" s="1"/>
  <c r="N410" i="7" s="1" a="1"/>
  <c r="N410" i="7" s="1"/>
  <c r="J411" i="7"/>
  <c r="K411" i="7" s="1"/>
  <c r="N411" i="7" s="1" a="1"/>
  <c r="N411" i="7" s="1"/>
  <c r="J412" i="7"/>
  <c r="K412" i="7" s="1"/>
  <c r="N412" i="7" s="1" a="1"/>
  <c r="N412" i="7" s="1"/>
  <c r="J413" i="7"/>
  <c r="K413" i="7" s="1"/>
  <c r="N413" i="7" s="1" a="1"/>
  <c r="N413" i="7" s="1"/>
  <c r="J414" i="7"/>
  <c r="K414" i="7" s="1"/>
  <c r="N414" i="7" s="1" a="1"/>
  <c r="N414" i="7" s="1"/>
  <c r="J415" i="7"/>
  <c r="K415" i="7" s="1"/>
  <c r="N415" i="7" s="1" a="1"/>
  <c r="N415" i="7" s="1"/>
  <c r="J416" i="7"/>
  <c r="K416" i="7" s="1"/>
  <c r="N416" i="7" s="1" a="1"/>
  <c r="N416" i="7" s="1"/>
  <c r="J417" i="7"/>
  <c r="K417" i="7" s="1"/>
  <c r="N417" i="7" s="1" a="1"/>
  <c r="N417" i="7" s="1"/>
  <c r="J418" i="7"/>
  <c r="K418" i="7" s="1"/>
  <c r="N418" i="7" s="1" a="1"/>
  <c r="N418" i="7" s="1"/>
  <c r="J419" i="7"/>
  <c r="K419" i="7" s="1"/>
  <c r="N419" i="7" s="1" a="1"/>
  <c r="N419" i="7" s="1"/>
  <c r="J420" i="7"/>
  <c r="K420" i="7" s="1"/>
  <c r="N420" i="7" s="1" a="1"/>
  <c r="N420" i="7" s="1"/>
  <c r="J421" i="7"/>
  <c r="K421" i="7" s="1"/>
  <c r="N421" i="7" s="1" a="1"/>
  <c r="N421" i="7" s="1"/>
  <c r="J422" i="7"/>
  <c r="K422" i="7" s="1"/>
  <c r="N422" i="7" s="1" a="1"/>
  <c r="N422" i="7" s="1"/>
  <c r="J423" i="7"/>
  <c r="K423" i="7" s="1"/>
  <c r="N423" i="7" s="1" a="1"/>
  <c r="N423" i="7" s="1"/>
  <c r="J424" i="7"/>
  <c r="K424" i="7" s="1"/>
  <c r="N424" i="7" s="1" a="1"/>
  <c r="N424" i="7" s="1"/>
  <c r="J425" i="7"/>
  <c r="K425" i="7" s="1"/>
  <c r="N425" i="7" s="1" a="1"/>
  <c r="N425" i="7" s="1"/>
  <c r="J426" i="7"/>
  <c r="K426" i="7" s="1"/>
  <c r="N426" i="7" s="1" a="1"/>
  <c r="N426" i="7" s="1"/>
  <c r="J427" i="7"/>
  <c r="K427" i="7" s="1"/>
  <c r="N427" i="7" s="1" a="1"/>
  <c r="N427" i="7" s="1"/>
  <c r="J428" i="7"/>
  <c r="K428" i="7" s="1"/>
  <c r="N428" i="7" s="1" a="1"/>
  <c r="N428" i="7" s="1"/>
  <c r="J429" i="7"/>
  <c r="K429" i="7" s="1"/>
  <c r="N429" i="7" s="1" a="1"/>
  <c r="N429" i="7" s="1"/>
  <c r="J430" i="7"/>
  <c r="K430" i="7" s="1"/>
  <c r="N430" i="7" s="1" a="1"/>
  <c r="N430" i="7" s="1"/>
  <c r="J431" i="7"/>
  <c r="K431" i="7" s="1"/>
  <c r="N431" i="7" s="1" a="1"/>
  <c r="N431" i="7" s="1"/>
  <c r="J432" i="7"/>
  <c r="K432" i="7" s="1"/>
  <c r="N432" i="7" s="1" a="1"/>
  <c r="N432" i="7" s="1"/>
  <c r="J433" i="7"/>
  <c r="K433" i="7" s="1"/>
  <c r="N433" i="7" s="1" a="1"/>
  <c r="N433" i="7" s="1"/>
  <c r="J434" i="7"/>
  <c r="K434" i="7" s="1"/>
  <c r="N434" i="7" s="1" a="1"/>
  <c r="N434" i="7" s="1"/>
  <c r="J435" i="7"/>
  <c r="K435" i="7" s="1"/>
  <c r="N435" i="7" s="1" a="1"/>
  <c r="N435" i="7" s="1"/>
  <c r="J436" i="7"/>
  <c r="K436" i="7" s="1"/>
  <c r="N436" i="7" s="1" a="1"/>
  <c r="N436" i="7" s="1"/>
  <c r="J437" i="7"/>
  <c r="K437" i="7" s="1"/>
  <c r="N437" i="7" s="1" a="1"/>
  <c r="N437" i="7" s="1"/>
  <c r="J438" i="7"/>
  <c r="K438" i="7" s="1"/>
  <c r="N438" i="7" s="1" a="1"/>
  <c r="N438" i="7" s="1"/>
  <c r="J439" i="7"/>
  <c r="K439" i="7" s="1"/>
  <c r="N439" i="7" s="1" a="1"/>
  <c r="N439" i="7" s="1"/>
  <c r="J440" i="7"/>
  <c r="K440" i="7" s="1"/>
  <c r="N440" i="7" s="1" a="1"/>
  <c r="N440" i="7" s="1"/>
  <c r="J441" i="7"/>
  <c r="K441" i="7" s="1"/>
  <c r="N441" i="7" s="1" a="1"/>
  <c r="N441" i="7" s="1"/>
  <c r="J442" i="7"/>
  <c r="K442" i="7" s="1"/>
  <c r="N442" i="7" s="1" a="1"/>
  <c r="N442" i="7" s="1"/>
  <c r="J443" i="7"/>
  <c r="K443" i="7" s="1"/>
  <c r="N443" i="7" s="1" a="1"/>
  <c r="N443" i="7" s="1"/>
  <c r="J444" i="7"/>
  <c r="K444" i="7" s="1"/>
  <c r="N444" i="7" s="1" a="1"/>
  <c r="N444" i="7" s="1"/>
  <c r="J445" i="7"/>
  <c r="K445" i="7" s="1"/>
  <c r="N445" i="7" s="1" a="1"/>
  <c r="N445" i="7" s="1"/>
  <c r="J446" i="7"/>
  <c r="K446" i="7" s="1"/>
  <c r="N446" i="7" s="1" a="1"/>
  <c r="N446" i="7" s="1"/>
  <c r="J447" i="7"/>
  <c r="K447" i="7" s="1"/>
  <c r="N447" i="7" s="1" a="1"/>
  <c r="N447" i="7" s="1"/>
  <c r="J448" i="7"/>
  <c r="K448" i="7" s="1"/>
  <c r="N448" i="7" s="1" a="1"/>
  <c r="N448" i="7" s="1"/>
  <c r="J449" i="7"/>
  <c r="K449" i="7" s="1"/>
  <c r="N449" i="7" s="1" a="1"/>
  <c r="N449" i="7" s="1"/>
  <c r="J450" i="7"/>
  <c r="K450" i="7" s="1"/>
  <c r="N450" i="7" s="1" a="1"/>
  <c r="N450" i="7" s="1"/>
  <c r="J451" i="7"/>
  <c r="K451" i="7" s="1"/>
  <c r="N451" i="7" s="1" a="1"/>
  <c r="N451" i="7" s="1"/>
  <c r="J452" i="7"/>
  <c r="K452" i="7" s="1"/>
  <c r="N452" i="7" s="1" a="1"/>
  <c r="N452" i="7" s="1"/>
  <c r="J453" i="7"/>
  <c r="K453" i="7" s="1"/>
  <c r="N453" i="7" s="1" a="1"/>
  <c r="N453" i="7" s="1"/>
  <c r="J454" i="7"/>
  <c r="K454" i="7" s="1"/>
  <c r="N454" i="7" s="1" a="1"/>
  <c r="N454" i="7" s="1"/>
  <c r="J455" i="7"/>
  <c r="K455" i="7" s="1"/>
  <c r="N455" i="7" s="1" a="1"/>
  <c r="N455" i="7" s="1"/>
  <c r="J456" i="7"/>
  <c r="K456" i="7" s="1"/>
  <c r="N456" i="7" s="1" a="1"/>
  <c r="N456" i="7" s="1"/>
  <c r="J457" i="7"/>
  <c r="K457" i="7" s="1"/>
  <c r="N457" i="7" s="1" a="1"/>
  <c r="N457" i="7" s="1"/>
  <c r="J458" i="7"/>
  <c r="K458" i="7" s="1"/>
  <c r="N458" i="7" s="1" a="1"/>
  <c r="N458" i="7" s="1"/>
  <c r="J459" i="7"/>
  <c r="K459" i="7" s="1"/>
  <c r="N459" i="7" s="1" a="1"/>
  <c r="N459" i="7" s="1"/>
  <c r="J460" i="7"/>
  <c r="K460" i="7" s="1"/>
  <c r="N460" i="7" s="1" a="1"/>
  <c r="N460" i="7" s="1"/>
  <c r="J461" i="7"/>
  <c r="K461" i="7" s="1"/>
  <c r="N461" i="7" s="1" a="1"/>
  <c r="N461" i="7" s="1"/>
  <c r="J462" i="7"/>
  <c r="K462" i="7" s="1"/>
  <c r="N462" i="7" s="1" a="1"/>
  <c r="N462" i="7" s="1"/>
  <c r="J463" i="7"/>
  <c r="K463" i="7" s="1"/>
  <c r="N463" i="7" s="1" a="1"/>
  <c r="N463" i="7" s="1"/>
  <c r="J464" i="7"/>
  <c r="K464" i="7" s="1"/>
  <c r="N464" i="7" s="1" a="1"/>
  <c r="N464" i="7" s="1"/>
  <c r="J465" i="7"/>
  <c r="K465" i="7" s="1"/>
  <c r="N465" i="7" s="1" a="1"/>
  <c r="N465" i="7" s="1"/>
  <c r="J466" i="7"/>
  <c r="K466" i="7" s="1"/>
  <c r="N466" i="7" s="1" a="1"/>
  <c r="N466" i="7" s="1"/>
  <c r="J467" i="7"/>
  <c r="K467" i="7" s="1"/>
  <c r="N467" i="7" s="1" a="1"/>
  <c r="N467" i="7" s="1"/>
  <c r="J468" i="7"/>
  <c r="K468" i="7" s="1"/>
  <c r="N468" i="7" s="1" a="1"/>
  <c r="N468" i="7" s="1"/>
  <c r="J469" i="7"/>
  <c r="K469" i="7" s="1"/>
  <c r="N469" i="7" s="1" a="1"/>
  <c r="N469" i="7" s="1"/>
  <c r="J470" i="7"/>
  <c r="K470" i="7" s="1"/>
  <c r="N470" i="7" s="1" a="1"/>
  <c r="N470" i="7" s="1"/>
  <c r="J471" i="7"/>
  <c r="K471" i="7" s="1"/>
  <c r="N471" i="7" s="1" a="1"/>
  <c r="N471" i="7" s="1"/>
  <c r="J472" i="7"/>
  <c r="K472" i="7" s="1"/>
  <c r="N472" i="7" s="1" a="1"/>
  <c r="N472" i="7" s="1"/>
  <c r="J473" i="7"/>
  <c r="K473" i="7" s="1"/>
  <c r="N473" i="7" s="1" a="1"/>
  <c r="N473" i="7" s="1"/>
  <c r="J474" i="7"/>
  <c r="K474" i="7" s="1"/>
  <c r="N474" i="7" s="1" a="1"/>
  <c r="N474" i="7" s="1"/>
  <c r="J475" i="7"/>
  <c r="K475" i="7" s="1"/>
  <c r="N475" i="7" s="1" a="1"/>
  <c r="N475" i="7" s="1"/>
  <c r="J476" i="7"/>
  <c r="K476" i="7" s="1"/>
  <c r="N476" i="7" s="1" a="1"/>
  <c r="N476" i="7" s="1"/>
  <c r="J477" i="7"/>
  <c r="K477" i="7" s="1"/>
  <c r="N477" i="7" s="1" a="1"/>
  <c r="N477" i="7" s="1"/>
  <c r="J478" i="7"/>
  <c r="K478" i="7" s="1"/>
  <c r="N478" i="7" s="1" a="1"/>
  <c r="N478" i="7" s="1"/>
  <c r="J479" i="7"/>
  <c r="K479" i="7" s="1"/>
  <c r="N479" i="7" s="1" a="1"/>
  <c r="N479" i="7" s="1"/>
  <c r="J480" i="7"/>
  <c r="K480" i="7" s="1"/>
  <c r="N480" i="7" s="1" a="1"/>
  <c r="N480" i="7" s="1"/>
  <c r="J481" i="7"/>
  <c r="K481" i="7" s="1"/>
  <c r="N481" i="7" s="1" a="1"/>
  <c r="N481" i="7" s="1"/>
  <c r="J482" i="7"/>
  <c r="K482" i="7" s="1"/>
  <c r="N482" i="7" s="1" a="1"/>
  <c r="N482" i="7" s="1"/>
  <c r="J483" i="7"/>
  <c r="K483" i="7" s="1"/>
  <c r="N483" i="7" s="1" a="1"/>
  <c r="N483" i="7" s="1"/>
  <c r="J484" i="7"/>
  <c r="K484" i="7" s="1"/>
  <c r="N484" i="7" s="1" a="1"/>
  <c r="N484" i="7" s="1"/>
  <c r="J485" i="7"/>
  <c r="K485" i="7" s="1"/>
  <c r="N485" i="7" s="1" a="1"/>
  <c r="N485" i="7" s="1"/>
  <c r="J486" i="7"/>
  <c r="K486" i="7" s="1"/>
  <c r="N486" i="7" s="1" a="1"/>
  <c r="N486" i="7" s="1"/>
  <c r="J487" i="7"/>
  <c r="K487" i="7" s="1"/>
  <c r="N487" i="7" s="1" a="1"/>
  <c r="N487" i="7" s="1"/>
  <c r="J488" i="7"/>
  <c r="K488" i="7" s="1"/>
  <c r="N488" i="7" s="1" a="1"/>
  <c r="N488" i="7" s="1"/>
  <c r="J489" i="7"/>
  <c r="K489" i="7" s="1"/>
  <c r="N489" i="7" s="1" a="1"/>
  <c r="N489" i="7" s="1"/>
  <c r="J490" i="7"/>
  <c r="K490" i="7" s="1"/>
  <c r="N490" i="7" s="1" a="1"/>
  <c r="N490" i="7" s="1"/>
  <c r="J491" i="7"/>
  <c r="K491" i="7" s="1"/>
  <c r="N491" i="7" s="1" a="1"/>
  <c r="N491" i="7" s="1"/>
  <c r="J492" i="7"/>
  <c r="K492" i="7" s="1"/>
  <c r="N492" i="7" s="1" a="1"/>
  <c r="N492" i="7" s="1"/>
  <c r="J493" i="7"/>
  <c r="K493" i="7" s="1"/>
  <c r="N493" i="7" s="1" a="1"/>
  <c r="N493" i="7" s="1"/>
  <c r="J494" i="7"/>
  <c r="K494" i="7" s="1"/>
  <c r="N494" i="7" s="1" a="1"/>
  <c r="N494" i="7" s="1"/>
  <c r="J495" i="7"/>
  <c r="K495" i="7" s="1"/>
  <c r="N495" i="7" s="1" a="1"/>
  <c r="N495" i="7" s="1"/>
  <c r="J496" i="7"/>
  <c r="K496" i="7" s="1"/>
  <c r="N496" i="7" s="1" a="1"/>
  <c r="N496" i="7" s="1"/>
  <c r="J497" i="7"/>
  <c r="K497" i="7" s="1"/>
  <c r="N497" i="7" s="1" a="1"/>
  <c r="N497" i="7" s="1"/>
  <c r="J498" i="7"/>
  <c r="K498" i="7" s="1"/>
  <c r="N498" i="7" s="1" a="1"/>
  <c r="N498" i="7" s="1"/>
  <c r="J499" i="7"/>
  <c r="K499" i="7" s="1"/>
  <c r="N499" i="7" s="1" a="1"/>
  <c r="N499" i="7" s="1"/>
  <c r="J500" i="7"/>
  <c r="K500" i="7" s="1"/>
  <c r="N500" i="7" s="1" a="1"/>
  <c r="N500" i="7" s="1"/>
  <c r="J501" i="7"/>
  <c r="K501" i="7" s="1"/>
  <c r="N501" i="7" s="1" a="1"/>
  <c r="N501" i="7" s="1"/>
  <c r="J502" i="7"/>
  <c r="K502" i="7" s="1"/>
  <c r="N502" i="7" s="1" a="1"/>
  <c r="N502" i="7" s="1"/>
  <c r="J503" i="7"/>
  <c r="K503" i="7" s="1"/>
  <c r="N503" i="7" s="1" a="1"/>
  <c r="N503" i="7" s="1"/>
  <c r="J504" i="7"/>
  <c r="K504" i="7" s="1"/>
  <c r="N504" i="7" s="1" a="1"/>
  <c r="N504" i="7" s="1"/>
  <c r="J505" i="7"/>
  <c r="K505" i="7" s="1"/>
  <c r="N505" i="7" s="1" a="1"/>
  <c r="N505" i="7" s="1"/>
  <c r="J506" i="7"/>
  <c r="K506" i="7" s="1"/>
  <c r="N506" i="7" s="1" a="1"/>
  <c r="N506" i="7" s="1"/>
  <c r="J507" i="7"/>
  <c r="K507" i="7" s="1"/>
  <c r="N507" i="7" s="1" a="1"/>
  <c r="N507" i="7" s="1"/>
  <c r="J508" i="7"/>
  <c r="K508" i="7" s="1"/>
  <c r="N508" i="7" s="1" a="1"/>
  <c r="N508" i="7" s="1"/>
  <c r="J509" i="7"/>
  <c r="K509" i="7" s="1"/>
  <c r="N509" i="7" s="1" a="1"/>
  <c r="N509" i="7" s="1"/>
  <c r="J510" i="7"/>
  <c r="K510" i="7" s="1"/>
  <c r="N510" i="7" s="1" a="1"/>
  <c r="N510" i="7" s="1"/>
  <c r="J511" i="7"/>
  <c r="K511" i="7" s="1"/>
  <c r="N511" i="7" s="1" a="1"/>
  <c r="N511" i="7" s="1"/>
  <c r="J512" i="7"/>
  <c r="K512" i="7" s="1"/>
  <c r="N512" i="7" s="1" a="1"/>
  <c r="N512" i="7" s="1"/>
  <c r="J513" i="7"/>
  <c r="K513" i="7" s="1"/>
  <c r="N513" i="7" s="1" a="1"/>
  <c r="N513" i="7" s="1"/>
  <c r="J514" i="7"/>
  <c r="K514" i="7" s="1"/>
  <c r="N514" i="7" s="1" a="1"/>
  <c r="N514" i="7" s="1"/>
  <c r="J515" i="7"/>
  <c r="K515" i="7" s="1"/>
  <c r="N515" i="7" s="1" a="1"/>
  <c r="N515" i="7" s="1"/>
  <c r="J516" i="7"/>
  <c r="K516" i="7" s="1"/>
  <c r="N516" i="7" s="1" a="1"/>
  <c r="N516" i="7" s="1"/>
  <c r="J517" i="7"/>
  <c r="K517" i="7" s="1"/>
  <c r="N517" i="7" s="1" a="1"/>
  <c r="N517" i="7" s="1"/>
  <c r="J518" i="7"/>
  <c r="K518" i="7" s="1"/>
  <c r="N518" i="7" s="1" a="1"/>
  <c r="N518" i="7" s="1"/>
  <c r="J519" i="7"/>
  <c r="K519" i="7" s="1"/>
  <c r="N519" i="7" s="1" a="1"/>
  <c r="N519" i="7" s="1"/>
  <c r="J520" i="7"/>
  <c r="K520" i="7" s="1"/>
  <c r="N520" i="7" s="1" a="1"/>
  <c r="N520" i="7" s="1"/>
  <c r="J521" i="7"/>
  <c r="K521" i="7" s="1"/>
  <c r="N521" i="7" s="1" a="1"/>
  <c r="N521" i="7" s="1"/>
  <c r="J522" i="7"/>
  <c r="K522" i="7" s="1"/>
  <c r="N522" i="7" s="1" a="1"/>
  <c r="N522" i="7" s="1"/>
  <c r="J523" i="7"/>
  <c r="K523" i="7" s="1"/>
  <c r="N523" i="7" s="1" a="1"/>
  <c r="N523" i="7" s="1"/>
  <c r="J524" i="7"/>
  <c r="K524" i="7" s="1"/>
  <c r="N524" i="7" s="1" a="1"/>
  <c r="N524" i="7" s="1"/>
  <c r="J525" i="7"/>
  <c r="K525" i="7" s="1"/>
  <c r="N525" i="7" s="1" a="1"/>
  <c r="N525" i="7" s="1"/>
  <c r="J526" i="7"/>
  <c r="K526" i="7" s="1"/>
  <c r="N526" i="7" s="1" a="1"/>
  <c r="N526" i="7" s="1"/>
  <c r="J527" i="7"/>
  <c r="K527" i="7" s="1"/>
  <c r="N527" i="7" s="1" a="1"/>
  <c r="N527" i="7" s="1"/>
  <c r="J528" i="7"/>
  <c r="K528" i="7" s="1"/>
  <c r="N528" i="7" s="1" a="1"/>
  <c r="N528" i="7" s="1"/>
  <c r="J529" i="7"/>
  <c r="K529" i="7" s="1"/>
  <c r="N529" i="7" s="1" a="1"/>
  <c r="N529" i="7" s="1"/>
  <c r="J530" i="7"/>
  <c r="K530" i="7" s="1"/>
  <c r="N530" i="7" s="1" a="1"/>
  <c r="N530" i="7" s="1"/>
  <c r="J531" i="7"/>
  <c r="K531" i="7" s="1"/>
  <c r="N531" i="7" s="1" a="1"/>
  <c r="N531" i="7" s="1"/>
  <c r="J532" i="7"/>
  <c r="K532" i="7" s="1"/>
  <c r="N532" i="7" s="1" a="1"/>
  <c r="N532" i="7" s="1"/>
  <c r="J533" i="7"/>
  <c r="K533" i="7" s="1"/>
  <c r="N533" i="7" s="1" a="1"/>
  <c r="N533" i="7" s="1"/>
  <c r="J534" i="7"/>
  <c r="K534" i="7" s="1"/>
  <c r="N534" i="7" s="1" a="1"/>
  <c r="N534" i="7" s="1"/>
  <c r="J535" i="7"/>
  <c r="K535" i="7" s="1"/>
  <c r="N535" i="7" s="1" a="1"/>
  <c r="N535" i="7" s="1"/>
  <c r="J536" i="7"/>
  <c r="K536" i="7" s="1"/>
  <c r="N536" i="7" s="1" a="1"/>
  <c r="N536" i="7" s="1"/>
  <c r="J537" i="7"/>
  <c r="K537" i="7" s="1"/>
  <c r="N537" i="7" s="1" a="1"/>
  <c r="N537" i="7" s="1"/>
  <c r="J538" i="7"/>
  <c r="K538" i="7" s="1"/>
  <c r="N538" i="7" s="1" a="1"/>
  <c r="N538" i="7" s="1"/>
  <c r="J539" i="7"/>
  <c r="K539" i="7" s="1"/>
  <c r="N539" i="7" s="1" a="1"/>
  <c r="N539" i="7" s="1"/>
  <c r="J540" i="7"/>
  <c r="K540" i="7" s="1"/>
  <c r="N540" i="7" s="1" a="1"/>
  <c r="N540" i="7" s="1"/>
  <c r="J541" i="7"/>
  <c r="K541" i="7" s="1"/>
  <c r="N541" i="7" s="1" a="1"/>
  <c r="N541" i="7" s="1"/>
  <c r="J542" i="7"/>
  <c r="K542" i="7" s="1"/>
  <c r="N542" i="7" s="1" a="1"/>
  <c r="N542" i="7" s="1"/>
  <c r="J543" i="7"/>
  <c r="K543" i="7" s="1"/>
  <c r="N543" i="7" s="1" a="1"/>
  <c r="N543" i="7" s="1"/>
  <c r="J544" i="7"/>
  <c r="K544" i="7" s="1"/>
  <c r="N544" i="7" s="1" a="1"/>
  <c r="N544" i="7" s="1"/>
  <c r="J545" i="7"/>
  <c r="K545" i="7" s="1"/>
  <c r="N545" i="7" s="1" a="1"/>
  <c r="N545" i="7" s="1"/>
  <c r="J546" i="7"/>
  <c r="K546" i="7" s="1"/>
  <c r="N546" i="7" s="1" a="1"/>
  <c r="N546" i="7" s="1"/>
  <c r="J547" i="7"/>
  <c r="K547" i="7" s="1"/>
  <c r="N547" i="7" s="1" a="1"/>
  <c r="N547" i="7" s="1"/>
  <c r="J548" i="7"/>
  <c r="K548" i="7" s="1"/>
  <c r="N548" i="7" s="1" a="1"/>
  <c r="N548" i="7" s="1"/>
  <c r="J549" i="7"/>
  <c r="K549" i="7" s="1"/>
  <c r="N549" i="7" s="1" a="1"/>
  <c r="N549" i="7" s="1"/>
  <c r="J550" i="7"/>
  <c r="K550" i="7" s="1"/>
  <c r="N550" i="7" s="1" a="1"/>
  <c r="N550" i="7" s="1"/>
  <c r="J551" i="7"/>
  <c r="K551" i="7" s="1"/>
  <c r="N551" i="7" s="1" a="1"/>
  <c r="N551" i="7" s="1"/>
  <c r="J552" i="7"/>
  <c r="K552" i="7" s="1"/>
  <c r="N552" i="7" s="1" a="1"/>
  <c r="N552" i="7" s="1"/>
  <c r="J553" i="7"/>
  <c r="K553" i="7" s="1"/>
  <c r="N553" i="7" s="1" a="1"/>
  <c r="N553" i="7" s="1"/>
  <c r="J554" i="7"/>
  <c r="K554" i="7" s="1"/>
  <c r="N554" i="7" s="1" a="1"/>
  <c r="N554" i="7" s="1"/>
  <c r="J555" i="7"/>
  <c r="K555" i="7" s="1"/>
  <c r="N555" i="7" s="1" a="1"/>
  <c r="N555" i="7" s="1"/>
  <c r="J556" i="7"/>
  <c r="K556" i="7" s="1"/>
  <c r="N556" i="7" s="1" a="1"/>
  <c r="N556" i="7" s="1"/>
  <c r="J557" i="7"/>
  <c r="K557" i="7" s="1"/>
  <c r="N557" i="7" s="1" a="1"/>
  <c r="N557" i="7" s="1"/>
  <c r="J558" i="7"/>
  <c r="K558" i="7" s="1"/>
  <c r="N558" i="7" s="1" a="1"/>
  <c r="N558" i="7" s="1"/>
  <c r="J559" i="7"/>
  <c r="K559" i="7" s="1"/>
  <c r="N559" i="7" s="1" a="1"/>
  <c r="N559" i="7" s="1"/>
  <c r="J560" i="7"/>
  <c r="K560" i="7" s="1"/>
  <c r="N560" i="7" s="1" a="1"/>
  <c r="N560" i="7" s="1"/>
  <c r="J561" i="7"/>
  <c r="K561" i="7" s="1"/>
  <c r="N561" i="7" s="1" a="1"/>
  <c r="N561" i="7" s="1"/>
  <c r="J562" i="7"/>
  <c r="K562" i="7" s="1"/>
  <c r="N562" i="7" s="1" a="1"/>
  <c r="N562" i="7" s="1"/>
  <c r="J563" i="7"/>
  <c r="K563" i="7" s="1"/>
  <c r="N563" i="7" s="1" a="1"/>
  <c r="N563" i="7" s="1"/>
  <c r="J564" i="7"/>
  <c r="K564" i="7" s="1"/>
  <c r="N564" i="7" s="1" a="1"/>
  <c r="N564" i="7" s="1"/>
  <c r="J565" i="7"/>
  <c r="K565" i="7" s="1"/>
  <c r="N565" i="7" s="1" a="1"/>
  <c r="N565" i="7" s="1"/>
  <c r="J566" i="7"/>
  <c r="K566" i="7" s="1"/>
  <c r="N566" i="7" s="1" a="1"/>
  <c r="N566" i="7" s="1"/>
  <c r="J567" i="7"/>
  <c r="K567" i="7" s="1"/>
  <c r="N567" i="7" s="1" a="1"/>
  <c r="N567" i="7" s="1"/>
  <c r="J568" i="7"/>
  <c r="K568" i="7" s="1"/>
  <c r="N568" i="7" s="1" a="1"/>
  <c r="N568" i="7" s="1"/>
  <c r="J569" i="7"/>
  <c r="K569" i="7" s="1"/>
  <c r="N569" i="7" s="1" a="1"/>
  <c r="N569" i="7" s="1"/>
  <c r="J570" i="7"/>
  <c r="K570" i="7" s="1"/>
  <c r="N570" i="7" s="1" a="1"/>
  <c r="N570" i="7" s="1"/>
  <c r="J571" i="7"/>
  <c r="K571" i="7" s="1"/>
  <c r="N571" i="7" s="1" a="1"/>
  <c r="N571" i="7" s="1"/>
  <c r="J572" i="7"/>
  <c r="K572" i="7" s="1"/>
  <c r="N572" i="7" s="1" a="1"/>
  <c r="N572" i="7" s="1"/>
  <c r="J573" i="7"/>
  <c r="K573" i="7" s="1"/>
  <c r="N573" i="7" s="1" a="1"/>
  <c r="N573" i="7" s="1"/>
  <c r="J574" i="7"/>
  <c r="K574" i="7" s="1"/>
  <c r="N574" i="7" s="1" a="1"/>
  <c r="N574" i="7" s="1"/>
  <c r="J575" i="7"/>
  <c r="K575" i="7" s="1"/>
  <c r="N575" i="7" s="1" a="1"/>
  <c r="N575" i="7" s="1"/>
  <c r="J576" i="7"/>
  <c r="K576" i="7" s="1"/>
  <c r="N576" i="7" s="1" a="1"/>
  <c r="N576" i="7" s="1"/>
  <c r="J577" i="7"/>
  <c r="K577" i="7" s="1"/>
  <c r="N577" i="7" s="1" a="1"/>
  <c r="N577" i="7" s="1"/>
  <c r="J578" i="7"/>
  <c r="K578" i="7" s="1"/>
  <c r="N578" i="7" s="1" a="1"/>
  <c r="N578" i="7" s="1"/>
  <c r="J579" i="7"/>
  <c r="K579" i="7" s="1"/>
  <c r="N579" i="7" s="1" a="1"/>
  <c r="N579" i="7" s="1"/>
  <c r="J580" i="7"/>
  <c r="K580" i="7" s="1"/>
  <c r="N580" i="7" s="1" a="1"/>
  <c r="N580" i="7" s="1"/>
  <c r="J581" i="7"/>
  <c r="K581" i="7" s="1"/>
  <c r="N581" i="7" s="1" a="1"/>
  <c r="N581" i="7" s="1"/>
  <c r="J582" i="7"/>
  <c r="K582" i="7" s="1"/>
  <c r="N582" i="7" s="1" a="1"/>
  <c r="N582" i="7" s="1"/>
  <c r="J583" i="7"/>
  <c r="K583" i="7" s="1"/>
  <c r="N583" i="7" s="1" a="1"/>
  <c r="N583" i="7" s="1"/>
  <c r="J584" i="7"/>
  <c r="K584" i="7" s="1"/>
  <c r="N584" i="7" s="1" a="1"/>
  <c r="N584" i="7" s="1"/>
  <c r="J585" i="7"/>
  <c r="K585" i="7" s="1"/>
  <c r="N585" i="7" s="1" a="1"/>
  <c r="N585" i="7" s="1"/>
  <c r="J586" i="7"/>
  <c r="K586" i="7" s="1"/>
  <c r="N586" i="7" s="1" a="1"/>
  <c r="N586" i="7" s="1"/>
  <c r="J587" i="7"/>
  <c r="K587" i="7" s="1"/>
  <c r="N587" i="7" s="1" a="1"/>
  <c r="N587" i="7" s="1"/>
  <c r="J588" i="7"/>
  <c r="K588" i="7" s="1"/>
  <c r="N588" i="7" s="1" a="1"/>
  <c r="N588" i="7" s="1"/>
  <c r="J589" i="7"/>
  <c r="K589" i="7" s="1"/>
  <c r="N589" i="7" s="1" a="1"/>
  <c r="N589" i="7" s="1"/>
  <c r="J590" i="7"/>
  <c r="K590" i="7" s="1"/>
  <c r="N590" i="7" s="1" a="1"/>
  <c r="N590" i="7" s="1"/>
  <c r="J591" i="7"/>
  <c r="K591" i="7" s="1"/>
  <c r="N591" i="7" s="1" a="1"/>
  <c r="N591" i="7" s="1"/>
  <c r="J592" i="7"/>
  <c r="K592" i="7" s="1"/>
  <c r="N592" i="7" s="1" a="1"/>
  <c r="N592" i="7" s="1"/>
  <c r="J593" i="7"/>
  <c r="K593" i="7" s="1"/>
  <c r="N593" i="7" s="1" a="1"/>
  <c r="N593" i="7" s="1"/>
  <c r="J594" i="7"/>
  <c r="K594" i="7" s="1"/>
  <c r="N594" i="7" s="1" a="1"/>
  <c r="N594" i="7" s="1"/>
  <c r="J595" i="7"/>
  <c r="K595" i="7" s="1"/>
  <c r="N595" i="7" s="1" a="1"/>
  <c r="N595" i="7" s="1"/>
  <c r="J596" i="7"/>
  <c r="K596" i="7" s="1"/>
  <c r="N596" i="7" s="1" a="1"/>
  <c r="N596" i="7" s="1"/>
  <c r="J597" i="7"/>
  <c r="K597" i="7" s="1"/>
  <c r="N597" i="7" s="1" a="1"/>
  <c r="N597" i="7" s="1"/>
  <c r="J598" i="7"/>
  <c r="K598" i="7" s="1"/>
  <c r="N598" i="7" s="1" a="1"/>
  <c r="N598" i="7" s="1"/>
  <c r="J599" i="7"/>
  <c r="K599" i="7" s="1"/>
  <c r="N599" i="7" s="1" a="1"/>
  <c r="N599" i="7" s="1"/>
  <c r="J600" i="7"/>
  <c r="K600" i="7" s="1"/>
  <c r="N600" i="7" s="1" a="1"/>
  <c r="N600" i="7" s="1"/>
  <c r="J601" i="7"/>
  <c r="K601" i="7" s="1"/>
  <c r="N601" i="7" s="1" a="1"/>
  <c r="N601" i="7" s="1"/>
  <c r="J602" i="7"/>
  <c r="K602" i="7" s="1"/>
  <c r="N602" i="7" s="1" a="1"/>
  <c r="N602" i="7" s="1"/>
  <c r="J603" i="7"/>
  <c r="K603" i="7" s="1"/>
  <c r="N603" i="7" s="1" a="1"/>
  <c r="N603" i="7" s="1"/>
  <c r="J604" i="7"/>
  <c r="K604" i="7" s="1"/>
  <c r="N604" i="7" s="1" a="1"/>
  <c r="N604" i="7" s="1"/>
  <c r="J605" i="7"/>
  <c r="K605" i="7" s="1"/>
  <c r="N605" i="7" s="1" a="1"/>
  <c r="N605" i="7" s="1"/>
  <c r="J606" i="7"/>
  <c r="K606" i="7" s="1"/>
  <c r="N606" i="7" s="1" a="1"/>
  <c r="N606" i="7" s="1"/>
  <c r="J607" i="7"/>
  <c r="K607" i="7" s="1"/>
  <c r="N607" i="7" s="1" a="1"/>
  <c r="N607" i="7" s="1"/>
  <c r="J608" i="7"/>
  <c r="K608" i="7" s="1"/>
  <c r="N608" i="7" s="1" a="1"/>
  <c r="N608" i="7" s="1"/>
  <c r="J609" i="7"/>
  <c r="K609" i="7" s="1"/>
  <c r="N609" i="7" s="1" a="1"/>
  <c r="N609" i="7" s="1"/>
  <c r="J610" i="7"/>
  <c r="K610" i="7" s="1"/>
  <c r="N610" i="7" s="1" a="1"/>
  <c r="N610" i="7" s="1"/>
  <c r="J611" i="7"/>
  <c r="K611" i="7" s="1"/>
  <c r="N611" i="7" s="1" a="1"/>
  <c r="N611" i="7" s="1"/>
  <c r="J612" i="7"/>
  <c r="K612" i="7" s="1"/>
  <c r="N612" i="7" s="1" a="1"/>
  <c r="N612" i="7" s="1"/>
  <c r="J613" i="7"/>
  <c r="K613" i="7" s="1"/>
  <c r="N613" i="7" s="1" a="1"/>
  <c r="N613" i="7" s="1"/>
  <c r="J614" i="7"/>
  <c r="K614" i="7" s="1"/>
  <c r="N614" i="7" s="1" a="1"/>
  <c r="N614" i="7" s="1"/>
  <c r="J615" i="7"/>
  <c r="K615" i="7" s="1"/>
  <c r="N615" i="7" s="1" a="1"/>
  <c r="N615" i="7" s="1"/>
  <c r="J616" i="7"/>
  <c r="K616" i="7" s="1"/>
  <c r="N616" i="7" s="1" a="1"/>
  <c r="N616" i="7" s="1"/>
  <c r="J617" i="7"/>
  <c r="K617" i="7" s="1"/>
  <c r="N617" i="7" s="1" a="1"/>
  <c r="N617" i="7" s="1"/>
  <c r="J618" i="7"/>
  <c r="K618" i="7" s="1"/>
  <c r="N618" i="7" s="1" a="1"/>
  <c r="N618" i="7" s="1"/>
  <c r="J619" i="7"/>
  <c r="K619" i="7" s="1"/>
  <c r="N619" i="7" s="1" a="1"/>
  <c r="N619" i="7" s="1"/>
  <c r="J620" i="7"/>
  <c r="K620" i="7" s="1"/>
  <c r="N620" i="7" s="1" a="1"/>
  <c r="N620" i="7" s="1"/>
  <c r="J621" i="7"/>
  <c r="K621" i="7" s="1"/>
  <c r="N621" i="7" s="1" a="1"/>
  <c r="N621" i="7" s="1"/>
  <c r="J622" i="7"/>
  <c r="K622" i="7" s="1"/>
  <c r="N622" i="7" s="1" a="1"/>
  <c r="N622" i="7" s="1"/>
  <c r="J623" i="7"/>
  <c r="K623" i="7" s="1"/>
  <c r="N623" i="7" s="1" a="1"/>
  <c r="N623" i="7" s="1"/>
  <c r="J624" i="7"/>
  <c r="K624" i="7" s="1"/>
  <c r="N624" i="7" s="1" a="1"/>
  <c r="N624" i="7" s="1"/>
  <c r="J625" i="7"/>
  <c r="K625" i="7" s="1"/>
  <c r="N625" i="7" s="1" a="1"/>
  <c r="N625" i="7" s="1"/>
  <c r="J626" i="7"/>
  <c r="K626" i="7" s="1"/>
  <c r="N626" i="7" s="1" a="1"/>
  <c r="N626" i="7" s="1"/>
  <c r="J627" i="7"/>
  <c r="K627" i="7" s="1"/>
  <c r="N627" i="7" s="1" a="1"/>
  <c r="N627" i="7" s="1"/>
  <c r="J628" i="7"/>
  <c r="K628" i="7" s="1"/>
  <c r="N628" i="7" s="1" a="1"/>
  <c r="N628" i="7" s="1"/>
  <c r="J629" i="7"/>
  <c r="K629" i="7" s="1"/>
  <c r="N629" i="7" s="1" a="1"/>
  <c r="N629" i="7" s="1"/>
  <c r="J630" i="7"/>
  <c r="K630" i="7" s="1"/>
  <c r="N630" i="7" s="1" a="1"/>
  <c r="N630" i="7" s="1"/>
  <c r="J631" i="7"/>
  <c r="K631" i="7" s="1"/>
  <c r="N631" i="7" s="1" a="1"/>
  <c r="N631" i="7" s="1"/>
  <c r="J632" i="7"/>
  <c r="K632" i="7" s="1"/>
  <c r="N632" i="7" s="1" a="1"/>
  <c r="N632" i="7" s="1"/>
  <c r="J633" i="7"/>
  <c r="K633" i="7" s="1"/>
  <c r="N633" i="7" s="1" a="1"/>
  <c r="N633" i="7" s="1"/>
  <c r="J634" i="7"/>
  <c r="K634" i="7" s="1"/>
  <c r="N634" i="7" s="1" a="1"/>
  <c r="N634" i="7" s="1"/>
  <c r="J635" i="7"/>
  <c r="K635" i="7" s="1"/>
  <c r="N635" i="7" s="1" a="1"/>
  <c r="N635" i="7" s="1"/>
  <c r="J636" i="7"/>
  <c r="K636" i="7" s="1"/>
  <c r="N636" i="7" s="1" a="1"/>
  <c r="N636" i="7" s="1"/>
  <c r="J637" i="7"/>
  <c r="K637" i="7" s="1"/>
  <c r="N637" i="7" s="1" a="1"/>
  <c r="N637" i="7" s="1"/>
  <c r="J638" i="7"/>
  <c r="K638" i="7" s="1"/>
  <c r="N638" i="7" s="1" a="1"/>
  <c r="N638" i="7" s="1"/>
  <c r="J639" i="7"/>
  <c r="K639" i="7" s="1"/>
  <c r="N639" i="7" s="1" a="1"/>
  <c r="N639" i="7" s="1"/>
  <c r="J640" i="7"/>
  <c r="K640" i="7" s="1"/>
  <c r="N640" i="7" s="1" a="1"/>
  <c r="N640" i="7" s="1"/>
  <c r="J641" i="7"/>
  <c r="K641" i="7" s="1"/>
  <c r="N641" i="7" s="1" a="1"/>
  <c r="N641" i="7" s="1"/>
  <c r="J642" i="7"/>
  <c r="K642" i="7" s="1"/>
  <c r="N642" i="7" s="1" a="1"/>
  <c r="N642" i="7" s="1"/>
  <c r="J643" i="7"/>
  <c r="K643" i="7" s="1"/>
  <c r="N643" i="7" s="1" a="1"/>
  <c r="N643" i="7" s="1"/>
  <c r="J644" i="7"/>
  <c r="K644" i="7" s="1"/>
  <c r="N644" i="7" s="1" a="1"/>
  <c r="N644" i="7" s="1"/>
  <c r="J645" i="7"/>
  <c r="K645" i="7" s="1"/>
  <c r="N645" i="7" s="1" a="1"/>
  <c r="N645" i="7" s="1"/>
  <c r="J646" i="7"/>
  <c r="K646" i="7" s="1"/>
  <c r="N646" i="7" s="1" a="1"/>
  <c r="N646" i="7" s="1"/>
  <c r="J647" i="7"/>
  <c r="K647" i="7" s="1"/>
  <c r="N647" i="7" s="1" a="1"/>
  <c r="N647" i="7" s="1"/>
  <c r="J6" i="7"/>
  <c r="K6" i="7" s="1"/>
  <c r="N6" i="7" s="1" a="1"/>
  <c r="N6" i="7" s="1"/>
  <c r="N248" i="7" l="1" a="1"/>
  <c r="N248" i="7" s="1"/>
  <c r="N247" i="7" a="1"/>
  <c r="N247" i="7" s="1"/>
  <c r="N246" i="7" a="1"/>
  <c r="N246" i="7" s="1"/>
  <c r="N245" i="7" a="1"/>
  <c r="N245" i="7" s="1"/>
  <c r="N244" i="7" a="1"/>
  <c r="N244" i="7" s="1"/>
  <c r="N243" i="7" a="1"/>
  <c r="N243" i="7" s="1"/>
  <c r="N242" i="7" a="1"/>
  <c r="N242" i="7" s="1"/>
  <c r="N241" i="7" a="1"/>
  <c r="N241" i="7" s="1"/>
  <c r="N240" i="7" a="1"/>
  <c r="N240" i="7" s="1"/>
  <c r="N239" i="7" a="1"/>
  <c r="N239" i="7" s="1"/>
  <c r="N238" i="7" a="1"/>
  <c r="N238" i="7" s="1"/>
  <c r="N237" i="7" a="1"/>
  <c r="N237" i="7" s="1"/>
  <c r="N236" i="7" a="1"/>
  <c r="N236" i="7" s="1"/>
  <c r="N235" i="7" a="1"/>
  <c r="N235" i="7" s="1"/>
  <c r="N234" i="7" a="1"/>
  <c r="N234" i="7" s="1"/>
  <c r="N233" i="7" a="1"/>
  <c r="N233" i="7" s="1"/>
  <c r="N232" i="7" a="1"/>
  <c r="N232" i="7" s="1"/>
  <c r="N231" i="7" a="1"/>
  <c r="N231" i="7" s="1"/>
  <c r="N230" i="7" a="1"/>
  <c r="N230" i="7" s="1"/>
  <c r="N229" i="7" a="1"/>
  <c r="N229" i="7" s="1"/>
  <c r="N228" i="7" a="1"/>
  <c r="N228" i="7" s="1"/>
  <c r="N227" i="7" a="1"/>
  <c r="N227" i="7" s="1"/>
  <c r="N226" i="7" a="1"/>
  <c r="N226" i="7" s="1"/>
  <c r="N225" i="7" a="1"/>
  <c r="N225" i="7" s="1"/>
  <c r="N224" i="7" a="1"/>
  <c r="N224" i="7" s="1"/>
  <c r="N223" i="7" a="1"/>
  <c r="N223" i="7" s="1"/>
  <c r="N222" i="7" a="1"/>
  <c r="N222" i="7" s="1"/>
  <c r="N221" i="7" a="1"/>
  <c r="N221" i="7" s="1"/>
  <c r="N220" i="7" a="1"/>
  <c r="N220" i="7" s="1"/>
  <c r="N219" i="7" a="1"/>
  <c r="N219" i="7" s="1"/>
  <c r="N218" i="7" a="1"/>
  <c r="N218" i="7" s="1"/>
  <c r="N217" i="7" a="1"/>
  <c r="N217" i="7" s="1"/>
  <c r="N216" i="7" a="1"/>
  <c r="N216" i="7" s="1"/>
  <c r="N215" i="7" a="1"/>
  <c r="N215" i="7" s="1"/>
  <c r="N214" i="7" a="1"/>
  <c r="N214" i="7" s="1"/>
  <c r="N213" i="7" a="1"/>
  <c r="N213" i="7" s="1"/>
  <c r="N212" i="7" a="1"/>
  <c r="N212" i="7" s="1"/>
  <c r="N211" i="7" a="1"/>
  <c r="N211" i="7" s="1"/>
  <c r="N210" i="7" a="1"/>
  <c r="N210" i="7" s="1"/>
  <c r="N209" i="7" a="1"/>
  <c r="N209" i="7" s="1"/>
  <c r="N208" i="7" a="1"/>
  <c r="N208" i="7" s="1"/>
  <c r="N207" i="7" a="1"/>
  <c r="N207" i="7" s="1"/>
  <c r="N206" i="7" a="1"/>
  <c r="N206" i="7" s="1"/>
  <c r="N205" i="7" a="1"/>
  <c r="N205" i="7" s="1"/>
  <c r="N204" i="7" a="1"/>
  <c r="N204" i="7" s="1"/>
  <c r="N203" i="7" a="1"/>
  <c r="N203" i="7" s="1"/>
  <c r="N202" i="7" a="1"/>
  <c r="N202" i="7" s="1"/>
  <c r="N201" i="7" a="1"/>
  <c r="N201" i="7" s="1"/>
  <c r="N200" i="7" a="1"/>
  <c r="N200" i="7" s="1"/>
  <c r="N199" i="7" a="1"/>
  <c r="N199" i="7" s="1"/>
  <c r="N198" i="7" a="1"/>
  <c r="N198" i="7" s="1"/>
  <c r="N197" i="7" a="1"/>
  <c r="N197" i="7" s="1"/>
  <c r="N196" i="7" a="1"/>
  <c r="N196" i="7" s="1"/>
  <c r="N195" i="7" a="1"/>
  <c r="N195" i="7" s="1"/>
  <c r="N194" i="7" a="1"/>
  <c r="N194" i="7" s="1"/>
  <c r="N193" i="7" a="1"/>
  <c r="N193" i="7" s="1"/>
  <c r="N192" i="7" a="1"/>
  <c r="N192" i="7" s="1"/>
  <c r="N191" i="7" a="1"/>
  <c r="N191" i="7" s="1"/>
  <c r="N190" i="7" a="1"/>
  <c r="N190" i="7" s="1"/>
  <c r="N189" i="7" a="1"/>
  <c r="N189" i="7" s="1"/>
  <c r="N188" i="7" a="1"/>
  <c r="N188" i="7" s="1"/>
  <c r="N187" i="7" a="1"/>
  <c r="N187" i="7" s="1"/>
  <c r="N186" i="7" a="1"/>
  <c r="N186" i="7" s="1"/>
  <c r="N185" i="7" a="1"/>
  <c r="N185" i="7" s="1"/>
  <c r="N184" i="7" a="1"/>
  <c r="N184" i="7" s="1"/>
  <c r="N183" i="7" a="1"/>
  <c r="N183" i="7" s="1"/>
  <c r="N182" i="7" a="1"/>
  <c r="N182" i="7" s="1"/>
  <c r="N181" i="7" a="1"/>
  <c r="N181" i="7" s="1"/>
  <c r="N180" i="7" a="1"/>
  <c r="N180" i="7" s="1"/>
  <c r="N179" i="7" a="1"/>
  <c r="N179" i="7" s="1"/>
  <c r="N178" i="7" a="1"/>
  <c r="N178" i="7" s="1"/>
  <c r="N177" i="7" a="1"/>
  <c r="N177" i="7" s="1"/>
  <c r="N176" i="7" a="1"/>
  <c r="N176" i="7" s="1"/>
  <c r="N175" i="7" a="1"/>
  <c r="N175" i="7" s="1"/>
  <c r="N174" i="7" a="1"/>
  <c r="N174" i="7" s="1"/>
  <c r="N173" i="7" a="1"/>
  <c r="N173" i="7" s="1"/>
  <c r="N172" i="7" a="1"/>
  <c r="N172" i="7" s="1"/>
  <c r="N171" i="7" a="1"/>
  <c r="N171" i="7" s="1"/>
  <c r="N170" i="7" a="1"/>
  <c r="N170" i="7" s="1"/>
  <c r="N169" i="7" a="1"/>
  <c r="N169" i="7" s="1"/>
  <c r="N168" i="7" a="1"/>
  <c r="N168" i="7" s="1"/>
  <c r="N167" i="7" a="1"/>
  <c r="N167" i="7" s="1"/>
  <c r="N166" i="7" a="1"/>
  <c r="N166" i="7" s="1"/>
  <c r="N165" i="7" a="1"/>
  <c r="N165" i="7" s="1"/>
  <c r="N164" i="7" a="1"/>
  <c r="N164" i="7" s="1"/>
  <c r="N163" i="7" a="1"/>
  <c r="N163" i="7" s="1"/>
  <c r="N162" i="7" a="1"/>
  <c r="N162" i="7" s="1"/>
  <c r="N161" i="7" a="1"/>
  <c r="N161" i="7" s="1"/>
  <c r="N160" i="7" a="1"/>
  <c r="N160" i="7" s="1"/>
  <c r="N159" i="7" a="1"/>
  <c r="N159" i="7" s="1"/>
  <c r="N158" i="7" a="1"/>
  <c r="N158" i="7" s="1"/>
  <c r="N157" i="7" a="1"/>
  <c r="N157" i="7" s="1"/>
  <c r="N156" i="7" a="1"/>
  <c r="N156" i="7" s="1"/>
  <c r="N155" i="7" a="1"/>
  <c r="N155" i="7" s="1"/>
  <c r="N154" i="7" a="1"/>
  <c r="N154" i="7" s="1"/>
  <c r="N153" i="7" a="1"/>
  <c r="N153" i="7" s="1"/>
  <c r="N152" i="7" a="1"/>
  <c r="N152" i="7" s="1"/>
  <c r="N151" i="7" a="1"/>
  <c r="N151" i="7" s="1"/>
  <c r="N150" i="7" a="1"/>
  <c r="N150" i="7" s="1"/>
  <c r="N149" i="7" a="1"/>
  <c r="N149" i="7" s="1"/>
  <c r="N148" i="7" a="1"/>
  <c r="N148" i="7" s="1"/>
  <c r="N147" i="7" a="1"/>
  <c r="N147" i="7" s="1"/>
  <c r="N146" i="7" a="1"/>
  <c r="N146" i="7" s="1"/>
  <c r="N145" i="7" a="1"/>
  <c r="N145" i="7" s="1"/>
  <c r="N144" i="7" a="1"/>
  <c r="N144" i="7" s="1"/>
  <c r="N143" i="7" a="1"/>
  <c r="N143" i="7" s="1"/>
  <c r="N142" i="7" a="1"/>
  <c r="N142" i="7" s="1"/>
  <c r="N141" i="7" a="1"/>
  <c r="N141" i="7" s="1"/>
  <c r="N140" i="7" a="1"/>
  <c r="N140" i="7" s="1"/>
  <c r="N139" i="7" a="1"/>
  <c r="N139" i="7" s="1"/>
  <c r="N138" i="7" a="1"/>
  <c r="N138" i="7" s="1"/>
  <c r="N137" i="7" a="1"/>
  <c r="N137" i="7" s="1"/>
  <c r="N136" i="7" a="1"/>
  <c r="N136" i="7" s="1"/>
  <c r="N135" i="7" a="1"/>
  <c r="N135" i="7" s="1"/>
  <c r="N134" i="7" a="1"/>
  <c r="N134" i="7" s="1"/>
  <c r="U6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<sst xmlns="http://schemas.openxmlformats.org/spreadsheetml/2006/main" count="1990" uniqueCount="235">
  <si>
    <t>Background</t>
  </si>
  <si>
    <t>Below are commission terms and conditions by airlines:</t>
  </si>
  <si>
    <t>Airlines</t>
  </si>
  <si>
    <t>Commission</t>
  </si>
  <si>
    <t>Criteria</t>
  </si>
  <si>
    <t>Airlines 1</t>
  </si>
  <si>
    <t>4% of airlines ticket fare</t>
  </si>
  <si>
    <t>Applicable for every weekend booking only</t>
  </si>
  <si>
    <t>Airlines 2</t>
  </si>
  <si>
    <t xml:space="preserve">5% of airlines ticket fare
</t>
  </si>
  <si>
    <t>If the daily sales is more than 20 seats</t>
  </si>
  <si>
    <t>Airlines 3</t>
  </si>
  <si>
    <t>20,000 per seat</t>
  </si>
  <si>
    <t>Only for CGK-SUB and CGK-PKU and CGK-JOG routes, applied for oneway and return</t>
  </si>
  <si>
    <t>Airlines 4</t>
  </si>
  <si>
    <t>15,000 per seat</t>
  </si>
  <si>
    <t>Booking time 1-15 October and Departure time 2 October - 30 November 2015</t>
  </si>
  <si>
    <t>Airlines 5</t>
  </si>
  <si>
    <t>1% if ticket value sold &lt;50 million IDR
2% if ticket value sold 50-100 million IDR
3% if ticket value sold 101 - 200 million IDR
3.5% if ticket value sold &gt;200 million IDR</t>
  </si>
  <si>
    <t>Basic of commission calculation is from airlines ticket fare</t>
  </si>
  <si>
    <t>Payment method</t>
  </si>
  <si>
    <t>Payment Fee</t>
  </si>
  <si>
    <t>Method 1</t>
  </si>
  <si>
    <t>None</t>
  </si>
  <si>
    <t>Method 2</t>
  </si>
  <si>
    <t>3% from amount paid by Customer</t>
  </si>
  <si>
    <t>Method 3</t>
  </si>
  <si>
    <t>4,000 IDR by transactions</t>
  </si>
  <si>
    <t>Method 4</t>
  </si>
  <si>
    <t>3,000 IDR by transactions</t>
  </si>
  <si>
    <t>Instructions</t>
  </si>
  <si>
    <r>
      <rPr>
        <sz val="11"/>
        <color theme="1"/>
        <rFont val="Calibri"/>
        <family val="2"/>
        <scheme val="minor"/>
      </rPr>
      <t>Complete the following instructions in 30</t>
    </r>
    <r>
      <rPr>
        <b/>
        <sz val="11"/>
        <color rgb="FFFF0000"/>
        <rFont val="Calibri"/>
        <family val="2"/>
        <scheme val="minor"/>
      </rPr>
      <t xml:space="preserve"> minutes</t>
    </r>
  </si>
  <si>
    <t>Booking ID</t>
  </si>
  <si>
    <t>Booking Date</t>
  </si>
  <si>
    <t>Departure Date</t>
  </si>
  <si>
    <t>Route</t>
  </si>
  <si>
    <t>Number of seat</t>
  </si>
  <si>
    <t>Ticket fare from airlines</t>
  </si>
  <si>
    <t>Selling price to customer</t>
  </si>
  <si>
    <t>PGK_CGK</t>
  </si>
  <si>
    <t>CGK_JOG</t>
  </si>
  <si>
    <t>CGK_DPS</t>
  </si>
  <si>
    <t>CGK_UPG</t>
  </si>
  <si>
    <t>SUB_CGK</t>
  </si>
  <si>
    <t>CGK_TRK</t>
  </si>
  <si>
    <t>JOG_BPN</t>
  </si>
  <si>
    <t>SOC_CGK</t>
  </si>
  <si>
    <t>CGK_KDI</t>
  </si>
  <si>
    <t>DPS_CGK</t>
  </si>
  <si>
    <t>HLP_KNO</t>
  </si>
  <si>
    <t>CGK_PLM</t>
  </si>
  <si>
    <t>KNO_CGK</t>
  </si>
  <si>
    <t>KDI_SUB</t>
  </si>
  <si>
    <t>HLP_PDG</t>
  </si>
  <si>
    <t>BPN_BDO</t>
  </si>
  <si>
    <t>CGK_PDG</t>
  </si>
  <si>
    <t>CGK_LOP</t>
  </si>
  <si>
    <t>DPS_LBJ</t>
  </si>
  <si>
    <t>CGK_KNO</t>
  </si>
  <si>
    <t>HLP_PLM</t>
  </si>
  <si>
    <t>BDO_UPG</t>
  </si>
  <si>
    <t>KOE_CGK</t>
  </si>
  <si>
    <t>CGK_SUB</t>
  </si>
  <si>
    <t>CGK_DJJ</t>
  </si>
  <si>
    <t>BKS_CGK</t>
  </si>
  <si>
    <t>SRG_SUB</t>
  </si>
  <si>
    <t>CGK_SIN</t>
  </si>
  <si>
    <t>PNK_CGK</t>
  </si>
  <si>
    <t>CGK_TKG</t>
  </si>
  <si>
    <t>HLP_UPG</t>
  </si>
  <si>
    <t>CGK_BKS</t>
  </si>
  <si>
    <t>HLP_BKS</t>
  </si>
  <si>
    <t>CGK_BTH</t>
  </si>
  <si>
    <t>SRG_CGK</t>
  </si>
  <si>
    <t>CGK_KUL</t>
  </si>
  <si>
    <t>PNK_HLP</t>
  </si>
  <si>
    <t>SIN_CGK</t>
  </si>
  <si>
    <t>CGK_BTJ</t>
  </si>
  <si>
    <t>DPS_LOP</t>
  </si>
  <si>
    <t>LOP_CGK</t>
  </si>
  <si>
    <t>UPG_CGK</t>
  </si>
  <si>
    <t>PDG_KNO</t>
  </si>
  <si>
    <t>CGK_SRG</t>
  </si>
  <si>
    <t>DPS_BDO</t>
  </si>
  <si>
    <t>TRK_BPN</t>
  </si>
  <si>
    <t>LUV_AMQ</t>
  </si>
  <si>
    <t>CGK_MDC</t>
  </si>
  <si>
    <t>DPS_JOG</t>
  </si>
  <si>
    <t>BPN_CGK</t>
  </si>
  <si>
    <t>BPN_UPG</t>
  </si>
  <si>
    <t>SUB_KNO</t>
  </si>
  <si>
    <t>CGK_PGK</t>
  </si>
  <si>
    <t>BPN_JOG</t>
  </si>
  <si>
    <t>SUB_KOE</t>
  </si>
  <si>
    <t>SRG_BPN</t>
  </si>
  <si>
    <t>BPN_SUB</t>
  </si>
  <si>
    <t>KNO_HLP</t>
  </si>
  <si>
    <t>JOG_CGK</t>
  </si>
  <si>
    <t>BTH_KNO</t>
  </si>
  <si>
    <t>CGK_BDJ</t>
  </si>
  <si>
    <t>BDJ_CGK</t>
  </si>
  <si>
    <t>CGK_BPN</t>
  </si>
  <si>
    <t>HLP_MDC</t>
  </si>
  <si>
    <t>JOG_BDO</t>
  </si>
  <si>
    <t>BPN_TRK</t>
  </si>
  <si>
    <t>LOP_HLP</t>
  </si>
  <si>
    <t>UPG_KDI</t>
  </si>
  <si>
    <t>BDO_SOC</t>
  </si>
  <si>
    <t>BDO_SUB</t>
  </si>
  <si>
    <t>PLM_CGK</t>
  </si>
  <si>
    <t>PDG_HLP</t>
  </si>
  <si>
    <t>KNO_BTH</t>
  </si>
  <si>
    <t>CGK_PNK</t>
  </si>
  <si>
    <t>KUL_CGK</t>
  </si>
  <si>
    <t>JOG_BDJ</t>
  </si>
  <si>
    <t>TIM_DJJ</t>
  </si>
  <si>
    <t>KOE_ENE</t>
  </si>
  <si>
    <t>SUB_UPG</t>
  </si>
  <si>
    <t>TKG_CGK</t>
  </si>
  <si>
    <t>BDJ_BPN</t>
  </si>
  <si>
    <t>KDI_UPG</t>
  </si>
  <si>
    <t>UPG_TTE</t>
  </si>
  <si>
    <t>BTH_CGK</t>
  </si>
  <si>
    <t>KNO_FLZ</t>
  </si>
  <si>
    <t>SUB_BDO</t>
  </si>
  <si>
    <t>MKW_SOQ</t>
  </si>
  <si>
    <t>BWX_SUB</t>
  </si>
  <si>
    <t>DPS_UPG</t>
  </si>
  <si>
    <t>PKU_CGK</t>
  </si>
  <si>
    <t>SUB_SIN</t>
  </si>
  <si>
    <t>MDC_TIM</t>
  </si>
  <si>
    <t>SWQ_LOP</t>
  </si>
  <si>
    <t>TKG_PLM</t>
  </si>
  <si>
    <t>BIK_CGK</t>
  </si>
  <si>
    <t>UPG_BIK</t>
  </si>
  <si>
    <t>DJJ_CGK</t>
  </si>
  <si>
    <t>SOQ_MKW</t>
  </si>
  <si>
    <t>BDO_DPS</t>
  </si>
  <si>
    <t>LOP_SWQ</t>
  </si>
  <si>
    <t>SUB_BWX</t>
  </si>
  <si>
    <t>UPG_DJJ</t>
  </si>
  <si>
    <t>LOP_UPG</t>
  </si>
  <si>
    <t>PKY_CGK</t>
  </si>
  <si>
    <t>SOQ_MDC</t>
  </si>
  <si>
    <t>SRG_DPS</t>
  </si>
  <si>
    <t>PLM_KNO</t>
  </si>
  <si>
    <t>PDG_CGK</t>
  </si>
  <si>
    <t>CGK_SOC</t>
  </si>
  <si>
    <t>SUB_BDJ</t>
  </si>
  <si>
    <t>BDJ_JOG</t>
  </si>
  <si>
    <t>DPS_BWX</t>
  </si>
  <si>
    <t>DJJ_TIM</t>
  </si>
  <si>
    <t>ENE_KOE</t>
  </si>
  <si>
    <t>JOG_DPS</t>
  </si>
  <si>
    <t>SRG_LOP</t>
  </si>
  <si>
    <t>DPS_DJJ</t>
  </si>
  <si>
    <t>TKG_KNO</t>
  </si>
  <si>
    <t>KUL_SUB</t>
  </si>
  <si>
    <t>DPS_SIN</t>
  </si>
  <si>
    <t>KUL_SIN</t>
  </si>
  <si>
    <t>PEN_KNO</t>
  </si>
  <si>
    <t>KUL_ICN</t>
  </si>
  <si>
    <t>BDO_PKU</t>
  </si>
  <si>
    <t>KNO_PLM</t>
  </si>
  <si>
    <t>SOC_DPS</t>
  </si>
  <si>
    <t>DMK_KBV</t>
  </si>
  <si>
    <t>KNO_JOG</t>
  </si>
  <si>
    <t>KKC_DMK</t>
  </si>
  <si>
    <t>KUL_KHH</t>
  </si>
  <si>
    <t>SUB_DPS</t>
  </si>
  <si>
    <t>HKT_KUL</t>
  </si>
  <si>
    <t>DPS_SUB</t>
  </si>
  <si>
    <t>SUB_KUL</t>
  </si>
  <si>
    <t>BDO_KUL</t>
  </si>
  <si>
    <t>KUL_PLM</t>
  </si>
  <si>
    <t>KUL_BDO</t>
  </si>
  <si>
    <t>CGK_BKI</t>
  </si>
  <si>
    <t>CGK_PEN</t>
  </si>
  <si>
    <t>KUL_KNO</t>
  </si>
  <si>
    <t>KUL_TPE</t>
  </si>
  <si>
    <t>KNO_PEN</t>
  </si>
  <si>
    <t>NST_DMK</t>
  </si>
  <si>
    <t>PDG_KUL</t>
  </si>
  <si>
    <t>SIN_SRG</t>
  </si>
  <si>
    <t>SIN_DMK</t>
  </si>
  <si>
    <t>PEN_CGK</t>
  </si>
  <si>
    <t>JOG_SIN</t>
  </si>
  <si>
    <t>KUL_CCU</t>
  </si>
  <si>
    <t>JOG_HLP</t>
  </si>
  <si>
    <t>HLP_SOC</t>
  </si>
  <si>
    <t>HLP_SRG</t>
  </si>
  <si>
    <t>HLP_SUB</t>
  </si>
  <si>
    <t>HLP_JOG</t>
  </si>
  <si>
    <t>CGK_PKU</t>
  </si>
  <si>
    <t>SUB_BPN</t>
  </si>
  <si>
    <t>PDG_BTH</t>
  </si>
  <si>
    <t>SUB_HLP</t>
  </si>
  <si>
    <t>BTH_SUB</t>
  </si>
  <si>
    <t>SUB_PNK</t>
  </si>
  <si>
    <t>PLM_HLP</t>
  </si>
  <si>
    <t>BDJ_SUB</t>
  </si>
  <si>
    <t>PKU_JOG</t>
  </si>
  <si>
    <t>MLG_HLP</t>
  </si>
  <si>
    <t>LOP_SUB</t>
  </si>
  <si>
    <t>SRG_HLP</t>
  </si>
  <si>
    <t>BTH_PDG</t>
  </si>
  <si>
    <t>PGK_PLM</t>
  </si>
  <si>
    <t>JOG_SUB</t>
  </si>
  <si>
    <t>SUB_SRG</t>
  </si>
  <si>
    <t>TJQ_CGK</t>
  </si>
  <si>
    <t>DPS_MOF</t>
  </si>
  <si>
    <t>KOE_SUB</t>
  </si>
  <si>
    <t>MLG_CGK</t>
  </si>
  <si>
    <t>MDC_TTE</t>
  </si>
  <si>
    <t>JOG_PLM</t>
  </si>
  <si>
    <t>DJJ_MKQ</t>
  </si>
  <si>
    <t>CGK_MLG</t>
  </si>
  <si>
    <t>CGK_TTE</t>
  </si>
  <si>
    <t>TTE_MDC</t>
  </si>
  <si>
    <t>BPN_BDJ</t>
  </si>
  <si>
    <t>UPG_SUB</t>
  </si>
  <si>
    <t>Like most of the travel agent, Company A get commission by helping airlines generate sales. But at same time, it has to cover transactions charges for every customer purchases</t>
  </si>
  <si>
    <t>Company A provide several payment methods for customer and fully absorb the payment fee from Bank.  
Below are the charges terms by payment method:</t>
  </si>
  <si>
    <t>Calculate Company A October commission</t>
  </si>
  <si>
    <t>Calculate Company A Payment Fee</t>
  </si>
  <si>
    <t>from : adam startup</t>
  </si>
  <si>
    <t>IS True</t>
  </si>
  <si>
    <t>Day of Week</t>
  </si>
  <si>
    <t>Route Check for Airline 3</t>
  </si>
  <si>
    <t>Airlines 4 Date Check</t>
  </si>
  <si>
    <t>Daily Seats for Airlines 2</t>
  </si>
  <si>
    <t>Airlines 2 Commision Eligibility</t>
  </si>
  <si>
    <t>October Commision</t>
  </si>
  <si>
    <t>Total Payment Fee</t>
  </si>
  <si>
    <t>Weekend?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</si>
</sst>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Rp&quot;* #,##0_-;\-&quot;Rp&quot;* #,##0_-;_-&quot;Rp&quot;* &quot;-&quot;_-;_-@_-"/>
    <numFmt numFmtId="171" formatCode="_-[$Rp-3809]* #,##0_-;\-[$Rp-3809]* #,##0_-;_-[$Rp-3809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9" fontId="7" fillId="0" borderId="1" xfId="0" applyNumberFormat="1" applyFont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171" fontId="9" fillId="0" borderId="0" xfId="0" applyNumberFormat="1" applyFont="1"/>
    <xf numFmtId="171" fontId="9" fillId="0" borderId="0" xfId="2" applyNumberFormat="1" applyFont="1"/>
    <xf numFmtId="1" fontId="9" fillId="0" borderId="2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71" fontId="9" fillId="0" borderId="5" xfId="0" applyNumberFormat="1" applyFont="1" applyBorder="1" applyAlignment="1">
      <alignment horizontal="center" vertical="center" wrapText="1"/>
    </xf>
    <xf numFmtId="0" fontId="9" fillId="0" borderId="1" xfId="0" applyFont="1" applyBorder="1"/>
    <xf numFmtId="171" fontId="9" fillId="0" borderId="6" xfId="0" applyNumberFormat="1" applyFont="1" applyBorder="1"/>
    <xf numFmtId="1" fontId="9" fillId="0" borderId="7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9" fillId="0" borderId="8" xfId="1" applyFont="1" applyBorder="1" applyAlignment="1">
      <alignment horizontal="center" vertical="center"/>
    </xf>
    <xf numFmtId="0" fontId="9" fillId="0" borderId="8" xfId="0" applyFont="1" applyBorder="1"/>
    <xf numFmtId="171" fontId="9" fillId="0" borderId="9" xfId="0" applyNumberFormat="1" applyFont="1" applyBorder="1"/>
  </cellXfs>
  <cellStyles count="3">
    <cellStyle name="Currency" xfId="2" builtinId="4"/>
    <cellStyle name="Currency [0]" xfId="1" builtinId="7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1" formatCode="_-[$Rp-3809]* #,##0_-;\-[$Rp-3809]* #,##0_-;_-[$Rp-3809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56E64-12AC-4907-B7EE-62D39FA6F2BC}" name="Table2" displayName="Table2" ref="A5:Q647" totalsRowShown="0" headerRowDxfId="1" dataDxfId="21" headerRowBorderDxfId="19" tableBorderDxfId="20" totalsRowBorderDxfId="18">
  <autoFilter ref="A5:Q647" xr:uid="{91156E64-12AC-4907-B7EE-62D39FA6F2BC}"/>
  <tableColumns count="17">
    <tableColumn id="1" xr3:uid="{4B1E8844-F6E1-4ADD-BBB4-502E31C4A41E}" name="Booking ID" dataDxfId="17"/>
    <tableColumn id="2" xr3:uid="{77B98A0C-225B-4D2F-BC48-0C9A0E03AA7A}" name="Booking Date" dataDxfId="16"/>
    <tableColumn id="3" xr3:uid="{E9A0A546-BCC6-4C51-930D-F0D59775D5D6}" name="Departure Date" dataDxfId="15"/>
    <tableColumn id="4" xr3:uid="{A91CCB2A-4690-4EC1-BA94-09830A69BD75}" name="Route" dataDxfId="14"/>
    <tableColumn id="5" xr3:uid="{1A27A120-ECF1-4FAA-9BB7-B756D8EA921E}" name="Airlines" dataDxfId="13"/>
    <tableColumn id="6" xr3:uid="{BCACAB3A-39FE-4AA7-806B-CB296875E541}" name="Number of seat" dataDxfId="12"/>
    <tableColumn id="7" xr3:uid="{99638BD9-4630-4F82-A5EA-3D73A4DD5362}" name="Ticket fare from airlines" dataDxfId="11" dataCellStyle="Currency [0]"/>
    <tableColumn id="8" xr3:uid="{758CC7DA-CE20-4198-8A6F-A46768B1DB1A}" name="Selling price to customer" dataDxfId="10" dataCellStyle="Currency [0]"/>
    <tableColumn id="9" xr3:uid="{A2FAF71F-7F9E-4BA3-B1CE-B4B366F4ADFA}" name="Payment method" dataDxfId="9"/>
    <tableColumn id="10" xr3:uid="{2D7BDF51-655C-400A-964D-E5E044E6F118}" name="Day of Week" dataDxfId="8">
      <calculatedColumnFormula>TEXT(B6,"ddd")</calculatedColumnFormula>
    </tableColumn>
    <tableColumn id="11" xr3:uid="{28C9129A-7028-4DA2-A945-BBCC1C6D1467}" name="Weekend?" dataDxfId="7">
      <calculatedColumnFormula>OR(J6="Sat",J6="Sun")</calculatedColumnFormula>
    </tableColumn>
    <tableColumn id="12" xr3:uid="{EBAD8C08-3EB1-447A-91D0-2643847B43E1}" name="Route Check for Airline 3" dataDxfId="6">
      <calculatedColumnFormula>OR(D6="CGK_SUB", D6="CGK_PKU", D6="CGK_JOG",
    D6="SUB_CGK", D6="PKU_CGK", D6="JOG_CGK")</calculatedColumnFormula>
    </tableColumn>
    <tableColumn id="13" xr3:uid="{6C8B92D4-F248-4DD4-BAED-C423CAA293D3}" name="Airlines 4 Date Check" dataDxfId="5">
      <calculatedColumnFormula>AND(B6&gt;=DATE(2015,10,1),B6&lt;=DATE(2015,10,15))</calculatedColumnFormula>
    </tableColumn>
    <tableColumn id="14" xr3:uid="{BE900F32-0FF6-434F-92A8-47E68FCA1338}" name="Commission" dataDxfId="4">
      <calculatedColumnFormula array="1">_xlfn.IFS(
  E6="Airlines 1", IF(K6, F6*0.04, 0),
  E6="Airlines 2", P6,
  E6="Airlines 3", IF(L6, 20000*F6, 0),
  E6="Airlines 4", IF(M6, 15000*F6, 0),
  E6="Airlines 5",
    IF(F6&lt;50000000, F6*0.01,
      IF(F6&lt;100000000, F6*0.02,
        IF(F6&lt;200000000, F6*0.03, F6*0.035))),
  TRUE, 0
)</calculatedColumnFormula>
    </tableColumn>
    <tableColumn id="15" xr3:uid="{7E248FA8-1D95-40F7-B7B3-7AE76658A3C7}" name="Daily Seats for Airlines 2" dataDxfId="0">
      <calculatedColumnFormula>SUMIFS($F$6:$F$647, $E$6:$E$647, "Airlines 2", $B$6:$B$647, B6)</calculatedColumnFormula>
    </tableColumn>
    <tableColumn id="16" xr3:uid="{E4C32847-5B55-4AA4-BDCA-0D008E8912CF}" name="Airlines 2 Commision Eligibility" dataDxfId="3">
      <calculatedColumnFormula>IF(AND(E5="Airlines 2", O5&gt;20), F5*0.05, 0)</calculatedColumnFormula>
    </tableColumn>
    <tableColumn id="17" xr3:uid="{29270DCA-6B80-4954-B57D-69D579C9730B}" name="Payment Fee" dataDxfId="2">
      <calculatedColumnFormula array="1">_xlfn.SWITCH(I6, "Method 1", 0, "Method 2", H6*0.03, "Method 3", 4000, "Method 4", 3000,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1"/>
  <sheetViews>
    <sheetView zoomScale="98" zoomScaleNormal="98" workbookViewId="0">
      <selection activeCell="D13" sqref="D13"/>
    </sheetView>
  </sheetViews>
  <sheetFormatPr defaultColWidth="9" defaultRowHeight="15"/>
  <cols>
    <col min="2" max="2" width="17.7109375" customWidth="1"/>
    <col min="3" max="3" width="40.7109375" customWidth="1"/>
    <col min="4" max="4" width="64.28515625" customWidth="1"/>
  </cols>
  <sheetData>
    <row r="1" spans="1:21" s="2" customFormat="1" ht="19.5">
      <c r="A1" s="3" t="s">
        <v>0</v>
      </c>
    </row>
    <row r="2" spans="1:21" ht="30" customHeight="1">
      <c r="A2" s="9" t="s">
        <v>225</v>
      </c>
      <c r="B2" s="20" t="s">
        <v>221</v>
      </c>
      <c r="C2" s="20"/>
      <c r="D2" s="20"/>
      <c r="E2" s="4"/>
      <c r="F2" s="4"/>
      <c r="G2" s="4"/>
      <c r="H2" s="4"/>
      <c r="U2" s="9"/>
    </row>
    <row r="3" spans="1:21">
      <c r="B3" t="s">
        <v>1</v>
      </c>
    </row>
    <row r="4" spans="1:21">
      <c r="B4" s="1" t="s">
        <v>2</v>
      </c>
      <c r="C4" s="1" t="s">
        <v>3</v>
      </c>
      <c r="D4" s="1" t="s">
        <v>4</v>
      </c>
    </row>
    <row r="5" spans="1:21" ht="31.15" customHeight="1">
      <c r="B5" s="5" t="s">
        <v>5</v>
      </c>
      <c r="C5" s="11" t="s">
        <v>6</v>
      </c>
      <c r="D5" s="6" t="s">
        <v>7</v>
      </c>
    </row>
    <row r="6" spans="1:21" ht="31.15" customHeight="1">
      <c r="B6" s="5" t="s">
        <v>8</v>
      </c>
      <c r="C6" s="6" t="s">
        <v>9</v>
      </c>
      <c r="D6" s="6" t="s">
        <v>10</v>
      </c>
    </row>
    <row r="7" spans="1:21" ht="31.15" customHeight="1">
      <c r="B7" s="5" t="s">
        <v>11</v>
      </c>
      <c r="C7" s="6" t="s">
        <v>12</v>
      </c>
      <c r="D7" s="6" t="s">
        <v>13</v>
      </c>
    </row>
    <row r="8" spans="1:21" ht="41.65" customHeight="1">
      <c r="B8" s="5" t="s">
        <v>14</v>
      </c>
      <c r="C8" s="6" t="s">
        <v>15</v>
      </c>
      <c r="D8" s="6" t="s">
        <v>16</v>
      </c>
    </row>
    <row r="9" spans="1:21" ht="73.900000000000006" customHeight="1">
      <c r="B9" s="5" t="s">
        <v>17</v>
      </c>
      <c r="C9" s="6" t="s">
        <v>18</v>
      </c>
      <c r="D9" s="6" t="s">
        <v>19</v>
      </c>
    </row>
    <row r="11" spans="1:21" ht="31.15" customHeight="1">
      <c r="B11" s="21" t="s">
        <v>222</v>
      </c>
      <c r="C11" s="21"/>
      <c r="D11" s="21"/>
    </row>
    <row r="12" spans="1:21">
      <c r="B12" s="1" t="s">
        <v>20</v>
      </c>
      <c r="C12" s="1" t="s">
        <v>21</v>
      </c>
    </row>
    <row r="13" spans="1:21">
      <c r="B13" s="7" t="s">
        <v>22</v>
      </c>
      <c r="C13" s="7" t="s">
        <v>23</v>
      </c>
    </row>
    <row r="14" spans="1:21">
      <c r="B14" s="7" t="s">
        <v>24</v>
      </c>
      <c r="C14" s="7" t="s">
        <v>25</v>
      </c>
    </row>
    <row r="15" spans="1:21">
      <c r="B15" s="7" t="s">
        <v>26</v>
      </c>
      <c r="C15" s="7" t="s">
        <v>27</v>
      </c>
    </row>
    <row r="16" spans="1:21">
      <c r="B16" s="7" t="s">
        <v>28</v>
      </c>
      <c r="C16" s="7" t="s">
        <v>29</v>
      </c>
    </row>
    <row r="18" spans="1:2" s="2" customFormat="1" ht="18.75">
      <c r="A18" s="8" t="s">
        <v>30</v>
      </c>
    </row>
    <row r="19" spans="1:2">
      <c r="A19" t="s">
        <v>31</v>
      </c>
    </row>
    <row r="20" spans="1:2">
      <c r="A20">
        <v>1</v>
      </c>
      <c r="B20" s="10" t="s">
        <v>223</v>
      </c>
    </row>
    <row r="21" spans="1:2">
      <c r="A21">
        <v>2</v>
      </c>
      <c r="B21" t="s">
        <v>224</v>
      </c>
    </row>
  </sheetData>
  <mergeCells count="2">
    <mergeCell ref="B2:D2"/>
    <mergeCell ref="B11:D11"/>
  </mergeCells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0164-F6DE-6B42-AF0E-1F3DC5D88C65}">
  <sheetPr codeName="Sheet2"/>
  <dimension ref="A1:B7"/>
  <sheetViews>
    <sheetView workbookViewId="0">
      <selection activeCell="B8" sqref="B8"/>
    </sheetView>
  </sheetViews>
  <sheetFormatPr defaultColWidth="11.5703125" defaultRowHeight="15"/>
  <sheetData>
    <row r="1" spans="1:2">
      <c r="A1" s="10" t="s">
        <v>35</v>
      </c>
      <c r="B1" s="10" t="s">
        <v>226</v>
      </c>
    </row>
    <row r="2" spans="1:2">
      <c r="A2" s="10" t="s">
        <v>62</v>
      </c>
      <c r="B2">
        <v>1</v>
      </c>
    </row>
    <row r="3" spans="1:2">
      <c r="A3" s="10" t="s">
        <v>193</v>
      </c>
      <c r="B3">
        <v>1</v>
      </c>
    </row>
    <row r="4" spans="1:2">
      <c r="A4" s="10" t="s">
        <v>40</v>
      </c>
      <c r="B4">
        <v>1</v>
      </c>
    </row>
    <row r="5" spans="1:2">
      <c r="A5" s="10" t="s">
        <v>43</v>
      </c>
      <c r="B5">
        <v>1</v>
      </c>
    </row>
    <row r="6" spans="1:2">
      <c r="A6" s="10" t="s">
        <v>128</v>
      </c>
      <c r="B6">
        <v>1</v>
      </c>
    </row>
    <row r="7" spans="1:2">
      <c r="A7" s="10" t="s">
        <v>97</v>
      </c>
      <c r="B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CA79-1DB5-402B-84AE-3361BA78289A}">
  <sheetPr codeName="Sheet3"/>
  <dimension ref="A1:V647"/>
  <sheetViews>
    <sheetView tabSelected="1" topLeftCell="I1" workbookViewId="0">
      <selection activeCell="M6" sqref="M6"/>
    </sheetView>
  </sheetViews>
  <sheetFormatPr defaultColWidth="8.85546875" defaultRowHeight="12.75"/>
  <cols>
    <col min="1" max="1" width="15.42578125" style="16" bestFit="1" customWidth="1"/>
    <col min="2" max="2" width="17.85546875" style="16" bestFit="1" customWidth="1"/>
    <col min="3" max="3" width="19.42578125" style="16" bestFit="1" customWidth="1"/>
    <col min="4" max="4" width="10.85546875" style="16" bestFit="1" customWidth="1"/>
    <col min="5" max="5" width="12.42578125" style="16" bestFit="1" customWidth="1"/>
    <col min="6" max="6" width="19.42578125" style="16" bestFit="1" customWidth="1"/>
    <col min="7" max="7" width="27.5703125" style="16" bestFit="1" customWidth="1"/>
    <col min="8" max="8" width="28.7109375" style="16" bestFit="1" customWidth="1"/>
    <col min="9" max="9" width="21.140625" style="16" bestFit="1" customWidth="1"/>
    <col min="10" max="10" width="17" style="12" bestFit="1" customWidth="1"/>
    <col min="11" max="11" width="14.140625" style="12" bestFit="1" customWidth="1"/>
    <col min="12" max="12" width="28.5703125" style="12" bestFit="1" customWidth="1"/>
    <col min="13" max="13" width="25.140625" style="12" bestFit="1" customWidth="1"/>
    <col min="14" max="14" width="16.5703125" style="12" bestFit="1" customWidth="1"/>
    <col min="15" max="15" width="28.140625" style="12" bestFit="1" customWidth="1"/>
    <col min="16" max="16" width="34.42578125" style="12" bestFit="1" customWidth="1"/>
    <col min="17" max="17" width="18.28515625" style="22" bestFit="1" customWidth="1"/>
    <col min="18" max="18" width="15.28515625" style="12" bestFit="1" customWidth="1"/>
    <col min="19" max="20" width="8.85546875" style="12"/>
    <col min="21" max="21" width="14.42578125" style="12" customWidth="1"/>
    <col min="22" max="22" width="12.5703125" style="12" bestFit="1" customWidth="1"/>
    <col min="23" max="16384" width="8.85546875" style="12"/>
  </cols>
  <sheetData>
    <row r="1" spans="1:22">
      <c r="A1" s="14"/>
      <c r="B1" s="15"/>
    </row>
    <row r="2" spans="1:22">
      <c r="A2" s="14"/>
      <c r="B2" s="15"/>
    </row>
    <row r="3" spans="1:22">
      <c r="A3" s="14"/>
    </row>
    <row r="4" spans="1:22">
      <c r="A4" s="14"/>
      <c r="B4" s="15"/>
    </row>
    <row r="5" spans="1:22" s="13" customFormat="1" ht="42" customHeight="1">
      <c r="A5" s="25" t="s">
        <v>32</v>
      </c>
      <c r="B5" s="26" t="s">
        <v>33</v>
      </c>
      <c r="C5" s="26" t="s">
        <v>34</v>
      </c>
      <c r="D5" s="26" t="s">
        <v>35</v>
      </c>
      <c r="E5" s="26" t="s">
        <v>2</v>
      </c>
      <c r="F5" s="26" t="s">
        <v>36</v>
      </c>
      <c r="G5" s="26" t="s">
        <v>37</v>
      </c>
      <c r="H5" s="26" t="s">
        <v>38</v>
      </c>
      <c r="I5" s="26" t="s">
        <v>20</v>
      </c>
      <c r="J5" s="27" t="s">
        <v>227</v>
      </c>
      <c r="K5" s="27" t="s">
        <v>234</v>
      </c>
      <c r="L5" s="27" t="s">
        <v>228</v>
      </c>
      <c r="M5" s="27" t="s">
        <v>229</v>
      </c>
      <c r="N5" s="27" t="s">
        <v>3</v>
      </c>
      <c r="O5" s="27" t="s">
        <v>230</v>
      </c>
      <c r="P5" s="27" t="s">
        <v>231</v>
      </c>
      <c r="Q5" s="28" t="s">
        <v>21</v>
      </c>
      <c r="U5" s="13" t="s">
        <v>232</v>
      </c>
      <c r="V5" s="13" t="s">
        <v>233</v>
      </c>
    </row>
    <row r="6" spans="1:22">
      <c r="A6" s="24">
        <v>53196027</v>
      </c>
      <c r="B6" s="17">
        <v>42278</v>
      </c>
      <c r="C6" s="17">
        <v>42291</v>
      </c>
      <c r="D6" s="18" t="s">
        <v>39</v>
      </c>
      <c r="E6" s="18" t="s">
        <v>5</v>
      </c>
      <c r="F6" s="18">
        <v>7</v>
      </c>
      <c r="G6" s="19">
        <v>2489200</v>
      </c>
      <c r="H6" s="19">
        <v>2460500</v>
      </c>
      <c r="I6" s="18" t="s">
        <v>22</v>
      </c>
      <c r="J6" s="29" t="str">
        <f>TEXT(B6,"ddd")</f>
        <v>Thu</v>
      </c>
      <c r="K6" s="29" t="b">
        <f>OR(J6="Sat",J6="Sun")</f>
        <v>0</v>
      </c>
      <c r="L6" s="29" t="b">
        <f>OR(D6="CGK_SUB", D6="CGK_PKU", D6="CGK_JOG",
    D6="SUB_CGK", D6="PKU_CGK", D6="JOG_CGK")</f>
        <v>0</v>
      </c>
      <c r="M6" s="29" t="b">
        <f>AND(B6&gt;=DATE(2015,10,1),B6&lt;=DATE(2015,10,15))</f>
        <v>1</v>
      </c>
      <c r="N6" s="29" cm="1">
        <f t="array" ref="N6">_xlfn.IFS(
  E6="Airlines 1", IF(K6, F6*0.04, 0),
  E6="Airlines 2", P6,
  E6="Airlines 3", IF(L6, 20000*F6, 0),
  E6="Airlines 4", IF(M6, 15000*F6, 0),
  E6="Airlines 5",
    IF(F6&lt;50000000, F6*0.01,
      IF(F6&lt;100000000, F6*0.02,
        IF(F6&lt;200000000, F6*0.03, F6*0.035))),
  TRUE, 0
)</f>
        <v>0</v>
      </c>
      <c r="O6" s="29">
        <f>SUMIFS($F$6:$F$647, $E$6:$E$647, "Airlines 2", $B$6:$B$647, B6)</f>
        <v>16</v>
      </c>
      <c r="P6" s="29">
        <f>IF(AND(E5="Airlines 2", O5&gt;20), F5*0.05, 0)</f>
        <v>0</v>
      </c>
      <c r="Q6" s="30" cm="1">
        <f t="array" ref="Q6">_xlfn.SWITCH(I6, "Method 1", 0, "Method 2", H6*0.03, "Method 3", 4000, "Method 4", 3000, 0)</f>
        <v>0</v>
      </c>
      <c r="U6" s="23">
        <f>SUM(N6:N647)</f>
        <v>2570003.0199999823</v>
      </c>
      <c r="V6" s="22">
        <f>SUM(Table2[Payment Fee])</f>
        <v>7118662.2000000002</v>
      </c>
    </row>
    <row r="7" spans="1:22">
      <c r="A7" s="24">
        <v>53196184</v>
      </c>
      <c r="B7" s="17">
        <v>42278</v>
      </c>
      <c r="C7" s="17">
        <v>42278</v>
      </c>
      <c r="D7" s="18" t="s">
        <v>40</v>
      </c>
      <c r="E7" s="18" t="s">
        <v>5</v>
      </c>
      <c r="F7" s="18">
        <v>1</v>
      </c>
      <c r="G7" s="19">
        <v>373900</v>
      </c>
      <c r="H7" s="19">
        <v>370600</v>
      </c>
      <c r="I7" s="18" t="s">
        <v>24</v>
      </c>
      <c r="J7" s="29" t="str">
        <f t="shared" ref="J7:J70" si="0">TEXT(B7,"ddd")</f>
        <v>Thu</v>
      </c>
      <c r="K7" s="29" t="b">
        <f t="shared" ref="K7:K70" si="1">OR(J7="Sat",J7="Sun")</f>
        <v>0</v>
      </c>
      <c r="L7" s="29" t="b">
        <f t="shared" ref="L7:L70" si="2">OR(D7="CGK_SUB", D7="CGK_PKU", D7="CGK_JOG",
    D7="SUB_CGK", D7="PKU_CGK", D7="JOG_CGK")</f>
        <v>1</v>
      </c>
      <c r="M7" s="29" t="b">
        <f>AND(B7&gt;=DATE(2015,10,1),B7&lt;=DATE(2015,10,15))</f>
        <v>1</v>
      </c>
      <c r="N7" s="29" cm="1">
        <f t="array" ref="N7">_xlfn.IFS(
  E7="Airlines 1", IF(K7, F7*0.04, 0),
  E7="Airlines 2", P7,
  E7="Airlines 3", IF(L7, 20000*F7, 0),
  E7="Airlines 4", IF(M7, 15000*F7, 0),
  E7="Airlines 5",
    IF(F7&lt;50000000, F7*0.01,
      IF(F7&lt;100000000, F7*0.02,
        IF(F7&lt;200000000, F7*0.03, F7*0.035))),
  TRUE, 0
)</f>
        <v>0</v>
      </c>
      <c r="O7" s="29">
        <f t="shared" ref="O7:O70" si="3">SUMIFS($F$6:$F$647, $E$6:$E$647, "Airlines 2", $B$6:$B$647, B7)</f>
        <v>16</v>
      </c>
      <c r="P7" s="29">
        <f t="shared" ref="P7:P70" si="4">IF(AND(E6="Airlines 2", O6&gt;20), F6*0.05, 0)</f>
        <v>0</v>
      </c>
      <c r="Q7" s="30" cm="1">
        <f t="array" ref="Q7">_xlfn.SWITCH(I7, "Method 1", 0, "Method 2", H7*0.03, "Method 3", 4000, "Method 4", 3000, 0)</f>
        <v>11118</v>
      </c>
    </row>
    <row r="8" spans="1:22">
      <c r="A8" s="24">
        <v>53194317</v>
      </c>
      <c r="B8" s="17">
        <v>42278</v>
      </c>
      <c r="C8" s="17">
        <v>42285</v>
      </c>
      <c r="D8" s="18" t="s">
        <v>41</v>
      </c>
      <c r="E8" s="18" t="s">
        <v>5</v>
      </c>
      <c r="F8" s="18">
        <v>1</v>
      </c>
      <c r="G8" s="19">
        <v>672000</v>
      </c>
      <c r="H8" s="19">
        <v>665300</v>
      </c>
      <c r="I8" s="18" t="s">
        <v>26</v>
      </c>
      <c r="J8" s="29" t="str">
        <f t="shared" si="0"/>
        <v>Thu</v>
      </c>
      <c r="K8" s="29" t="b">
        <f t="shared" si="1"/>
        <v>0</v>
      </c>
      <c r="L8" s="29" t="b">
        <f t="shared" si="2"/>
        <v>0</v>
      </c>
      <c r="M8" s="29" t="b">
        <f t="shared" ref="M8:M71" si="5">AND(B8&gt;=DATE(2015,10,1),B8&lt;=DATE(2015,10,15))</f>
        <v>1</v>
      </c>
      <c r="N8" s="29" cm="1">
        <f t="array" ref="N8">_xlfn.IFS(
  E8="Airlines 1", IF(K8, F8*0.04, 0),
  E8="Airlines 2", P8,
  E8="Airlines 3", IF(L8, 20000*F8, 0),
  E8="Airlines 4", IF(M8, 15000*F8, 0),
  E8="Airlines 5",
    IF(F8&lt;50000000, F8*0.01,
      IF(F8&lt;100000000, F8*0.02,
        IF(F8&lt;200000000, F8*0.03, F8*0.035))),
  TRUE, 0
)</f>
        <v>0</v>
      </c>
      <c r="O8" s="29">
        <f t="shared" si="3"/>
        <v>16</v>
      </c>
      <c r="P8" s="29">
        <f t="shared" si="4"/>
        <v>0</v>
      </c>
      <c r="Q8" s="30" cm="1">
        <f t="array" ref="Q8">_xlfn.SWITCH(I8, "Method 1", 0, "Method 2", H8*0.03, "Method 3", 4000, "Method 4", 3000, 0)</f>
        <v>4000</v>
      </c>
    </row>
    <row r="9" spans="1:22">
      <c r="A9" s="24">
        <v>53195788</v>
      </c>
      <c r="B9" s="17">
        <v>42278</v>
      </c>
      <c r="C9" s="17">
        <v>42278</v>
      </c>
      <c r="D9" s="18" t="s">
        <v>42</v>
      </c>
      <c r="E9" s="18" t="s">
        <v>5</v>
      </c>
      <c r="F9" s="18">
        <v>2</v>
      </c>
      <c r="G9" s="19">
        <v>1372600</v>
      </c>
      <c r="H9" s="19">
        <v>1361400</v>
      </c>
      <c r="I9" s="18" t="s">
        <v>28</v>
      </c>
      <c r="J9" s="29" t="str">
        <f t="shared" si="0"/>
        <v>Thu</v>
      </c>
      <c r="K9" s="29" t="b">
        <f t="shared" si="1"/>
        <v>0</v>
      </c>
      <c r="L9" s="29" t="b">
        <f t="shared" si="2"/>
        <v>0</v>
      </c>
      <c r="M9" s="29" t="b">
        <f t="shared" si="5"/>
        <v>1</v>
      </c>
      <c r="N9" s="29" cm="1">
        <f t="array" ref="N9">_xlfn.IFS(
  E9="Airlines 1", IF(K9, F9*0.04, 0),
  E9="Airlines 2", P9,
  E9="Airlines 3", IF(L9, 20000*F9, 0),
  E9="Airlines 4", IF(M9, 15000*F9, 0),
  E9="Airlines 5",
    IF(F9&lt;50000000, F9*0.01,
      IF(F9&lt;100000000, F9*0.02,
        IF(F9&lt;200000000, F9*0.03, F9*0.035))),
  TRUE, 0
)</f>
        <v>0</v>
      </c>
      <c r="O9" s="29">
        <f t="shared" si="3"/>
        <v>16</v>
      </c>
      <c r="P9" s="29">
        <f t="shared" si="4"/>
        <v>0</v>
      </c>
      <c r="Q9" s="30" cm="1">
        <f t="array" ref="Q9">_xlfn.SWITCH(I9, "Method 1", 0, "Method 2", H9*0.03, "Method 3", 4000, "Method 4", 3000, 0)</f>
        <v>3000</v>
      </c>
    </row>
    <row r="10" spans="1:22">
      <c r="A10" s="24">
        <v>53195762</v>
      </c>
      <c r="B10" s="17">
        <v>42278</v>
      </c>
      <c r="C10" s="17">
        <v>42278</v>
      </c>
      <c r="D10" s="18" t="s">
        <v>43</v>
      </c>
      <c r="E10" s="18" t="s">
        <v>5</v>
      </c>
      <c r="F10" s="18">
        <v>2</v>
      </c>
      <c r="G10" s="19">
        <v>1150000</v>
      </c>
      <c r="H10" s="19">
        <v>1142000</v>
      </c>
      <c r="I10" s="18" t="s">
        <v>28</v>
      </c>
      <c r="J10" s="29" t="str">
        <f t="shared" si="0"/>
        <v>Thu</v>
      </c>
      <c r="K10" s="29" t="b">
        <f t="shared" si="1"/>
        <v>0</v>
      </c>
      <c r="L10" s="29" t="b">
        <f t="shared" si="2"/>
        <v>1</v>
      </c>
      <c r="M10" s="29" t="b">
        <f t="shared" si="5"/>
        <v>1</v>
      </c>
      <c r="N10" s="29" cm="1">
        <f t="array" ref="N10">_xlfn.IFS(
  E10="Airlines 1", IF(K10, F10*0.04, 0),
  E10="Airlines 2", P10,
  E10="Airlines 3", IF(L10, 20000*F10, 0),
  E10="Airlines 4", IF(M10, 15000*F10, 0),
  E10="Airlines 5",
    IF(F10&lt;50000000, F10*0.01,
      IF(F10&lt;100000000, F10*0.02,
        IF(F10&lt;200000000, F10*0.03, F10*0.035))),
  TRUE, 0
)</f>
        <v>0</v>
      </c>
      <c r="O10" s="29">
        <f t="shared" si="3"/>
        <v>16</v>
      </c>
      <c r="P10" s="29">
        <f t="shared" si="4"/>
        <v>0</v>
      </c>
      <c r="Q10" s="30" cm="1">
        <f t="array" ref="Q10">_xlfn.SWITCH(I10, "Method 1", 0, "Method 2", H10*0.03, "Method 3", 4000, "Method 4", 3000, 0)</f>
        <v>3000</v>
      </c>
    </row>
    <row r="11" spans="1:22">
      <c r="A11" s="24">
        <v>53195108</v>
      </c>
      <c r="B11" s="17">
        <v>42278</v>
      </c>
      <c r="C11" s="17">
        <v>42279</v>
      </c>
      <c r="D11" s="18" t="s">
        <v>44</v>
      </c>
      <c r="E11" s="18" t="s">
        <v>5</v>
      </c>
      <c r="F11" s="18">
        <v>7</v>
      </c>
      <c r="G11" s="19">
        <v>5312300</v>
      </c>
      <c r="H11" s="19">
        <v>5272400</v>
      </c>
      <c r="I11" s="18" t="s">
        <v>28</v>
      </c>
      <c r="J11" s="29" t="str">
        <f t="shared" si="0"/>
        <v>Thu</v>
      </c>
      <c r="K11" s="29" t="b">
        <f t="shared" si="1"/>
        <v>0</v>
      </c>
      <c r="L11" s="29" t="b">
        <f t="shared" si="2"/>
        <v>0</v>
      </c>
      <c r="M11" s="29" t="b">
        <f t="shared" si="5"/>
        <v>1</v>
      </c>
      <c r="N11" s="29" cm="1">
        <f t="array" ref="N11">_xlfn.IFS(
  E11="Airlines 1", IF(K11, F11*0.04, 0),
  E11="Airlines 2", P11,
  E11="Airlines 3", IF(L11, 20000*F11, 0),
  E11="Airlines 4", IF(M11, 15000*F11, 0),
  E11="Airlines 5",
    IF(F11&lt;50000000, F11*0.01,
      IF(F11&lt;100000000, F11*0.02,
        IF(F11&lt;200000000, F11*0.03, F11*0.035))),
  TRUE, 0
)</f>
        <v>0</v>
      </c>
      <c r="O11" s="29">
        <f t="shared" si="3"/>
        <v>16</v>
      </c>
      <c r="P11" s="29">
        <f t="shared" si="4"/>
        <v>0</v>
      </c>
      <c r="Q11" s="30" cm="1">
        <f t="array" ref="Q11">_xlfn.SWITCH(I11, "Method 1", 0, "Method 2", H11*0.03, "Method 3", 4000, "Method 4", 3000, 0)</f>
        <v>3000</v>
      </c>
    </row>
    <row r="12" spans="1:22">
      <c r="A12" s="24">
        <v>53195391</v>
      </c>
      <c r="B12" s="17">
        <v>42278</v>
      </c>
      <c r="C12" s="17">
        <v>42278</v>
      </c>
      <c r="D12" s="18" t="s">
        <v>45</v>
      </c>
      <c r="E12" s="18" t="s">
        <v>5</v>
      </c>
      <c r="F12" s="18">
        <v>1</v>
      </c>
      <c r="G12" s="19">
        <v>573500</v>
      </c>
      <c r="H12" s="19">
        <v>568700</v>
      </c>
      <c r="I12" s="18" t="s">
        <v>28</v>
      </c>
      <c r="J12" s="29" t="str">
        <f t="shared" si="0"/>
        <v>Thu</v>
      </c>
      <c r="K12" s="29" t="b">
        <f t="shared" si="1"/>
        <v>0</v>
      </c>
      <c r="L12" s="29" t="b">
        <f t="shared" si="2"/>
        <v>0</v>
      </c>
      <c r="M12" s="29" t="b">
        <f t="shared" si="5"/>
        <v>1</v>
      </c>
      <c r="N12" s="29" cm="1">
        <f t="array" ref="N12">_xlfn.IFS(
  E12="Airlines 1", IF(K12, F12*0.04, 0),
  E12="Airlines 2", P12,
  E12="Airlines 3", IF(L12, 20000*F12, 0),
  E12="Airlines 4", IF(M12, 15000*F12, 0),
  E12="Airlines 5",
    IF(F12&lt;50000000, F12*0.01,
      IF(F12&lt;100000000, F12*0.02,
        IF(F12&lt;200000000, F12*0.03, F12*0.035))),
  TRUE, 0
)</f>
        <v>0</v>
      </c>
      <c r="O12" s="29">
        <f t="shared" si="3"/>
        <v>16</v>
      </c>
      <c r="P12" s="29">
        <f t="shared" si="4"/>
        <v>0</v>
      </c>
      <c r="Q12" s="30" cm="1">
        <f t="array" ref="Q12">_xlfn.SWITCH(I12, "Method 1", 0, "Method 2", H12*0.03, "Method 3", 4000, "Method 4", 3000, 0)</f>
        <v>3000</v>
      </c>
    </row>
    <row r="13" spans="1:22">
      <c r="A13" s="24">
        <v>53195283</v>
      </c>
      <c r="B13" s="17">
        <v>42278</v>
      </c>
      <c r="C13" s="17">
        <v>42338</v>
      </c>
      <c r="D13" s="18" t="s">
        <v>46</v>
      </c>
      <c r="E13" s="18" t="s">
        <v>5</v>
      </c>
      <c r="F13" s="18">
        <v>1</v>
      </c>
      <c r="G13" s="19">
        <v>388100</v>
      </c>
      <c r="H13" s="19">
        <v>384200</v>
      </c>
      <c r="I13" s="18" t="s">
        <v>28</v>
      </c>
      <c r="J13" s="29" t="str">
        <f t="shared" si="0"/>
        <v>Thu</v>
      </c>
      <c r="K13" s="29" t="b">
        <f t="shared" si="1"/>
        <v>0</v>
      </c>
      <c r="L13" s="29" t="b">
        <f t="shared" si="2"/>
        <v>0</v>
      </c>
      <c r="M13" s="29" t="b">
        <f t="shared" si="5"/>
        <v>1</v>
      </c>
      <c r="N13" s="29" cm="1">
        <f t="array" ref="N13">_xlfn.IFS(
  E13="Airlines 1", IF(K13, F13*0.04, 0),
  E13="Airlines 2", P13,
  E13="Airlines 3", IF(L13, 20000*F13, 0),
  E13="Airlines 4", IF(M13, 15000*F13, 0),
  E13="Airlines 5",
    IF(F13&lt;50000000, F13*0.01,
      IF(F13&lt;100000000, F13*0.02,
        IF(F13&lt;200000000, F13*0.03, F13*0.035))),
  TRUE, 0
)</f>
        <v>0</v>
      </c>
      <c r="O13" s="29">
        <f t="shared" si="3"/>
        <v>16</v>
      </c>
      <c r="P13" s="29">
        <f t="shared" si="4"/>
        <v>0</v>
      </c>
      <c r="Q13" s="30" cm="1">
        <f t="array" ref="Q13">_xlfn.SWITCH(I13, "Method 1", 0, "Method 2", H13*0.03, "Method 3", 4000, "Method 4", 3000, 0)</f>
        <v>3000</v>
      </c>
    </row>
    <row r="14" spans="1:22">
      <c r="A14" s="24">
        <v>53196176</v>
      </c>
      <c r="B14" s="17">
        <v>42278</v>
      </c>
      <c r="C14" s="17">
        <v>42283</v>
      </c>
      <c r="D14" s="18" t="s">
        <v>47</v>
      </c>
      <c r="E14" s="18" t="s">
        <v>5</v>
      </c>
      <c r="F14" s="18">
        <v>1</v>
      </c>
      <c r="G14" s="19">
        <v>826000</v>
      </c>
      <c r="H14" s="19">
        <v>817200</v>
      </c>
      <c r="I14" s="18" t="s">
        <v>28</v>
      </c>
      <c r="J14" s="29" t="str">
        <f t="shared" si="0"/>
        <v>Thu</v>
      </c>
      <c r="K14" s="29" t="b">
        <f t="shared" si="1"/>
        <v>0</v>
      </c>
      <c r="L14" s="29" t="b">
        <f t="shared" si="2"/>
        <v>0</v>
      </c>
      <c r="M14" s="29" t="b">
        <f t="shared" si="5"/>
        <v>1</v>
      </c>
      <c r="N14" s="29" cm="1">
        <f t="array" ref="N14">_xlfn.IFS(
  E14="Airlines 1", IF(K14, F14*0.04, 0),
  E14="Airlines 2", P14,
  E14="Airlines 3", IF(L14, 20000*F14, 0),
  E14="Airlines 4", IF(M14, 15000*F14, 0),
  E14="Airlines 5",
    IF(F14&lt;50000000, F14*0.01,
      IF(F14&lt;100000000, F14*0.02,
        IF(F14&lt;200000000, F14*0.03, F14*0.035))),
  TRUE, 0
)</f>
        <v>0</v>
      </c>
      <c r="O14" s="29">
        <f t="shared" si="3"/>
        <v>16</v>
      </c>
      <c r="P14" s="29">
        <f t="shared" si="4"/>
        <v>0</v>
      </c>
      <c r="Q14" s="30" cm="1">
        <f t="array" ref="Q14">_xlfn.SWITCH(I14, "Method 1", 0, "Method 2", H14*0.03, "Method 3", 4000, "Method 4", 3000, 0)</f>
        <v>3000</v>
      </c>
    </row>
    <row r="15" spans="1:22">
      <c r="A15" s="24">
        <v>53196221</v>
      </c>
      <c r="B15" s="17">
        <v>42278</v>
      </c>
      <c r="C15" s="17">
        <v>42337</v>
      </c>
      <c r="D15" s="18" t="s">
        <v>48</v>
      </c>
      <c r="E15" s="18" t="s">
        <v>5</v>
      </c>
      <c r="F15" s="18">
        <v>1</v>
      </c>
      <c r="G15" s="19">
        <v>773000</v>
      </c>
      <c r="H15" s="19">
        <v>764800</v>
      </c>
      <c r="I15" s="18" t="s">
        <v>28</v>
      </c>
      <c r="J15" s="29" t="str">
        <f t="shared" si="0"/>
        <v>Thu</v>
      </c>
      <c r="K15" s="29" t="b">
        <f t="shared" si="1"/>
        <v>0</v>
      </c>
      <c r="L15" s="29" t="b">
        <f t="shared" si="2"/>
        <v>0</v>
      </c>
      <c r="M15" s="29" t="b">
        <f t="shared" si="5"/>
        <v>1</v>
      </c>
      <c r="N15" s="29" cm="1">
        <f t="array" ref="N15">_xlfn.IFS(
  E15="Airlines 1", IF(K15, F15*0.04, 0),
  E15="Airlines 2", P15,
  E15="Airlines 3", IF(L15, 20000*F15, 0),
  E15="Airlines 4", IF(M15, 15000*F15, 0),
  E15="Airlines 5",
    IF(F15&lt;50000000, F15*0.01,
      IF(F15&lt;100000000, F15*0.02,
        IF(F15&lt;200000000, F15*0.03, F15*0.035))),
  TRUE, 0
)</f>
        <v>0</v>
      </c>
      <c r="O15" s="29">
        <f t="shared" si="3"/>
        <v>16</v>
      </c>
      <c r="P15" s="29">
        <f t="shared" si="4"/>
        <v>0</v>
      </c>
      <c r="Q15" s="30" cm="1">
        <f t="array" ref="Q15">_xlfn.SWITCH(I15, "Method 1", 0, "Method 2", H15*0.03, "Method 3", 4000, "Method 4", 3000, 0)</f>
        <v>3000</v>
      </c>
    </row>
    <row r="16" spans="1:22">
      <c r="A16" s="24">
        <v>53196137</v>
      </c>
      <c r="B16" s="17">
        <v>42278</v>
      </c>
      <c r="C16" s="17">
        <v>42280</v>
      </c>
      <c r="D16" s="18" t="s">
        <v>49</v>
      </c>
      <c r="E16" s="18" t="s">
        <v>5</v>
      </c>
      <c r="F16" s="18">
        <v>1</v>
      </c>
      <c r="G16" s="19">
        <v>969000</v>
      </c>
      <c r="H16" s="19">
        <v>962100</v>
      </c>
      <c r="I16" s="18" t="s">
        <v>22</v>
      </c>
      <c r="J16" s="29" t="str">
        <f t="shared" si="0"/>
        <v>Thu</v>
      </c>
      <c r="K16" s="29" t="b">
        <f t="shared" si="1"/>
        <v>0</v>
      </c>
      <c r="L16" s="29" t="b">
        <f t="shared" si="2"/>
        <v>0</v>
      </c>
      <c r="M16" s="29" t="b">
        <f t="shared" si="5"/>
        <v>1</v>
      </c>
      <c r="N16" s="29" cm="1">
        <f t="array" ref="N16">_xlfn.IFS(
  E16="Airlines 1", IF(K16, F16*0.04, 0),
  E16="Airlines 2", P16,
  E16="Airlines 3", IF(L16, 20000*F16, 0),
  E16="Airlines 4", IF(M16, 15000*F16, 0),
  E16="Airlines 5",
    IF(F16&lt;50000000, F16*0.01,
      IF(F16&lt;100000000, F16*0.02,
        IF(F16&lt;200000000, F16*0.03, F16*0.035))),
  TRUE, 0
)</f>
        <v>0</v>
      </c>
      <c r="O16" s="29">
        <f t="shared" si="3"/>
        <v>16</v>
      </c>
      <c r="P16" s="29">
        <f t="shared" si="4"/>
        <v>0</v>
      </c>
      <c r="Q16" s="30" cm="1">
        <f t="array" ref="Q16">_xlfn.SWITCH(I16, "Method 1", 0, "Method 2", H16*0.03, "Method 3", 4000, "Method 4", 3000, 0)</f>
        <v>0</v>
      </c>
    </row>
    <row r="17" spans="1:17">
      <c r="A17" s="24">
        <v>53196334</v>
      </c>
      <c r="B17" s="17">
        <v>42278</v>
      </c>
      <c r="C17" s="17">
        <v>42279</v>
      </c>
      <c r="D17" s="18" t="s">
        <v>40</v>
      </c>
      <c r="E17" s="18" t="s">
        <v>5</v>
      </c>
      <c r="F17" s="18">
        <v>2</v>
      </c>
      <c r="G17" s="19">
        <v>948000</v>
      </c>
      <c r="H17" s="19">
        <v>941200</v>
      </c>
      <c r="I17" s="18" t="s">
        <v>22</v>
      </c>
      <c r="J17" s="29" t="str">
        <f t="shared" si="0"/>
        <v>Thu</v>
      </c>
      <c r="K17" s="29" t="b">
        <f t="shared" si="1"/>
        <v>0</v>
      </c>
      <c r="L17" s="29" t="b">
        <f t="shared" si="2"/>
        <v>1</v>
      </c>
      <c r="M17" s="29" t="b">
        <f t="shared" si="5"/>
        <v>1</v>
      </c>
      <c r="N17" s="29" cm="1">
        <f t="array" ref="N17">_xlfn.IFS(
  E17="Airlines 1", IF(K17, F17*0.04, 0),
  E17="Airlines 2", P17,
  E17="Airlines 3", IF(L17, 20000*F17, 0),
  E17="Airlines 4", IF(M17, 15000*F17, 0),
  E17="Airlines 5",
    IF(F17&lt;50000000, F17*0.01,
      IF(F17&lt;100000000, F17*0.02,
        IF(F17&lt;200000000, F17*0.03, F17*0.035))),
  TRUE, 0
)</f>
        <v>0</v>
      </c>
      <c r="O17" s="29">
        <f t="shared" si="3"/>
        <v>16</v>
      </c>
      <c r="P17" s="29">
        <f t="shared" si="4"/>
        <v>0</v>
      </c>
      <c r="Q17" s="30" cm="1">
        <f t="array" ref="Q17">_xlfn.SWITCH(I17, "Method 1", 0, "Method 2", H17*0.03, "Method 3", 4000, "Method 4", 3000, 0)</f>
        <v>0</v>
      </c>
    </row>
    <row r="18" spans="1:17">
      <c r="A18" s="24">
        <v>53196308</v>
      </c>
      <c r="B18" s="17">
        <v>42279</v>
      </c>
      <c r="C18" s="17">
        <v>42279</v>
      </c>
      <c r="D18" s="18" t="s">
        <v>50</v>
      </c>
      <c r="E18" s="18" t="s">
        <v>5</v>
      </c>
      <c r="F18" s="18">
        <v>1</v>
      </c>
      <c r="G18" s="19">
        <v>373900</v>
      </c>
      <c r="H18" s="19">
        <v>369700</v>
      </c>
      <c r="I18" s="18" t="s">
        <v>22</v>
      </c>
      <c r="J18" s="29" t="str">
        <f t="shared" si="0"/>
        <v>Fri</v>
      </c>
      <c r="K18" s="29" t="b">
        <f t="shared" si="1"/>
        <v>0</v>
      </c>
      <c r="L18" s="29" t="b">
        <f t="shared" si="2"/>
        <v>0</v>
      </c>
      <c r="M18" s="29" t="b">
        <f t="shared" si="5"/>
        <v>1</v>
      </c>
      <c r="N18" s="29" cm="1">
        <f t="array" ref="N18">_xlfn.IFS(
  E18="Airlines 1", IF(K18, F18*0.04, 0),
  E18="Airlines 2", P18,
  E18="Airlines 3", IF(L18, 20000*F18, 0),
  E18="Airlines 4", IF(M18, 15000*F18, 0),
  E18="Airlines 5",
    IF(F18&lt;50000000, F18*0.01,
      IF(F18&lt;100000000, F18*0.02,
        IF(F18&lt;200000000, F18*0.03, F18*0.035))),
  TRUE, 0
)</f>
        <v>0</v>
      </c>
      <c r="O18" s="29">
        <f t="shared" si="3"/>
        <v>0</v>
      </c>
      <c r="P18" s="29">
        <f t="shared" si="4"/>
        <v>0</v>
      </c>
      <c r="Q18" s="30" cm="1">
        <f t="array" ref="Q18">_xlfn.SWITCH(I18, "Method 1", 0, "Method 2", H18*0.03, "Method 3", 4000, "Method 4", 3000, 0)</f>
        <v>0</v>
      </c>
    </row>
    <row r="19" spans="1:17">
      <c r="A19" s="24">
        <v>53195711</v>
      </c>
      <c r="B19" s="17">
        <v>42279</v>
      </c>
      <c r="C19" s="17">
        <v>42280</v>
      </c>
      <c r="D19" s="18" t="s">
        <v>51</v>
      </c>
      <c r="E19" s="18" t="s">
        <v>5</v>
      </c>
      <c r="F19" s="18">
        <v>2</v>
      </c>
      <c r="G19" s="19">
        <v>1438200</v>
      </c>
      <c r="H19" s="19">
        <v>1423800</v>
      </c>
      <c r="I19" s="18" t="s">
        <v>22</v>
      </c>
      <c r="J19" s="29" t="str">
        <f t="shared" si="0"/>
        <v>Fri</v>
      </c>
      <c r="K19" s="29" t="b">
        <f t="shared" si="1"/>
        <v>0</v>
      </c>
      <c r="L19" s="29" t="b">
        <f t="shared" si="2"/>
        <v>0</v>
      </c>
      <c r="M19" s="29" t="b">
        <f t="shared" si="5"/>
        <v>1</v>
      </c>
      <c r="N19" s="29" cm="1">
        <f t="array" ref="N19">_xlfn.IFS(
  E19="Airlines 1", IF(K19, F19*0.04, 0),
  E19="Airlines 2", P19,
  E19="Airlines 3", IF(L19, 20000*F19, 0),
  E19="Airlines 4", IF(M19, 15000*F19, 0),
  E19="Airlines 5",
    IF(F19&lt;50000000, F19*0.01,
      IF(F19&lt;100000000, F19*0.02,
        IF(F19&lt;200000000, F19*0.03, F19*0.035))),
  TRUE, 0
)</f>
        <v>0</v>
      </c>
      <c r="O19" s="29">
        <f t="shared" si="3"/>
        <v>0</v>
      </c>
      <c r="P19" s="29">
        <f t="shared" si="4"/>
        <v>0</v>
      </c>
      <c r="Q19" s="30" cm="1">
        <f t="array" ref="Q19">_xlfn.SWITCH(I19, "Method 1", 0, "Method 2", H19*0.03, "Method 3", 4000, "Method 4", 3000, 0)</f>
        <v>0</v>
      </c>
    </row>
    <row r="20" spans="1:17">
      <c r="A20" s="24">
        <v>53196255</v>
      </c>
      <c r="B20" s="17">
        <v>42279</v>
      </c>
      <c r="C20" s="17">
        <v>42281</v>
      </c>
      <c r="D20" s="18" t="s">
        <v>49</v>
      </c>
      <c r="E20" s="18" t="s">
        <v>5</v>
      </c>
      <c r="F20" s="18">
        <v>3</v>
      </c>
      <c r="G20" s="19">
        <v>2907000</v>
      </c>
      <c r="H20" s="19">
        <v>2886300</v>
      </c>
      <c r="I20" s="18" t="s">
        <v>22</v>
      </c>
      <c r="J20" s="29" t="str">
        <f t="shared" si="0"/>
        <v>Fri</v>
      </c>
      <c r="K20" s="29" t="b">
        <f t="shared" si="1"/>
        <v>0</v>
      </c>
      <c r="L20" s="29" t="b">
        <f t="shared" si="2"/>
        <v>0</v>
      </c>
      <c r="M20" s="29" t="b">
        <f t="shared" si="5"/>
        <v>1</v>
      </c>
      <c r="N20" s="29" cm="1">
        <f t="array" ref="N20">_xlfn.IFS(
  E20="Airlines 1", IF(K20, F20*0.04, 0),
  E20="Airlines 2", P20,
  E20="Airlines 3", IF(L20, 20000*F20, 0),
  E20="Airlines 4", IF(M20, 15000*F20, 0),
  E20="Airlines 5",
    IF(F20&lt;50000000, F20*0.01,
      IF(F20&lt;100000000, F20*0.02,
        IF(F20&lt;200000000, F20*0.03, F20*0.035))),
  TRUE, 0
)</f>
        <v>0</v>
      </c>
      <c r="O20" s="29">
        <f t="shared" si="3"/>
        <v>0</v>
      </c>
      <c r="P20" s="29">
        <f t="shared" si="4"/>
        <v>0</v>
      </c>
      <c r="Q20" s="30" cm="1">
        <f t="array" ref="Q20">_xlfn.SWITCH(I20, "Method 1", 0, "Method 2", H20*0.03, "Method 3", 4000, "Method 4", 3000, 0)</f>
        <v>0</v>
      </c>
    </row>
    <row r="21" spans="1:17">
      <c r="A21" s="24">
        <v>53196109</v>
      </c>
      <c r="B21" s="17">
        <v>42279</v>
      </c>
      <c r="C21" s="17">
        <v>42281</v>
      </c>
      <c r="D21" s="18" t="s">
        <v>52</v>
      </c>
      <c r="E21" s="18" t="s">
        <v>5</v>
      </c>
      <c r="F21" s="18">
        <v>5</v>
      </c>
      <c r="G21" s="19">
        <v>4495000</v>
      </c>
      <c r="H21" s="19">
        <v>4447500</v>
      </c>
      <c r="I21" s="18" t="s">
        <v>22</v>
      </c>
      <c r="J21" s="29" t="str">
        <f t="shared" si="0"/>
        <v>Fri</v>
      </c>
      <c r="K21" s="29" t="b">
        <f t="shared" si="1"/>
        <v>0</v>
      </c>
      <c r="L21" s="29" t="b">
        <f t="shared" si="2"/>
        <v>0</v>
      </c>
      <c r="M21" s="29" t="b">
        <f t="shared" si="5"/>
        <v>1</v>
      </c>
      <c r="N21" s="29" cm="1">
        <f t="array" ref="N21">_xlfn.IFS(
  E21="Airlines 1", IF(K21, F21*0.04, 0),
  E21="Airlines 2", P21,
  E21="Airlines 3", IF(L21, 20000*F21, 0),
  E21="Airlines 4", IF(M21, 15000*F21, 0),
  E21="Airlines 5",
    IF(F21&lt;50000000, F21*0.01,
      IF(F21&lt;100000000, F21*0.02,
        IF(F21&lt;200000000, F21*0.03, F21*0.035))),
  TRUE, 0
)</f>
        <v>0</v>
      </c>
      <c r="O21" s="29">
        <f t="shared" si="3"/>
        <v>0</v>
      </c>
      <c r="P21" s="29">
        <f t="shared" si="4"/>
        <v>0</v>
      </c>
      <c r="Q21" s="30" cm="1">
        <f t="array" ref="Q21">_xlfn.SWITCH(I21, "Method 1", 0, "Method 2", H21*0.03, "Method 3", 4000, "Method 4", 3000, 0)</f>
        <v>0</v>
      </c>
    </row>
    <row r="22" spans="1:17">
      <c r="A22" s="24">
        <v>53195870</v>
      </c>
      <c r="B22" s="17">
        <v>42279</v>
      </c>
      <c r="C22" s="17">
        <v>42282</v>
      </c>
      <c r="D22" s="18" t="s">
        <v>44</v>
      </c>
      <c r="E22" s="18" t="s">
        <v>5</v>
      </c>
      <c r="F22" s="18">
        <v>1</v>
      </c>
      <c r="G22" s="19">
        <v>758900</v>
      </c>
      <c r="H22" s="19">
        <v>750800</v>
      </c>
      <c r="I22" s="18" t="s">
        <v>22</v>
      </c>
      <c r="J22" s="29" t="str">
        <f t="shared" si="0"/>
        <v>Fri</v>
      </c>
      <c r="K22" s="29" t="b">
        <f t="shared" si="1"/>
        <v>0</v>
      </c>
      <c r="L22" s="29" t="b">
        <f t="shared" si="2"/>
        <v>0</v>
      </c>
      <c r="M22" s="29" t="b">
        <f t="shared" si="5"/>
        <v>1</v>
      </c>
      <c r="N22" s="29" cm="1">
        <f t="array" ref="N22">_xlfn.IFS(
  E22="Airlines 1", IF(K22, F22*0.04, 0),
  E22="Airlines 2", P22,
  E22="Airlines 3", IF(L22, 20000*F22, 0),
  E22="Airlines 4", IF(M22, 15000*F22, 0),
  E22="Airlines 5",
    IF(F22&lt;50000000, F22*0.01,
      IF(F22&lt;100000000, F22*0.02,
        IF(F22&lt;200000000, F22*0.03, F22*0.035))),
  TRUE, 0
)</f>
        <v>0</v>
      </c>
      <c r="O22" s="29">
        <f t="shared" si="3"/>
        <v>0</v>
      </c>
      <c r="P22" s="29">
        <f t="shared" si="4"/>
        <v>0</v>
      </c>
      <c r="Q22" s="30" cm="1">
        <f t="array" ref="Q22">_xlfn.SWITCH(I22, "Method 1", 0, "Method 2", H22*0.03, "Method 3", 4000, "Method 4", 3000, 0)</f>
        <v>0</v>
      </c>
    </row>
    <row r="23" spans="1:17">
      <c r="A23" s="24">
        <v>53196265</v>
      </c>
      <c r="B23" s="17">
        <v>42279</v>
      </c>
      <c r="C23" s="17">
        <v>42302</v>
      </c>
      <c r="D23" s="18" t="s">
        <v>53</v>
      </c>
      <c r="E23" s="18" t="s">
        <v>5</v>
      </c>
      <c r="F23" s="18">
        <v>3</v>
      </c>
      <c r="G23" s="19">
        <v>2544000</v>
      </c>
      <c r="H23" s="19">
        <v>2525100</v>
      </c>
      <c r="I23" s="18" t="s">
        <v>22</v>
      </c>
      <c r="J23" s="29" t="str">
        <f t="shared" si="0"/>
        <v>Fri</v>
      </c>
      <c r="K23" s="29" t="b">
        <f t="shared" si="1"/>
        <v>0</v>
      </c>
      <c r="L23" s="29" t="b">
        <f t="shared" si="2"/>
        <v>0</v>
      </c>
      <c r="M23" s="29" t="b">
        <f t="shared" si="5"/>
        <v>1</v>
      </c>
      <c r="N23" s="29" cm="1">
        <f t="array" ref="N23">_xlfn.IFS(
  E23="Airlines 1", IF(K23, F23*0.04, 0),
  E23="Airlines 2", P23,
  E23="Airlines 3", IF(L23, 20000*F23, 0),
  E23="Airlines 4", IF(M23, 15000*F23, 0),
  E23="Airlines 5",
    IF(F23&lt;50000000, F23*0.01,
      IF(F23&lt;100000000, F23*0.02,
        IF(F23&lt;200000000, F23*0.03, F23*0.035))),
  TRUE, 0
)</f>
        <v>0</v>
      </c>
      <c r="O23" s="29">
        <f t="shared" si="3"/>
        <v>0</v>
      </c>
      <c r="P23" s="29">
        <f t="shared" si="4"/>
        <v>0</v>
      </c>
      <c r="Q23" s="30" cm="1">
        <f t="array" ref="Q23">_xlfn.SWITCH(I23, "Method 1", 0, "Method 2", H23*0.03, "Method 3", 4000, "Method 4", 3000, 0)</f>
        <v>0</v>
      </c>
    </row>
    <row r="24" spans="1:17">
      <c r="A24" s="24">
        <v>53195304</v>
      </c>
      <c r="B24" s="17">
        <v>42279</v>
      </c>
      <c r="C24" s="17">
        <v>42280</v>
      </c>
      <c r="D24" s="18" t="s">
        <v>54</v>
      </c>
      <c r="E24" s="18" t="s">
        <v>5</v>
      </c>
      <c r="F24" s="18">
        <v>7</v>
      </c>
      <c r="G24" s="19">
        <v>5950000</v>
      </c>
      <c r="H24" s="19">
        <v>5887000</v>
      </c>
      <c r="I24" s="18" t="s">
        <v>22</v>
      </c>
      <c r="J24" s="29" t="str">
        <f t="shared" si="0"/>
        <v>Fri</v>
      </c>
      <c r="K24" s="29" t="b">
        <f t="shared" si="1"/>
        <v>0</v>
      </c>
      <c r="L24" s="29" t="b">
        <f t="shared" si="2"/>
        <v>0</v>
      </c>
      <c r="M24" s="29" t="b">
        <f t="shared" si="5"/>
        <v>1</v>
      </c>
      <c r="N24" s="29" cm="1">
        <f t="array" ref="N24">_xlfn.IFS(
  E24="Airlines 1", IF(K24, F24*0.04, 0),
  E24="Airlines 2", P24,
  E24="Airlines 3", IF(L24, 20000*F24, 0),
  E24="Airlines 4", IF(M24, 15000*F24, 0),
  E24="Airlines 5",
    IF(F24&lt;50000000, F24*0.01,
      IF(F24&lt;100000000, F24*0.02,
        IF(F24&lt;200000000, F24*0.03, F24*0.035))),
  TRUE, 0
)</f>
        <v>0</v>
      </c>
      <c r="O24" s="29">
        <f t="shared" si="3"/>
        <v>0</v>
      </c>
      <c r="P24" s="29">
        <f t="shared" si="4"/>
        <v>0</v>
      </c>
      <c r="Q24" s="30" cm="1">
        <f t="array" ref="Q24">_xlfn.SWITCH(I24, "Method 1", 0, "Method 2", H24*0.03, "Method 3", 4000, "Method 4", 3000, 0)</f>
        <v>0</v>
      </c>
    </row>
    <row r="25" spans="1:17">
      <c r="A25" s="24">
        <v>53196168</v>
      </c>
      <c r="B25" s="17">
        <v>42279</v>
      </c>
      <c r="C25" s="17">
        <v>42281</v>
      </c>
      <c r="D25" s="18" t="s">
        <v>55</v>
      </c>
      <c r="E25" s="18" t="s">
        <v>5</v>
      </c>
      <c r="F25" s="18">
        <v>1</v>
      </c>
      <c r="G25" s="19">
        <v>525700</v>
      </c>
      <c r="H25" s="19">
        <v>519900</v>
      </c>
      <c r="I25" s="18" t="s">
        <v>22</v>
      </c>
      <c r="J25" s="29" t="str">
        <f t="shared" si="0"/>
        <v>Fri</v>
      </c>
      <c r="K25" s="29" t="b">
        <f t="shared" si="1"/>
        <v>0</v>
      </c>
      <c r="L25" s="29" t="b">
        <f t="shared" si="2"/>
        <v>0</v>
      </c>
      <c r="M25" s="29" t="b">
        <f t="shared" si="5"/>
        <v>1</v>
      </c>
      <c r="N25" s="29" cm="1">
        <f t="array" ref="N25">_xlfn.IFS(
  E25="Airlines 1", IF(K25, F25*0.04, 0),
  E25="Airlines 2", P25,
  E25="Airlines 3", IF(L25, 20000*F25, 0),
  E25="Airlines 4", IF(M25, 15000*F25, 0),
  E25="Airlines 5",
    IF(F25&lt;50000000, F25*0.01,
      IF(F25&lt;100000000, F25*0.02,
        IF(F25&lt;200000000, F25*0.03, F25*0.035))),
  TRUE, 0
)</f>
        <v>0</v>
      </c>
      <c r="O25" s="29">
        <f t="shared" si="3"/>
        <v>0</v>
      </c>
      <c r="P25" s="29">
        <f t="shared" si="4"/>
        <v>0</v>
      </c>
      <c r="Q25" s="30" cm="1">
        <f t="array" ref="Q25">_xlfn.SWITCH(I25, "Method 1", 0, "Method 2", H25*0.03, "Method 3", 4000, "Method 4", 3000, 0)</f>
        <v>0</v>
      </c>
    </row>
    <row r="26" spans="1:17">
      <c r="A26" s="24">
        <v>53196277</v>
      </c>
      <c r="B26" s="17">
        <v>42279</v>
      </c>
      <c r="C26" s="17">
        <v>42337</v>
      </c>
      <c r="D26" s="18" t="s">
        <v>56</v>
      </c>
      <c r="E26" s="18" t="s">
        <v>5</v>
      </c>
      <c r="F26" s="18">
        <v>1</v>
      </c>
      <c r="G26" s="19">
        <v>639000</v>
      </c>
      <c r="H26" s="19">
        <v>634500</v>
      </c>
      <c r="I26" s="18" t="s">
        <v>22</v>
      </c>
      <c r="J26" s="29" t="str">
        <f t="shared" si="0"/>
        <v>Fri</v>
      </c>
      <c r="K26" s="29" t="b">
        <f t="shared" si="1"/>
        <v>0</v>
      </c>
      <c r="L26" s="29" t="b">
        <f t="shared" si="2"/>
        <v>0</v>
      </c>
      <c r="M26" s="29" t="b">
        <f t="shared" si="5"/>
        <v>1</v>
      </c>
      <c r="N26" s="29" cm="1">
        <f t="array" ref="N26">_xlfn.IFS(
  E26="Airlines 1", IF(K26, F26*0.04, 0),
  E26="Airlines 2", P26,
  E26="Airlines 3", IF(L26, 20000*F26, 0),
  E26="Airlines 4", IF(M26, 15000*F26, 0),
  E26="Airlines 5",
    IF(F26&lt;50000000, F26*0.01,
      IF(F26&lt;100000000, F26*0.02,
        IF(F26&lt;200000000, F26*0.03, F26*0.035))),
  TRUE, 0
)</f>
        <v>0</v>
      </c>
      <c r="O26" s="29">
        <f t="shared" si="3"/>
        <v>0</v>
      </c>
      <c r="P26" s="29">
        <f t="shared" si="4"/>
        <v>0</v>
      </c>
      <c r="Q26" s="30" cm="1">
        <f t="array" ref="Q26">_xlfn.SWITCH(I26, "Method 1", 0, "Method 2", H26*0.03, "Method 3", 4000, "Method 4", 3000, 0)</f>
        <v>0</v>
      </c>
    </row>
    <row r="27" spans="1:17">
      <c r="A27" s="24">
        <v>53184469</v>
      </c>
      <c r="B27" s="17">
        <v>42279</v>
      </c>
      <c r="C27" s="17">
        <v>42280</v>
      </c>
      <c r="D27" s="18" t="s">
        <v>57</v>
      </c>
      <c r="E27" s="18" t="s">
        <v>5</v>
      </c>
      <c r="F27" s="18">
        <v>1</v>
      </c>
      <c r="G27" s="19">
        <v>872000</v>
      </c>
      <c r="H27" s="19">
        <v>863300</v>
      </c>
      <c r="I27" s="18" t="s">
        <v>22</v>
      </c>
      <c r="J27" s="29" t="str">
        <f t="shared" si="0"/>
        <v>Fri</v>
      </c>
      <c r="K27" s="29" t="b">
        <f t="shared" si="1"/>
        <v>0</v>
      </c>
      <c r="L27" s="29" t="b">
        <f t="shared" si="2"/>
        <v>0</v>
      </c>
      <c r="M27" s="29" t="b">
        <f t="shared" si="5"/>
        <v>1</v>
      </c>
      <c r="N27" s="29" cm="1">
        <f t="array" ref="N27">_xlfn.IFS(
  E27="Airlines 1", IF(K27, F27*0.04, 0),
  E27="Airlines 2", P27,
  E27="Airlines 3", IF(L27, 20000*F27, 0),
  E27="Airlines 4", IF(M27, 15000*F27, 0),
  E27="Airlines 5",
    IF(F27&lt;50000000, F27*0.01,
      IF(F27&lt;100000000, F27*0.02,
        IF(F27&lt;200000000, F27*0.03, F27*0.035))),
  TRUE, 0
)</f>
        <v>0</v>
      </c>
      <c r="O27" s="29">
        <f t="shared" si="3"/>
        <v>0</v>
      </c>
      <c r="P27" s="29">
        <f t="shared" si="4"/>
        <v>0</v>
      </c>
      <c r="Q27" s="30" cm="1">
        <f t="array" ref="Q27">_xlfn.SWITCH(I27, "Method 1", 0, "Method 2", H27*0.03, "Method 3", 4000, "Method 4", 3000, 0)</f>
        <v>0</v>
      </c>
    </row>
    <row r="28" spans="1:17">
      <c r="A28" s="24">
        <v>53196175</v>
      </c>
      <c r="B28" s="17">
        <v>42279</v>
      </c>
      <c r="C28" s="17">
        <v>42282</v>
      </c>
      <c r="D28" s="18" t="s">
        <v>58</v>
      </c>
      <c r="E28" s="18" t="s">
        <v>5</v>
      </c>
      <c r="F28" s="18">
        <v>1</v>
      </c>
      <c r="G28" s="19">
        <v>749000</v>
      </c>
      <c r="H28" s="19">
        <v>742900</v>
      </c>
      <c r="I28" s="18" t="s">
        <v>24</v>
      </c>
      <c r="J28" s="29" t="str">
        <f t="shared" si="0"/>
        <v>Fri</v>
      </c>
      <c r="K28" s="29" t="b">
        <f t="shared" si="1"/>
        <v>0</v>
      </c>
      <c r="L28" s="29" t="b">
        <f t="shared" si="2"/>
        <v>0</v>
      </c>
      <c r="M28" s="29" t="b">
        <f t="shared" si="5"/>
        <v>1</v>
      </c>
      <c r="N28" s="29" cm="1">
        <f t="array" ref="N28">_xlfn.IFS(
  E28="Airlines 1", IF(K28, F28*0.04, 0),
  E28="Airlines 2", P28,
  E28="Airlines 3", IF(L28, 20000*F28, 0),
  E28="Airlines 4", IF(M28, 15000*F28, 0),
  E28="Airlines 5",
    IF(F28&lt;50000000, F28*0.01,
      IF(F28&lt;100000000, F28*0.02,
        IF(F28&lt;200000000, F28*0.03, F28*0.035))),
  TRUE, 0
)</f>
        <v>0</v>
      </c>
      <c r="O28" s="29">
        <f t="shared" si="3"/>
        <v>0</v>
      </c>
      <c r="P28" s="29">
        <f t="shared" si="4"/>
        <v>0</v>
      </c>
      <c r="Q28" s="30" cm="1">
        <f t="array" ref="Q28">_xlfn.SWITCH(I28, "Method 1", 0, "Method 2", H28*0.03, "Method 3", 4000, "Method 4", 3000, 0)</f>
        <v>22287</v>
      </c>
    </row>
    <row r="29" spans="1:17">
      <c r="A29" s="24">
        <v>53196351</v>
      </c>
      <c r="B29" s="17">
        <v>42279</v>
      </c>
      <c r="C29" s="17">
        <v>42280</v>
      </c>
      <c r="D29" s="18" t="s">
        <v>58</v>
      </c>
      <c r="E29" s="18" t="s">
        <v>5</v>
      </c>
      <c r="F29" s="18">
        <v>1</v>
      </c>
      <c r="G29" s="19">
        <v>749000</v>
      </c>
      <c r="H29" s="19">
        <v>741000</v>
      </c>
      <c r="I29" s="18" t="s">
        <v>26</v>
      </c>
      <c r="J29" s="29" t="str">
        <f t="shared" si="0"/>
        <v>Fri</v>
      </c>
      <c r="K29" s="29" t="b">
        <f t="shared" si="1"/>
        <v>0</v>
      </c>
      <c r="L29" s="29" t="b">
        <f t="shared" si="2"/>
        <v>0</v>
      </c>
      <c r="M29" s="29" t="b">
        <f t="shared" si="5"/>
        <v>1</v>
      </c>
      <c r="N29" s="29" cm="1">
        <f t="array" ref="N29">_xlfn.IFS(
  E29="Airlines 1", IF(K29, F29*0.04, 0),
  E29="Airlines 2", P29,
  E29="Airlines 3", IF(L29, 20000*F29, 0),
  E29="Airlines 4", IF(M29, 15000*F29, 0),
  E29="Airlines 5",
    IF(F29&lt;50000000, F29*0.01,
      IF(F29&lt;100000000, F29*0.02,
        IF(F29&lt;200000000, F29*0.03, F29*0.035))),
  TRUE, 0
)</f>
        <v>0</v>
      </c>
      <c r="O29" s="29">
        <f t="shared" si="3"/>
        <v>0</v>
      </c>
      <c r="P29" s="29">
        <f t="shared" si="4"/>
        <v>0</v>
      </c>
      <c r="Q29" s="30" cm="1">
        <f t="array" ref="Q29">_xlfn.SWITCH(I29, "Method 1", 0, "Method 2", H29*0.03, "Method 3", 4000, "Method 4", 3000, 0)</f>
        <v>4000</v>
      </c>
    </row>
    <row r="30" spans="1:17">
      <c r="A30" s="24">
        <v>53195473</v>
      </c>
      <c r="B30" s="17">
        <v>42279</v>
      </c>
      <c r="C30" s="17">
        <v>42282</v>
      </c>
      <c r="D30" s="18" t="s">
        <v>41</v>
      </c>
      <c r="E30" s="18" t="s">
        <v>5</v>
      </c>
      <c r="F30" s="18">
        <v>1</v>
      </c>
      <c r="G30" s="19">
        <v>549900</v>
      </c>
      <c r="H30" s="19">
        <v>545800</v>
      </c>
      <c r="I30" s="18" t="s">
        <v>24</v>
      </c>
      <c r="J30" s="29" t="str">
        <f t="shared" si="0"/>
        <v>Fri</v>
      </c>
      <c r="K30" s="29" t="b">
        <f t="shared" si="1"/>
        <v>0</v>
      </c>
      <c r="L30" s="29" t="b">
        <f t="shared" si="2"/>
        <v>0</v>
      </c>
      <c r="M30" s="29" t="b">
        <f t="shared" si="5"/>
        <v>1</v>
      </c>
      <c r="N30" s="29" cm="1">
        <f t="array" ref="N30">_xlfn.IFS(
  E30="Airlines 1", IF(K30, F30*0.04, 0),
  E30="Airlines 2", P30,
  E30="Airlines 3", IF(L30, 20000*F30, 0),
  E30="Airlines 4", IF(M30, 15000*F30, 0),
  E30="Airlines 5",
    IF(F30&lt;50000000, F30*0.01,
      IF(F30&lt;100000000, F30*0.02,
        IF(F30&lt;200000000, F30*0.03, F30*0.035))),
  TRUE, 0
)</f>
        <v>0</v>
      </c>
      <c r="O30" s="29">
        <f t="shared" si="3"/>
        <v>0</v>
      </c>
      <c r="P30" s="29">
        <f t="shared" si="4"/>
        <v>0</v>
      </c>
      <c r="Q30" s="30" cm="1">
        <f t="array" ref="Q30">_xlfn.SWITCH(I30, "Method 1", 0, "Method 2", H30*0.03, "Method 3", 4000, "Method 4", 3000, 0)</f>
        <v>16374</v>
      </c>
    </row>
    <row r="31" spans="1:17">
      <c r="A31" s="24">
        <v>53196204</v>
      </c>
      <c r="B31" s="17">
        <v>42279</v>
      </c>
      <c r="C31" s="17">
        <v>42282</v>
      </c>
      <c r="D31" s="18" t="s">
        <v>59</v>
      </c>
      <c r="E31" s="18" t="s">
        <v>5</v>
      </c>
      <c r="F31" s="18">
        <v>3</v>
      </c>
      <c r="G31" s="19">
        <v>1587000</v>
      </c>
      <c r="H31" s="19">
        <v>1575900</v>
      </c>
      <c r="I31" s="18" t="s">
        <v>26</v>
      </c>
      <c r="J31" s="29" t="str">
        <f t="shared" si="0"/>
        <v>Fri</v>
      </c>
      <c r="K31" s="29" t="b">
        <f t="shared" si="1"/>
        <v>0</v>
      </c>
      <c r="L31" s="29" t="b">
        <f t="shared" si="2"/>
        <v>0</v>
      </c>
      <c r="M31" s="29" t="b">
        <f t="shared" si="5"/>
        <v>1</v>
      </c>
      <c r="N31" s="29" cm="1">
        <f t="array" ref="N31">_xlfn.IFS(
  E31="Airlines 1", IF(K31, F31*0.04, 0),
  E31="Airlines 2", P31,
  E31="Airlines 3", IF(L31, 20000*F31, 0),
  E31="Airlines 4", IF(M31, 15000*F31, 0),
  E31="Airlines 5",
    IF(F31&lt;50000000, F31*0.01,
      IF(F31&lt;100000000, F31*0.02,
        IF(F31&lt;200000000, F31*0.03, F31*0.035))),
  TRUE, 0
)</f>
        <v>0</v>
      </c>
      <c r="O31" s="29">
        <f t="shared" si="3"/>
        <v>0</v>
      </c>
      <c r="P31" s="29">
        <f t="shared" si="4"/>
        <v>0</v>
      </c>
      <c r="Q31" s="30" cm="1">
        <f t="array" ref="Q31">_xlfn.SWITCH(I31, "Method 1", 0, "Method 2", H31*0.03, "Method 3", 4000, "Method 4", 3000, 0)</f>
        <v>4000</v>
      </c>
    </row>
    <row r="32" spans="1:17">
      <c r="A32" s="24">
        <v>53196238</v>
      </c>
      <c r="B32" s="17">
        <v>42283</v>
      </c>
      <c r="C32" s="17">
        <v>42283</v>
      </c>
      <c r="D32" s="18" t="s">
        <v>60</v>
      </c>
      <c r="E32" s="18" t="s">
        <v>5</v>
      </c>
      <c r="F32" s="18">
        <v>2</v>
      </c>
      <c r="G32" s="19">
        <v>1776000</v>
      </c>
      <c r="H32" s="19">
        <v>1761600</v>
      </c>
      <c r="I32" s="18" t="s">
        <v>24</v>
      </c>
      <c r="J32" s="29" t="str">
        <f t="shared" si="0"/>
        <v>Tue</v>
      </c>
      <c r="K32" s="29" t="b">
        <f t="shared" si="1"/>
        <v>0</v>
      </c>
      <c r="L32" s="29" t="b">
        <f t="shared" si="2"/>
        <v>0</v>
      </c>
      <c r="M32" s="29" t="b">
        <f t="shared" si="5"/>
        <v>1</v>
      </c>
      <c r="N32" s="29" cm="1">
        <f t="array" ref="N32">_xlfn.IFS(
  E32="Airlines 1", IF(K32, F32*0.04, 0),
  E32="Airlines 2", P32,
  E32="Airlines 3", IF(L32, 20000*F32, 0),
  E32="Airlines 4", IF(M32, 15000*F32, 0),
  E32="Airlines 5",
    IF(F32&lt;50000000, F32*0.01,
      IF(F32&lt;100000000, F32*0.02,
        IF(F32&lt;200000000, F32*0.03, F32*0.035))),
  TRUE, 0
)</f>
        <v>0</v>
      </c>
      <c r="O32" s="29">
        <f t="shared" si="3"/>
        <v>0</v>
      </c>
      <c r="P32" s="29">
        <f t="shared" si="4"/>
        <v>0</v>
      </c>
      <c r="Q32" s="30" cm="1">
        <f t="array" ref="Q32">_xlfn.SWITCH(I32, "Method 1", 0, "Method 2", H32*0.03, "Method 3", 4000, "Method 4", 3000, 0)</f>
        <v>52848</v>
      </c>
    </row>
    <row r="33" spans="1:17">
      <c r="A33" s="24">
        <v>53196375</v>
      </c>
      <c r="B33" s="17">
        <v>42283</v>
      </c>
      <c r="C33" s="17">
        <v>42299</v>
      </c>
      <c r="D33" s="18" t="s">
        <v>61</v>
      </c>
      <c r="E33" s="18" t="s">
        <v>5</v>
      </c>
      <c r="F33" s="18">
        <v>1</v>
      </c>
      <c r="G33" s="19">
        <v>916000</v>
      </c>
      <c r="H33" s="19">
        <v>906800</v>
      </c>
      <c r="I33" s="18" t="s">
        <v>24</v>
      </c>
      <c r="J33" s="29" t="str">
        <f t="shared" si="0"/>
        <v>Tue</v>
      </c>
      <c r="K33" s="29" t="b">
        <f t="shared" si="1"/>
        <v>0</v>
      </c>
      <c r="L33" s="29" t="b">
        <f t="shared" si="2"/>
        <v>0</v>
      </c>
      <c r="M33" s="29" t="b">
        <f t="shared" si="5"/>
        <v>1</v>
      </c>
      <c r="N33" s="29" cm="1">
        <f t="array" ref="N33">_xlfn.IFS(
  E33="Airlines 1", IF(K33, F33*0.04, 0),
  E33="Airlines 2", P33,
  E33="Airlines 3", IF(L33, 20000*F33, 0),
  E33="Airlines 4", IF(M33, 15000*F33, 0),
  E33="Airlines 5",
    IF(F33&lt;50000000, F33*0.01,
      IF(F33&lt;100000000, F33*0.02,
        IF(F33&lt;200000000, F33*0.03, F33*0.035))),
  TRUE, 0
)</f>
        <v>0</v>
      </c>
      <c r="O33" s="29">
        <f t="shared" si="3"/>
        <v>0</v>
      </c>
      <c r="P33" s="29">
        <f t="shared" si="4"/>
        <v>0</v>
      </c>
      <c r="Q33" s="30" cm="1">
        <f t="array" ref="Q33">_xlfn.SWITCH(I33, "Method 1", 0, "Method 2", H33*0.03, "Method 3", 4000, "Method 4", 3000, 0)</f>
        <v>27204</v>
      </c>
    </row>
    <row r="34" spans="1:17">
      <c r="A34" s="24">
        <v>53196151</v>
      </c>
      <c r="B34" s="17">
        <v>42283</v>
      </c>
      <c r="C34" s="17">
        <v>42284</v>
      </c>
      <c r="D34" s="18" t="s">
        <v>55</v>
      </c>
      <c r="E34" s="18" t="s">
        <v>5</v>
      </c>
      <c r="F34" s="18">
        <v>1</v>
      </c>
      <c r="G34" s="19">
        <v>771000</v>
      </c>
      <c r="H34" s="19">
        <v>765200</v>
      </c>
      <c r="I34" s="18" t="s">
        <v>24</v>
      </c>
      <c r="J34" s="29" t="str">
        <f t="shared" si="0"/>
        <v>Tue</v>
      </c>
      <c r="K34" s="29" t="b">
        <f t="shared" si="1"/>
        <v>0</v>
      </c>
      <c r="L34" s="29" t="b">
        <f t="shared" si="2"/>
        <v>0</v>
      </c>
      <c r="M34" s="29" t="b">
        <f t="shared" si="5"/>
        <v>1</v>
      </c>
      <c r="N34" s="29" cm="1">
        <f t="array" ref="N34">_xlfn.IFS(
  E34="Airlines 1", IF(K34, F34*0.04, 0),
  E34="Airlines 2", P34,
  E34="Airlines 3", IF(L34, 20000*F34, 0),
  E34="Airlines 4", IF(M34, 15000*F34, 0),
  E34="Airlines 5",
    IF(F34&lt;50000000, F34*0.01,
      IF(F34&lt;100000000, F34*0.02,
        IF(F34&lt;200000000, F34*0.03, F34*0.035))),
  TRUE, 0
)</f>
        <v>0</v>
      </c>
      <c r="O34" s="29">
        <f t="shared" si="3"/>
        <v>0</v>
      </c>
      <c r="P34" s="29">
        <f t="shared" si="4"/>
        <v>0</v>
      </c>
      <c r="Q34" s="30" cm="1">
        <f t="array" ref="Q34">_xlfn.SWITCH(I34, "Method 1", 0, "Method 2", H34*0.03, "Method 3", 4000, "Method 4", 3000, 0)</f>
        <v>22956</v>
      </c>
    </row>
    <row r="35" spans="1:17">
      <c r="A35" s="24">
        <v>53192970</v>
      </c>
      <c r="B35" s="17">
        <v>42283</v>
      </c>
      <c r="C35" s="17">
        <v>42291</v>
      </c>
      <c r="D35" s="18" t="s">
        <v>41</v>
      </c>
      <c r="E35" s="18" t="s">
        <v>5</v>
      </c>
      <c r="F35" s="18">
        <v>1</v>
      </c>
      <c r="G35" s="19">
        <v>804000</v>
      </c>
      <c r="H35" s="19">
        <v>797500</v>
      </c>
      <c r="I35" s="18" t="s">
        <v>24</v>
      </c>
      <c r="J35" s="29" t="str">
        <f t="shared" si="0"/>
        <v>Tue</v>
      </c>
      <c r="K35" s="29" t="b">
        <f t="shared" si="1"/>
        <v>0</v>
      </c>
      <c r="L35" s="29" t="b">
        <f t="shared" si="2"/>
        <v>0</v>
      </c>
      <c r="M35" s="29" t="b">
        <f t="shared" si="5"/>
        <v>1</v>
      </c>
      <c r="N35" s="29" cm="1">
        <f t="array" ref="N35">_xlfn.IFS(
  E35="Airlines 1", IF(K35, F35*0.04, 0),
  E35="Airlines 2", P35,
  E35="Airlines 3", IF(L35, 20000*F35, 0),
  E35="Airlines 4", IF(M35, 15000*F35, 0),
  E35="Airlines 5",
    IF(F35&lt;50000000, F35*0.01,
      IF(F35&lt;100000000, F35*0.02,
        IF(F35&lt;200000000, F35*0.03, F35*0.035))),
  TRUE, 0
)</f>
        <v>0</v>
      </c>
      <c r="O35" s="29">
        <f t="shared" si="3"/>
        <v>0</v>
      </c>
      <c r="P35" s="29">
        <f t="shared" si="4"/>
        <v>0</v>
      </c>
      <c r="Q35" s="30" cm="1">
        <f t="array" ref="Q35">_xlfn.SWITCH(I35, "Method 1", 0, "Method 2", H35*0.03, "Method 3", 4000, "Method 4", 3000, 0)</f>
        <v>23925</v>
      </c>
    </row>
    <row r="36" spans="1:17">
      <c r="A36" s="24">
        <v>53196228</v>
      </c>
      <c r="B36" s="17">
        <v>42283</v>
      </c>
      <c r="C36" s="17">
        <v>42283</v>
      </c>
      <c r="D36" s="18" t="s">
        <v>62</v>
      </c>
      <c r="E36" s="18" t="s">
        <v>5</v>
      </c>
      <c r="F36" s="18">
        <v>1</v>
      </c>
      <c r="G36" s="19">
        <v>551000</v>
      </c>
      <c r="H36" s="19">
        <v>546400</v>
      </c>
      <c r="I36" s="18" t="s">
        <v>24</v>
      </c>
      <c r="J36" s="29" t="str">
        <f t="shared" si="0"/>
        <v>Tue</v>
      </c>
      <c r="K36" s="29" t="b">
        <f t="shared" si="1"/>
        <v>0</v>
      </c>
      <c r="L36" s="29" t="b">
        <f t="shared" si="2"/>
        <v>1</v>
      </c>
      <c r="M36" s="29" t="b">
        <f t="shared" si="5"/>
        <v>1</v>
      </c>
      <c r="N36" s="29" cm="1">
        <f t="array" ref="N36">_xlfn.IFS(
  E36="Airlines 1", IF(K36, F36*0.04, 0),
  E36="Airlines 2", P36,
  E36="Airlines 3", IF(L36, 20000*F36, 0),
  E36="Airlines 4", IF(M36, 15000*F36, 0),
  E36="Airlines 5",
    IF(F36&lt;50000000, F36*0.01,
      IF(F36&lt;100000000, F36*0.02,
        IF(F36&lt;200000000, F36*0.03, F36*0.035))),
  TRUE, 0
)</f>
        <v>0</v>
      </c>
      <c r="O36" s="29">
        <f t="shared" si="3"/>
        <v>0</v>
      </c>
      <c r="P36" s="29">
        <f t="shared" si="4"/>
        <v>0</v>
      </c>
      <c r="Q36" s="30" cm="1">
        <f t="array" ref="Q36">_xlfn.SWITCH(I36, "Method 1", 0, "Method 2", H36*0.03, "Method 3", 4000, "Method 4", 3000, 0)</f>
        <v>16392</v>
      </c>
    </row>
    <row r="37" spans="1:17">
      <c r="A37" s="24">
        <v>53195817</v>
      </c>
      <c r="B37" s="17">
        <v>42283</v>
      </c>
      <c r="C37" s="17">
        <v>42320</v>
      </c>
      <c r="D37" s="18" t="s">
        <v>63</v>
      </c>
      <c r="E37" s="18" t="s">
        <v>5</v>
      </c>
      <c r="F37" s="18">
        <v>2</v>
      </c>
      <c r="G37" s="19">
        <v>4754000</v>
      </c>
      <c r="H37" s="19">
        <v>4709200</v>
      </c>
      <c r="I37" s="18" t="s">
        <v>26</v>
      </c>
      <c r="J37" s="29" t="str">
        <f t="shared" si="0"/>
        <v>Tue</v>
      </c>
      <c r="K37" s="29" t="b">
        <f t="shared" si="1"/>
        <v>0</v>
      </c>
      <c r="L37" s="29" t="b">
        <f t="shared" si="2"/>
        <v>0</v>
      </c>
      <c r="M37" s="29" t="b">
        <f t="shared" si="5"/>
        <v>1</v>
      </c>
      <c r="N37" s="29" cm="1">
        <f t="array" ref="N37">_xlfn.IFS(
  E37="Airlines 1", IF(K37, F37*0.04, 0),
  E37="Airlines 2", P37,
  E37="Airlines 3", IF(L37, 20000*F37, 0),
  E37="Airlines 4", IF(M37, 15000*F37, 0),
  E37="Airlines 5",
    IF(F37&lt;50000000, F37*0.01,
      IF(F37&lt;100000000, F37*0.02,
        IF(F37&lt;200000000, F37*0.03, F37*0.035))),
  TRUE, 0
)</f>
        <v>0</v>
      </c>
      <c r="O37" s="29">
        <f t="shared" si="3"/>
        <v>0</v>
      </c>
      <c r="P37" s="29">
        <f t="shared" si="4"/>
        <v>0</v>
      </c>
      <c r="Q37" s="30" cm="1">
        <f t="array" ref="Q37">_xlfn.SWITCH(I37, "Method 1", 0, "Method 2", H37*0.03, "Method 3", 4000, "Method 4", 3000, 0)</f>
        <v>4000</v>
      </c>
    </row>
    <row r="38" spans="1:17">
      <c r="A38" s="24">
        <v>53196492</v>
      </c>
      <c r="B38" s="17">
        <v>42283</v>
      </c>
      <c r="C38" s="17">
        <v>42287</v>
      </c>
      <c r="D38" s="18" t="s">
        <v>51</v>
      </c>
      <c r="E38" s="18" t="s">
        <v>5</v>
      </c>
      <c r="F38" s="18">
        <v>2</v>
      </c>
      <c r="G38" s="19">
        <v>1438200</v>
      </c>
      <c r="H38" s="19">
        <v>1427400</v>
      </c>
      <c r="I38" s="18" t="s">
        <v>26</v>
      </c>
      <c r="J38" s="29" t="str">
        <f t="shared" si="0"/>
        <v>Tue</v>
      </c>
      <c r="K38" s="29" t="b">
        <f t="shared" si="1"/>
        <v>0</v>
      </c>
      <c r="L38" s="29" t="b">
        <f t="shared" si="2"/>
        <v>0</v>
      </c>
      <c r="M38" s="29" t="b">
        <f t="shared" si="5"/>
        <v>1</v>
      </c>
      <c r="N38" s="29" cm="1">
        <f t="array" ref="N38">_xlfn.IFS(
  E38="Airlines 1", IF(K38, F38*0.04, 0),
  E38="Airlines 2", P38,
  E38="Airlines 3", IF(L38, 20000*F38, 0),
  E38="Airlines 4", IF(M38, 15000*F38, 0),
  E38="Airlines 5",
    IF(F38&lt;50000000, F38*0.01,
      IF(F38&lt;100000000, F38*0.02,
        IF(F38&lt;200000000, F38*0.03, F38*0.035))),
  TRUE, 0
)</f>
        <v>0</v>
      </c>
      <c r="O38" s="29">
        <f t="shared" si="3"/>
        <v>0</v>
      </c>
      <c r="P38" s="29">
        <f t="shared" si="4"/>
        <v>0</v>
      </c>
      <c r="Q38" s="30" cm="1">
        <f t="array" ref="Q38">_xlfn.SWITCH(I38, "Method 1", 0, "Method 2", H38*0.03, "Method 3", 4000, "Method 4", 3000, 0)</f>
        <v>4000</v>
      </c>
    </row>
    <row r="39" spans="1:17">
      <c r="A39" s="24">
        <v>53196476</v>
      </c>
      <c r="B39" s="17">
        <v>42283</v>
      </c>
      <c r="C39" s="17">
        <v>42295</v>
      </c>
      <c r="D39" s="18" t="s">
        <v>51</v>
      </c>
      <c r="E39" s="18" t="s">
        <v>5</v>
      </c>
      <c r="F39" s="18">
        <v>2</v>
      </c>
      <c r="G39" s="19">
        <v>1832000</v>
      </c>
      <c r="H39" s="19">
        <v>1803800</v>
      </c>
      <c r="I39" s="18" t="s">
        <v>26</v>
      </c>
      <c r="J39" s="29" t="str">
        <f t="shared" si="0"/>
        <v>Tue</v>
      </c>
      <c r="K39" s="29" t="b">
        <f t="shared" si="1"/>
        <v>0</v>
      </c>
      <c r="L39" s="29" t="b">
        <f t="shared" si="2"/>
        <v>0</v>
      </c>
      <c r="M39" s="29" t="b">
        <f t="shared" si="5"/>
        <v>1</v>
      </c>
      <c r="N39" s="29" cm="1">
        <f t="array" ref="N39">_xlfn.IFS(
  E39="Airlines 1", IF(K39, F39*0.04, 0),
  E39="Airlines 2", P39,
  E39="Airlines 3", IF(L39, 20000*F39, 0),
  E39="Airlines 4", IF(M39, 15000*F39, 0),
  E39="Airlines 5",
    IF(F39&lt;50000000, F39*0.01,
      IF(F39&lt;100000000, F39*0.02,
        IF(F39&lt;200000000, F39*0.03, F39*0.035))),
  TRUE, 0
)</f>
        <v>0</v>
      </c>
      <c r="O39" s="29">
        <f t="shared" si="3"/>
        <v>0</v>
      </c>
      <c r="P39" s="29">
        <f t="shared" si="4"/>
        <v>0</v>
      </c>
      <c r="Q39" s="30" cm="1">
        <f t="array" ref="Q39">_xlfn.SWITCH(I39, "Method 1", 0, "Method 2", H39*0.03, "Method 3", 4000, "Method 4", 3000, 0)</f>
        <v>4000</v>
      </c>
    </row>
    <row r="40" spans="1:17">
      <c r="A40" s="24">
        <v>53194389</v>
      </c>
      <c r="B40" s="17">
        <v>42283</v>
      </c>
      <c r="C40" s="17">
        <v>42283</v>
      </c>
      <c r="D40" s="18" t="s">
        <v>40</v>
      </c>
      <c r="E40" s="18" t="s">
        <v>5</v>
      </c>
      <c r="F40" s="18">
        <v>1</v>
      </c>
      <c r="G40" s="19">
        <v>373900</v>
      </c>
      <c r="H40" s="19">
        <v>370200</v>
      </c>
      <c r="I40" s="18" t="s">
        <v>26</v>
      </c>
      <c r="J40" s="29" t="str">
        <f t="shared" si="0"/>
        <v>Tue</v>
      </c>
      <c r="K40" s="29" t="b">
        <f t="shared" si="1"/>
        <v>0</v>
      </c>
      <c r="L40" s="29" t="b">
        <f t="shared" si="2"/>
        <v>1</v>
      </c>
      <c r="M40" s="29" t="b">
        <f t="shared" si="5"/>
        <v>1</v>
      </c>
      <c r="N40" s="29" cm="1">
        <f t="array" ref="N40">_xlfn.IFS(
  E40="Airlines 1", IF(K40, F40*0.04, 0),
  E40="Airlines 2", P40,
  E40="Airlines 3", IF(L40, 20000*F40, 0),
  E40="Airlines 4", IF(M40, 15000*F40, 0),
  E40="Airlines 5",
    IF(F40&lt;50000000, F40*0.01,
      IF(F40&lt;100000000, F40*0.02,
        IF(F40&lt;200000000, F40*0.03, F40*0.035))),
  TRUE, 0
)</f>
        <v>0</v>
      </c>
      <c r="O40" s="29">
        <f t="shared" si="3"/>
        <v>0</v>
      </c>
      <c r="P40" s="29">
        <f t="shared" si="4"/>
        <v>0</v>
      </c>
      <c r="Q40" s="30" cm="1">
        <f t="array" ref="Q40">_xlfn.SWITCH(I40, "Method 1", 0, "Method 2", H40*0.03, "Method 3", 4000, "Method 4", 3000, 0)</f>
        <v>4000</v>
      </c>
    </row>
    <row r="41" spans="1:17">
      <c r="A41" s="24">
        <v>53195682</v>
      </c>
      <c r="B41" s="17">
        <v>42283</v>
      </c>
      <c r="C41" s="17">
        <v>42288</v>
      </c>
      <c r="D41" s="18" t="s">
        <v>64</v>
      </c>
      <c r="E41" s="18" t="s">
        <v>5</v>
      </c>
      <c r="F41" s="18">
        <v>1</v>
      </c>
      <c r="G41" s="19">
        <v>416100</v>
      </c>
      <c r="H41" s="19">
        <v>412500</v>
      </c>
      <c r="I41" s="18" t="s">
        <v>26</v>
      </c>
      <c r="J41" s="29" t="str">
        <f t="shared" si="0"/>
        <v>Tue</v>
      </c>
      <c r="K41" s="29" t="b">
        <f t="shared" si="1"/>
        <v>0</v>
      </c>
      <c r="L41" s="29" t="b">
        <f t="shared" si="2"/>
        <v>0</v>
      </c>
      <c r="M41" s="29" t="b">
        <f t="shared" si="5"/>
        <v>1</v>
      </c>
      <c r="N41" s="29" cm="1">
        <f t="array" ref="N41">_xlfn.IFS(
  E41="Airlines 1", IF(K41, F41*0.04, 0),
  E41="Airlines 2", P41,
  E41="Airlines 3", IF(L41, 20000*F41, 0),
  E41="Airlines 4", IF(M41, 15000*F41, 0),
  E41="Airlines 5",
    IF(F41&lt;50000000, F41*0.01,
      IF(F41&lt;100000000, F41*0.02,
        IF(F41&lt;200000000, F41*0.03, F41*0.035))),
  TRUE, 0
)</f>
        <v>0</v>
      </c>
      <c r="O41" s="29">
        <f t="shared" si="3"/>
        <v>0</v>
      </c>
      <c r="P41" s="29">
        <f t="shared" si="4"/>
        <v>0</v>
      </c>
      <c r="Q41" s="30" cm="1">
        <f t="array" ref="Q41">_xlfn.SWITCH(I41, "Method 1", 0, "Method 2", H41*0.03, "Method 3", 4000, "Method 4", 3000, 0)</f>
        <v>4000</v>
      </c>
    </row>
    <row r="42" spans="1:17">
      <c r="A42" s="24">
        <v>53196456</v>
      </c>
      <c r="B42" s="17">
        <v>42283</v>
      </c>
      <c r="C42" s="17">
        <v>42556</v>
      </c>
      <c r="D42" s="18" t="s">
        <v>43</v>
      </c>
      <c r="E42" s="18" t="s">
        <v>5</v>
      </c>
      <c r="F42" s="18">
        <v>1</v>
      </c>
      <c r="G42" s="19">
        <v>538700</v>
      </c>
      <c r="H42" s="19">
        <v>534200</v>
      </c>
      <c r="I42" s="18" t="s">
        <v>26</v>
      </c>
      <c r="J42" s="29" t="str">
        <f t="shared" si="0"/>
        <v>Tue</v>
      </c>
      <c r="K42" s="29" t="b">
        <f t="shared" si="1"/>
        <v>0</v>
      </c>
      <c r="L42" s="29" t="b">
        <f t="shared" si="2"/>
        <v>1</v>
      </c>
      <c r="M42" s="29" t="b">
        <f t="shared" si="5"/>
        <v>1</v>
      </c>
      <c r="N42" s="29" cm="1">
        <f t="array" ref="N42">_xlfn.IFS(
  E42="Airlines 1", IF(K42, F42*0.04, 0),
  E42="Airlines 2", P42,
  E42="Airlines 3", IF(L42, 20000*F42, 0),
  E42="Airlines 4", IF(M42, 15000*F42, 0),
  E42="Airlines 5",
    IF(F42&lt;50000000, F42*0.01,
      IF(F42&lt;100000000, F42*0.02,
        IF(F42&lt;200000000, F42*0.03, F42*0.035))),
  TRUE, 0
)</f>
        <v>0</v>
      </c>
      <c r="O42" s="29">
        <f t="shared" si="3"/>
        <v>0</v>
      </c>
      <c r="P42" s="29">
        <f t="shared" si="4"/>
        <v>0</v>
      </c>
      <c r="Q42" s="30" cm="1">
        <f t="array" ref="Q42">_xlfn.SWITCH(I42, "Method 1", 0, "Method 2", H42*0.03, "Method 3", 4000, "Method 4", 3000, 0)</f>
        <v>4000</v>
      </c>
    </row>
    <row r="43" spans="1:17">
      <c r="A43" s="24">
        <v>53196559</v>
      </c>
      <c r="B43" s="17">
        <v>42283</v>
      </c>
      <c r="C43" s="17">
        <v>42283</v>
      </c>
      <c r="D43" s="18" t="s">
        <v>65</v>
      </c>
      <c r="E43" s="18" t="s">
        <v>5</v>
      </c>
      <c r="F43" s="18">
        <v>1</v>
      </c>
      <c r="G43" s="19">
        <v>475000</v>
      </c>
      <c r="H43" s="19">
        <v>470300</v>
      </c>
      <c r="I43" s="18" t="s">
        <v>24</v>
      </c>
      <c r="J43" s="29" t="str">
        <f t="shared" si="0"/>
        <v>Tue</v>
      </c>
      <c r="K43" s="29" t="b">
        <f t="shared" si="1"/>
        <v>0</v>
      </c>
      <c r="L43" s="29" t="b">
        <f t="shared" si="2"/>
        <v>0</v>
      </c>
      <c r="M43" s="29" t="b">
        <f t="shared" si="5"/>
        <v>1</v>
      </c>
      <c r="N43" s="29" cm="1">
        <f t="array" ref="N43">_xlfn.IFS(
  E43="Airlines 1", IF(K43, F43*0.04, 0),
  E43="Airlines 2", P43,
  E43="Airlines 3", IF(L43, 20000*F43, 0),
  E43="Airlines 4", IF(M43, 15000*F43, 0),
  E43="Airlines 5",
    IF(F43&lt;50000000, F43*0.01,
      IF(F43&lt;100000000, F43*0.02,
        IF(F43&lt;200000000, F43*0.03, F43*0.035))),
  TRUE, 0
)</f>
        <v>0</v>
      </c>
      <c r="O43" s="29">
        <f t="shared" si="3"/>
        <v>0</v>
      </c>
      <c r="P43" s="29">
        <f t="shared" si="4"/>
        <v>0</v>
      </c>
      <c r="Q43" s="30" cm="1">
        <f t="array" ref="Q43">_xlfn.SWITCH(I43, "Method 1", 0, "Method 2", H43*0.03, "Method 3", 4000, "Method 4", 3000, 0)</f>
        <v>14109</v>
      </c>
    </row>
    <row r="44" spans="1:17">
      <c r="A44" s="24">
        <v>53196618</v>
      </c>
      <c r="B44" s="17">
        <v>42283</v>
      </c>
      <c r="C44" s="17">
        <v>42283</v>
      </c>
      <c r="D44" s="18" t="s">
        <v>43</v>
      </c>
      <c r="E44" s="18" t="s">
        <v>5</v>
      </c>
      <c r="F44" s="18">
        <v>1</v>
      </c>
      <c r="G44" s="19">
        <v>619000</v>
      </c>
      <c r="H44" s="19">
        <v>612600</v>
      </c>
      <c r="I44" s="18" t="s">
        <v>24</v>
      </c>
      <c r="J44" s="29" t="str">
        <f t="shared" si="0"/>
        <v>Tue</v>
      </c>
      <c r="K44" s="29" t="b">
        <f t="shared" si="1"/>
        <v>0</v>
      </c>
      <c r="L44" s="29" t="b">
        <f t="shared" si="2"/>
        <v>1</v>
      </c>
      <c r="M44" s="29" t="b">
        <f t="shared" si="5"/>
        <v>1</v>
      </c>
      <c r="N44" s="29" cm="1">
        <f t="array" ref="N44">_xlfn.IFS(
  E44="Airlines 1", IF(K44, F44*0.04, 0),
  E44="Airlines 2", P44,
  E44="Airlines 3", IF(L44, 20000*F44, 0),
  E44="Airlines 4", IF(M44, 15000*F44, 0),
  E44="Airlines 5",
    IF(F44&lt;50000000, F44*0.01,
      IF(F44&lt;100000000, F44*0.02,
        IF(F44&lt;200000000, F44*0.03, F44*0.035))),
  TRUE, 0
)</f>
        <v>0</v>
      </c>
      <c r="O44" s="29">
        <f t="shared" si="3"/>
        <v>0</v>
      </c>
      <c r="P44" s="29">
        <f t="shared" si="4"/>
        <v>0</v>
      </c>
      <c r="Q44" s="30" cm="1">
        <f t="array" ref="Q44">_xlfn.SWITCH(I44, "Method 1", 0, "Method 2", H44*0.03, "Method 3", 4000, "Method 4", 3000, 0)</f>
        <v>18378</v>
      </c>
    </row>
    <row r="45" spans="1:17">
      <c r="A45" s="24">
        <v>53196634</v>
      </c>
      <c r="B45" s="17">
        <v>42283</v>
      </c>
      <c r="C45" s="17">
        <v>42286</v>
      </c>
      <c r="D45" s="18" t="s">
        <v>66</v>
      </c>
      <c r="E45" s="18" t="s">
        <v>5</v>
      </c>
      <c r="F45" s="18">
        <v>1</v>
      </c>
      <c r="G45" s="19">
        <v>500000</v>
      </c>
      <c r="H45" s="19">
        <v>497500</v>
      </c>
      <c r="I45" s="18" t="s">
        <v>24</v>
      </c>
      <c r="J45" s="29" t="str">
        <f t="shared" si="0"/>
        <v>Tue</v>
      </c>
      <c r="K45" s="29" t="b">
        <f t="shared" si="1"/>
        <v>0</v>
      </c>
      <c r="L45" s="29" t="b">
        <f t="shared" si="2"/>
        <v>0</v>
      </c>
      <c r="M45" s="29" t="b">
        <f t="shared" si="5"/>
        <v>1</v>
      </c>
      <c r="N45" s="29" cm="1">
        <f t="array" ref="N45">_xlfn.IFS(
  E45="Airlines 1", IF(K45, F45*0.04, 0),
  E45="Airlines 2", P45,
  E45="Airlines 3", IF(L45, 20000*F45, 0),
  E45="Airlines 4", IF(M45, 15000*F45, 0),
  E45="Airlines 5",
    IF(F45&lt;50000000, F45*0.01,
      IF(F45&lt;100000000, F45*0.02,
        IF(F45&lt;200000000, F45*0.03, F45*0.035))),
  TRUE, 0
)</f>
        <v>0</v>
      </c>
      <c r="O45" s="29">
        <f t="shared" si="3"/>
        <v>0</v>
      </c>
      <c r="P45" s="29">
        <f t="shared" si="4"/>
        <v>0</v>
      </c>
      <c r="Q45" s="30" cm="1">
        <f t="array" ref="Q45">_xlfn.SWITCH(I45, "Method 1", 0, "Method 2", H45*0.03, "Method 3", 4000, "Method 4", 3000, 0)</f>
        <v>14925</v>
      </c>
    </row>
    <row r="46" spans="1:17">
      <c r="A46" s="24">
        <v>53196566</v>
      </c>
      <c r="B46" s="17">
        <v>42283</v>
      </c>
      <c r="C46" s="17">
        <v>42286</v>
      </c>
      <c r="D46" s="18" t="s">
        <v>67</v>
      </c>
      <c r="E46" s="18" t="s">
        <v>5</v>
      </c>
      <c r="F46" s="18">
        <v>1</v>
      </c>
      <c r="G46" s="19">
        <v>495900</v>
      </c>
      <c r="H46" s="19">
        <v>492200</v>
      </c>
      <c r="I46" s="18" t="s">
        <v>26</v>
      </c>
      <c r="J46" s="29" t="str">
        <f t="shared" si="0"/>
        <v>Tue</v>
      </c>
      <c r="K46" s="29" t="b">
        <f t="shared" si="1"/>
        <v>0</v>
      </c>
      <c r="L46" s="29" t="b">
        <f t="shared" si="2"/>
        <v>0</v>
      </c>
      <c r="M46" s="29" t="b">
        <f t="shared" si="5"/>
        <v>1</v>
      </c>
      <c r="N46" s="29" cm="1">
        <f t="array" ref="N46">_xlfn.IFS(
  E46="Airlines 1", IF(K46, F46*0.04, 0),
  E46="Airlines 2", P46,
  E46="Airlines 3", IF(L46, 20000*F46, 0),
  E46="Airlines 4", IF(M46, 15000*F46, 0),
  E46="Airlines 5",
    IF(F46&lt;50000000, F46*0.01,
      IF(F46&lt;100000000, F46*0.02,
        IF(F46&lt;200000000, F46*0.03, F46*0.035))),
  TRUE, 0
)</f>
        <v>0</v>
      </c>
      <c r="O46" s="29">
        <f t="shared" si="3"/>
        <v>0</v>
      </c>
      <c r="P46" s="29">
        <f t="shared" si="4"/>
        <v>0</v>
      </c>
      <c r="Q46" s="30" cm="1">
        <f t="array" ref="Q46">_xlfn.SWITCH(I46, "Method 1", 0, "Method 2", H46*0.03, "Method 3", 4000, "Method 4", 3000, 0)</f>
        <v>4000</v>
      </c>
    </row>
    <row r="47" spans="1:17">
      <c r="A47" s="24">
        <v>53196662</v>
      </c>
      <c r="B47" s="17">
        <v>42283</v>
      </c>
      <c r="C47" s="17">
        <v>42283</v>
      </c>
      <c r="D47" s="18" t="s">
        <v>68</v>
      </c>
      <c r="E47" s="18" t="s">
        <v>5</v>
      </c>
      <c r="F47" s="18">
        <v>1</v>
      </c>
      <c r="G47" s="19">
        <v>243000</v>
      </c>
      <c r="H47" s="19">
        <v>240600</v>
      </c>
      <c r="I47" s="18" t="s">
        <v>26</v>
      </c>
      <c r="J47" s="29" t="str">
        <f t="shared" si="0"/>
        <v>Tue</v>
      </c>
      <c r="K47" s="29" t="b">
        <f t="shared" si="1"/>
        <v>0</v>
      </c>
      <c r="L47" s="29" t="b">
        <f t="shared" si="2"/>
        <v>0</v>
      </c>
      <c r="M47" s="29" t="b">
        <f t="shared" si="5"/>
        <v>1</v>
      </c>
      <c r="N47" s="29" cm="1">
        <f t="array" ref="N47">_xlfn.IFS(
  E47="Airlines 1", IF(K47, F47*0.04, 0),
  E47="Airlines 2", P47,
  E47="Airlines 3", IF(L47, 20000*F47, 0),
  E47="Airlines 4", IF(M47, 15000*F47, 0),
  E47="Airlines 5",
    IF(F47&lt;50000000, F47*0.01,
      IF(F47&lt;100000000, F47*0.02,
        IF(F47&lt;200000000, F47*0.03, F47*0.035))),
  TRUE, 0
)</f>
        <v>0</v>
      </c>
      <c r="O47" s="29">
        <f t="shared" si="3"/>
        <v>0</v>
      </c>
      <c r="P47" s="29">
        <f t="shared" si="4"/>
        <v>0</v>
      </c>
      <c r="Q47" s="30" cm="1">
        <f t="array" ref="Q47">_xlfn.SWITCH(I47, "Method 1", 0, "Method 2", H47*0.03, "Method 3", 4000, "Method 4", 3000, 0)</f>
        <v>4000</v>
      </c>
    </row>
    <row r="48" spans="1:17">
      <c r="A48" s="24">
        <v>53196467</v>
      </c>
      <c r="B48" s="17">
        <v>42283</v>
      </c>
      <c r="C48" s="17">
        <v>42288</v>
      </c>
      <c r="D48" s="18" t="s">
        <v>69</v>
      </c>
      <c r="E48" s="18" t="s">
        <v>5</v>
      </c>
      <c r="F48" s="18">
        <v>2</v>
      </c>
      <c r="G48" s="19">
        <v>1740000</v>
      </c>
      <c r="H48" s="19">
        <v>1727000</v>
      </c>
      <c r="I48" s="18" t="s">
        <v>26</v>
      </c>
      <c r="J48" s="29" t="str">
        <f t="shared" si="0"/>
        <v>Tue</v>
      </c>
      <c r="K48" s="29" t="b">
        <f t="shared" si="1"/>
        <v>0</v>
      </c>
      <c r="L48" s="29" t="b">
        <f t="shared" si="2"/>
        <v>0</v>
      </c>
      <c r="M48" s="29" t="b">
        <f t="shared" si="5"/>
        <v>1</v>
      </c>
      <c r="N48" s="29" cm="1">
        <f t="array" ref="N48">_xlfn.IFS(
  E48="Airlines 1", IF(K48, F48*0.04, 0),
  E48="Airlines 2", P48,
  E48="Airlines 3", IF(L48, 20000*F48, 0),
  E48="Airlines 4", IF(M48, 15000*F48, 0),
  E48="Airlines 5",
    IF(F48&lt;50000000, F48*0.01,
      IF(F48&lt;100000000, F48*0.02,
        IF(F48&lt;200000000, F48*0.03, F48*0.035))),
  TRUE, 0
)</f>
        <v>0</v>
      </c>
      <c r="O48" s="29">
        <f t="shared" si="3"/>
        <v>0</v>
      </c>
      <c r="P48" s="29">
        <f t="shared" si="4"/>
        <v>0</v>
      </c>
      <c r="Q48" s="30" cm="1">
        <f t="array" ref="Q48">_xlfn.SWITCH(I48, "Method 1", 0, "Method 2", H48*0.03, "Method 3", 4000, "Method 4", 3000, 0)</f>
        <v>4000</v>
      </c>
    </row>
    <row r="49" spans="1:17">
      <c r="A49" s="24">
        <v>53182240</v>
      </c>
      <c r="B49" s="17">
        <v>42283</v>
      </c>
      <c r="C49" s="17">
        <v>42285</v>
      </c>
      <c r="D49" s="18" t="s">
        <v>70</v>
      </c>
      <c r="E49" s="18" t="s">
        <v>5</v>
      </c>
      <c r="F49" s="18">
        <v>2</v>
      </c>
      <c r="G49" s="19">
        <v>1146000</v>
      </c>
      <c r="H49" s="19">
        <v>1137400</v>
      </c>
      <c r="I49" s="18" t="s">
        <v>22</v>
      </c>
      <c r="J49" s="29" t="str">
        <f t="shared" si="0"/>
        <v>Tue</v>
      </c>
      <c r="K49" s="29" t="b">
        <f t="shared" si="1"/>
        <v>0</v>
      </c>
      <c r="L49" s="29" t="b">
        <f t="shared" si="2"/>
        <v>0</v>
      </c>
      <c r="M49" s="29" t="b">
        <f t="shared" si="5"/>
        <v>1</v>
      </c>
      <c r="N49" s="29" cm="1">
        <f t="array" ref="N49">_xlfn.IFS(
  E49="Airlines 1", IF(K49, F49*0.04, 0),
  E49="Airlines 2", P49,
  E49="Airlines 3", IF(L49, 20000*F49, 0),
  E49="Airlines 4", IF(M49, 15000*F49, 0),
  E49="Airlines 5",
    IF(F49&lt;50000000, F49*0.01,
      IF(F49&lt;100000000, F49*0.02,
        IF(F49&lt;200000000, F49*0.03, F49*0.035))),
  TRUE, 0
)</f>
        <v>0</v>
      </c>
      <c r="O49" s="29">
        <f t="shared" si="3"/>
        <v>0</v>
      </c>
      <c r="P49" s="29">
        <f t="shared" si="4"/>
        <v>0</v>
      </c>
      <c r="Q49" s="30" cm="1">
        <f t="array" ref="Q49">_xlfn.SWITCH(I49, "Method 1", 0, "Method 2", H49*0.03, "Method 3", 4000, "Method 4", 3000, 0)</f>
        <v>0</v>
      </c>
    </row>
    <row r="50" spans="1:17">
      <c r="A50" s="24">
        <v>53196700</v>
      </c>
      <c r="B50" s="17">
        <v>42283</v>
      </c>
      <c r="C50" s="17">
        <v>42285</v>
      </c>
      <c r="D50" s="18" t="s">
        <v>71</v>
      </c>
      <c r="E50" s="18" t="s">
        <v>5</v>
      </c>
      <c r="F50" s="18">
        <v>3</v>
      </c>
      <c r="G50" s="19">
        <v>1323000</v>
      </c>
      <c r="H50" s="19">
        <v>1310100</v>
      </c>
      <c r="I50" s="18" t="s">
        <v>22</v>
      </c>
      <c r="J50" s="29" t="str">
        <f t="shared" si="0"/>
        <v>Tue</v>
      </c>
      <c r="K50" s="29" t="b">
        <f t="shared" si="1"/>
        <v>0</v>
      </c>
      <c r="L50" s="29" t="b">
        <f t="shared" si="2"/>
        <v>0</v>
      </c>
      <c r="M50" s="29" t="b">
        <f t="shared" si="5"/>
        <v>1</v>
      </c>
      <c r="N50" s="29" cm="1">
        <f t="array" ref="N50">_xlfn.IFS(
  E50="Airlines 1", IF(K50, F50*0.04, 0),
  E50="Airlines 2", P50,
  E50="Airlines 3", IF(L50, 20000*F50, 0),
  E50="Airlines 4", IF(M50, 15000*F50, 0),
  E50="Airlines 5",
    IF(F50&lt;50000000, F50*0.01,
      IF(F50&lt;100000000, F50*0.02,
        IF(F50&lt;200000000, F50*0.03, F50*0.035))),
  TRUE, 0
)</f>
        <v>0</v>
      </c>
      <c r="O50" s="29">
        <f t="shared" si="3"/>
        <v>0</v>
      </c>
      <c r="P50" s="29">
        <f t="shared" si="4"/>
        <v>0</v>
      </c>
      <c r="Q50" s="30" cm="1">
        <f t="array" ref="Q50">_xlfn.SWITCH(I50, "Method 1", 0, "Method 2", H50*0.03, "Method 3", 4000, "Method 4", 3000, 0)</f>
        <v>0</v>
      </c>
    </row>
    <row r="51" spans="1:17">
      <c r="A51" s="24">
        <v>53196684</v>
      </c>
      <c r="B51" s="17">
        <v>42283</v>
      </c>
      <c r="C51" s="17">
        <v>42295</v>
      </c>
      <c r="D51" s="18" t="s">
        <v>50</v>
      </c>
      <c r="E51" s="18" t="s">
        <v>5</v>
      </c>
      <c r="F51" s="18">
        <v>1</v>
      </c>
      <c r="G51" s="19">
        <v>397000</v>
      </c>
      <c r="H51" s="19">
        <v>394200</v>
      </c>
      <c r="I51" s="18" t="s">
        <v>22</v>
      </c>
      <c r="J51" s="29" t="str">
        <f t="shared" si="0"/>
        <v>Tue</v>
      </c>
      <c r="K51" s="29" t="b">
        <f t="shared" si="1"/>
        <v>0</v>
      </c>
      <c r="L51" s="29" t="b">
        <f t="shared" si="2"/>
        <v>0</v>
      </c>
      <c r="M51" s="29" t="b">
        <f t="shared" si="5"/>
        <v>1</v>
      </c>
      <c r="N51" s="29" cm="1">
        <f t="array" ref="N51">_xlfn.IFS(
  E51="Airlines 1", IF(K51, F51*0.04, 0),
  E51="Airlines 2", P51,
  E51="Airlines 3", IF(L51, 20000*F51, 0),
  E51="Airlines 4", IF(M51, 15000*F51, 0),
  E51="Airlines 5",
    IF(F51&lt;50000000, F51*0.01,
      IF(F51&lt;100000000, F51*0.02,
        IF(F51&lt;200000000, F51*0.03, F51*0.035))),
  TRUE, 0
)</f>
        <v>0</v>
      </c>
      <c r="O51" s="29">
        <f t="shared" si="3"/>
        <v>0</v>
      </c>
      <c r="P51" s="29">
        <f t="shared" si="4"/>
        <v>0</v>
      </c>
      <c r="Q51" s="30" cm="1">
        <f t="array" ref="Q51">_xlfn.SWITCH(I51, "Method 1", 0, "Method 2", H51*0.03, "Method 3", 4000, "Method 4", 3000, 0)</f>
        <v>0</v>
      </c>
    </row>
    <row r="52" spans="1:17">
      <c r="A52" s="24">
        <v>53196766</v>
      </c>
      <c r="B52" s="17">
        <v>42283</v>
      </c>
      <c r="C52" s="17">
        <v>42286</v>
      </c>
      <c r="D52" s="18" t="s">
        <v>72</v>
      </c>
      <c r="E52" s="18" t="s">
        <v>5</v>
      </c>
      <c r="F52" s="18">
        <v>1</v>
      </c>
      <c r="G52" s="19">
        <v>520200</v>
      </c>
      <c r="H52" s="19">
        <v>516300</v>
      </c>
      <c r="I52" s="18" t="s">
        <v>22</v>
      </c>
      <c r="J52" s="29" t="str">
        <f t="shared" si="0"/>
        <v>Tue</v>
      </c>
      <c r="K52" s="29" t="b">
        <f t="shared" si="1"/>
        <v>0</v>
      </c>
      <c r="L52" s="29" t="b">
        <f t="shared" si="2"/>
        <v>0</v>
      </c>
      <c r="M52" s="29" t="b">
        <f t="shared" si="5"/>
        <v>1</v>
      </c>
      <c r="N52" s="29" cm="1">
        <f t="array" ref="N52">_xlfn.IFS(
  E52="Airlines 1", IF(K52, F52*0.04, 0),
  E52="Airlines 2", P52,
  E52="Airlines 3", IF(L52, 20000*F52, 0),
  E52="Airlines 4", IF(M52, 15000*F52, 0),
  E52="Airlines 5",
    IF(F52&lt;50000000, F52*0.01,
      IF(F52&lt;100000000, F52*0.02,
        IF(F52&lt;200000000, F52*0.03, F52*0.035))),
  TRUE, 0
)</f>
        <v>0</v>
      </c>
      <c r="O52" s="29">
        <f t="shared" si="3"/>
        <v>0</v>
      </c>
      <c r="P52" s="29">
        <f t="shared" si="4"/>
        <v>0</v>
      </c>
      <c r="Q52" s="30" cm="1">
        <f t="array" ref="Q52">_xlfn.SWITCH(I52, "Method 1", 0, "Method 2", H52*0.03, "Method 3", 4000, "Method 4", 3000, 0)</f>
        <v>0</v>
      </c>
    </row>
    <row r="53" spans="1:17">
      <c r="A53" s="24">
        <v>53196680</v>
      </c>
      <c r="B53" s="17">
        <v>42283</v>
      </c>
      <c r="C53" s="17">
        <v>42290</v>
      </c>
      <c r="D53" s="18" t="s">
        <v>73</v>
      </c>
      <c r="E53" s="18" t="s">
        <v>5</v>
      </c>
      <c r="F53" s="18">
        <v>5</v>
      </c>
      <c r="G53" s="19">
        <v>1709500</v>
      </c>
      <c r="H53" s="19">
        <v>1696500</v>
      </c>
      <c r="I53" s="18" t="s">
        <v>24</v>
      </c>
      <c r="J53" s="29" t="str">
        <f t="shared" si="0"/>
        <v>Tue</v>
      </c>
      <c r="K53" s="29" t="b">
        <f t="shared" si="1"/>
        <v>0</v>
      </c>
      <c r="L53" s="29" t="b">
        <f t="shared" si="2"/>
        <v>0</v>
      </c>
      <c r="M53" s="29" t="b">
        <f t="shared" si="5"/>
        <v>1</v>
      </c>
      <c r="N53" s="29" cm="1">
        <f t="array" ref="N53">_xlfn.IFS(
  E53="Airlines 1", IF(K53, F53*0.04, 0),
  E53="Airlines 2", P53,
  E53="Airlines 3", IF(L53, 20000*F53, 0),
  E53="Airlines 4", IF(M53, 15000*F53, 0),
  E53="Airlines 5",
    IF(F53&lt;50000000, F53*0.01,
      IF(F53&lt;100000000, F53*0.02,
        IF(F53&lt;200000000, F53*0.03, F53*0.035))),
  TRUE, 0
)</f>
        <v>0</v>
      </c>
      <c r="O53" s="29">
        <f t="shared" si="3"/>
        <v>0</v>
      </c>
      <c r="P53" s="29">
        <f t="shared" si="4"/>
        <v>0</v>
      </c>
      <c r="Q53" s="30" cm="1">
        <f t="array" ref="Q53">_xlfn.SWITCH(I53, "Method 1", 0, "Method 2", H53*0.03, "Method 3", 4000, "Method 4", 3000, 0)</f>
        <v>50895</v>
      </c>
    </row>
    <row r="54" spans="1:17">
      <c r="A54" s="24">
        <v>53195841</v>
      </c>
      <c r="B54" s="17">
        <v>42283</v>
      </c>
      <c r="C54" s="17">
        <v>42289</v>
      </c>
      <c r="D54" s="18" t="s">
        <v>74</v>
      </c>
      <c r="E54" s="18" t="s">
        <v>5</v>
      </c>
      <c r="F54" s="18">
        <v>1</v>
      </c>
      <c r="G54" s="19">
        <v>525000</v>
      </c>
      <c r="H54" s="19">
        <v>517100</v>
      </c>
      <c r="I54" s="18" t="s">
        <v>26</v>
      </c>
      <c r="J54" s="29" t="str">
        <f t="shared" si="0"/>
        <v>Tue</v>
      </c>
      <c r="K54" s="29" t="b">
        <f t="shared" si="1"/>
        <v>0</v>
      </c>
      <c r="L54" s="29" t="b">
        <f t="shared" si="2"/>
        <v>0</v>
      </c>
      <c r="M54" s="29" t="b">
        <f t="shared" si="5"/>
        <v>1</v>
      </c>
      <c r="N54" s="29" cm="1">
        <f t="array" ref="N54">_xlfn.IFS(
  E54="Airlines 1", IF(K54, F54*0.04, 0),
  E54="Airlines 2", P54,
  E54="Airlines 3", IF(L54, 20000*F54, 0),
  E54="Airlines 4", IF(M54, 15000*F54, 0),
  E54="Airlines 5",
    IF(F54&lt;50000000, F54*0.01,
      IF(F54&lt;100000000, F54*0.02,
        IF(F54&lt;200000000, F54*0.03, F54*0.035))),
  TRUE, 0
)</f>
        <v>0</v>
      </c>
      <c r="O54" s="29">
        <f t="shared" si="3"/>
        <v>0</v>
      </c>
      <c r="P54" s="29">
        <f t="shared" si="4"/>
        <v>0</v>
      </c>
      <c r="Q54" s="30" cm="1">
        <f t="array" ref="Q54">_xlfn.SWITCH(I54, "Method 1", 0, "Method 2", H54*0.03, "Method 3", 4000, "Method 4", 3000, 0)</f>
        <v>4000</v>
      </c>
    </row>
    <row r="55" spans="1:17">
      <c r="A55" s="24">
        <v>53196569</v>
      </c>
      <c r="B55" s="17">
        <v>42283</v>
      </c>
      <c r="C55" s="17">
        <v>42283</v>
      </c>
      <c r="D55" s="18" t="s">
        <v>75</v>
      </c>
      <c r="E55" s="18" t="s">
        <v>5</v>
      </c>
      <c r="F55" s="18">
        <v>2</v>
      </c>
      <c r="G55" s="19">
        <v>1038000</v>
      </c>
      <c r="H55" s="19">
        <v>1030600</v>
      </c>
      <c r="I55" s="18" t="s">
        <v>24</v>
      </c>
      <c r="J55" s="29" t="str">
        <f t="shared" si="0"/>
        <v>Tue</v>
      </c>
      <c r="K55" s="29" t="b">
        <f t="shared" si="1"/>
        <v>0</v>
      </c>
      <c r="L55" s="29" t="b">
        <f t="shared" si="2"/>
        <v>0</v>
      </c>
      <c r="M55" s="29" t="b">
        <f t="shared" si="5"/>
        <v>1</v>
      </c>
      <c r="N55" s="29" cm="1">
        <f t="array" ref="N55">_xlfn.IFS(
  E55="Airlines 1", IF(K55, F55*0.04, 0),
  E55="Airlines 2", P55,
  E55="Airlines 3", IF(L55, 20000*F55, 0),
  E55="Airlines 4", IF(M55, 15000*F55, 0),
  E55="Airlines 5",
    IF(F55&lt;50000000, F55*0.01,
      IF(F55&lt;100000000, F55*0.02,
        IF(F55&lt;200000000, F55*0.03, F55*0.035))),
  TRUE, 0
)</f>
        <v>0</v>
      </c>
      <c r="O55" s="29">
        <f t="shared" si="3"/>
        <v>0</v>
      </c>
      <c r="P55" s="29">
        <f t="shared" si="4"/>
        <v>0</v>
      </c>
      <c r="Q55" s="30" cm="1">
        <f t="array" ref="Q55">_xlfn.SWITCH(I55, "Method 1", 0, "Method 2", H55*0.03, "Method 3", 4000, "Method 4", 3000, 0)</f>
        <v>30918</v>
      </c>
    </row>
    <row r="56" spans="1:17">
      <c r="A56" s="24">
        <v>53196705</v>
      </c>
      <c r="B56" s="17">
        <v>42283</v>
      </c>
      <c r="C56" s="17">
        <v>42283</v>
      </c>
      <c r="D56" s="18" t="s">
        <v>62</v>
      </c>
      <c r="E56" s="18" t="s">
        <v>5</v>
      </c>
      <c r="F56" s="18">
        <v>2</v>
      </c>
      <c r="G56" s="19">
        <v>1007400</v>
      </c>
      <c r="H56" s="19">
        <v>997400</v>
      </c>
      <c r="I56" s="18" t="s">
        <v>26</v>
      </c>
      <c r="J56" s="29" t="str">
        <f t="shared" si="0"/>
        <v>Tue</v>
      </c>
      <c r="K56" s="29" t="b">
        <f t="shared" si="1"/>
        <v>0</v>
      </c>
      <c r="L56" s="29" t="b">
        <f t="shared" si="2"/>
        <v>1</v>
      </c>
      <c r="M56" s="29" t="b">
        <f t="shared" si="5"/>
        <v>1</v>
      </c>
      <c r="N56" s="29" cm="1">
        <f t="array" ref="N56">_xlfn.IFS(
  E56="Airlines 1", IF(K56, F56*0.04, 0),
  E56="Airlines 2", P56,
  E56="Airlines 3", IF(L56, 20000*F56, 0),
  E56="Airlines 4", IF(M56, 15000*F56, 0),
  E56="Airlines 5",
    IF(F56&lt;50000000, F56*0.01,
      IF(F56&lt;100000000, F56*0.02,
        IF(F56&lt;200000000, F56*0.03, F56*0.035))),
  TRUE, 0
)</f>
        <v>0</v>
      </c>
      <c r="O56" s="29">
        <f t="shared" si="3"/>
        <v>0</v>
      </c>
      <c r="P56" s="29">
        <f t="shared" si="4"/>
        <v>0</v>
      </c>
      <c r="Q56" s="30" cm="1">
        <f t="array" ref="Q56">_xlfn.SWITCH(I56, "Method 1", 0, "Method 2", H56*0.03, "Method 3", 4000, "Method 4", 3000, 0)</f>
        <v>4000</v>
      </c>
    </row>
    <row r="57" spans="1:17">
      <c r="A57" s="24">
        <v>53196738</v>
      </c>
      <c r="B57" s="17">
        <v>42283</v>
      </c>
      <c r="C57" s="17">
        <v>42283</v>
      </c>
      <c r="D57" s="18" t="s">
        <v>76</v>
      </c>
      <c r="E57" s="18" t="s">
        <v>5</v>
      </c>
      <c r="F57" s="18">
        <v>1</v>
      </c>
      <c r="G57" s="19">
        <v>663000</v>
      </c>
      <c r="H57" s="19">
        <v>662900</v>
      </c>
      <c r="I57" s="18" t="s">
        <v>24</v>
      </c>
      <c r="J57" s="29" t="str">
        <f t="shared" si="0"/>
        <v>Tue</v>
      </c>
      <c r="K57" s="29" t="b">
        <f t="shared" si="1"/>
        <v>0</v>
      </c>
      <c r="L57" s="29" t="b">
        <f t="shared" si="2"/>
        <v>0</v>
      </c>
      <c r="M57" s="29" t="b">
        <f t="shared" si="5"/>
        <v>1</v>
      </c>
      <c r="N57" s="29" cm="1">
        <f t="array" ref="N57">_xlfn.IFS(
  E57="Airlines 1", IF(K57, F57*0.04, 0),
  E57="Airlines 2", P57,
  E57="Airlines 3", IF(L57, 20000*F57, 0),
  E57="Airlines 4", IF(M57, 15000*F57, 0),
  E57="Airlines 5",
    IF(F57&lt;50000000, F57*0.01,
      IF(F57&lt;100000000, F57*0.02,
        IF(F57&lt;200000000, F57*0.03, F57*0.035))),
  TRUE, 0
)</f>
        <v>0</v>
      </c>
      <c r="O57" s="29">
        <f t="shared" si="3"/>
        <v>0</v>
      </c>
      <c r="P57" s="29">
        <f t="shared" si="4"/>
        <v>0</v>
      </c>
      <c r="Q57" s="30" cm="1">
        <f t="array" ref="Q57">_xlfn.SWITCH(I57, "Method 1", 0, "Method 2", H57*0.03, "Method 3", 4000, "Method 4", 3000, 0)</f>
        <v>19887</v>
      </c>
    </row>
    <row r="58" spans="1:17">
      <c r="A58" s="24">
        <v>53196751</v>
      </c>
      <c r="B58" s="17">
        <v>42283</v>
      </c>
      <c r="C58" s="17">
        <v>42291</v>
      </c>
      <c r="D58" s="18" t="s">
        <v>77</v>
      </c>
      <c r="E58" s="18" t="s">
        <v>5</v>
      </c>
      <c r="F58" s="18">
        <v>1</v>
      </c>
      <c r="G58" s="19">
        <v>856800</v>
      </c>
      <c r="H58" s="19">
        <v>849900</v>
      </c>
      <c r="I58" s="18" t="s">
        <v>22</v>
      </c>
      <c r="J58" s="29" t="str">
        <f t="shared" si="0"/>
        <v>Tue</v>
      </c>
      <c r="K58" s="29" t="b">
        <f t="shared" si="1"/>
        <v>0</v>
      </c>
      <c r="L58" s="29" t="b">
        <f t="shared" si="2"/>
        <v>0</v>
      </c>
      <c r="M58" s="29" t="b">
        <f t="shared" si="5"/>
        <v>1</v>
      </c>
      <c r="N58" s="29" cm="1">
        <f t="array" ref="N58">_xlfn.IFS(
  E58="Airlines 1", IF(K58, F58*0.04, 0),
  E58="Airlines 2", P58,
  E58="Airlines 3", IF(L58, 20000*F58, 0),
  E58="Airlines 4", IF(M58, 15000*F58, 0),
  E58="Airlines 5",
    IF(F58&lt;50000000, F58*0.01,
      IF(F58&lt;100000000, F58*0.02,
        IF(F58&lt;200000000, F58*0.03, F58*0.035))),
  TRUE, 0
)</f>
        <v>0</v>
      </c>
      <c r="O58" s="29">
        <f t="shared" si="3"/>
        <v>0</v>
      </c>
      <c r="P58" s="29">
        <f t="shared" si="4"/>
        <v>0</v>
      </c>
      <c r="Q58" s="30" cm="1">
        <f t="array" ref="Q58">_xlfn.SWITCH(I58, "Method 1", 0, "Method 2", H58*0.03, "Method 3", 4000, "Method 4", 3000, 0)</f>
        <v>0</v>
      </c>
    </row>
    <row r="59" spans="1:17">
      <c r="A59" s="24">
        <v>53195881</v>
      </c>
      <c r="B59" s="17">
        <v>42283</v>
      </c>
      <c r="C59" s="17">
        <v>42302</v>
      </c>
      <c r="D59" s="18" t="s">
        <v>48</v>
      </c>
      <c r="E59" s="18" t="s">
        <v>5</v>
      </c>
      <c r="F59" s="18">
        <v>1</v>
      </c>
      <c r="G59" s="19">
        <v>773000</v>
      </c>
      <c r="H59" s="19">
        <v>764800</v>
      </c>
      <c r="I59" s="18" t="s">
        <v>22</v>
      </c>
      <c r="J59" s="29" t="str">
        <f t="shared" si="0"/>
        <v>Tue</v>
      </c>
      <c r="K59" s="29" t="b">
        <f t="shared" si="1"/>
        <v>0</v>
      </c>
      <c r="L59" s="29" t="b">
        <f t="shared" si="2"/>
        <v>0</v>
      </c>
      <c r="M59" s="29" t="b">
        <f t="shared" si="5"/>
        <v>1</v>
      </c>
      <c r="N59" s="29" cm="1">
        <f t="array" ref="N59">_xlfn.IFS(
  E59="Airlines 1", IF(K59, F59*0.04, 0),
  E59="Airlines 2", P59,
  E59="Airlines 3", IF(L59, 20000*F59, 0),
  E59="Airlines 4", IF(M59, 15000*F59, 0),
  E59="Airlines 5",
    IF(F59&lt;50000000, F59*0.01,
      IF(F59&lt;100000000, F59*0.02,
        IF(F59&lt;200000000, F59*0.03, F59*0.035))),
  TRUE, 0
)</f>
        <v>0</v>
      </c>
      <c r="O59" s="29">
        <f t="shared" si="3"/>
        <v>0</v>
      </c>
      <c r="P59" s="29">
        <f t="shared" si="4"/>
        <v>0</v>
      </c>
      <c r="Q59" s="30" cm="1">
        <f t="array" ref="Q59">_xlfn.SWITCH(I59, "Method 1", 0, "Method 2", H59*0.03, "Method 3", 4000, "Method 4", 3000, 0)</f>
        <v>0</v>
      </c>
    </row>
    <row r="60" spans="1:17">
      <c r="A60" s="24">
        <v>53196122</v>
      </c>
      <c r="B60" s="17">
        <v>42283</v>
      </c>
      <c r="C60" s="17">
        <v>42285</v>
      </c>
      <c r="D60" s="18" t="s">
        <v>54</v>
      </c>
      <c r="E60" s="18" t="s">
        <v>5</v>
      </c>
      <c r="F60" s="18">
        <v>3</v>
      </c>
      <c r="G60" s="19">
        <v>2550000</v>
      </c>
      <c r="H60" s="19">
        <v>2523000</v>
      </c>
      <c r="I60" s="18" t="s">
        <v>22</v>
      </c>
      <c r="J60" s="29" t="str">
        <f t="shared" si="0"/>
        <v>Tue</v>
      </c>
      <c r="K60" s="29" t="b">
        <f t="shared" si="1"/>
        <v>0</v>
      </c>
      <c r="L60" s="29" t="b">
        <f t="shared" si="2"/>
        <v>0</v>
      </c>
      <c r="M60" s="29" t="b">
        <f t="shared" si="5"/>
        <v>1</v>
      </c>
      <c r="N60" s="29" cm="1">
        <f t="array" ref="N60">_xlfn.IFS(
  E60="Airlines 1", IF(K60, F60*0.04, 0),
  E60="Airlines 2", P60,
  E60="Airlines 3", IF(L60, 20000*F60, 0),
  E60="Airlines 4", IF(M60, 15000*F60, 0),
  E60="Airlines 5",
    IF(F60&lt;50000000, F60*0.01,
      IF(F60&lt;100000000, F60*0.02,
        IF(F60&lt;200000000, F60*0.03, F60*0.035))),
  TRUE, 0
)</f>
        <v>0</v>
      </c>
      <c r="O60" s="29">
        <f t="shared" si="3"/>
        <v>0</v>
      </c>
      <c r="P60" s="29">
        <f t="shared" si="4"/>
        <v>0</v>
      </c>
      <c r="Q60" s="30" cm="1">
        <f t="array" ref="Q60">_xlfn.SWITCH(I60, "Method 1", 0, "Method 2", H60*0.03, "Method 3", 4000, "Method 4", 3000, 0)</f>
        <v>0</v>
      </c>
    </row>
    <row r="61" spans="1:17">
      <c r="A61" s="24">
        <v>53196639</v>
      </c>
      <c r="B61" s="17">
        <v>42283</v>
      </c>
      <c r="C61" s="17">
        <v>42301</v>
      </c>
      <c r="D61" s="18" t="s">
        <v>40</v>
      </c>
      <c r="E61" s="18" t="s">
        <v>5</v>
      </c>
      <c r="F61" s="18">
        <v>1</v>
      </c>
      <c r="G61" s="19">
        <v>373900</v>
      </c>
      <c r="H61" s="19">
        <v>370600</v>
      </c>
      <c r="I61" s="18" t="s">
        <v>22</v>
      </c>
      <c r="J61" s="29" t="str">
        <f t="shared" si="0"/>
        <v>Tue</v>
      </c>
      <c r="K61" s="29" t="b">
        <f t="shared" si="1"/>
        <v>0</v>
      </c>
      <c r="L61" s="29" t="b">
        <f t="shared" si="2"/>
        <v>1</v>
      </c>
      <c r="M61" s="29" t="b">
        <f t="shared" si="5"/>
        <v>1</v>
      </c>
      <c r="N61" s="29" cm="1">
        <f t="array" ref="N61">_xlfn.IFS(
  E61="Airlines 1", IF(K61, F61*0.04, 0),
  E61="Airlines 2", P61,
  E61="Airlines 3", IF(L61, 20000*F61, 0),
  E61="Airlines 4", IF(M61, 15000*F61, 0),
  E61="Airlines 5",
    IF(F61&lt;50000000, F61*0.01,
      IF(F61&lt;100000000, F61*0.02,
        IF(F61&lt;200000000, F61*0.03, F61*0.035))),
  TRUE, 0
)</f>
        <v>0</v>
      </c>
      <c r="O61" s="29">
        <f t="shared" si="3"/>
        <v>0</v>
      </c>
      <c r="P61" s="29">
        <f t="shared" si="4"/>
        <v>0</v>
      </c>
      <c r="Q61" s="30" cm="1">
        <f t="array" ref="Q61">_xlfn.SWITCH(I61, "Method 1", 0, "Method 2", H61*0.03, "Method 3", 4000, "Method 4", 3000, 0)</f>
        <v>0</v>
      </c>
    </row>
    <row r="62" spans="1:17">
      <c r="A62" s="24">
        <v>53196752</v>
      </c>
      <c r="B62" s="17">
        <v>42283</v>
      </c>
      <c r="C62" s="17">
        <v>42287</v>
      </c>
      <c r="D62" s="18" t="s">
        <v>78</v>
      </c>
      <c r="E62" s="18" t="s">
        <v>5</v>
      </c>
      <c r="F62" s="18">
        <v>2</v>
      </c>
      <c r="G62" s="19">
        <v>485600</v>
      </c>
      <c r="H62" s="19">
        <v>480800</v>
      </c>
      <c r="I62" s="18" t="s">
        <v>24</v>
      </c>
      <c r="J62" s="29" t="str">
        <f t="shared" si="0"/>
        <v>Tue</v>
      </c>
      <c r="K62" s="29" t="b">
        <f t="shared" si="1"/>
        <v>0</v>
      </c>
      <c r="L62" s="29" t="b">
        <f t="shared" si="2"/>
        <v>0</v>
      </c>
      <c r="M62" s="29" t="b">
        <f t="shared" si="5"/>
        <v>1</v>
      </c>
      <c r="N62" s="29" cm="1">
        <f t="array" ref="N62">_xlfn.IFS(
  E62="Airlines 1", IF(K62, F62*0.04, 0),
  E62="Airlines 2", P62,
  E62="Airlines 3", IF(L62, 20000*F62, 0),
  E62="Airlines 4", IF(M62, 15000*F62, 0),
  E62="Airlines 5",
    IF(F62&lt;50000000, F62*0.01,
      IF(F62&lt;100000000, F62*0.02,
        IF(F62&lt;200000000, F62*0.03, F62*0.035))),
  TRUE, 0
)</f>
        <v>0</v>
      </c>
      <c r="O62" s="29">
        <f t="shared" si="3"/>
        <v>0</v>
      </c>
      <c r="P62" s="29">
        <f t="shared" si="4"/>
        <v>0</v>
      </c>
      <c r="Q62" s="30" cm="1">
        <f t="array" ref="Q62">_xlfn.SWITCH(I62, "Method 1", 0, "Method 2", H62*0.03, "Method 3", 4000, "Method 4", 3000, 0)</f>
        <v>14424</v>
      </c>
    </row>
    <row r="63" spans="1:17">
      <c r="A63" s="24">
        <v>53196720</v>
      </c>
      <c r="B63" s="17">
        <v>42283</v>
      </c>
      <c r="C63" s="17">
        <v>42283</v>
      </c>
      <c r="D63" s="18" t="s">
        <v>79</v>
      </c>
      <c r="E63" s="18" t="s">
        <v>5</v>
      </c>
      <c r="F63" s="18">
        <v>1</v>
      </c>
      <c r="G63" s="19">
        <v>710000</v>
      </c>
      <c r="H63" s="19">
        <v>703900</v>
      </c>
      <c r="I63" s="18" t="s">
        <v>26</v>
      </c>
      <c r="J63" s="29" t="str">
        <f t="shared" si="0"/>
        <v>Tue</v>
      </c>
      <c r="K63" s="29" t="b">
        <f t="shared" si="1"/>
        <v>0</v>
      </c>
      <c r="L63" s="29" t="b">
        <f t="shared" si="2"/>
        <v>0</v>
      </c>
      <c r="M63" s="29" t="b">
        <f t="shared" si="5"/>
        <v>1</v>
      </c>
      <c r="N63" s="29" cm="1">
        <f t="array" ref="N63">_xlfn.IFS(
  E63="Airlines 1", IF(K63, F63*0.04, 0),
  E63="Airlines 2", P63,
  E63="Airlines 3", IF(L63, 20000*F63, 0),
  E63="Airlines 4", IF(M63, 15000*F63, 0),
  E63="Airlines 5",
    IF(F63&lt;50000000, F63*0.01,
      IF(F63&lt;100000000, F63*0.02,
        IF(F63&lt;200000000, F63*0.03, F63*0.035))),
  TRUE, 0
)</f>
        <v>0</v>
      </c>
      <c r="O63" s="29">
        <f t="shared" si="3"/>
        <v>0</v>
      </c>
      <c r="P63" s="29">
        <f t="shared" si="4"/>
        <v>0</v>
      </c>
      <c r="Q63" s="30" cm="1">
        <f t="array" ref="Q63">_xlfn.SWITCH(I63, "Method 1", 0, "Method 2", H63*0.03, "Method 3", 4000, "Method 4", 3000, 0)</f>
        <v>4000</v>
      </c>
    </row>
    <row r="64" spans="1:17">
      <c r="A64" s="24">
        <v>53196965</v>
      </c>
      <c r="B64" s="17">
        <v>42283</v>
      </c>
      <c r="C64" s="17">
        <v>42293</v>
      </c>
      <c r="D64" s="18" t="s">
        <v>62</v>
      </c>
      <c r="E64" s="18" t="s">
        <v>5</v>
      </c>
      <c r="F64" s="18">
        <v>1</v>
      </c>
      <c r="G64" s="19">
        <v>540000</v>
      </c>
      <c r="H64" s="19">
        <v>534500</v>
      </c>
      <c r="I64" s="18" t="s">
        <v>24</v>
      </c>
      <c r="J64" s="29" t="str">
        <f t="shared" si="0"/>
        <v>Tue</v>
      </c>
      <c r="K64" s="29" t="b">
        <f t="shared" si="1"/>
        <v>0</v>
      </c>
      <c r="L64" s="29" t="b">
        <f t="shared" si="2"/>
        <v>1</v>
      </c>
      <c r="M64" s="29" t="b">
        <f t="shared" si="5"/>
        <v>1</v>
      </c>
      <c r="N64" s="29" cm="1">
        <f t="array" ref="N64">_xlfn.IFS(
  E64="Airlines 1", IF(K64, F64*0.04, 0),
  E64="Airlines 2", P64,
  E64="Airlines 3", IF(L64, 20000*F64, 0),
  E64="Airlines 4", IF(M64, 15000*F64, 0),
  E64="Airlines 5",
    IF(F64&lt;50000000, F64*0.01,
      IF(F64&lt;100000000, F64*0.02,
        IF(F64&lt;200000000, F64*0.03, F64*0.035))),
  TRUE, 0
)</f>
        <v>0</v>
      </c>
      <c r="O64" s="29">
        <f t="shared" si="3"/>
        <v>0</v>
      </c>
      <c r="P64" s="29">
        <f t="shared" si="4"/>
        <v>0</v>
      </c>
      <c r="Q64" s="30" cm="1">
        <f t="array" ref="Q64">_xlfn.SWITCH(I64, "Method 1", 0, "Method 2", H64*0.03, "Method 3", 4000, "Method 4", 3000, 0)</f>
        <v>16035</v>
      </c>
    </row>
    <row r="65" spans="1:17">
      <c r="A65" s="24">
        <v>53196386</v>
      </c>
      <c r="B65" s="17">
        <v>42283</v>
      </c>
      <c r="C65" s="17">
        <v>42283</v>
      </c>
      <c r="D65" s="18" t="s">
        <v>48</v>
      </c>
      <c r="E65" s="18" t="s">
        <v>5</v>
      </c>
      <c r="F65" s="18">
        <v>2</v>
      </c>
      <c r="G65" s="19">
        <v>1282000</v>
      </c>
      <c r="H65" s="19">
        <v>1272400</v>
      </c>
      <c r="I65" s="18" t="s">
        <v>26</v>
      </c>
      <c r="J65" s="29" t="str">
        <f t="shared" si="0"/>
        <v>Tue</v>
      </c>
      <c r="K65" s="29" t="b">
        <f t="shared" si="1"/>
        <v>0</v>
      </c>
      <c r="L65" s="29" t="b">
        <f t="shared" si="2"/>
        <v>0</v>
      </c>
      <c r="M65" s="29" t="b">
        <f t="shared" si="5"/>
        <v>1</v>
      </c>
      <c r="N65" s="29" cm="1">
        <f t="array" ref="N65">_xlfn.IFS(
  E65="Airlines 1", IF(K65, F65*0.04, 0),
  E65="Airlines 2", P65,
  E65="Airlines 3", IF(L65, 20000*F65, 0),
  E65="Airlines 4", IF(M65, 15000*F65, 0),
  E65="Airlines 5",
    IF(F65&lt;50000000, F65*0.01,
      IF(F65&lt;100000000, F65*0.02,
        IF(F65&lt;200000000, F65*0.03, F65*0.035))),
  TRUE, 0
)</f>
        <v>0</v>
      </c>
      <c r="O65" s="29">
        <f t="shared" si="3"/>
        <v>0</v>
      </c>
      <c r="P65" s="29">
        <f t="shared" si="4"/>
        <v>0</v>
      </c>
      <c r="Q65" s="30" cm="1">
        <f t="array" ref="Q65">_xlfn.SWITCH(I65, "Method 1", 0, "Method 2", H65*0.03, "Method 3", 4000, "Method 4", 3000, 0)</f>
        <v>4000</v>
      </c>
    </row>
    <row r="66" spans="1:17">
      <c r="A66" s="24">
        <v>53196595</v>
      </c>
      <c r="B66" s="17">
        <v>42283</v>
      </c>
      <c r="C66" s="17">
        <v>42287</v>
      </c>
      <c r="D66" s="18" t="s">
        <v>80</v>
      </c>
      <c r="E66" s="18" t="s">
        <v>5</v>
      </c>
      <c r="F66" s="18">
        <v>1</v>
      </c>
      <c r="G66" s="19">
        <v>696300</v>
      </c>
      <c r="H66" s="19">
        <v>688800</v>
      </c>
      <c r="I66" s="18" t="s">
        <v>22</v>
      </c>
      <c r="J66" s="29" t="str">
        <f t="shared" si="0"/>
        <v>Tue</v>
      </c>
      <c r="K66" s="29" t="b">
        <f t="shared" si="1"/>
        <v>0</v>
      </c>
      <c r="L66" s="29" t="b">
        <f t="shared" si="2"/>
        <v>0</v>
      </c>
      <c r="M66" s="29" t="b">
        <f t="shared" si="5"/>
        <v>1</v>
      </c>
      <c r="N66" s="29" cm="1">
        <f t="array" ref="N66">_xlfn.IFS(
  E66="Airlines 1", IF(K66, F66*0.04, 0),
  E66="Airlines 2", P66,
  E66="Airlines 3", IF(L66, 20000*F66, 0),
  E66="Airlines 4", IF(M66, 15000*F66, 0),
  E66="Airlines 5",
    IF(F66&lt;50000000, F66*0.01,
      IF(F66&lt;100000000, F66*0.02,
        IF(F66&lt;200000000, F66*0.03, F66*0.035))),
  TRUE, 0
)</f>
        <v>0</v>
      </c>
      <c r="O66" s="29">
        <f t="shared" si="3"/>
        <v>0</v>
      </c>
      <c r="P66" s="29">
        <f t="shared" si="4"/>
        <v>0</v>
      </c>
      <c r="Q66" s="30" cm="1">
        <f t="array" ref="Q66">_xlfn.SWITCH(I66, "Method 1", 0, "Method 2", H66*0.03, "Method 3", 4000, "Method 4", 3000, 0)</f>
        <v>0</v>
      </c>
    </row>
    <row r="67" spans="1:17">
      <c r="A67" s="24">
        <v>53195303</v>
      </c>
      <c r="B67" s="17">
        <v>42283</v>
      </c>
      <c r="C67" s="17">
        <v>42286</v>
      </c>
      <c r="D67" s="18" t="s">
        <v>81</v>
      </c>
      <c r="E67" s="18" t="s">
        <v>5</v>
      </c>
      <c r="F67" s="18">
        <v>1</v>
      </c>
      <c r="G67" s="19">
        <v>382100</v>
      </c>
      <c r="H67" s="19">
        <v>379200</v>
      </c>
      <c r="I67" s="18" t="s">
        <v>22</v>
      </c>
      <c r="J67" s="29" t="str">
        <f t="shared" si="0"/>
        <v>Tue</v>
      </c>
      <c r="K67" s="29" t="b">
        <f t="shared" si="1"/>
        <v>0</v>
      </c>
      <c r="L67" s="29" t="b">
        <f t="shared" si="2"/>
        <v>0</v>
      </c>
      <c r="M67" s="29" t="b">
        <f t="shared" si="5"/>
        <v>1</v>
      </c>
      <c r="N67" s="29" cm="1">
        <f t="array" ref="N67">_xlfn.IFS(
  E67="Airlines 1", IF(K67, F67*0.04, 0),
  E67="Airlines 2", P67,
  E67="Airlines 3", IF(L67, 20000*F67, 0),
  E67="Airlines 4", IF(M67, 15000*F67, 0),
  E67="Airlines 5",
    IF(F67&lt;50000000, F67*0.01,
      IF(F67&lt;100000000, F67*0.02,
        IF(F67&lt;200000000, F67*0.03, F67*0.035))),
  TRUE, 0
)</f>
        <v>0</v>
      </c>
      <c r="O67" s="29">
        <f t="shared" si="3"/>
        <v>0</v>
      </c>
      <c r="P67" s="29">
        <f t="shared" si="4"/>
        <v>0</v>
      </c>
      <c r="Q67" s="30" cm="1">
        <f t="array" ref="Q67">_xlfn.SWITCH(I67, "Method 1", 0, "Method 2", H67*0.03, "Method 3", 4000, "Method 4", 3000, 0)</f>
        <v>0</v>
      </c>
    </row>
    <row r="68" spans="1:17">
      <c r="A68" s="24">
        <v>53196666</v>
      </c>
      <c r="B68" s="17">
        <v>42283</v>
      </c>
      <c r="C68" s="17">
        <v>42285</v>
      </c>
      <c r="D68" s="18" t="s">
        <v>80</v>
      </c>
      <c r="E68" s="18" t="s">
        <v>5</v>
      </c>
      <c r="F68" s="18">
        <v>1</v>
      </c>
      <c r="G68" s="19">
        <v>696300</v>
      </c>
      <c r="H68" s="19">
        <v>690600</v>
      </c>
      <c r="I68" s="18" t="s">
        <v>22</v>
      </c>
      <c r="J68" s="29" t="str">
        <f t="shared" si="0"/>
        <v>Tue</v>
      </c>
      <c r="K68" s="29" t="b">
        <f t="shared" si="1"/>
        <v>0</v>
      </c>
      <c r="L68" s="29" t="b">
        <f t="shared" si="2"/>
        <v>0</v>
      </c>
      <c r="M68" s="29" t="b">
        <f t="shared" si="5"/>
        <v>1</v>
      </c>
      <c r="N68" s="29" cm="1">
        <f t="array" ref="N68">_xlfn.IFS(
  E68="Airlines 1", IF(K68, F68*0.04, 0),
  E68="Airlines 2", P68,
  E68="Airlines 3", IF(L68, 20000*F68, 0),
  E68="Airlines 4", IF(M68, 15000*F68, 0),
  E68="Airlines 5",
    IF(F68&lt;50000000, F68*0.01,
      IF(F68&lt;100000000, F68*0.02,
        IF(F68&lt;200000000, F68*0.03, F68*0.035))),
  TRUE, 0
)</f>
        <v>0</v>
      </c>
      <c r="O68" s="29">
        <f t="shared" si="3"/>
        <v>0</v>
      </c>
      <c r="P68" s="29">
        <f t="shared" si="4"/>
        <v>0</v>
      </c>
      <c r="Q68" s="30" cm="1">
        <f t="array" ref="Q68">_xlfn.SWITCH(I68, "Method 1", 0, "Method 2", H68*0.03, "Method 3", 4000, "Method 4", 3000, 0)</f>
        <v>0</v>
      </c>
    </row>
    <row r="69" spans="1:17">
      <c r="A69" s="24">
        <v>53195652</v>
      </c>
      <c r="B69" s="17">
        <v>42285</v>
      </c>
      <c r="C69" s="17">
        <v>42285</v>
      </c>
      <c r="D69" s="18" t="s">
        <v>50</v>
      </c>
      <c r="E69" s="18" t="s">
        <v>5</v>
      </c>
      <c r="F69" s="18">
        <v>1</v>
      </c>
      <c r="G69" s="19">
        <v>430000</v>
      </c>
      <c r="H69" s="19">
        <v>425900</v>
      </c>
      <c r="I69" s="18" t="s">
        <v>22</v>
      </c>
      <c r="J69" s="29" t="str">
        <f t="shared" si="0"/>
        <v>Thu</v>
      </c>
      <c r="K69" s="29" t="b">
        <f t="shared" si="1"/>
        <v>0</v>
      </c>
      <c r="L69" s="29" t="b">
        <f t="shared" si="2"/>
        <v>0</v>
      </c>
      <c r="M69" s="29" t="b">
        <f t="shared" si="5"/>
        <v>1</v>
      </c>
      <c r="N69" s="29" cm="1">
        <f t="array" ref="N69">_xlfn.IFS(
  E69="Airlines 1", IF(K69, F69*0.04, 0),
  E69="Airlines 2", P69,
  E69="Airlines 3", IF(L69, 20000*F69, 0),
  E69="Airlines 4", IF(M69, 15000*F69, 0),
  E69="Airlines 5",
    IF(F69&lt;50000000, F69*0.01,
      IF(F69&lt;100000000, F69*0.02,
        IF(F69&lt;200000000, F69*0.03, F69*0.035))),
  TRUE, 0
)</f>
        <v>0</v>
      </c>
      <c r="O69" s="29">
        <f t="shared" si="3"/>
        <v>17</v>
      </c>
      <c r="P69" s="29">
        <f t="shared" si="4"/>
        <v>0</v>
      </c>
      <c r="Q69" s="30" cm="1">
        <f t="array" ref="Q69">_xlfn.SWITCH(I69, "Method 1", 0, "Method 2", H69*0.03, "Method 3", 4000, "Method 4", 3000, 0)</f>
        <v>0</v>
      </c>
    </row>
    <row r="70" spans="1:17">
      <c r="A70" s="24">
        <v>53196340</v>
      </c>
      <c r="B70" s="17">
        <v>42285</v>
      </c>
      <c r="C70" s="17">
        <v>42287</v>
      </c>
      <c r="D70" s="18" t="s">
        <v>51</v>
      </c>
      <c r="E70" s="18" t="s">
        <v>5</v>
      </c>
      <c r="F70" s="18">
        <v>1</v>
      </c>
      <c r="G70" s="19">
        <v>916000</v>
      </c>
      <c r="H70" s="19">
        <v>909500</v>
      </c>
      <c r="I70" s="18" t="s">
        <v>24</v>
      </c>
      <c r="J70" s="29" t="str">
        <f t="shared" si="0"/>
        <v>Thu</v>
      </c>
      <c r="K70" s="29" t="b">
        <f t="shared" si="1"/>
        <v>0</v>
      </c>
      <c r="L70" s="29" t="b">
        <f t="shared" si="2"/>
        <v>0</v>
      </c>
      <c r="M70" s="29" t="b">
        <f t="shared" si="5"/>
        <v>1</v>
      </c>
      <c r="N70" s="29" cm="1">
        <f t="array" ref="N70">_xlfn.IFS(
  E70="Airlines 1", IF(K70, F70*0.04, 0),
  E70="Airlines 2", P70,
  E70="Airlines 3", IF(L70, 20000*F70, 0),
  E70="Airlines 4", IF(M70, 15000*F70, 0),
  E70="Airlines 5",
    IF(F70&lt;50000000, F70*0.01,
      IF(F70&lt;100000000, F70*0.02,
        IF(F70&lt;200000000, F70*0.03, F70*0.035))),
  TRUE, 0
)</f>
        <v>0</v>
      </c>
      <c r="O70" s="29">
        <f t="shared" si="3"/>
        <v>17</v>
      </c>
      <c r="P70" s="29">
        <f t="shared" si="4"/>
        <v>0</v>
      </c>
      <c r="Q70" s="30" cm="1">
        <f t="array" ref="Q70">_xlfn.SWITCH(I70, "Method 1", 0, "Method 2", H70*0.03, "Method 3", 4000, "Method 4", 3000, 0)</f>
        <v>27285</v>
      </c>
    </row>
    <row r="71" spans="1:17">
      <c r="A71" s="24">
        <v>53196697</v>
      </c>
      <c r="B71" s="17">
        <v>42285</v>
      </c>
      <c r="C71" s="17">
        <v>42297</v>
      </c>
      <c r="D71" s="18" t="s">
        <v>82</v>
      </c>
      <c r="E71" s="18" t="s">
        <v>5</v>
      </c>
      <c r="F71" s="18">
        <v>1</v>
      </c>
      <c r="G71" s="19">
        <v>540000</v>
      </c>
      <c r="H71" s="19">
        <v>536000</v>
      </c>
      <c r="I71" s="18" t="s">
        <v>26</v>
      </c>
      <c r="J71" s="29" t="str">
        <f t="shared" ref="J71:J134" si="6">TEXT(B71,"ddd")</f>
        <v>Thu</v>
      </c>
      <c r="K71" s="29" t="b">
        <f t="shared" ref="K71:K134" si="7">OR(J71="Sat",J71="Sun")</f>
        <v>0</v>
      </c>
      <c r="L71" s="29" t="b">
        <f t="shared" ref="L71:L134" si="8">OR(D71="CGK_SUB", D71="CGK_PKU", D71="CGK_JOG",
    D71="SUB_CGK", D71="PKU_CGK", D71="JOG_CGK")</f>
        <v>0</v>
      </c>
      <c r="M71" s="29" t="b">
        <f t="shared" si="5"/>
        <v>1</v>
      </c>
      <c r="N71" s="29" cm="1">
        <f t="array" ref="N71">_xlfn.IFS(
  E71="Airlines 1", IF(K71, F71*0.04, 0),
  E71="Airlines 2", P71,
  E71="Airlines 3", IF(L71, 20000*F71, 0),
  E71="Airlines 4", IF(M71, 15000*F71, 0),
  E71="Airlines 5",
    IF(F71&lt;50000000, F71*0.01,
      IF(F71&lt;100000000, F71*0.02,
        IF(F71&lt;200000000, F71*0.03, F71*0.035))),
  TRUE, 0
)</f>
        <v>0</v>
      </c>
      <c r="O71" s="29">
        <f t="shared" ref="O71:O134" si="9">SUMIFS($F$6:$F$647, $E$6:$E$647, "Airlines 2", $B$6:$B$647, B71)</f>
        <v>17</v>
      </c>
      <c r="P71" s="29">
        <f t="shared" ref="P71:P134" si="10">IF(AND(E70="Airlines 2", O70&gt;20), F70*0.05, 0)</f>
        <v>0</v>
      </c>
      <c r="Q71" s="30" cm="1">
        <f t="array" ref="Q71">_xlfn.SWITCH(I71, "Method 1", 0, "Method 2", H71*0.03, "Method 3", 4000, "Method 4", 3000, 0)</f>
        <v>4000</v>
      </c>
    </row>
    <row r="72" spans="1:17">
      <c r="A72" s="24">
        <v>53196632</v>
      </c>
      <c r="B72" s="17">
        <v>42285</v>
      </c>
      <c r="C72" s="17">
        <v>42287</v>
      </c>
      <c r="D72" s="18" t="s">
        <v>83</v>
      </c>
      <c r="E72" s="18" t="s">
        <v>5</v>
      </c>
      <c r="F72" s="18">
        <v>2</v>
      </c>
      <c r="G72" s="19">
        <v>1103800</v>
      </c>
      <c r="H72" s="19">
        <v>1091800</v>
      </c>
      <c r="I72" s="18" t="s">
        <v>24</v>
      </c>
      <c r="J72" s="29" t="str">
        <f t="shared" si="6"/>
        <v>Thu</v>
      </c>
      <c r="K72" s="29" t="b">
        <f t="shared" si="7"/>
        <v>0</v>
      </c>
      <c r="L72" s="29" t="b">
        <f t="shared" si="8"/>
        <v>0</v>
      </c>
      <c r="M72" s="29" t="b">
        <f t="shared" ref="M72:M135" si="11">AND(B72&gt;=DATE(2015,10,1),B72&lt;=DATE(2015,10,15))</f>
        <v>1</v>
      </c>
      <c r="N72" s="29" cm="1">
        <f t="array" ref="N72">_xlfn.IFS(
  E72="Airlines 1", IF(K72, F72*0.04, 0),
  E72="Airlines 2", P72,
  E72="Airlines 3", IF(L72, 20000*F72, 0),
  E72="Airlines 4", IF(M72, 15000*F72, 0),
  E72="Airlines 5",
    IF(F72&lt;50000000, F72*0.01,
      IF(F72&lt;100000000, F72*0.02,
        IF(F72&lt;200000000, F72*0.03, F72*0.035))),
  TRUE, 0
)</f>
        <v>0</v>
      </c>
      <c r="O72" s="29">
        <f t="shared" si="9"/>
        <v>17</v>
      </c>
      <c r="P72" s="29">
        <f t="shared" si="10"/>
        <v>0</v>
      </c>
      <c r="Q72" s="30" cm="1">
        <f t="array" ref="Q72">_xlfn.SWITCH(I72, "Method 1", 0, "Method 2", H72*0.03, "Method 3", 4000, "Method 4", 3000, 0)</f>
        <v>32754</v>
      </c>
    </row>
    <row r="73" spans="1:17">
      <c r="A73" s="24">
        <v>53196959</v>
      </c>
      <c r="B73" s="17">
        <v>42285</v>
      </c>
      <c r="C73" s="17">
        <v>42286</v>
      </c>
      <c r="D73" s="18" t="s">
        <v>84</v>
      </c>
      <c r="E73" s="18" t="s">
        <v>5</v>
      </c>
      <c r="F73" s="18">
        <v>1</v>
      </c>
      <c r="G73" s="19">
        <v>430000</v>
      </c>
      <c r="H73" s="19">
        <v>426300</v>
      </c>
      <c r="I73" s="18" t="s">
        <v>26</v>
      </c>
      <c r="J73" s="29" t="str">
        <f t="shared" si="6"/>
        <v>Thu</v>
      </c>
      <c r="K73" s="29" t="b">
        <f t="shared" si="7"/>
        <v>0</v>
      </c>
      <c r="L73" s="29" t="b">
        <f t="shared" si="8"/>
        <v>0</v>
      </c>
      <c r="M73" s="29" t="b">
        <f t="shared" si="11"/>
        <v>1</v>
      </c>
      <c r="N73" s="29" cm="1">
        <f t="array" ref="N73">_xlfn.IFS(
  E73="Airlines 1", IF(K73, F73*0.04, 0),
  E73="Airlines 2", P73,
  E73="Airlines 3", IF(L73, 20000*F73, 0),
  E73="Airlines 4", IF(M73, 15000*F73, 0),
  E73="Airlines 5",
    IF(F73&lt;50000000, F73*0.01,
      IF(F73&lt;100000000, F73*0.02,
        IF(F73&lt;200000000, F73*0.03, F73*0.035))),
  TRUE, 0
)</f>
        <v>0</v>
      </c>
      <c r="O73" s="29">
        <f t="shared" si="9"/>
        <v>17</v>
      </c>
      <c r="P73" s="29">
        <f t="shared" si="10"/>
        <v>0</v>
      </c>
      <c r="Q73" s="30" cm="1">
        <f t="array" ref="Q73">_xlfn.SWITCH(I73, "Method 1", 0, "Method 2", H73*0.03, "Method 3", 4000, "Method 4", 3000, 0)</f>
        <v>4000</v>
      </c>
    </row>
    <row r="74" spans="1:17">
      <c r="A74" s="24">
        <v>53196971</v>
      </c>
      <c r="B74" s="17">
        <v>42285</v>
      </c>
      <c r="C74" s="17">
        <v>42286</v>
      </c>
      <c r="D74" s="18" t="s">
        <v>48</v>
      </c>
      <c r="E74" s="18" t="s">
        <v>5</v>
      </c>
      <c r="F74" s="18">
        <v>2</v>
      </c>
      <c r="G74" s="19">
        <v>1169800</v>
      </c>
      <c r="H74" s="19">
        <v>1160000</v>
      </c>
      <c r="I74" s="18" t="s">
        <v>28</v>
      </c>
      <c r="J74" s="29" t="str">
        <f t="shared" si="6"/>
        <v>Thu</v>
      </c>
      <c r="K74" s="29" t="b">
        <f t="shared" si="7"/>
        <v>0</v>
      </c>
      <c r="L74" s="29" t="b">
        <f t="shared" si="8"/>
        <v>0</v>
      </c>
      <c r="M74" s="29" t="b">
        <f t="shared" si="11"/>
        <v>1</v>
      </c>
      <c r="N74" s="29" cm="1">
        <f t="array" ref="N74">_xlfn.IFS(
  E74="Airlines 1", IF(K74, F74*0.04, 0),
  E74="Airlines 2", P74,
  E74="Airlines 3", IF(L74, 20000*F74, 0),
  E74="Airlines 4", IF(M74, 15000*F74, 0),
  E74="Airlines 5",
    IF(F74&lt;50000000, F74*0.01,
      IF(F74&lt;100000000, F74*0.02,
        IF(F74&lt;200000000, F74*0.03, F74*0.035))),
  TRUE, 0
)</f>
        <v>0</v>
      </c>
      <c r="O74" s="29">
        <f t="shared" si="9"/>
        <v>17</v>
      </c>
      <c r="P74" s="29">
        <f t="shared" si="10"/>
        <v>0</v>
      </c>
      <c r="Q74" s="30" cm="1">
        <f t="array" ref="Q74">_xlfn.SWITCH(I74, "Method 1", 0, "Method 2", H74*0.03, "Method 3", 4000, "Method 4", 3000, 0)</f>
        <v>3000</v>
      </c>
    </row>
    <row r="75" spans="1:17">
      <c r="A75" s="24">
        <v>53196658</v>
      </c>
      <c r="B75" s="17">
        <v>42285</v>
      </c>
      <c r="C75" s="17">
        <v>42287</v>
      </c>
      <c r="D75" s="18" t="s">
        <v>76</v>
      </c>
      <c r="E75" s="18" t="s">
        <v>5</v>
      </c>
      <c r="F75" s="18">
        <v>1</v>
      </c>
      <c r="G75" s="19">
        <v>856000</v>
      </c>
      <c r="H75" s="19">
        <v>855900</v>
      </c>
      <c r="I75" s="18" t="s">
        <v>28</v>
      </c>
      <c r="J75" s="29" t="str">
        <f t="shared" si="6"/>
        <v>Thu</v>
      </c>
      <c r="K75" s="29" t="b">
        <f t="shared" si="7"/>
        <v>0</v>
      </c>
      <c r="L75" s="29" t="b">
        <f t="shared" si="8"/>
        <v>0</v>
      </c>
      <c r="M75" s="29" t="b">
        <f t="shared" si="11"/>
        <v>1</v>
      </c>
      <c r="N75" s="29" cm="1">
        <f t="array" ref="N75">_xlfn.IFS(
  E75="Airlines 1", IF(K75, F75*0.04, 0),
  E75="Airlines 2", P75,
  E75="Airlines 3", IF(L75, 20000*F75, 0),
  E75="Airlines 4", IF(M75, 15000*F75, 0),
  E75="Airlines 5",
    IF(F75&lt;50000000, F75*0.01,
      IF(F75&lt;100000000, F75*0.02,
        IF(F75&lt;200000000, F75*0.03, F75*0.035))),
  TRUE, 0
)</f>
        <v>0</v>
      </c>
      <c r="O75" s="29">
        <f t="shared" si="9"/>
        <v>17</v>
      </c>
      <c r="P75" s="29">
        <f t="shared" si="10"/>
        <v>0</v>
      </c>
      <c r="Q75" s="30" cm="1">
        <f t="array" ref="Q75">_xlfn.SWITCH(I75, "Method 1", 0, "Method 2", H75*0.03, "Method 3", 4000, "Method 4", 3000, 0)</f>
        <v>3000</v>
      </c>
    </row>
    <row r="76" spans="1:17">
      <c r="A76" s="24">
        <v>53196525</v>
      </c>
      <c r="B76" s="17">
        <v>42285</v>
      </c>
      <c r="C76" s="17">
        <v>42285</v>
      </c>
      <c r="D76" s="18" t="s">
        <v>42</v>
      </c>
      <c r="E76" s="18" t="s">
        <v>5</v>
      </c>
      <c r="F76" s="18">
        <v>1</v>
      </c>
      <c r="G76" s="19">
        <v>793000</v>
      </c>
      <c r="H76" s="19">
        <v>787300</v>
      </c>
      <c r="I76" s="18" t="s">
        <v>28</v>
      </c>
      <c r="J76" s="29" t="str">
        <f t="shared" si="6"/>
        <v>Thu</v>
      </c>
      <c r="K76" s="29" t="b">
        <f t="shared" si="7"/>
        <v>0</v>
      </c>
      <c r="L76" s="29" t="b">
        <f t="shared" si="8"/>
        <v>0</v>
      </c>
      <c r="M76" s="29" t="b">
        <f t="shared" si="11"/>
        <v>1</v>
      </c>
      <c r="N76" s="29" cm="1">
        <f t="array" ref="N76">_xlfn.IFS(
  E76="Airlines 1", IF(K76, F76*0.04, 0),
  E76="Airlines 2", P76,
  E76="Airlines 3", IF(L76, 20000*F76, 0),
  E76="Airlines 4", IF(M76, 15000*F76, 0),
  E76="Airlines 5",
    IF(F76&lt;50000000, F76*0.01,
      IF(F76&lt;100000000, F76*0.02,
        IF(F76&lt;200000000, F76*0.03, F76*0.035))),
  TRUE, 0
)</f>
        <v>0</v>
      </c>
      <c r="O76" s="29">
        <f t="shared" si="9"/>
        <v>17</v>
      </c>
      <c r="P76" s="29">
        <f t="shared" si="10"/>
        <v>0</v>
      </c>
      <c r="Q76" s="30" cm="1">
        <f t="array" ref="Q76">_xlfn.SWITCH(I76, "Method 1", 0, "Method 2", H76*0.03, "Method 3", 4000, "Method 4", 3000, 0)</f>
        <v>3000</v>
      </c>
    </row>
    <row r="77" spans="1:17">
      <c r="A77" s="24">
        <v>53196422</v>
      </c>
      <c r="B77" s="17">
        <v>42285</v>
      </c>
      <c r="C77" s="17">
        <v>42286</v>
      </c>
      <c r="D77" s="18" t="s">
        <v>42</v>
      </c>
      <c r="E77" s="18" t="s">
        <v>5</v>
      </c>
      <c r="F77" s="18">
        <v>1</v>
      </c>
      <c r="G77" s="19">
        <v>760000</v>
      </c>
      <c r="H77" s="19">
        <v>753800</v>
      </c>
      <c r="I77" s="18" t="s">
        <v>24</v>
      </c>
      <c r="J77" s="29" t="str">
        <f t="shared" si="6"/>
        <v>Thu</v>
      </c>
      <c r="K77" s="29" t="b">
        <f t="shared" si="7"/>
        <v>0</v>
      </c>
      <c r="L77" s="29" t="b">
        <f t="shared" si="8"/>
        <v>0</v>
      </c>
      <c r="M77" s="29" t="b">
        <f t="shared" si="11"/>
        <v>1</v>
      </c>
      <c r="N77" s="29" cm="1">
        <f t="array" ref="N77">_xlfn.IFS(
  E77="Airlines 1", IF(K77, F77*0.04, 0),
  E77="Airlines 2", P77,
  E77="Airlines 3", IF(L77, 20000*F77, 0),
  E77="Airlines 4", IF(M77, 15000*F77, 0),
  E77="Airlines 5",
    IF(F77&lt;50000000, F77*0.01,
      IF(F77&lt;100000000, F77*0.02,
        IF(F77&lt;200000000, F77*0.03, F77*0.035))),
  TRUE, 0
)</f>
        <v>0</v>
      </c>
      <c r="O77" s="29">
        <f t="shared" si="9"/>
        <v>17</v>
      </c>
      <c r="P77" s="29">
        <f t="shared" si="10"/>
        <v>0</v>
      </c>
      <c r="Q77" s="30" cm="1">
        <f t="array" ref="Q77">_xlfn.SWITCH(I77, "Method 1", 0, "Method 2", H77*0.03, "Method 3", 4000, "Method 4", 3000, 0)</f>
        <v>22614</v>
      </c>
    </row>
    <row r="78" spans="1:17">
      <c r="A78" s="24">
        <v>53196967</v>
      </c>
      <c r="B78" s="17">
        <v>42285</v>
      </c>
      <c r="C78" s="17">
        <v>42288</v>
      </c>
      <c r="D78" s="18" t="s">
        <v>46</v>
      </c>
      <c r="E78" s="18" t="s">
        <v>5</v>
      </c>
      <c r="F78" s="18">
        <v>2</v>
      </c>
      <c r="G78" s="19">
        <v>776200</v>
      </c>
      <c r="H78" s="19">
        <v>769400</v>
      </c>
      <c r="I78" s="18" t="s">
        <v>24</v>
      </c>
      <c r="J78" s="29" t="str">
        <f t="shared" si="6"/>
        <v>Thu</v>
      </c>
      <c r="K78" s="29" t="b">
        <f t="shared" si="7"/>
        <v>0</v>
      </c>
      <c r="L78" s="29" t="b">
        <f t="shared" si="8"/>
        <v>0</v>
      </c>
      <c r="M78" s="29" t="b">
        <f t="shared" si="11"/>
        <v>1</v>
      </c>
      <c r="N78" s="29" cm="1">
        <f t="array" ref="N78">_xlfn.IFS(
  E78="Airlines 1", IF(K78, F78*0.04, 0),
  E78="Airlines 2", P78,
  E78="Airlines 3", IF(L78, 20000*F78, 0),
  E78="Airlines 4", IF(M78, 15000*F78, 0),
  E78="Airlines 5",
    IF(F78&lt;50000000, F78*0.01,
      IF(F78&lt;100000000, F78*0.02,
        IF(F78&lt;200000000, F78*0.03, F78*0.035))),
  TRUE, 0
)</f>
        <v>0</v>
      </c>
      <c r="O78" s="29">
        <f t="shared" si="9"/>
        <v>17</v>
      </c>
      <c r="P78" s="29">
        <f t="shared" si="10"/>
        <v>0</v>
      </c>
      <c r="Q78" s="30" cm="1">
        <f t="array" ref="Q78">_xlfn.SWITCH(I78, "Method 1", 0, "Method 2", H78*0.03, "Method 3", 4000, "Method 4", 3000, 0)</f>
        <v>23082</v>
      </c>
    </row>
    <row r="79" spans="1:17">
      <c r="A79" s="24">
        <v>53197007</v>
      </c>
      <c r="B79" s="17">
        <v>42285</v>
      </c>
      <c r="C79" s="17">
        <v>42306</v>
      </c>
      <c r="D79" s="18" t="s">
        <v>40</v>
      </c>
      <c r="E79" s="18" t="s">
        <v>5</v>
      </c>
      <c r="F79" s="18">
        <v>7</v>
      </c>
      <c r="G79" s="19">
        <v>2617300</v>
      </c>
      <c r="H79" s="19">
        <v>2587900</v>
      </c>
      <c r="I79" s="18" t="s">
        <v>24</v>
      </c>
      <c r="J79" s="29" t="str">
        <f t="shared" si="6"/>
        <v>Thu</v>
      </c>
      <c r="K79" s="29" t="b">
        <f t="shared" si="7"/>
        <v>0</v>
      </c>
      <c r="L79" s="29" t="b">
        <f t="shared" si="8"/>
        <v>1</v>
      </c>
      <c r="M79" s="29" t="b">
        <f t="shared" si="11"/>
        <v>1</v>
      </c>
      <c r="N79" s="29" cm="1">
        <f t="array" ref="N79">_xlfn.IFS(
  E79="Airlines 1", IF(K79, F79*0.04, 0),
  E79="Airlines 2", P79,
  E79="Airlines 3", IF(L79, 20000*F79, 0),
  E79="Airlines 4", IF(M79, 15000*F79, 0),
  E79="Airlines 5",
    IF(F79&lt;50000000, F79*0.01,
      IF(F79&lt;100000000, F79*0.02,
        IF(F79&lt;200000000, F79*0.03, F79*0.035))),
  TRUE, 0
)</f>
        <v>0</v>
      </c>
      <c r="O79" s="29">
        <f t="shared" si="9"/>
        <v>17</v>
      </c>
      <c r="P79" s="29">
        <f t="shared" si="10"/>
        <v>0</v>
      </c>
      <c r="Q79" s="30" cm="1">
        <f t="array" ref="Q79">_xlfn.SWITCH(I79, "Method 1", 0, "Method 2", H79*0.03, "Method 3", 4000, "Method 4", 3000, 0)</f>
        <v>77637</v>
      </c>
    </row>
    <row r="80" spans="1:17">
      <c r="A80" s="24">
        <v>53196532</v>
      </c>
      <c r="B80" s="17">
        <v>42285</v>
      </c>
      <c r="C80" s="17">
        <v>42286</v>
      </c>
      <c r="D80" s="18" t="s">
        <v>85</v>
      </c>
      <c r="E80" s="18" t="s">
        <v>5</v>
      </c>
      <c r="F80" s="18">
        <v>1</v>
      </c>
      <c r="G80" s="19">
        <v>704000</v>
      </c>
      <c r="H80" s="19">
        <v>697000</v>
      </c>
      <c r="I80" s="18" t="s">
        <v>24</v>
      </c>
      <c r="J80" s="29" t="str">
        <f t="shared" si="6"/>
        <v>Thu</v>
      </c>
      <c r="K80" s="29" t="b">
        <f t="shared" si="7"/>
        <v>0</v>
      </c>
      <c r="L80" s="29" t="b">
        <f t="shared" si="8"/>
        <v>0</v>
      </c>
      <c r="M80" s="29" t="b">
        <f t="shared" si="11"/>
        <v>1</v>
      </c>
      <c r="N80" s="29" cm="1">
        <f t="array" ref="N80">_xlfn.IFS(
  E80="Airlines 1", IF(K80, F80*0.04, 0),
  E80="Airlines 2", P80,
  E80="Airlines 3", IF(L80, 20000*F80, 0),
  E80="Airlines 4", IF(M80, 15000*F80, 0),
  E80="Airlines 5",
    IF(F80&lt;50000000, F80*0.01,
      IF(F80&lt;100000000, F80*0.02,
        IF(F80&lt;200000000, F80*0.03, F80*0.035))),
  TRUE, 0
)</f>
        <v>0</v>
      </c>
      <c r="O80" s="29">
        <f t="shared" si="9"/>
        <v>17</v>
      </c>
      <c r="P80" s="29">
        <f t="shared" si="10"/>
        <v>0</v>
      </c>
      <c r="Q80" s="30" cm="1">
        <f t="array" ref="Q80">_xlfn.SWITCH(I80, "Method 1", 0, "Method 2", H80*0.03, "Method 3", 4000, "Method 4", 3000, 0)</f>
        <v>20910</v>
      </c>
    </row>
    <row r="81" spans="1:17">
      <c r="A81" s="24">
        <v>53196679</v>
      </c>
      <c r="B81" s="17">
        <v>42285</v>
      </c>
      <c r="C81" s="17">
        <v>42292</v>
      </c>
      <c r="D81" s="18" t="s">
        <v>86</v>
      </c>
      <c r="E81" s="18" t="s">
        <v>5</v>
      </c>
      <c r="F81" s="18">
        <v>1</v>
      </c>
      <c r="G81" s="19">
        <v>1860000</v>
      </c>
      <c r="H81" s="19">
        <v>1846100</v>
      </c>
      <c r="I81" s="18" t="s">
        <v>24</v>
      </c>
      <c r="J81" s="29" t="str">
        <f t="shared" si="6"/>
        <v>Thu</v>
      </c>
      <c r="K81" s="29" t="b">
        <f t="shared" si="7"/>
        <v>0</v>
      </c>
      <c r="L81" s="29" t="b">
        <f t="shared" si="8"/>
        <v>0</v>
      </c>
      <c r="M81" s="29" t="b">
        <f t="shared" si="11"/>
        <v>1</v>
      </c>
      <c r="N81" s="29" cm="1">
        <f t="array" ref="N81">_xlfn.IFS(
  E81="Airlines 1", IF(K81, F81*0.04, 0),
  E81="Airlines 2", P81,
  E81="Airlines 3", IF(L81, 20000*F81, 0),
  E81="Airlines 4", IF(M81, 15000*F81, 0),
  E81="Airlines 5",
    IF(F81&lt;50000000, F81*0.01,
      IF(F81&lt;100000000, F81*0.02,
        IF(F81&lt;200000000, F81*0.03, F81*0.035))),
  TRUE, 0
)</f>
        <v>0</v>
      </c>
      <c r="O81" s="29">
        <f t="shared" si="9"/>
        <v>17</v>
      </c>
      <c r="P81" s="29">
        <f t="shared" si="10"/>
        <v>0</v>
      </c>
      <c r="Q81" s="30" cm="1">
        <f t="array" ref="Q81">_xlfn.SWITCH(I81, "Method 1", 0, "Method 2", H81*0.03, "Method 3", 4000, "Method 4", 3000, 0)</f>
        <v>55383</v>
      </c>
    </row>
    <row r="82" spans="1:17">
      <c r="A82" s="24">
        <v>53192923</v>
      </c>
      <c r="B82" s="17">
        <v>42285</v>
      </c>
      <c r="C82" s="17">
        <v>42287</v>
      </c>
      <c r="D82" s="18" t="s">
        <v>87</v>
      </c>
      <c r="E82" s="18" t="s">
        <v>5</v>
      </c>
      <c r="F82" s="18">
        <v>1</v>
      </c>
      <c r="G82" s="19">
        <v>480400</v>
      </c>
      <c r="H82" s="19">
        <v>476800</v>
      </c>
      <c r="I82" s="18" t="s">
        <v>24</v>
      </c>
      <c r="J82" s="29" t="str">
        <f t="shared" si="6"/>
        <v>Thu</v>
      </c>
      <c r="K82" s="29" t="b">
        <f t="shared" si="7"/>
        <v>0</v>
      </c>
      <c r="L82" s="29" t="b">
        <f t="shared" si="8"/>
        <v>0</v>
      </c>
      <c r="M82" s="29" t="b">
        <f t="shared" si="11"/>
        <v>1</v>
      </c>
      <c r="N82" s="29" cm="1">
        <f t="array" ref="N82">_xlfn.IFS(
  E82="Airlines 1", IF(K82, F82*0.04, 0),
  E82="Airlines 2", P82,
  E82="Airlines 3", IF(L82, 20000*F82, 0),
  E82="Airlines 4", IF(M82, 15000*F82, 0),
  E82="Airlines 5",
    IF(F82&lt;50000000, F82*0.01,
      IF(F82&lt;100000000, F82*0.02,
        IF(F82&lt;200000000, F82*0.03, F82*0.035))),
  TRUE, 0
)</f>
        <v>0</v>
      </c>
      <c r="O82" s="29">
        <f t="shared" si="9"/>
        <v>17</v>
      </c>
      <c r="P82" s="29">
        <f t="shared" si="10"/>
        <v>0</v>
      </c>
      <c r="Q82" s="30" cm="1">
        <f t="array" ref="Q82">_xlfn.SWITCH(I82, "Method 1", 0, "Method 2", H82*0.03, "Method 3", 4000, "Method 4", 3000, 0)</f>
        <v>14304</v>
      </c>
    </row>
    <row r="83" spans="1:17">
      <c r="A83" s="24">
        <v>53197001</v>
      </c>
      <c r="B83" s="17">
        <v>42287</v>
      </c>
      <c r="C83" s="17">
        <v>42540</v>
      </c>
      <c r="D83" s="18" t="s">
        <v>82</v>
      </c>
      <c r="E83" s="18" t="s">
        <v>5</v>
      </c>
      <c r="F83" s="18">
        <v>2</v>
      </c>
      <c r="G83" s="19">
        <v>703800</v>
      </c>
      <c r="H83" s="19">
        <v>697600</v>
      </c>
      <c r="I83" s="18" t="s">
        <v>24</v>
      </c>
      <c r="J83" s="29" t="str">
        <f t="shared" si="6"/>
        <v>Sat</v>
      </c>
      <c r="K83" s="29" t="b">
        <f t="shared" si="7"/>
        <v>1</v>
      </c>
      <c r="L83" s="29" t="b">
        <f t="shared" si="8"/>
        <v>0</v>
      </c>
      <c r="M83" s="29" t="b">
        <f t="shared" si="11"/>
        <v>1</v>
      </c>
      <c r="N83" s="29" cm="1">
        <f t="array" ref="N83">_xlfn.IFS(
  E83="Airlines 1", IF(K83, F83*0.04, 0),
  E83="Airlines 2", P83,
  E83="Airlines 3", IF(L83, 20000*F83, 0),
  E83="Airlines 4", IF(M83, 15000*F83, 0),
  E83="Airlines 5",
    IF(F83&lt;50000000, F83*0.01,
      IF(F83&lt;100000000, F83*0.02,
        IF(F83&lt;200000000, F83*0.03, F83*0.035))),
  TRUE, 0
)</f>
        <v>0.08</v>
      </c>
      <c r="O83" s="29">
        <f t="shared" si="9"/>
        <v>15</v>
      </c>
      <c r="P83" s="29">
        <f t="shared" si="10"/>
        <v>0</v>
      </c>
      <c r="Q83" s="30" cm="1">
        <f t="array" ref="Q83">_xlfn.SWITCH(I83, "Method 1", 0, "Method 2", H83*0.03, "Method 3", 4000, "Method 4", 3000, 0)</f>
        <v>20928</v>
      </c>
    </row>
    <row r="84" spans="1:17">
      <c r="A84" s="24">
        <v>53196980</v>
      </c>
      <c r="B84" s="17">
        <v>42287</v>
      </c>
      <c r="C84" s="17">
        <v>42288</v>
      </c>
      <c r="D84" s="18" t="s">
        <v>88</v>
      </c>
      <c r="E84" s="18" t="s">
        <v>5</v>
      </c>
      <c r="F84" s="18">
        <v>4</v>
      </c>
      <c r="G84" s="19">
        <v>2766400</v>
      </c>
      <c r="H84" s="19">
        <v>2745600</v>
      </c>
      <c r="I84" s="18" t="s">
        <v>24</v>
      </c>
      <c r="J84" s="29" t="str">
        <f t="shared" si="6"/>
        <v>Sat</v>
      </c>
      <c r="K84" s="29" t="b">
        <f t="shared" si="7"/>
        <v>1</v>
      </c>
      <c r="L84" s="29" t="b">
        <f t="shared" si="8"/>
        <v>0</v>
      </c>
      <c r="M84" s="29" t="b">
        <f t="shared" si="11"/>
        <v>1</v>
      </c>
      <c r="N84" s="29" cm="1">
        <f t="array" ref="N84">_xlfn.IFS(
  E84="Airlines 1", IF(K84, F84*0.04, 0),
  E84="Airlines 2", P84,
  E84="Airlines 3", IF(L84, 20000*F84, 0),
  E84="Airlines 4", IF(M84, 15000*F84, 0),
  E84="Airlines 5",
    IF(F84&lt;50000000, F84*0.01,
      IF(F84&lt;100000000, F84*0.02,
        IF(F84&lt;200000000, F84*0.03, F84*0.035))),
  TRUE, 0
)</f>
        <v>0.16</v>
      </c>
      <c r="O84" s="29">
        <f t="shared" si="9"/>
        <v>15</v>
      </c>
      <c r="P84" s="29">
        <f t="shared" si="10"/>
        <v>0</v>
      </c>
      <c r="Q84" s="30" cm="1">
        <f t="array" ref="Q84">_xlfn.SWITCH(I84, "Method 1", 0, "Method 2", H84*0.03, "Method 3", 4000, "Method 4", 3000, 0)</f>
        <v>82368</v>
      </c>
    </row>
    <row r="85" spans="1:17">
      <c r="A85" s="24">
        <v>53196958</v>
      </c>
      <c r="B85" s="17">
        <v>42287</v>
      </c>
      <c r="C85" s="17">
        <v>42289</v>
      </c>
      <c r="D85" s="18" t="s">
        <v>89</v>
      </c>
      <c r="E85" s="18" t="s">
        <v>5</v>
      </c>
      <c r="F85" s="18">
        <v>1</v>
      </c>
      <c r="G85" s="19">
        <v>413300</v>
      </c>
      <c r="H85" s="19">
        <v>409700</v>
      </c>
      <c r="I85" s="18" t="s">
        <v>24</v>
      </c>
      <c r="J85" s="29" t="str">
        <f t="shared" si="6"/>
        <v>Sat</v>
      </c>
      <c r="K85" s="29" t="b">
        <f t="shared" si="7"/>
        <v>1</v>
      </c>
      <c r="L85" s="29" t="b">
        <f t="shared" si="8"/>
        <v>0</v>
      </c>
      <c r="M85" s="29" t="b">
        <f t="shared" si="11"/>
        <v>1</v>
      </c>
      <c r="N85" s="29" cm="1">
        <f t="array" ref="N85">_xlfn.IFS(
  E85="Airlines 1", IF(K85, F85*0.04, 0),
  E85="Airlines 2", P85,
  E85="Airlines 3", IF(L85, 20000*F85, 0),
  E85="Airlines 4", IF(M85, 15000*F85, 0),
  E85="Airlines 5",
    IF(F85&lt;50000000, F85*0.01,
      IF(F85&lt;100000000, F85*0.02,
        IF(F85&lt;200000000, F85*0.03, F85*0.035))),
  TRUE, 0
)</f>
        <v>0.04</v>
      </c>
      <c r="O85" s="29">
        <f t="shared" si="9"/>
        <v>15</v>
      </c>
      <c r="P85" s="29">
        <f t="shared" si="10"/>
        <v>0</v>
      </c>
      <c r="Q85" s="30" cm="1">
        <f t="array" ref="Q85">_xlfn.SWITCH(I85, "Method 1", 0, "Method 2", H85*0.03, "Method 3", 4000, "Method 4", 3000, 0)</f>
        <v>12291</v>
      </c>
    </row>
    <row r="86" spans="1:17">
      <c r="A86" s="24">
        <v>53196593</v>
      </c>
      <c r="B86" s="17">
        <v>42287</v>
      </c>
      <c r="C86" s="17">
        <v>42288</v>
      </c>
      <c r="D86" s="18" t="s">
        <v>42</v>
      </c>
      <c r="E86" s="18" t="s">
        <v>5</v>
      </c>
      <c r="F86" s="18">
        <v>1</v>
      </c>
      <c r="G86" s="19">
        <v>793000</v>
      </c>
      <c r="H86" s="19">
        <v>785400</v>
      </c>
      <c r="I86" s="18" t="s">
        <v>24</v>
      </c>
      <c r="J86" s="29" t="str">
        <f t="shared" si="6"/>
        <v>Sat</v>
      </c>
      <c r="K86" s="29" t="b">
        <f t="shared" si="7"/>
        <v>1</v>
      </c>
      <c r="L86" s="29" t="b">
        <f t="shared" si="8"/>
        <v>0</v>
      </c>
      <c r="M86" s="29" t="b">
        <f t="shared" si="11"/>
        <v>1</v>
      </c>
      <c r="N86" s="29" cm="1">
        <f t="array" ref="N86">_xlfn.IFS(
  E86="Airlines 1", IF(K86, F86*0.04, 0),
  E86="Airlines 2", P86,
  E86="Airlines 3", IF(L86, 20000*F86, 0),
  E86="Airlines 4", IF(M86, 15000*F86, 0),
  E86="Airlines 5",
    IF(F86&lt;50000000, F86*0.01,
      IF(F86&lt;100000000, F86*0.02,
        IF(F86&lt;200000000, F86*0.03, F86*0.035))),
  TRUE, 0
)</f>
        <v>0.04</v>
      </c>
      <c r="O86" s="29">
        <f t="shared" si="9"/>
        <v>15</v>
      </c>
      <c r="P86" s="29">
        <f t="shared" si="10"/>
        <v>0</v>
      </c>
      <c r="Q86" s="30" cm="1">
        <f t="array" ref="Q86">_xlfn.SWITCH(I86, "Method 1", 0, "Method 2", H86*0.03, "Method 3", 4000, "Method 4", 3000, 0)</f>
        <v>23562</v>
      </c>
    </row>
    <row r="87" spans="1:17">
      <c r="A87" s="24">
        <v>53197004</v>
      </c>
      <c r="B87" s="17">
        <v>42287</v>
      </c>
      <c r="C87" s="17">
        <v>42300</v>
      </c>
      <c r="D87" s="18" t="s">
        <v>90</v>
      </c>
      <c r="E87" s="18" t="s">
        <v>5</v>
      </c>
      <c r="F87" s="18">
        <v>1</v>
      </c>
      <c r="G87" s="19">
        <v>877500</v>
      </c>
      <c r="H87" s="19">
        <v>870400</v>
      </c>
      <c r="I87" s="18" t="s">
        <v>24</v>
      </c>
      <c r="J87" s="29" t="str">
        <f t="shared" si="6"/>
        <v>Sat</v>
      </c>
      <c r="K87" s="29" t="b">
        <f t="shared" si="7"/>
        <v>1</v>
      </c>
      <c r="L87" s="29" t="b">
        <f t="shared" si="8"/>
        <v>0</v>
      </c>
      <c r="M87" s="29" t="b">
        <f t="shared" si="11"/>
        <v>1</v>
      </c>
      <c r="N87" s="29" cm="1">
        <f t="array" ref="N87">_xlfn.IFS(
  E87="Airlines 1", IF(K87, F87*0.04, 0),
  E87="Airlines 2", P87,
  E87="Airlines 3", IF(L87, 20000*F87, 0),
  E87="Airlines 4", IF(M87, 15000*F87, 0),
  E87="Airlines 5",
    IF(F87&lt;50000000, F87*0.01,
      IF(F87&lt;100000000, F87*0.02,
        IF(F87&lt;200000000, F87*0.03, F87*0.035))),
  TRUE, 0
)</f>
        <v>0.04</v>
      </c>
      <c r="O87" s="29">
        <f t="shared" si="9"/>
        <v>15</v>
      </c>
      <c r="P87" s="29">
        <f t="shared" si="10"/>
        <v>0</v>
      </c>
      <c r="Q87" s="30" cm="1">
        <f t="array" ref="Q87">_xlfn.SWITCH(I87, "Method 1", 0, "Method 2", H87*0.03, "Method 3", 4000, "Method 4", 3000, 0)</f>
        <v>26112</v>
      </c>
    </row>
    <row r="88" spans="1:17">
      <c r="A88" s="24">
        <v>53196962</v>
      </c>
      <c r="B88" s="17">
        <v>42287</v>
      </c>
      <c r="C88" s="17">
        <v>42288</v>
      </c>
      <c r="D88" s="18" t="s">
        <v>88</v>
      </c>
      <c r="E88" s="18" t="s">
        <v>5</v>
      </c>
      <c r="F88" s="18">
        <v>1</v>
      </c>
      <c r="G88" s="19">
        <v>691600</v>
      </c>
      <c r="H88" s="19">
        <v>685900</v>
      </c>
      <c r="I88" s="18" t="s">
        <v>24</v>
      </c>
      <c r="J88" s="29" t="str">
        <f t="shared" si="6"/>
        <v>Sat</v>
      </c>
      <c r="K88" s="29" t="b">
        <f t="shared" si="7"/>
        <v>1</v>
      </c>
      <c r="L88" s="29" t="b">
        <f t="shared" si="8"/>
        <v>0</v>
      </c>
      <c r="M88" s="29" t="b">
        <f t="shared" si="11"/>
        <v>1</v>
      </c>
      <c r="N88" s="29" cm="1">
        <f t="array" ref="N88">_xlfn.IFS(
  E88="Airlines 1", IF(K88, F88*0.04, 0),
  E88="Airlines 2", P88,
  E88="Airlines 3", IF(L88, 20000*F88, 0),
  E88="Airlines 4", IF(M88, 15000*F88, 0),
  E88="Airlines 5",
    IF(F88&lt;50000000, F88*0.01,
      IF(F88&lt;100000000, F88*0.02,
        IF(F88&lt;200000000, F88*0.03, F88*0.035))),
  TRUE, 0
)</f>
        <v>0.04</v>
      </c>
      <c r="O88" s="29">
        <f t="shared" si="9"/>
        <v>15</v>
      </c>
      <c r="P88" s="29">
        <f t="shared" si="10"/>
        <v>0</v>
      </c>
      <c r="Q88" s="30" cm="1">
        <f t="array" ref="Q88">_xlfn.SWITCH(I88, "Method 1", 0, "Method 2", H88*0.03, "Method 3", 4000, "Method 4", 3000, 0)</f>
        <v>20577</v>
      </c>
    </row>
    <row r="89" spans="1:17">
      <c r="A89" s="24">
        <v>53195831</v>
      </c>
      <c r="B89" s="17">
        <v>42287</v>
      </c>
      <c r="C89" s="17">
        <v>42290</v>
      </c>
      <c r="D89" s="18" t="s">
        <v>73</v>
      </c>
      <c r="E89" s="18" t="s">
        <v>5</v>
      </c>
      <c r="F89" s="18">
        <v>1</v>
      </c>
      <c r="G89" s="19">
        <v>341900</v>
      </c>
      <c r="H89" s="19">
        <v>338500</v>
      </c>
      <c r="I89" s="18" t="s">
        <v>24</v>
      </c>
      <c r="J89" s="29" t="str">
        <f t="shared" si="6"/>
        <v>Sat</v>
      </c>
      <c r="K89" s="29" t="b">
        <f t="shared" si="7"/>
        <v>1</v>
      </c>
      <c r="L89" s="29" t="b">
        <f t="shared" si="8"/>
        <v>0</v>
      </c>
      <c r="M89" s="29" t="b">
        <f t="shared" si="11"/>
        <v>1</v>
      </c>
      <c r="N89" s="29" cm="1">
        <f t="array" ref="N89">_xlfn.IFS(
  E89="Airlines 1", IF(K89, F89*0.04, 0),
  E89="Airlines 2", P89,
  E89="Airlines 3", IF(L89, 20000*F89, 0),
  E89="Airlines 4", IF(M89, 15000*F89, 0),
  E89="Airlines 5",
    IF(F89&lt;50000000, F89*0.01,
      IF(F89&lt;100000000, F89*0.02,
        IF(F89&lt;200000000, F89*0.03, F89*0.035))),
  TRUE, 0
)</f>
        <v>0.04</v>
      </c>
      <c r="O89" s="29">
        <f t="shared" si="9"/>
        <v>15</v>
      </c>
      <c r="P89" s="29">
        <f t="shared" si="10"/>
        <v>0</v>
      </c>
      <c r="Q89" s="30" cm="1">
        <f t="array" ref="Q89">_xlfn.SWITCH(I89, "Method 1", 0, "Method 2", H89*0.03, "Method 3", 4000, "Method 4", 3000, 0)</f>
        <v>10155</v>
      </c>
    </row>
    <row r="90" spans="1:17">
      <c r="A90" s="24">
        <v>53197146</v>
      </c>
      <c r="B90" s="17">
        <v>42287</v>
      </c>
      <c r="C90" s="17">
        <v>42290</v>
      </c>
      <c r="D90" s="18" t="s">
        <v>91</v>
      </c>
      <c r="E90" s="18" t="s">
        <v>5</v>
      </c>
      <c r="F90" s="18">
        <v>1</v>
      </c>
      <c r="G90" s="19">
        <v>370600</v>
      </c>
      <c r="H90" s="19">
        <v>367300</v>
      </c>
      <c r="I90" s="18" t="s">
        <v>28</v>
      </c>
      <c r="J90" s="29" t="str">
        <f t="shared" si="6"/>
        <v>Sat</v>
      </c>
      <c r="K90" s="29" t="b">
        <f t="shared" si="7"/>
        <v>1</v>
      </c>
      <c r="L90" s="29" t="b">
        <f t="shared" si="8"/>
        <v>0</v>
      </c>
      <c r="M90" s="29" t="b">
        <f t="shared" si="11"/>
        <v>1</v>
      </c>
      <c r="N90" s="29" cm="1">
        <f t="array" ref="N90">_xlfn.IFS(
  E90="Airlines 1", IF(K90, F90*0.04, 0),
  E90="Airlines 2", P90,
  E90="Airlines 3", IF(L90, 20000*F90, 0),
  E90="Airlines 4", IF(M90, 15000*F90, 0),
  E90="Airlines 5",
    IF(F90&lt;50000000, F90*0.01,
      IF(F90&lt;100000000, F90*0.02,
        IF(F90&lt;200000000, F90*0.03, F90*0.035))),
  TRUE, 0
)</f>
        <v>0.04</v>
      </c>
      <c r="O90" s="29">
        <f t="shared" si="9"/>
        <v>15</v>
      </c>
      <c r="P90" s="29">
        <f t="shared" si="10"/>
        <v>0</v>
      </c>
      <c r="Q90" s="30" cm="1">
        <f t="array" ref="Q90">_xlfn.SWITCH(I90, "Method 1", 0, "Method 2", H90*0.03, "Method 3", 4000, "Method 4", 3000, 0)</f>
        <v>3000</v>
      </c>
    </row>
    <row r="91" spans="1:17">
      <c r="A91" s="24">
        <v>53197153</v>
      </c>
      <c r="B91" s="17">
        <v>42289</v>
      </c>
      <c r="C91" s="17">
        <v>42294</v>
      </c>
      <c r="D91" s="18" t="s">
        <v>92</v>
      </c>
      <c r="E91" s="18" t="s">
        <v>5</v>
      </c>
      <c r="F91" s="18">
        <v>1</v>
      </c>
      <c r="G91" s="19">
        <v>613500</v>
      </c>
      <c r="H91" s="19">
        <v>608900</v>
      </c>
      <c r="I91" s="18" t="s">
        <v>28</v>
      </c>
      <c r="J91" s="29" t="str">
        <f t="shared" si="6"/>
        <v>Mon</v>
      </c>
      <c r="K91" s="29" t="b">
        <f t="shared" si="7"/>
        <v>0</v>
      </c>
      <c r="L91" s="29" t="b">
        <f t="shared" si="8"/>
        <v>0</v>
      </c>
      <c r="M91" s="29" t="b">
        <f t="shared" si="11"/>
        <v>1</v>
      </c>
      <c r="N91" s="29" cm="1">
        <f t="array" ref="N91">_xlfn.IFS(
  E91="Airlines 1", IF(K91, F91*0.04, 0),
  E91="Airlines 2", P91,
  E91="Airlines 3", IF(L91, 20000*F91, 0),
  E91="Airlines 4", IF(M91, 15000*F91, 0),
  E91="Airlines 5",
    IF(F91&lt;50000000, F91*0.01,
      IF(F91&lt;100000000, F91*0.02,
        IF(F91&lt;200000000, F91*0.03, F91*0.035))),
  TRUE, 0
)</f>
        <v>0</v>
      </c>
      <c r="O91" s="29">
        <f t="shared" si="9"/>
        <v>12</v>
      </c>
      <c r="P91" s="29">
        <f t="shared" si="10"/>
        <v>0</v>
      </c>
      <c r="Q91" s="30" cm="1">
        <f t="array" ref="Q91">_xlfn.SWITCH(I91, "Method 1", 0, "Method 2", H91*0.03, "Method 3", 4000, "Method 4", 3000, 0)</f>
        <v>3000</v>
      </c>
    </row>
    <row r="92" spans="1:17">
      <c r="A92" s="24">
        <v>53197154</v>
      </c>
      <c r="B92" s="17">
        <v>42289</v>
      </c>
      <c r="C92" s="17">
        <v>42290</v>
      </c>
      <c r="D92" s="18" t="s">
        <v>61</v>
      </c>
      <c r="E92" s="18" t="s">
        <v>5</v>
      </c>
      <c r="F92" s="18">
        <v>1</v>
      </c>
      <c r="G92" s="19">
        <v>971000</v>
      </c>
      <c r="H92" s="19">
        <v>961800</v>
      </c>
      <c r="I92" s="18" t="s">
        <v>28</v>
      </c>
      <c r="J92" s="29" t="str">
        <f t="shared" si="6"/>
        <v>Mon</v>
      </c>
      <c r="K92" s="29" t="b">
        <f t="shared" si="7"/>
        <v>0</v>
      </c>
      <c r="L92" s="29" t="b">
        <f t="shared" si="8"/>
        <v>0</v>
      </c>
      <c r="M92" s="29" t="b">
        <f t="shared" si="11"/>
        <v>1</v>
      </c>
      <c r="N92" s="29" cm="1">
        <f t="array" ref="N92">_xlfn.IFS(
  E92="Airlines 1", IF(K92, F92*0.04, 0),
  E92="Airlines 2", P92,
  E92="Airlines 3", IF(L92, 20000*F92, 0),
  E92="Airlines 4", IF(M92, 15000*F92, 0),
  E92="Airlines 5",
    IF(F92&lt;50000000, F92*0.01,
      IF(F92&lt;100000000, F92*0.02,
        IF(F92&lt;200000000, F92*0.03, F92*0.035))),
  TRUE, 0
)</f>
        <v>0</v>
      </c>
      <c r="O92" s="29">
        <f t="shared" si="9"/>
        <v>12</v>
      </c>
      <c r="P92" s="29">
        <f t="shared" si="10"/>
        <v>0</v>
      </c>
      <c r="Q92" s="30" cm="1">
        <f t="array" ref="Q92">_xlfn.SWITCH(I92, "Method 1", 0, "Method 2", H92*0.03, "Method 3", 4000, "Method 4", 3000, 0)</f>
        <v>3000</v>
      </c>
    </row>
    <row r="93" spans="1:17">
      <c r="A93" s="24">
        <v>53197186</v>
      </c>
      <c r="B93" s="17">
        <v>42289</v>
      </c>
      <c r="C93" s="17">
        <v>42291</v>
      </c>
      <c r="D93" s="18" t="s">
        <v>40</v>
      </c>
      <c r="E93" s="18" t="s">
        <v>5</v>
      </c>
      <c r="F93" s="18">
        <v>1</v>
      </c>
      <c r="G93" s="19">
        <v>727000</v>
      </c>
      <c r="H93" s="19">
        <v>721900</v>
      </c>
      <c r="I93" s="18" t="s">
        <v>24</v>
      </c>
      <c r="J93" s="29" t="str">
        <f t="shared" si="6"/>
        <v>Mon</v>
      </c>
      <c r="K93" s="29" t="b">
        <f t="shared" si="7"/>
        <v>0</v>
      </c>
      <c r="L93" s="29" t="b">
        <f t="shared" si="8"/>
        <v>1</v>
      </c>
      <c r="M93" s="29" t="b">
        <f t="shared" si="11"/>
        <v>1</v>
      </c>
      <c r="N93" s="29" cm="1">
        <f t="array" ref="N93">_xlfn.IFS(
  E93="Airlines 1", IF(K93, F93*0.04, 0),
  E93="Airlines 2", P93,
  E93="Airlines 3", IF(L93, 20000*F93, 0),
  E93="Airlines 4", IF(M93, 15000*F93, 0),
  E93="Airlines 5",
    IF(F93&lt;50000000, F93*0.01,
      IF(F93&lt;100000000, F93*0.02,
        IF(F93&lt;200000000, F93*0.03, F93*0.035))),
  TRUE, 0
)</f>
        <v>0</v>
      </c>
      <c r="O93" s="29">
        <f t="shared" si="9"/>
        <v>12</v>
      </c>
      <c r="P93" s="29">
        <f t="shared" si="10"/>
        <v>0</v>
      </c>
      <c r="Q93" s="30" cm="1">
        <f t="array" ref="Q93">_xlfn.SWITCH(I93, "Method 1", 0, "Method 2", H93*0.03, "Method 3", 4000, "Method 4", 3000, 0)</f>
        <v>21657</v>
      </c>
    </row>
    <row r="94" spans="1:17">
      <c r="A94" s="24">
        <v>53197019</v>
      </c>
      <c r="B94" s="17">
        <v>42289</v>
      </c>
      <c r="C94" s="17">
        <v>42320</v>
      </c>
      <c r="D94" s="18" t="s">
        <v>39</v>
      </c>
      <c r="E94" s="18" t="s">
        <v>5</v>
      </c>
      <c r="F94" s="18">
        <v>1</v>
      </c>
      <c r="G94" s="19">
        <v>355600</v>
      </c>
      <c r="H94" s="19">
        <v>352400</v>
      </c>
      <c r="I94" s="18" t="s">
        <v>24</v>
      </c>
      <c r="J94" s="29" t="str">
        <f t="shared" si="6"/>
        <v>Mon</v>
      </c>
      <c r="K94" s="29" t="b">
        <f t="shared" si="7"/>
        <v>0</v>
      </c>
      <c r="L94" s="29" t="b">
        <f t="shared" si="8"/>
        <v>0</v>
      </c>
      <c r="M94" s="29" t="b">
        <f t="shared" si="11"/>
        <v>1</v>
      </c>
      <c r="N94" s="29" cm="1">
        <f t="array" ref="N94">_xlfn.IFS(
  E94="Airlines 1", IF(K94, F94*0.04, 0),
  E94="Airlines 2", P94,
  E94="Airlines 3", IF(L94, 20000*F94, 0),
  E94="Airlines 4", IF(M94, 15000*F94, 0),
  E94="Airlines 5",
    IF(F94&lt;50000000, F94*0.01,
      IF(F94&lt;100000000, F94*0.02,
        IF(F94&lt;200000000, F94*0.03, F94*0.035))),
  TRUE, 0
)</f>
        <v>0</v>
      </c>
      <c r="O94" s="29">
        <f t="shared" si="9"/>
        <v>12</v>
      </c>
      <c r="P94" s="29">
        <f t="shared" si="10"/>
        <v>0</v>
      </c>
      <c r="Q94" s="30" cm="1">
        <f t="array" ref="Q94">_xlfn.SWITCH(I94, "Method 1", 0, "Method 2", H94*0.03, "Method 3", 4000, "Method 4", 3000, 0)</f>
        <v>10572</v>
      </c>
    </row>
    <row r="95" spans="1:17">
      <c r="A95" s="24">
        <v>53196477</v>
      </c>
      <c r="B95" s="17">
        <v>42289</v>
      </c>
      <c r="C95" s="17">
        <v>42295</v>
      </c>
      <c r="D95" s="18" t="s">
        <v>93</v>
      </c>
      <c r="E95" s="18" t="s">
        <v>5</v>
      </c>
      <c r="F95" s="18">
        <v>1</v>
      </c>
      <c r="G95" s="19">
        <v>729000</v>
      </c>
      <c r="H95" s="19">
        <v>721200</v>
      </c>
      <c r="I95" s="18" t="s">
        <v>24</v>
      </c>
      <c r="J95" s="29" t="str">
        <f t="shared" si="6"/>
        <v>Mon</v>
      </c>
      <c r="K95" s="29" t="b">
        <f t="shared" si="7"/>
        <v>0</v>
      </c>
      <c r="L95" s="29" t="b">
        <f t="shared" si="8"/>
        <v>0</v>
      </c>
      <c r="M95" s="29" t="b">
        <f t="shared" si="11"/>
        <v>1</v>
      </c>
      <c r="N95" s="29" cm="1">
        <f t="array" ref="N95">_xlfn.IFS(
  E95="Airlines 1", IF(K95, F95*0.04, 0),
  E95="Airlines 2", P95,
  E95="Airlines 3", IF(L95, 20000*F95, 0),
  E95="Airlines 4", IF(M95, 15000*F95, 0),
  E95="Airlines 5",
    IF(F95&lt;50000000, F95*0.01,
      IF(F95&lt;100000000, F95*0.02,
        IF(F95&lt;200000000, F95*0.03, F95*0.035))),
  TRUE, 0
)</f>
        <v>0</v>
      </c>
      <c r="O95" s="29">
        <f t="shared" si="9"/>
        <v>12</v>
      </c>
      <c r="P95" s="29">
        <f t="shared" si="10"/>
        <v>0</v>
      </c>
      <c r="Q95" s="30" cm="1">
        <f t="array" ref="Q95">_xlfn.SWITCH(I95, "Method 1", 0, "Method 2", H95*0.03, "Method 3", 4000, "Method 4", 3000, 0)</f>
        <v>21636</v>
      </c>
    </row>
    <row r="96" spans="1:17">
      <c r="A96" s="24">
        <v>53196502</v>
      </c>
      <c r="B96" s="17">
        <v>42289</v>
      </c>
      <c r="C96" s="17">
        <v>42296</v>
      </c>
      <c r="D96" s="18" t="s">
        <v>94</v>
      </c>
      <c r="E96" s="18" t="s">
        <v>5</v>
      </c>
      <c r="F96" s="18">
        <v>1</v>
      </c>
      <c r="G96" s="19">
        <v>761000</v>
      </c>
      <c r="H96" s="19">
        <v>754800</v>
      </c>
      <c r="I96" s="18" t="s">
        <v>28</v>
      </c>
      <c r="J96" s="29" t="str">
        <f t="shared" si="6"/>
        <v>Mon</v>
      </c>
      <c r="K96" s="29" t="b">
        <f t="shared" si="7"/>
        <v>0</v>
      </c>
      <c r="L96" s="29" t="b">
        <f t="shared" si="8"/>
        <v>0</v>
      </c>
      <c r="M96" s="29" t="b">
        <f t="shared" si="11"/>
        <v>1</v>
      </c>
      <c r="N96" s="29" cm="1">
        <f t="array" ref="N96">_xlfn.IFS(
  E96="Airlines 1", IF(K96, F96*0.04, 0),
  E96="Airlines 2", P96,
  E96="Airlines 3", IF(L96, 20000*F96, 0),
  E96="Airlines 4", IF(M96, 15000*F96, 0),
  E96="Airlines 5",
    IF(F96&lt;50000000, F96*0.01,
      IF(F96&lt;100000000, F96*0.02,
        IF(F96&lt;200000000, F96*0.03, F96*0.035))),
  TRUE, 0
)</f>
        <v>0</v>
      </c>
      <c r="O96" s="29">
        <f t="shared" si="9"/>
        <v>12</v>
      </c>
      <c r="P96" s="29">
        <f t="shared" si="10"/>
        <v>0</v>
      </c>
      <c r="Q96" s="30" cm="1">
        <f t="array" ref="Q96">_xlfn.SWITCH(I96, "Method 1", 0, "Method 2", H96*0.03, "Method 3", 4000, "Method 4", 3000, 0)</f>
        <v>3000</v>
      </c>
    </row>
    <row r="97" spans="1:17">
      <c r="A97" s="24">
        <v>53196558</v>
      </c>
      <c r="B97" s="17">
        <v>42289</v>
      </c>
      <c r="C97" s="17">
        <v>42292</v>
      </c>
      <c r="D97" s="18" t="s">
        <v>44</v>
      </c>
      <c r="E97" s="18" t="s">
        <v>5</v>
      </c>
      <c r="F97" s="18">
        <v>2</v>
      </c>
      <c r="G97" s="19">
        <v>1517800</v>
      </c>
      <c r="H97" s="19">
        <v>1505400</v>
      </c>
      <c r="I97" s="18" t="s">
        <v>28</v>
      </c>
      <c r="J97" s="29" t="str">
        <f t="shared" si="6"/>
        <v>Mon</v>
      </c>
      <c r="K97" s="29" t="b">
        <f t="shared" si="7"/>
        <v>0</v>
      </c>
      <c r="L97" s="29" t="b">
        <f t="shared" si="8"/>
        <v>0</v>
      </c>
      <c r="M97" s="29" t="b">
        <f t="shared" si="11"/>
        <v>1</v>
      </c>
      <c r="N97" s="29" cm="1">
        <f t="array" ref="N97">_xlfn.IFS(
  E97="Airlines 1", IF(K97, F97*0.04, 0),
  E97="Airlines 2", P97,
  E97="Airlines 3", IF(L97, 20000*F97, 0),
  E97="Airlines 4", IF(M97, 15000*F97, 0),
  E97="Airlines 5",
    IF(F97&lt;50000000, F97*0.01,
      IF(F97&lt;100000000, F97*0.02,
        IF(F97&lt;200000000, F97*0.03, F97*0.035))),
  TRUE, 0
)</f>
        <v>0</v>
      </c>
      <c r="O97" s="29">
        <f t="shared" si="9"/>
        <v>12</v>
      </c>
      <c r="P97" s="29">
        <f t="shared" si="10"/>
        <v>0</v>
      </c>
      <c r="Q97" s="30" cm="1">
        <f t="array" ref="Q97">_xlfn.SWITCH(I97, "Method 1", 0, "Method 2", H97*0.03, "Method 3", 4000, "Method 4", 3000, 0)</f>
        <v>3000</v>
      </c>
    </row>
    <row r="98" spans="1:17">
      <c r="A98" s="24">
        <v>53196146</v>
      </c>
      <c r="B98" s="17">
        <v>42289</v>
      </c>
      <c r="C98" s="17">
        <v>42291</v>
      </c>
      <c r="D98" s="18" t="s">
        <v>40</v>
      </c>
      <c r="E98" s="18" t="s">
        <v>5</v>
      </c>
      <c r="F98" s="18">
        <v>4</v>
      </c>
      <c r="G98" s="19">
        <v>1495600</v>
      </c>
      <c r="H98" s="19">
        <v>1478800</v>
      </c>
      <c r="I98" s="18" t="s">
        <v>28</v>
      </c>
      <c r="J98" s="29" t="str">
        <f t="shared" si="6"/>
        <v>Mon</v>
      </c>
      <c r="K98" s="29" t="b">
        <f t="shared" si="7"/>
        <v>0</v>
      </c>
      <c r="L98" s="29" t="b">
        <f t="shared" si="8"/>
        <v>1</v>
      </c>
      <c r="M98" s="29" t="b">
        <f t="shared" si="11"/>
        <v>1</v>
      </c>
      <c r="N98" s="29" cm="1">
        <f t="array" ref="N98">_xlfn.IFS(
  E98="Airlines 1", IF(K98, F98*0.04, 0),
  E98="Airlines 2", P98,
  E98="Airlines 3", IF(L98, 20000*F98, 0),
  E98="Airlines 4", IF(M98, 15000*F98, 0),
  E98="Airlines 5",
    IF(F98&lt;50000000, F98*0.01,
      IF(F98&lt;100000000, F98*0.02,
        IF(F98&lt;200000000, F98*0.03, F98*0.035))),
  TRUE, 0
)</f>
        <v>0</v>
      </c>
      <c r="O98" s="29">
        <f t="shared" si="9"/>
        <v>12</v>
      </c>
      <c r="P98" s="29">
        <f t="shared" si="10"/>
        <v>0</v>
      </c>
      <c r="Q98" s="30" cm="1">
        <f t="array" ref="Q98">_xlfn.SWITCH(I98, "Method 1", 0, "Method 2", H98*0.03, "Method 3", 4000, "Method 4", 3000, 0)</f>
        <v>3000</v>
      </c>
    </row>
    <row r="99" spans="1:17">
      <c r="A99" s="24">
        <v>53196146</v>
      </c>
      <c r="B99" s="17">
        <v>42289</v>
      </c>
      <c r="C99" s="17">
        <v>42291</v>
      </c>
      <c r="D99" s="18" t="s">
        <v>95</v>
      </c>
      <c r="E99" s="18" t="s">
        <v>5</v>
      </c>
      <c r="F99" s="18">
        <v>1</v>
      </c>
      <c r="G99" s="19">
        <v>548600</v>
      </c>
      <c r="H99" s="19">
        <v>544000</v>
      </c>
      <c r="I99" s="18" t="s">
        <v>28</v>
      </c>
      <c r="J99" s="29" t="str">
        <f t="shared" si="6"/>
        <v>Mon</v>
      </c>
      <c r="K99" s="29" t="b">
        <f t="shared" si="7"/>
        <v>0</v>
      </c>
      <c r="L99" s="29" t="b">
        <f t="shared" si="8"/>
        <v>0</v>
      </c>
      <c r="M99" s="29" t="b">
        <f t="shared" si="11"/>
        <v>1</v>
      </c>
      <c r="N99" s="29" cm="1">
        <f t="array" ref="N99">_xlfn.IFS(
  E99="Airlines 1", IF(K99, F99*0.04, 0),
  E99="Airlines 2", P99,
  E99="Airlines 3", IF(L99, 20000*F99, 0),
  E99="Airlines 4", IF(M99, 15000*F99, 0),
  E99="Airlines 5",
    IF(F99&lt;50000000, F99*0.01,
      IF(F99&lt;100000000, F99*0.02,
        IF(F99&lt;200000000, F99*0.03, F99*0.035))),
  TRUE, 0
)</f>
        <v>0</v>
      </c>
      <c r="O99" s="29">
        <f t="shared" si="9"/>
        <v>12</v>
      </c>
      <c r="P99" s="29">
        <f t="shared" si="10"/>
        <v>0</v>
      </c>
      <c r="Q99" s="30" cm="1">
        <f t="array" ref="Q99">_xlfn.SWITCH(I99, "Method 1", 0, "Method 2", H99*0.03, "Method 3", 4000, "Method 4", 3000, 0)</f>
        <v>3000</v>
      </c>
    </row>
    <row r="100" spans="1:17">
      <c r="A100" s="24">
        <v>53197202</v>
      </c>
      <c r="B100" s="17">
        <v>42289</v>
      </c>
      <c r="C100" s="17">
        <v>42290</v>
      </c>
      <c r="D100" s="18" t="s">
        <v>96</v>
      </c>
      <c r="E100" s="18" t="s">
        <v>5</v>
      </c>
      <c r="F100" s="18">
        <v>1</v>
      </c>
      <c r="G100" s="19">
        <v>1004000</v>
      </c>
      <c r="H100" s="19">
        <v>994400</v>
      </c>
      <c r="I100" s="18" t="s">
        <v>22</v>
      </c>
      <c r="J100" s="29" t="str">
        <f t="shared" si="6"/>
        <v>Mon</v>
      </c>
      <c r="K100" s="29" t="b">
        <f t="shared" si="7"/>
        <v>0</v>
      </c>
      <c r="L100" s="29" t="b">
        <f t="shared" si="8"/>
        <v>0</v>
      </c>
      <c r="M100" s="29" t="b">
        <f t="shared" si="11"/>
        <v>1</v>
      </c>
      <c r="N100" s="29" cm="1">
        <f t="array" ref="N100">_xlfn.IFS(
  E100="Airlines 1", IF(K100, F100*0.04, 0),
  E100="Airlines 2", P100,
  E100="Airlines 3", IF(L100, 20000*F100, 0),
  E100="Airlines 4", IF(M100, 15000*F100, 0),
  E100="Airlines 5",
    IF(F100&lt;50000000, F100*0.01,
      IF(F100&lt;100000000, F100*0.02,
        IF(F100&lt;200000000, F100*0.03, F100*0.035))),
  TRUE, 0
)</f>
        <v>0</v>
      </c>
      <c r="O100" s="29">
        <f t="shared" si="9"/>
        <v>12</v>
      </c>
      <c r="P100" s="29">
        <f t="shared" si="10"/>
        <v>0</v>
      </c>
      <c r="Q100" s="30" cm="1">
        <f t="array" ref="Q100">_xlfn.SWITCH(I100, "Method 1", 0, "Method 2", H100*0.03, "Method 3", 4000, "Method 4", 3000, 0)</f>
        <v>0</v>
      </c>
    </row>
    <row r="101" spans="1:17">
      <c r="A101" s="24">
        <v>53196744</v>
      </c>
      <c r="B101" s="17">
        <v>42289</v>
      </c>
      <c r="C101" s="17">
        <v>42290</v>
      </c>
      <c r="D101" s="18" t="s">
        <v>97</v>
      </c>
      <c r="E101" s="18" t="s">
        <v>5</v>
      </c>
      <c r="F101" s="18">
        <v>2</v>
      </c>
      <c r="G101" s="19">
        <v>737800</v>
      </c>
      <c r="H101" s="19">
        <v>730400</v>
      </c>
      <c r="I101" s="18" t="s">
        <v>22</v>
      </c>
      <c r="J101" s="29" t="str">
        <f t="shared" si="6"/>
        <v>Mon</v>
      </c>
      <c r="K101" s="29" t="b">
        <f t="shared" si="7"/>
        <v>0</v>
      </c>
      <c r="L101" s="29" t="b">
        <f t="shared" si="8"/>
        <v>1</v>
      </c>
      <c r="M101" s="29" t="b">
        <f t="shared" si="11"/>
        <v>1</v>
      </c>
      <c r="N101" s="29" cm="1">
        <f t="array" ref="N101">_xlfn.IFS(
  E101="Airlines 1", IF(K101, F101*0.04, 0),
  E101="Airlines 2", P101,
  E101="Airlines 3", IF(L101, 20000*F101, 0),
  E101="Airlines 4", IF(M101, 15000*F101, 0),
  E101="Airlines 5",
    IF(F101&lt;50000000, F101*0.01,
      IF(F101&lt;100000000, F101*0.02,
        IF(F101&lt;200000000, F101*0.03, F101*0.035))),
  TRUE, 0
)</f>
        <v>0</v>
      </c>
      <c r="O101" s="29">
        <f t="shared" si="9"/>
        <v>12</v>
      </c>
      <c r="P101" s="29">
        <f t="shared" si="10"/>
        <v>0</v>
      </c>
      <c r="Q101" s="30" cm="1">
        <f t="array" ref="Q101">_xlfn.SWITCH(I101, "Method 1", 0, "Method 2", H101*0.03, "Method 3", 4000, "Method 4", 3000, 0)</f>
        <v>0</v>
      </c>
    </row>
    <row r="102" spans="1:17">
      <c r="A102" s="24">
        <v>53197195</v>
      </c>
      <c r="B102" s="17">
        <v>42292</v>
      </c>
      <c r="C102" s="17">
        <v>42309</v>
      </c>
      <c r="D102" s="18" t="s">
        <v>95</v>
      </c>
      <c r="E102" s="18" t="s">
        <v>5</v>
      </c>
      <c r="F102" s="18">
        <v>1</v>
      </c>
      <c r="G102" s="19">
        <v>597000</v>
      </c>
      <c r="H102" s="19">
        <v>592500</v>
      </c>
      <c r="I102" s="18" t="s">
        <v>22</v>
      </c>
      <c r="J102" s="29" t="str">
        <f t="shared" si="6"/>
        <v>Thu</v>
      </c>
      <c r="K102" s="29" t="b">
        <f t="shared" si="7"/>
        <v>0</v>
      </c>
      <c r="L102" s="29" t="b">
        <f t="shared" si="8"/>
        <v>0</v>
      </c>
      <c r="M102" s="29" t="b">
        <f t="shared" si="11"/>
        <v>1</v>
      </c>
      <c r="N102" s="29" cm="1">
        <f t="array" ref="N102">_xlfn.IFS(
  E102="Airlines 1", IF(K102, F102*0.04, 0),
  E102="Airlines 2", P102,
  E102="Airlines 3", IF(L102, 20000*F102, 0),
  E102="Airlines 4", IF(M102, 15000*F102, 0),
  E102="Airlines 5",
    IF(F102&lt;50000000, F102*0.01,
      IF(F102&lt;100000000, F102*0.02,
        IF(F102&lt;200000000, F102*0.03, F102*0.035))),
  TRUE, 0
)</f>
        <v>0</v>
      </c>
      <c r="O102" s="29">
        <f t="shared" si="9"/>
        <v>0</v>
      </c>
      <c r="P102" s="29">
        <f t="shared" si="10"/>
        <v>0</v>
      </c>
      <c r="Q102" s="30" cm="1">
        <f t="array" ref="Q102">_xlfn.SWITCH(I102, "Method 1", 0, "Method 2", H102*0.03, "Method 3", 4000, "Method 4", 3000, 0)</f>
        <v>0</v>
      </c>
    </row>
    <row r="103" spans="1:17">
      <c r="A103" s="24">
        <v>53197105</v>
      </c>
      <c r="B103" s="17">
        <v>42292</v>
      </c>
      <c r="C103" s="17">
        <v>42295</v>
      </c>
      <c r="D103" s="18" t="s">
        <v>98</v>
      </c>
      <c r="E103" s="18" t="s">
        <v>5</v>
      </c>
      <c r="F103" s="18">
        <v>1</v>
      </c>
      <c r="G103" s="19">
        <v>437700</v>
      </c>
      <c r="H103" s="19">
        <v>433400</v>
      </c>
      <c r="I103" s="18" t="s">
        <v>22</v>
      </c>
      <c r="J103" s="29" t="str">
        <f t="shared" si="6"/>
        <v>Thu</v>
      </c>
      <c r="K103" s="29" t="b">
        <f t="shared" si="7"/>
        <v>0</v>
      </c>
      <c r="L103" s="29" t="b">
        <f t="shared" si="8"/>
        <v>0</v>
      </c>
      <c r="M103" s="29" t="b">
        <f t="shared" si="11"/>
        <v>1</v>
      </c>
      <c r="N103" s="29" cm="1">
        <f t="array" ref="N103">_xlfn.IFS(
  E103="Airlines 1", IF(K103, F103*0.04, 0),
  E103="Airlines 2", P103,
  E103="Airlines 3", IF(L103, 20000*F103, 0),
  E103="Airlines 4", IF(M103, 15000*F103, 0),
  E103="Airlines 5",
    IF(F103&lt;50000000, F103*0.01,
      IF(F103&lt;100000000, F103*0.02,
        IF(F103&lt;200000000, F103*0.03, F103*0.035))),
  TRUE, 0
)</f>
        <v>0</v>
      </c>
      <c r="O103" s="29">
        <f t="shared" si="9"/>
        <v>0</v>
      </c>
      <c r="P103" s="29">
        <f t="shared" si="10"/>
        <v>0</v>
      </c>
      <c r="Q103" s="30" cm="1">
        <f t="array" ref="Q103">_xlfn.SWITCH(I103, "Method 1", 0, "Method 2", H103*0.03, "Method 3", 4000, "Method 4", 3000, 0)</f>
        <v>0</v>
      </c>
    </row>
    <row r="104" spans="1:17">
      <c r="A104" s="24">
        <v>53196082</v>
      </c>
      <c r="B104" s="17">
        <v>42292</v>
      </c>
      <c r="C104" s="17">
        <v>42293</v>
      </c>
      <c r="D104" s="18" t="s">
        <v>62</v>
      </c>
      <c r="E104" s="18" t="s">
        <v>5</v>
      </c>
      <c r="F104" s="18">
        <v>3</v>
      </c>
      <c r="G104" s="19">
        <v>1653000</v>
      </c>
      <c r="H104" s="19">
        <v>1640700</v>
      </c>
      <c r="I104" s="18" t="s">
        <v>22</v>
      </c>
      <c r="J104" s="29" t="str">
        <f t="shared" si="6"/>
        <v>Thu</v>
      </c>
      <c r="K104" s="29" t="b">
        <f t="shared" si="7"/>
        <v>0</v>
      </c>
      <c r="L104" s="29" t="b">
        <f t="shared" si="8"/>
        <v>1</v>
      </c>
      <c r="M104" s="29" t="b">
        <f t="shared" si="11"/>
        <v>1</v>
      </c>
      <c r="N104" s="29" cm="1">
        <f t="array" ref="N104">_xlfn.IFS(
  E104="Airlines 1", IF(K104, F104*0.04, 0),
  E104="Airlines 2", P104,
  E104="Airlines 3", IF(L104, 20000*F104, 0),
  E104="Airlines 4", IF(M104, 15000*F104, 0),
  E104="Airlines 5",
    IF(F104&lt;50000000, F104*0.01,
      IF(F104&lt;100000000, F104*0.02,
        IF(F104&lt;200000000, F104*0.03, F104*0.035))),
  TRUE, 0
)</f>
        <v>0</v>
      </c>
      <c r="O104" s="29">
        <f t="shared" si="9"/>
        <v>0</v>
      </c>
      <c r="P104" s="29">
        <f t="shared" si="10"/>
        <v>0</v>
      </c>
      <c r="Q104" s="30" cm="1">
        <f t="array" ref="Q104">_xlfn.SWITCH(I104, "Method 1", 0, "Method 2", H104*0.03, "Method 3", 4000, "Method 4", 3000, 0)</f>
        <v>0</v>
      </c>
    </row>
    <row r="105" spans="1:17">
      <c r="A105" s="24">
        <v>53196596</v>
      </c>
      <c r="B105" s="17">
        <v>42292</v>
      </c>
      <c r="C105" s="17">
        <v>42293</v>
      </c>
      <c r="D105" s="18" t="s">
        <v>96</v>
      </c>
      <c r="E105" s="18" t="s">
        <v>5</v>
      </c>
      <c r="F105" s="18">
        <v>1</v>
      </c>
      <c r="G105" s="19">
        <v>1004000</v>
      </c>
      <c r="H105" s="19">
        <v>994400</v>
      </c>
      <c r="I105" s="18" t="s">
        <v>22</v>
      </c>
      <c r="J105" s="29" t="str">
        <f t="shared" si="6"/>
        <v>Thu</v>
      </c>
      <c r="K105" s="29" t="b">
        <f t="shared" si="7"/>
        <v>0</v>
      </c>
      <c r="L105" s="29" t="b">
        <f t="shared" si="8"/>
        <v>0</v>
      </c>
      <c r="M105" s="29" t="b">
        <f t="shared" si="11"/>
        <v>1</v>
      </c>
      <c r="N105" s="29" cm="1">
        <f t="array" ref="N105">_xlfn.IFS(
  E105="Airlines 1", IF(K105, F105*0.04, 0),
  E105="Airlines 2", P105,
  E105="Airlines 3", IF(L105, 20000*F105, 0),
  E105="Airlines 4", IF(M105, 15000*F105, 0),
  E105="Airlines 5",
    IF(F105&lt;50000000, F105*0.01,
      IF(F105&lt;100000000, F105*0.02,
        IF(F105&lt;200000000, F105*0.03, F105*0.035))),
  TRUE, 0
)</f>
        <v>0</v>
      </c>
      <c r="O105" s="29">
        <f t="shared" si="9"/>
        <v>0</v>
      </c>
      <c r="P105" s="29">
        <f t="shared" si="10"/>
        <v>0</v>
      </c>
      <c r="Q105" s="30" cm="1">
        <f t="array" ref="Q105">_xlfn.SWITCH(I105, "Method 1", 0, "Method 2", H105*0.03, "Method 3", 4000, "Method 4", 3000, 0)</f>
        <v>0</v>
      </c>
    </row>
    <row r="106" spans="1:17">
      <c r="A106" s="24">
        <v>53197239</v>
      </c>
      <c r="B106" s="17">
        <v>42292</v>
      </c>
      <c r="C106" s="17">
        <v>42311</v>
      </c>
      <c r="D106" s="18" t="s">
        <v>99</v>
      </c>
      <c r="E106" s="18" t="s">
        <v>5</v>
      </c>
      <c r="F106" s="18">
        <v>1</v>
      </c>
      <c r="G106" s="19">
        <v>525700</v>
      </c>
      <c r="H106" s="19">
        <v>519900</v>
      </c>
      <c r="I106" s="18" t="s">
        <v>22</v>
      </c>
      <c r="J106" s="29" t="str">
        <f t="shared" si="6"/>
        <v>Thu</v>
      </c>
      <c r="K106" s="29" t="b">
        <f t="shared" si="7"/>
        <v>0</v>
      </c>
      <c r="L106" s="29" t="b">
        <f t="shared" si="8"/>
        <v>0</v>
      </c>
      <c r="M106" s="29" t="b">
        <f t="shared" si="11"/>
        <v>1</v>
      </c>
      <c r="N106" s="29" cm="1">
        <f t="array" ref="N106">_xlfn.IFS(
  E106="Airlines 1", IF(K106, F106*0.04, 0),
  E106="Airlines 2", P106,
  E106="Airlines 3", IF(L106, 20000*F106, 0),
  E106="Airlines 4", IF(M106, 15000*F106, 0),
  E106="Airlines 5",
    IF(F106&lt;50000000, F106*0.01,
      IF(F106&lt;100000000, F106*0.02,
        IF(F106&lt;200000000, F106*0.03, F106*0.035))),
  TRUE, 0
)</f>
        <v>0</v>
      </c>
      <c r="O106" s="29">
        <f t="shared" si="9"/>
        <v>0</v>
      </c>
      <c r="P106" s="29">
        <f t="shared" si="10"/>
        <v>0</v>
      </c>
      <c r="Q106" s="30" cm="1">
        <f t="array" ref="Q106">_xlfn.SWITCH(I106, "Method 1", 0, "Method 2", H106*0.03, "Method 3", 4000, "Method 4", 3000, 0)</f>
        <v>0</v>
      </c>
    </row>
    <row r="107" spans="1:17">
      <c r="A107" s="24">
        <v>53197051</v>
      </c>
      <c r="B107" s="17">
        <v>42292</v>
      </c>
      <c r="C107" s="17">
        <v>42292</v>
      </c>
      <c r="D107" s="18" t="s">
        <v>100</v>
      </c>
      <c r="E107" s="18" t="s">
        <v>5</v>
      </c>
      <c r="F107" s="18">
        <v>1</v>
      </c>
      <c r="G107" s="19">
        <v>510700</v>
      </c>
      <c r="H107" s="19">
        <v>506400</v>
      </c>
      <c r="I107" s="18" t="s">
        <v>22</v>
      </c>
      <c r="J107" s="29" t="str">
        <f t="shared" si="6"/>
        <v>Thu</v>
      </c>
      <c r="K107" s="29" t="b">
        <f t="shared" si="7"/>
        <v>0</v>
      </c>
      <c r="L107" s="29" t="b">
        <f t="shared" si="8"/>
        <v>0</v>
      </c>
      <c r="M107" s="29" t="b">
        <f t="shared" si="11"/>
        <v>1</v>
      </c>
      <c r="N107" s="29" cm="1">
        <f t="array" ref="N107">_xlfn.IFS(
  E107="Airlines 1", IF(K107, F107*0.04, 0),
  E107="Airlines 2", P107,
  E107="Airlines 3", IF(L107, 20000*F107, 0),
  E107="Airlines 4", IF(M107, 15000*F107, 0),
  E107="Airlines 5",
    IF(F107&lt;50000000, F107*0.01,
      IF(F107&lt;100000000, F107*0.02,
        IF(F107&lt;200000000, F107*0.03, F107*0.035))),
  TRUE, 0
)</f>
        <v>0</v>
      </c>
      <c r="O107" s="29">
        <f t="shared" si="9"/>
        <v>0</v>
      </c>
      <c r="P107" s="29">
        <f t="shared" si="10"/>
        <v>0</v>
      </c>
      <c r="Q107" s="30" cm="1">
        <f t="array" ref="Q107">_xlfn.SWITCH(I107, "Method 1", 0, "Method 2", H107*0.03, "Method 3", 4000, "Method 4", 3000, 0)</f>
        <v>0</v>
      </c>
    </row>
    <row r="108" spans="1:17">
      <c r="A108" s="24">
        <v>53197246</v>
      </c>
      <c r="B108" s="17">
        <v>42292</v>
      </c>
      <c r="C108" s="17">
        <v>42296</v>
      </c>
      <c r="D108" s="18" t="s">
        <v>101</v>
      </c>
      <c r="E108" s="18" t="s">
        <v>5</v>
      </c>
      <c r="F108" s="18">
        <v>1</v>
      </c>
      <c r="G108" s="19">
        <v>656600</v>
      </c>
      <c r="H108" s="19">
        <v>651200</v>
      </c>
      <c r="I108" s="18" t="s">
        <v>22</v>
      </c>
      <c r="J108" s="29" t="str">
        <f t="shared" si="6"/>
        <v>Thu</v>
      </c>
      <c r="K108" s="29" t="b">
        <f t="shared" si="7"/>
        <v>0</v>
      </c>
      <c r="L108" s="29" t="b">
        <f t="shared" si="8"/>
        <v>0</v>
      </c>
      <c r="M108" s="29" t="b">
        <f t="shared" si="11"/>
        <v>1</v>
      </c>
      <c r="N108" s="29" cm="1">
        <f t="array" ref="N108">_xlfn.IFS(
  E108="Airlines 1", IF(K108, F108*0.04, 0),
  E108="Airlines 2", P108,
  E108="Airlines 3", IF(L108, 20000*F108, 0),
  E108="Airlines 4", IF(M108, 15000*F108, 0),
  E108="Airlines 5",
    IF(F108&lt;50000000, F108*0.01,
      IF(F108&lt;100000000, F108*0.02,
        IF(F108&lt;200000000, F108*0.03, F108*0.035))),
  TRUE, 0
)</f>
        <v>0</v>
      </c>
      <c r="O108" s="29">
        <f t="shared" si="9"/>
        <v>0</v>
      </c>
      <c r="P108" s="29">
        <f t="shared" si="10"/>
        <v>0</v>
      </c>
      <c r="Q108" s="30" cm="1">
        <f t="array" ref="Q108">_xlfn.SWITCH(I108, "Method 1", 0, "Method 2", H108*0.03, "Method 3", 4000, "Method 4", 3000, 0)</f>
        <v>0</v>
      </c>
    </row>
    <row r="109" spans="1:17">
      <c r="A109" s="24">
        <v>53197255</v>
      </c>
      <c r="B109" s="17">
        <v>42292</v>
      </c>
      <c r="C109" s="17">
        <v>42293</v>
      </c>
      <c r="D109" s="18" t="s">
        <v>73</v>
      </c>
      <c r="E109" s="18" t="s">
        <v>5</v>
      </c>
      <c r="F109" s="18">
        <v>1</v>
      </c>
      <c r="G109" s="19">
        <v>341900</v>
      </c>
      <c r="H109" s="19">
        <v>338800</v>
      </c>
      <c r="I109" s="18" t="s">
        <v>22</v>
      </c>
      <c r="J109" s="29" t="str">
        <f t="shared" si="6"/>
        <v>Thu</v>
      </c>
      <c r="K109" s="29" t="b">
        <f t="shared" si="7"/>
        <v>0</v>
      </c>
      <c r="L109" s="29" t="b">
        <f t="shared" si="8"/>
        <v>0</v>
      </c>
      <c r="M109" s="29" t="b">
        <f t="shared" si="11"/>
        <v>1</v>
      </c>
      <c r="N109" s="29" cm="1">
        <f t="array" ref="N109">_xlfn.IFS(
  E109="Airlines 1", IF(K109, F109*0.04, 0),
  E109="Airlines 2", P109,
  E109="Airlines 3", IF(L109, 20000*F109, 0),
  E109="Airlines 4", IF(M109, 15000*F109, 0),
  E109="Airlines 5",
    IF(F109&lt;50000000, F109*0.01,
      IF(F109&lt;100000000, F109*0.02,
        IF(F109&lt;200000000, F109*0.03, F109*0.035))),
  TRUE, 0
)</f>
        <v>0</v>
      </c>
      <c r="O109" s="29">
        <f t="shared" si="9"/>
        <v>0</v>
      </c>
      <c r="P109" s="29">
        <f t="shared" si="10"/>
        <v>0</v>
      </c>
      <c r="Q109" s="30" cm="1">
        <f t="array" ref="Q109">_xlfn.SWITCH(I109, "Method 1", 0, "Method 2", H109*0.03, "Method 3", 4000, "Method 4", 3000, 0)</f>
        <v>0</v>
      </c>
    </row>
    <row r="110" spans="1:17">
      <c r="A110" s="24">
        <v>53197158</v>
      </c>
      <c r="B110" s="17">
        <v>42292</v>
      </c>
      <c r="C110" s="17">
        <v>42293</v>
      </c>
      <c r="D110" s="18" t="s">
        <v>102</v>
      </c>
      <c r="E110" s="18" t="s">
        <v>5</v>
      </c>
      <c r="F110" s="18">
        <v>1</v>
      </c>
      <c r="G110" s="19">
        <v>1442000</v>
      </c>
      <c r="H110" s="19">
        <v>1434000</v>
      </c>
      <c r="I110" s="18" t="s">
        <v>22</v>
      </c>
      <c r="J110" s="29" t="str">
        <f t="shared" si="6"/>
        <v>Thu</v>
      </c>
      <c r="K110" s="29" t="b">
        <f t="shared" si="7"/>
        <v>0</v>
      </c>
      <c r="L110" s="29" t="b">
        <f t="shared" si="8"/>
        <v>0</v>
      </c>
      <c r="M110" s="29" t="b">
        <f t="shared" si="11"/>
        <v>1</v>
      </c>
      <c r="N110" s="29" cm="1">
        <f t="array" ref="N110">_xlfn.IFS(
  E110="Airlines 1", IF(K110, F110*0.04, 0),
  E110="Airlines 2", P110,
  E110="Airlines 3", IF(L110, 20000*F110, 0),
  E110="Airlines 4", IF(M110, 15000*F110, 0),
  E110="Airlines 5",
    IF(F110&lt;50000000, F110*0.01,
      IF(F110&lt;100000000, F110*0.02,
        IF(F110&lt;200000000, F110*0.03, F110*0.035))),
  TRUE, 0
)</f>
        <v>0</v>
      </c>
      <c r="O110" s="29">
        <f t="shared" si="9"/>
        <v>0</v>
      </c>
      <c r="P110" s="29">
        <f t="shared" si="10"/>
        <v>0</v>
      </c>
      <c r="Q110" s="30" cm="1">
        <f t="array" ref="Q110">_xlfn.SWITCH(I110, "Method 1", 0, "Method 2", H110*0.03, "Method 3", 4000, "Method 4", 3000, 0)</f>
        <v>0</v>
      </c>
    </row>
    <row r="111" spans="1:17">
      <c r="A111" s="24">
        <v>53196669</v>
      </c>
      <c r="B111" s="17">
        <v>42292</v>
      </c>
      <c r="C111" s="17">
        <v>42293</v>
      </c>
      <c r="D111" s="18" t="s">
        <v>103</v>
      </c>
      <c r="E111" s="18" t="s">
        <v>5</v>
      </c>
      <c r="F111" s="18">
        <v>3</v>
      </c>
      <c r="G111" s="19">
        <v>1011000</v>
      </c>
      <c r="H111" s="19">
        <v>999300</v>
      </c>
      <c r="I111" s="18" t="s">
        <v>22</v>
      </c>
      <c r="J111" s="29" t="str">
        <f t="shared" si="6"/>
        <v>Thu</v>
      </c>
      <c r="K111" s="29" t="b">
        <f t="shared" si="7"/>
        <v>0</v>
      </c>
      <c r="L111" s="29" t="b">
        <f t="shared" si="8"/>
        <v>0</v>
      </c>
      <c r="M111" s="29" t="b">
        <f t="shared" si="11"/>
        <v>1</v>
      </c>
      <c r="N111" s="29" cm="1">
        <f t="array" ref="N111">_xlfn.IFS(
  E111="Airlines 1", IF(K111, F111*0.04, 0),
  E111="Airlines 2", P111,
  E111="Airlines 3", IF(L111, 20000*F111, 0),
  E111="Airlines 4", IF(M111, 15000*F111, 0),
  E111="Airlines 5",
    IF(F111&lt;50000000, F111*0.01,
      IF(F111&lt;100000000, F111*0.02,
        IF(F111&lt;200000000, F111*0.03, F111*0.035))),
  TRUE, 0
)</f>
        <v>0</v>
      </c>
      <c r="O111" s="29">
        <f t="shared" si="9"/>
        <v>0</v>
      </c>
      <c r="P111" s="29">
        <f t="shared" si="10"/>
        <v>0</v>
      </c>
      <c r="Q111" s="30" cm="1">
        <f t="array" ref="Q111">_xlfn.SWITCH(I111, "Method 1", 0, "Method 2", H111*0.03, "Method 3", 4000, "Method 4", 3000, 0)</f>
        <v>0</v>
      </c>
    </row>
    <row r="112" spans="1:17">
      <c r="A112" s="24">
        <v>53197232</v>
      </c>
      <c r="B112" s="17">
        <v>42293</v>
      </c>
      <c r="C112" s="17">
        <v>42294</v>
      </c>
      <c r="D112" s="18" t="s">
        <v>104</v>
      </c>
      <c r="E112" s="18" t="s">
        <v>5</v>
      </c>
      <c r="F112" s="18">
        <v>1</v>
      </c>
      <c r="G112" s="19">
        <v>465000</v>
      </c>
      <c r="H112" s="19">
        <v>461000</v>
      </c>
      <c r="I112" s="18" t="s">
        <v>22</v>
      </c>
      <c r="J112" s="29" t="str">
        <f t="shared" si="6"/>
        <v>Fri</v>
      </c>
      <c r="K112" s="29" t="b">
        <f t="shared" si="7"/>
        <v>0</v>
      </c>
      <c r="L112" s="29" t="b">
        <f t="shared" si="8"/>
        <v>0</v>
      </c>
      <c r="M112" s="29" t="b">
        <f t="shared" si="11"/>
        <v>0</v>
      </c>
      <c r="N112" s="29" cm="1">
        <f t="array" ref="N112">_xlfn.IFS(
  E112="Airlines 1", IF(K112, F112*0.04, 0),
  E112="Airlines 2", P112,
  E112="Airlines 3", IF(L112, 20000*F112, 0),
  E112="Airlines 4", IF(M112, 15000*F112, 0),
  E112="Airlines 5",
    IF(F112&lt;50000000, F112*0.01,
      IF(F112&lt;100000000, F112*0.02,
        IF(F112&lt;200000000, F112*0.03, F112*0.035))),
  TRUE, 0
)</f>
        <v>0</v>
      </c>
      <c r="O112" s="29">
        <f t="shared" si="9"/>
        <v>13</v>
      </c>
      <c r="P112" s="29">
        <f t="shared" si="10"/>
        <v>0</v>
      </c>
      <c r="Q112" s="30" cm="1">
        <f t="array" ref="Q112">_xlfn.SWITCH(I112, "Method 1", 0, "Method 2", H112*0.03, "Method 3", 4000, "Method 4", 3000, 0)</f>
        <v>0</v>
      </c>
    </row>
    <row r="113" spans="1:17">
      <c r="A113" s="24">
        <v>53196995</v>
      </c>
      <c r="B113" s="17">
        <v>42293</v>
      </c>
      <c r="C113" s="17">
        <v>42295</v>
      </c>
      <c r="D113" s="18" t="s">
        <v>86</v>
      </c>
      <c r="E113" s="18" t="s">
        <v>5</v>
      </c>
      <c r="F113" s="18">
        <v>1</v>
      </c>
      <c r="G113" s="19">
        <v>1959000</v>
      </c>
      <c r="H113" s="19">
        <v>1945100</v>
      </c>
      <c r="I113" s="18" t="s">
        <v>22</v>
      </c>
      <c r="J113" s="29" t="str">
        <f t="shared" si="6"/>
        <v>Fri</v>
      </c>
      <c r="K113" s="29" t="b">
        <f t="shared" si="7"/>
        <v>0</v>
      </c>
      <c r="L113" s="29" t="b">
        <f t="shared" si="8"/>
        <v>0</v>
      </c>
      <c r="M113" s="29" t="b">
        <f t="shared" si="11"/>
        <v>0</v>
      </c>
      <c r="N113" s="29" cm="1">
        <f t="array" ref="N113">_xlfn.IFS(
  E113="Airlines 1", IF(K113, F113*0.04, 0),
  E113="Airlines 2", P113,
  E113="Airlines 3", IF(L113, 20000*F113, 0),
  E113="Airlines 4", IF(M113, 15000*F113, 0),
  E113="Airlines 5",
    IF(F113&lt;50000000, F113*0.01,
      IF(F113&lt;100000000, F113*0.02,
        IF(F113&lt;200000000, F113*0.03, F113*0.035))),
  TRUE, 0
)</f>
        <v>0</v>
      </c>
      <c r="O113" s="29">
        <f t="shared" si="9"/>
        <v>13</v>
      </c>
      <c r="P113" s="29">
        <f t="shared" si="10"/>
        <v>0</v>
      </c>
      <c r="Q113" s="30" cm="1">
        <f t="array" ref="Q113">_xlfn.SWITCH(I113, "Method 1", 0, "Method 2", H113*0.03, "Method 3", 4000, "Method 4", 3000, 0)</f>
        <v>0</v>
      </c>
    </row>
    <row r="114" spans="1:17">
      <c r="A114" s="24">
        <v>53197273</v>
      </c>
      <c r="B114" s="17">
        <v>42293</v>
      </c>
      <c r="C114" s="17">
        <v>42295</v>
      </c>
      <c r="D114" s="18" t="s">
        <v>51</v>
      </c>
      <c r="E114" s="18" t="s">
        <v>5</v>
      </c>
      <c r="F114" s="18">
        <v>2</v>
      </c>
      <c r="G114" s="19">
        <v>1656000</v>
      </c>
      <c r="H114" s="19">
        <v>1640400</v>
      </c>
      <c r="I114" s="18" t="s">
        <v>22</v>
      </c>
      <c r="J114" s="29" t="str">
        <f t="shared" si="6"/>
        <v>Fri</v>
      </c>
      <c r="K114" s="29" t="b">
        <f t="shared" si="7"/>
        <v>0</v>
      </c>
      <c r="L114" s="29" t="b">
        <f t="shared" si="8"/>
        <v>0</v>
      </c>
      <c r="M114" s="29" t="b">
        <f t="shared" si="11"/>
        <v>0</v>
      </c>
      <c r="N114" s="29" cm="1">
        <f t="array" ref="N114">_xlfn.IFS(
  E114="Airlines 1", IF(K114, F114*0.04, 0),
  E114="Airlines 2", P114,
  E114="Airlines 3", IF(L114, 20000*F114, 0),
  E114="Airlines 4", IF(M114, 15000*F114, 0),
  E114="Airlines 5",
    IF(F114&lt;50000000, F114*0.01,
      IF(F114&lt;100000000, F114*0.02,
        IF(F114&lt;200000000, F114*0.03, F114*0.035))),
  TRUE, 0
)</f>
        <v>0</v>
      </c>
      <c r="O114" s="29">
        <f t="shared" si="9"/>
        <v>13</v>
      </c>
      <c r="P114" s="29">
        <f t="shared" si="10"/>
        <v>0</v>
      </c>
      <c r="Q114" s="30" cm="1">
        <f t="array" ref="Q114">_xlfn.SWITCH(I114, "Method 1", 0, "Method 2", H114*0.03, "Method 3", 4000, "Method 4", 3000, 0)</f>
        <v>0</v>
      </c>
    </row>
    <row r="115" spans="1:17">
      <c r="A115" s="24">
        <v>53197115</v>
      </c>
      <c r="B115" s="17">
        <v>42293</v>
      </c>
      <c r="C115" s="17">
        <v>42295</v>
      </c>
      <c r="D115" s="18" t="s">
        <v>56</v>
      </c>
      <c r="E115" s="18" t="s">
        <v>5</v>
      </c>
      <c r="F115" s="18">
        <v>1</v>
      </c>
      <c r="G115" s="19">
        <v>925000</v>
      </c>
      <c r="H115" s="19">
        <v>916300</v>
      </c>
      <c r="I115" s="18" t="s">
        <v>26</v>
      </c>
      <c r="J115" s="29" t="str">
        <f t="shared" si="6"/>
        <v>Fri</v>
      </c>
      <c r="K115" s="29" t="b">
        <f t="shared" si="7"/>
        <v>0</v>
      </c>
      <c r="L115" s="29" t="b">
        <f t="shared" si="8"/>
        <v>0</v>
      </c>
      <c r="M115" s="29" t="b">
        <f t="shared" si="11"/>
        <v>0</v>
      </c>
      <c r="N115" s="29" cm="1">
        <f t="array" ref="N115">_xlfn.IFS(
  E115="Airlines 1", IF(K115, F115*0.04, 0),
  E115="Airlines 2", P115,
  E115="Airlines 3", IF(L115, 20000*F115, 0),
  E115="Airlines 4", IF(M115, 15000*F115, 0),
  E115="Airlines 5",
    IF(F115&lt;50000000, F115*0.01,
      IF(F115&lt;100000000, F115*0.02,
        IF(F115&lt;200000000, F115*0.03, F115*0.035))),
  TRUE, 0
)</f>
        <v>0</v>
      </c>
      <c r="O115" s="29">
        <f t="shared" si="9"/>
        <v>13</v>
      </c>
      <c r="P115" s="29">
        <f t="shared" si="10"/>
        <v>0</v>
      </c>
      <c r="Q115" s="30" cm="1">
        <f t="array" ref="Q115">_xlfn.SWITCH(I115, "Method 1", 0, "Method 2", H115*0.03, "Method 3", 4000, "Method 4", 3000, 0)</f>
        <v>4000</v>
      </c>
    </row>
    <row r="116" spans="1:17">
      <c r="A116" s="24">
        <v>53197306</v>
      </c>
      <c r="B116" s="17">
        <v>42293</v>
      </c>
      <c r="C116" s="17">
        <v>42295</v>
      </c>
      <c r="D116" s="18" t="s">
        <v>105</v>
      </c>
      <c r="E116" s="18" t="s">
        <v>5</v>
      </c>
      <c r="F116" s="18">
        <v>1</v>
      </c>
      <c r="G116" s="19">
        <v>787000</v>
      </c>
      <c r="H116" s="19">
        <v>779600</v>
      </c>
      <c r="I116" s="18" t="s">
        <v>24</v>
      </c>
      <c r="J116" s="29" t="str">
        <f t="shared" si="6"/>
        <v>Fri</v>
      </c>
      <c r="K116" s="29" t="b">
        <f t="shared" si="7"/>
        <v>0</v>
      </c>
      <c r="L116" s="29" t="b">
        <f t="shared" si="8"/>
        <v>0</v>
      </c>
      <c r="M116" s="29" t="b">
        <f t="shared" si="11"/>
        <v>0</v>
      </c>
      <c r="N116" s="29" cm="1">
        <f t="array" ref="N116">_xlfn.IFS(
  E116="Airlines 1", IF(K116, F116*0.04, 0),
  E116="Airlines 2", P116,
  E116="Airlines 3", IF(L116, 20000*F116, 0),
  E116="Airlines 4", IF(M116, 15000*F116, 0),
  E116="Airlines 5",
    IF(F116&lt;50000000, F116*0.01,
      IF(F116&lt;100000000, F116*0.02,
        IF(F116&lt;200000000, F116*0.03, F116*0.035))),
  TRUE, 0
)</f>
        <v>0</v>
      </c>
      <c r="O116" s="29">
        <f t="shared" si="9"/>
        <v>13</v>
      </c>
      <c r="P116" s="29">
        <f t="shared" si="10"/>
        <v>0</v>
      </c>
      <c r="Q116" s="30" cm="1">
        <f t="array" ref="Q116">_xlfn.SWITCH(I116, "Method 1", 0, "Method 2", H116*0.03, "Method 3", 4000, "Method 4", 3000, 0)</f>
        <v>23388</v>
      </c>
    </row>
    <row r="117" spans="1:17">
      <c r="A117" s="24">
        <v>53197300</v>
      </c>
      <c r="B117" s="17">
        <v>42293</v>
      </c>
      <c r="C117" s="17">
        <v>42294</v>
      </c>
      <c r="D117" s="18" t="s">
        <v>106</v>
      </c>
      <c r="E117" s="18" t="s">
        <v>5</v>
      </c>
      <c r="F117" s="18">
        <v>1</v>
      </c>
      <c r="G117" s="19">
        <v>374000</v>
      </c>
      <c r="H117" s="19">
        <v>369800</v>
      </c>
      <c r="I117" s="18" t="s">
        <v>26</v>
      </c>
      <c r="J117" s="29" t="str">
        <f t="shared" si="6"/>
        <v>Fri</v>
      </c>
      <c r="K117" s="29" t="b">
        <f t="shared" si="7"/>
        <v>0</v>
      </c>
      <c r="L117" s="29" t="b">
        <f t="shared" si="8"/>
        <v>0</v>
      </c>
      <c r="M117" s="29" t="b">
        <f t="shared" si="11"/>
        <v>0</v>
      </c>
      <c r="N117" s="29" cm="1">
        <f t="array" ref="N117">_xlfn.IFS(
  E117="Airlines 1", IF(K117, F117*0.04, 0),
  E117="Airlines 2", P117,
  E117="Airlines 3", IF(L117, 20000*F117, 0),
  E117="Airlines 4", IF(M117, 15000*F117, 0),
  E117="Airlines 5",
    IF(F117&lt;50000000, F117*0.01,
      IF(F117&lt;100000000, F117*0.02,
        IF(F117&lt;200000000, F117*0.03, F117*0.035))),
  TRUE, 0
)</f>
        <v>0</v>
      </c>
      <c r="O117" s="29">
        <f t="shared" si="9"/>
        <v>13</v>
      </c>
      <c r="P117" s="29">
        <f t="shared" si="10"/>
        <v>0</v>
      </c>
      <c r="Q117" s="30" cm="1">
        <f t="array" ref="Q117">_xlfn.SWITCH(I117, "Method 1", 0, "Method 2", H117*0.03, "Method 3", 4000, "Method 4", 3000, 0)</f>
        <v>4000</v>
      </c>
    </row>
    <row r="118" spans="1:17">
      <c r="A118" s="24">
        <v>53197203</v>
      </c>
      <c r="B118" s="17">
        <v>42293</v>
      </c>
      <c r="C118" s="17">
        <v>42368</v>
      </c>
      <c r="D118" s="18" t="s">
        <v>79</v>
      </c>
      <c r="E118" s="18" t="s">
        <v>5</v>
      </c>
      <c r="F118" s="18">
        <v>2</v>
      </c>
      <c r="G118" s="19">
        <v>1178000</v>
      </c>
      <c r="H118" s="19">
        <v>1167000</v>
      </c>
      <c r="I118" s="18" t="s">
        <v>22</v>
      </c>
      <c r="J118" s="29" t="str">
        <f t="shared" si="6"/>
        <v>Fri</v>
      </c>
      <c r="K118" s="29" t="b">
        <f t="shared" si="7"/>
        <v>0</v>
      </c>
      <c r="L118" s="29" t="b">
        <f t="shared" si="8"/>
        <v>0</v>
      </c>
      <c r="M118" s="29" t="b">
        <f t="shared" si="11"/>
        <v>0</v>
      </c>
      <c r="N118" s="29" cm="1">
        <f t="array" ref="N118">_xlfn.IFS(
  E118="Airlines 1", IF(K118, F118*0.04, 0),
  E118="Airlines 2", P118,
  E118="Airlines 3", IF(L118, 20000*F118, 0),
  E118="Airlines 4", IF(M118, 15000*F118, 0),
  E118="Airlines 5",
    IF(F118&lt;50000000, F118*0.01,
      IF(F118&lt;100000000, F118*0.02,
        IF(F118&lt;200000000, F118*0.03, F118*0.035))),
  TRUE, 0
)</f>
        <v>0</v>
      </c>
      <c r="O118" s="29">
        <f t="shared" si="9"/>
        <v>13</v>
      </c>
      <c r="P118" s="29">
        <f t="shared" si="10"/>
        <v>0</v>
      </c>
      <c r="Q118" s="30" cm="1">
        <f t="array" ref="Q118">_xlfn.SWITCH(I118, "Method 1", 0, "Method 2", H118*0.03, "Method 3", 4000, "Method 4", 3000, 0)</f>
        <v>0</v>
      </c>
    </row>
    <row r="119" spans="1:17">
      <c r="A119" s="24">
        <v>53197294</v>
      </c>
      <c r="B119" s="17">
        <v>42293</v>
      </c>
      <c r="C119" s="17">
        <v>42295</v>
      </c>
      <c r="D119" s="18" t="s">
        <v>101</v>
      </c>
      <c r="E119" s="18" t="s">
        <v>5</v>
      </c>
      <c r="F119" s="18">
        <v>1</v>
      </c>
      <c r="G119" s="19">
        <v>760000</v>
      </c>
      <c r="H119" s="19">
        <v>752700</v>
      </c>
      <c r="I119" s="18" t="s">
        <v>22</v>
      </c>
      <c r="J119" s="29" t="str">
        <f t="shared" si="6"/>
        <v>Fri</v>
      </c>
      <c r="K119" s="29" t="b">
        <f t="shared" si="7"/>
        <v>0</v>
      </c>
      <c r="L119" s="29" t="b">
        <f t="shared" si="8"/>
        <v>0</v>
      </c>
      <c r="M119" s="29" t="b">
        <f t="shared" si="11"/>
        <v>0</v>
      </c>
      <c r="N119" s="29" cm="1">
        <f t="array" ref="N119">_xlfn.IFS(
  E119="Airlines 1", IF(K119, F119*0.04, 0),
  E119="Airlines 2", P119,
  E119="Airlines 3", IF(L119, 20000*F119, 0),
  E119="Airlines 4", IF(M119, 15000*F119, 0),
  E119="Airlines 5",
    IF(F119&lt;50000000, F119*0.01,
      IF(F119&lt;100000000, F119*0.02,
        IF(F119&lt;200000000, F119*0.03, F119*0.035))),
  TRUE, 0
)</f>
        <v>0</v>
      </c>
      <c r="O119" s="29">
        <f t="shared" si="9"/>
        <v>13</v>
      </c>
      <c r="P119" s="29">
        <f t="shared" si="10"/>
        <v>0</v>
      </c>
      <c r="Q119" s="30" cm="1">
        <f t="array" ref="Q119">_xlfn.SWITCH(I119, "Method 1", 0, "Method 2", H119*0.03, "Method 3", 4000, "Method 4", 3000, 0)</f>
        <v>0</v>
      </c>
    </row>
    <row r="120" spans="1:17">
      <c r="A120" s="24">
        <v>53193583</v>
      </c>
      <c r="B120" s="17">
        <v>42293</v>
      </c>
      <c r="C120" s="17">
        <v>42300</v>
      </c>
      <c r="D120" s="18" t="s">
        <v>107</v>
      </c>
      <c r="E120" s="18" t="s">
        <v>5</v>
      </c>
      <c r="F120" s="18">
        <v>3</v>
      </c>
      <c r="G120" s="19">
        <v>1773000</v>
      </c>
      <c r="H120" s="19">
        <v>1759800</v>
      </c>
      <c r="I120" s="18" t="s">
        <v>22</v>
      </c>
      <c r="J120" s="29" t="str">
        <f t="shared" si="6"/>
        <v>Fri</v>
      </c>
      <c r="K120" s="29" t="b">
        <f t="shared" si="7"/>
        <v>0</v>
      </c>
      <c r="L120" s="29" t="b">
        <f t="shared" si="8"/>
        <v>0</v>
      </c>
      <c r="M120" s="29" t="b">
        <f t="shared" si="11"/>
        <v>0</v>
      </c>
      <c r="N120" s="29" cm="1">
        <f t="array" ref="N120">_xlfn.IFS(
  E120="Airlines 1", IF(K120, F120*0.04, 0),
  E120="Airlines 2", P120,
  E120="Airlines 3", IF(L120, 20000*F120, 0),
  E120="Airlines 4", IF(M120, 15000*F120, 0),
  E120="Airlines 5",
    IF(F120&lt;50000000, F120*0.01,
      IF(F120&lt;100000000, F120*0.02,
        IF(F120&lt;200000000, F120*0.03, F120*0.035))),
  TRUE, 0
)</f>
        <v>0</v>
      </c>
      <c r="O120" s="29">
        <f t="shared" si="9"/>
        <v>13</v>
      </c>
      <c r="P120" s="29">
        <f t="shared" si="10"/>
        <v>0</v>
      </c>
      <c r="Q120" s="30" cm="1">
        <f t="array" ref="Q120">_xlfn.SWITCH(I120, "Method 1", 0, "Method 2", H120*0.03, "Method 3", 4000, "Method 4", 3000, 0)</f>
        <v>0</v>
      </c>
    </row>
    <row r="121" spans="1:17">
      <c r="A121" s="24">
        <v>53197064</v>
      </c>
      <c r="B121" s="17">
        <v>42293</v>
      </c>
      <c r="C121" s="17">
        <v>42294</v>
      </c>
      <c r="D121" s="18" t="s">
        <v>43</v>
      </c>
      <c r="E121" s="18" t="s">
        <v>5</v>
      </c>
      <c r="F121" s="18">
        <v>2</v>
      </c>
      <c r="G121" s="19">
        <v>1238000</v>
      </c>
      <c r="H121" s="19">
        <v>1226200</v>
      </c>
      <c r="I121" s="18" t="s">
        <v>26</v>
      </c>
      <c r="J121" s="29" t="str">
        <f t="shared" si="6"/>
        <v>Fri</v>
      </c>
      <c r="K121" s="29" t="b">
        <f t="shared" si="7"/>
        <v>0</v>
      </c>
      <c r="L121" s="29" t="b">
        <f t="shared" si="8"/>
        <v>1</v>
      </c>
      <c r="M121" s="29" t="b">
        <f t="shared" si="11"/>
        <v>0</v>
      </c>
      <c r="N121" s="29" cm="1">
        <f t="array" ref="N121">_xlfn.IFS(
  E121="Airlines 1", IF(K121, F121*0.04, 0),
  E121="Airlines 2", P121,
  E121="Airlines 3", IF(L121, 20000*F121, 0),
  E121="Airlines 4", IF(M121, 15000*F121, 0),
  E121="Airlines 5",
    IF(F121&lt;50000000, F121*0.01,
      IF(F121&lt;100000000, F121*0.02,
        IF(F121&lt;200000000, F121*0.03, F121*0.035))),
  TRUE, 0
)</f>
        <v>0</v>
      </c>
      <c r="O121" s="29">
        <f t="shared" si="9"/>
        <v>13</v>
      </c>
      <c r="P121" s="29">
        <f t="shared" si="10"/>
        <v>0</v>
      </c>
      <c r="Q121" s="30" cm="1">
        <f t="array" ref="Q121">_xlfn.SWITCH(I121, "Method 1", 0, "Method 2", H121*0.03, "Method 3", 4000, "Method 4", 3000, 0)</f>
        <v>4000</v>
      </c>
    </row>
    <row r="122" spans="1:17">
      <c r="A122" s="24">
        <v>53197190</v>
      </c>
      <c r="B122" s="17">
        <v>42293</v>
      </c>
      <c r="C122" s="17">
        <v>42294</v>
      </c>
      <c r="D122" s="18" t="s">
        <v>108</v>
      </c>
      <c r="E122" s="18" t="s">
        <v>5</v>
      </c>
      <c r="F122" s="18">
        <v>1</v>
      </c>
      <c r="G122" s="19">
        <v>460100</v>
      </c>
      <c r="H122" s="19">
        <v>455500</v>
      </c>
      <c r="I122" s="18" t="s">
        <v>24</v>
      </c>
      <c r="J122" s="29" t="str">
        <f t="shared" si="6"/>
        <v>Fri</v>
      </c>
      <c r="K122" s="29" t="b">
        <f t="shared" si="7"/>
        <v>0</v>
      </c>
      <c r="L122" s="29" t="b">
        <f t="shared" si="8"/>
        <v>0</v>
      </c>
      <c r="M122" s="29" t="b">
        <f t="shared" si="11"/>
        <v>0</v>
      </c>
      <c r="N122" s="29" cm="1">
        <f t="array" ref="N122">_xlfn.IFS(
  E122="Airlines 1", IF(K122, F122*0.04, 0),
  E122="Airlines 2", P122,
  E122="Airlines 3", IF(L122, 20000*F122, 0),
  E122="Airlines 4", IF(M122, 15000*F122, 0),
  E122="Airlines 5",
    IF(F122&lt;50000000, F122*0.01,
      IF(F122&lt;100000000, F122*0.02,
        IF(F122&lt;200000000, F122*0.03, F122*0.035))),
  TRUE, 0
)</f>
        <v>0</v>
      </c>
      <c r="O122" s="29">
        <f t="shared" si="9"/>
        <v>13</v>
      </c>
      <c r="P122" s="29">
        <f t="shared" si="10"/>
        <v>0</v>
      </c>
      <c r="Q122" s="30" cm="1">
        <f t="array" ref="Q122">_xlfn.SWITCH(I122, "Method 1", 0, "Method 2", H122*0.03, "Method 3", 4000, "Method 4", 3000, 0)</f>
        <v>13665</v>
      </c>
    </row>
    <row r="123" spans="1:17">
      <c r="A123" s="24">
        <v>53197381</v>
      </c>
      <c r="B123" s="17">
        <v>42293</v>
      </c>
      <c r="C123" s="17">
        <v>42337</v>
      </c>
      <c r="D123" s="18" t="s">
        <v>102</v>
      </c>
      <c r="E123" s="18" t="s">
        <v>5</v>
      </c>
      <c r="F123" s="18">
        <v>1</v>
      </c>
      <c r="G123" s="19">
        <v>1442000</v>
      </c>
      <c r="H123" s="19">
        <v>1434000</v>
      </c>
      <c r="I123" s="18" t="s">
        <v>26</v>
      </c>
      <c r="J123" s="29" t="str">
        <f t="shared" si="6"/>
        <v>Fri</v>
      </c>
      <c r="K123" s="29" t="b">
        <f t="shared" si="7"/>
        <v>0</v>
      </c>
      <c r="L123" s="29" t="b">
        <f t="shared" si="8"/>
        <v>0</v>
      </c>
      <c r="M123" s="29" t="b">
        <f t="shared" si="11"/>
        <v>0</v>
      </c>
      <c r="N123" s="29" cm="1">
        <f t="array" ref="N123">_xlfn.IFS(
  E123="Airlines 1", IF(K123, F123*0.04, 0),
  E123="Airlines 2", P123,
  E123="Airlines 3", IF(L123, 20000*F123, 0),
  E123="Airlines 4", IF(M123, 15000*F123, 0),
  E123="Airlines 5",
    IF(F123&lt;50000000, F123*0.01,
      IF(F123&lt;100000000, F123*0.02,
        IF(F123&lt;200000000, F123*0.03, F123*0.035))),
  TRUE, 0
)</f>
        <v>0</v>
      </c>
      <c r="O123" s="29">
        <f t="shared" si="9"/>
        <v>13</v>
      </c>
      <c r="P123" s="29">
        <f t="shared" si="10"/>
        <v>0</v>
      </c>
      <c r="Q123" s="30" cm="1">
        <f t="array" ref="Q123">_xlfn.SWITCH(I123, "Method 1", 0, "Method 2", H123*0.03, "Method 3", 4000, "Method 4", 3000, 0)</f>
        <v>4000</v>
      </c>
    </row>
    <row r="124" spans="1:17">
      <c r="A124" s="24">
        <v>53197188</v>
      </c>
      <c r="B124" s="17">
        <v>42293</v>
      </c>
      <c r="C124" s="17">
        <v>42295</v>
      </c>
      <c r="D124" s="18" t="s">
        <v>43</v>
      </c>
      <c r="E124" s="18" t="s">
        <v>5</v>
      </c>
      <c r="F124" s="18">
        <v>1</v>
      </c>
      <c r="G124" s="19">
        <v>619000</v>
      </c>
      <c r="H124" s="19">
        <v>614600</v>
      </c>
      <c r="I124" s="18" t="s">
        <v>22</v>
      </c>
      <c r="J124" s="29" t="str">
        <f t="shared" si="6"/>
        <v>Fri</v>
      </c>
      <c r="K124" s="29" t="b">
        <f t="shared" si="7"/>
        <v>0</v>
      </c>
      <c r="L124" s="29" t="b">
        <f t="shared" si="8"/>
        <v>1</v>
      </c>
      <c r="M124" s="29" t="b">
        <f t="shared" si="11"/>
        <v>0</v>
      </c>
      <c r="N124" s="29" cm="1">
        <f t="array" ref="N124">_xlfn.IFS(
  E124="Airlines 1", IF(K124, F124*0.04, 0),
  E124="Airlines 2", P124,
  E124="Airlines 3", IF(L124, 20000*F124, 0),
  E124="Airlines 4", IF(M124, 15000*F124, 0),
  E124="Airlines 5",
    IF(F124&lt;50000000, F124*0.01,
      IF(F124&lt;100000000, F124*0.02,
        IF(F124&lt;200000000, F124*0.03, F124*0.035))),
  TRUE, 0
)</f>
        <v>0</v>
      </c>
      <c r="O124" s="29">
        <f t="shared" si="9"/>
        <v>13</v>
      </c>
      <c r="P124" s="29">
        <f t="shared" si="10"/>
        <v>0</v>
      </c>
      <c r="Q124" s="30" cm="1">
        <f t="array" ref="Q124">_xlfn.SWITCH(I124, "Method 1", 0, "Method 2", H124*0.03, "Method 3", 4000, "Method 4", 3000, 0)</f>
        <v>0</v>
      </c>
    </row>
    <row r="125" spans="1:17">
      <c r="A125" s="24">
        <v>53197169</v>
      </c>
      <c r="B125" s="17">
        <v>42293</v>
      </c>
      <c r="C125" s="17">
        <v>42335</v>
      </c>
      <c r="D125" s="18" t="s">
        <v>82</v>
      </c>
      <c r="E125" s="18" t="s">
        <v>5</v>
      </c>
      <c r="F125" s="18">
        <v>1</v>
      </c>
      <c r="G125" s="19">
        <v>351900</v>
      </c>
      <c r="H125" s="19">
        <v>348800</v>
      </c>
      <c r="I125" s="18" t="s">
        <v>22</v>
      </c>
      <c r="J125" s="29" t="str">
        <f t="shared" si="6"/>
        <v>Fri</v>
      </c>
      <c r="K125" s="29" t="b">
        <f t="shared" si="7"/>
        <v>0</v>
      </c>
      <c r="L125" s="29" t="b">
        <f t="shared" si="8"/>
        <v>0</v>
      </c>
      <c r="M125" s="29" t="b">
        <f t="shared" si="11"/>
        <v>0</v>
      </c>
      <c r="N125" s="29" cm="1">
        <f t="array" ref="N125">_xlfn.IFS(
  E125="Airlines 1", IF(K125, F125*0.04, 0),
  E125="Airlines 2", P125,
  E125="Airlines 3", IF(L125, 20000*F125, 0),
  E125="Airlines 4", IF(M125, 15000*F125, 0),
  E125="Airlines 5",
    IF(F125&lt;50000000, F125*0.01,
      IF(F125&lt;100000000, F125*0.02,
        IF(F125&lt;200000000, F125*0.03, F125*0.035))),
  TRUE, 0
)</f>
        <v>0</v>
      </c>
      <c r="O125" s="29">
        <f t="shared" si="9"/>
        <v>13</v>
      </c>
      <c r="P125" s="29">
        <f t="shared" si="10"/>
        <v>0</v>
      </c>
      <c r="Q125" s="30" cm="1">
        <f t="array" ref="Q125">_xlfn.SWITCH(I125, "Method 1", 0, "Method 2", H125*0.03, "Method 3", 4000, "Method 4", 3000, 0)</f>
        <v>0</v>
      </c>
    </row>
    <row r="126" spans="1:17">
      <c r="A126" s="24">
        <v>53193844</v>
      </c>
      <c r="B126" s="17">
        <v>42293</v>
      </c>
      <c r="C126" s="17">
        <v>42295</v>
      </c>
      <c r="D126" s="18" t="s">
        <v>49</v>
      </c>
      <c r="E126" s="18" t="s">
        <v>5</v>
      </c>
      <c r="F126" s="18">
        <v>1</v>
      </c>
      <c r="G126" s="19">
        <v>969000</v>
      </c>
      <c r="H126" s="19">
        <v>959800</v>
      </c>
      <c r="I126" s="18" t="s">
        <v>22</v>
      </c>
      <c r="J126" s="29" t="str">
        <f t="shared" si="6"/>
        <v>Fri</v>
      </c>
      <c r="K126" s="29" t="b">
        <f t="shared" si="7"/>
        <v>0</v>
      </c>
      <c r="L126" s="29" t="b">
        <f t="shared" si="8"/>
        <v>0</v>
      </c>
      <c r="M126" s="29" t="b">
        <f t="shared" si="11"/>
        <v>0</v>
      </c>
      <c r="N126" s="29" cm="1">
        <f t="array" ref="N126">_xlfn.IFS(
  E126="Airlines 1", IF(K126, F126*0.04, 0),
  E126="Airlines 2", P126,
  E126="Airlines 3", IF(L126, 20000*F126, 0),
  E126="Airlines 4", IF(M126, 15000*F126, 0),
  E126="Airlines 5",
    IF(F126&lt;50000000, F126*0.01,
      IF(F126&lt;100000000, F126*0.02,
        IF(F126&lt;200000000, F126*0.03, F126*0.035))),
  TRUE, 0
)</f>
        <v>0</v>
      </c>
      <c r="O126" s="29">
        <f t="shared" si="9"/>
        <v>13</v>
      </c>
      <c r="P126" s="29">
        <f t="shared" si="10"/>
        <v>0</v>
      </c>
      <c r="Q126" s="30" cm="1">
        <f t="array" ref="Q126">_xlfn.SWITCH(I126, "Method 1", 0, "Method 2", H126*0.03, "Method 3", 4000, "Method 4", 3000, 0)</f>
        <v>0</v>
      </c>
    </row>
    <row r="127" spans="1:17">
      <c r="A127" s="24">
        <v>53197207</v>
      </c>
      <c r="B127" s="17">
        <v>42293</v>
      </c>
      <c r="C127" s="17">
        <v>42295</v>
      </c>
      <c r="D127" s="18" t="s">
        <v>109</v>
      </c>
      <c r="E127" s="18" t="s">
        <v>5</v>
      </c>
      <c r="F127" s="18">
        <v>1</v>
      </c>
      <c r="G127" s="19">
        <v>447000</v>
      </c>
      <c r="H127" s="19">
        <v>443100</v>
      </c>
      <c r="I127" s="18" t="s">
        <v>26</v>
      </c>
      <c r="J127" s="29" t="str">
        <f t="shared" si="6"/>
        <v>Fri</v>
      </c>
      <c r="K127" s="29" t="b">
        <f t="shared" si="7"/>
        <v>0</v>
      </c>
      <c r="L127" s="29" t="b">
        <f t="shared" si="8"/>
        <v>0</v>
      </c>
      <c r="M127" s="29" t="b">
        <f t="shared" si="11"/>
        <v>0</v>
      </c>
      <c r="N127" s="29" cm="1">
        <f t="array" ref="N127">_xlfn.IFS(
  E127="Airlines 1", IF(K127, F127*0.04, 0),
  E127="Airlines 2", P127,
  E127="Airlines 3", IF(L127, 20000*F127, 0),
  E127="Airlines 4", IF(M127, 15000*F127, 0),
  E127="Airlines 5",
    IF(F127&lt;50000000, F127*0.01,
      IF(F127&lt;100000000, F127*0.02,
        IF(F127&lt;200000000, F127*0.03, F127*0.035))),
  TRUE, 0
)</f>
        <v>0</v>
      </c>
      <c r="O127" s="29">
        <f t="shared" si="9"/>
        <v>13</v>
      </c>
      <c r="P127" s="29">
        <f t="shared" si="10"/>
        <v>0</v>
      </c>
      <c r="Q127" s="30" cm="1">
        <f t="array" ref="Q127">_xlfn.SWITCH(I127, "Method 1", 0, "Method 2", H127*0.03, "Method 3", 4000, "Method 4", 3000, 0)</f>
        <v>4000</v>
      </c>
    </row>
    <row r="128" spans="1:17">
      <c r="A128" s="24">
        <v>53195592</v>
      </c>
      <c r="B128" s="17">
        <v>42293</v>
      </c>
      <c r="C128" s="17">
        <v>42302</v>
      </c>
      <c r="D128" s="18" t="s">
        <v>97</v>
      </c>
      <c r="E128" s="18" t="s">
        <v>5</v>
      </c>
      <c r="F128" s="18">
        <v>2</v>
      </c>
      <c r="G128" s="19">
        <v>737800</v>
      </c>
      <c r="H128" s="19">
        <v>731200</v>
      </c>
      <c r="I128" s="18" t="s">
        <v>24</v>
      </c>
      <c r="J128" s="29" t="str">
        <f t="shared" si="6"/>
        <v>Fri</v>
      </c>
      <c r="K128" s="29" t="b">
        <f t="shared" si="7"/>
        <v>0</v>
      </c>
      <c r="L128" s="29" t="b">
        <f t="shared" si="8"/>
        <v>1</v>
      </c>
      <c r="M128" s="29" t="b">
        <f t="shared" si="11"/>
        <v>0</v>
      </c>
      <c r="N128" s="29" cm="1">
        <f t="array" ref="N128">_xlfn.IFS(
  E128="Airlines 1", IF(K128, F128*0.04, 0),
  E128="Airlines 2", P128,
  E128="Airlines 3", IF(L128, 20000*F128, 0),
  E128="Airlines 4", IF(M128, 15000*F128, 0),
  E128="Airlines 5",
    IF(F128&lt;50000000, F128*0.01,
      IF(F128&lt;100000000, F128*0.02,
        IF(F128&lt;200000000, F128*0.03, F128*0.035))),
  TRUE, 0
)</f>
        <v>0</v>
      </c>
      <c r="O128" s="29">
        <f t="shared" si="9"/>
        <v>13</v>
      </c>
      <c r="P128" s="29">
        <f t="shared" si="10"/>
        <v>0</v>
      </c>
      <c r="Q128" s="30" cm="1">
        <f t="array" ref="Q128">_xlfn.SWITCH(I128, "Method 1", 0, "Method 2", H128*0.03, "Method 3", 4000, "Method 4", 3000, 0)</f>
        <v>21936</v>
      </c>
    </row>
    <row r="129" spans="1:17">
      <c r="A129" s="24">
        <v>53197304</v>
      </c>
      <c r="B129" s="17">
        <v>42293</v>
      </c>
      <c r="C129" s="17">
        <v>42296</v>
      </c>
      <c r="D129" s="18" t="s">
        <v>110</v>
      </c>
      <c r="E129" s="18" t="s">
        <v>5</v>
      </c>
      <c r="F129" s="18">
        <v>3</v>
      </c>
      <c r="G129" s="19">
        <v>2331000</v>
      </c>
      <c r="H129" s="19">
        <v>2307900</v>
      </c>
      <c r="I129" s="18" t="s">
        <v>26</v>
      </c>
      <c r="J129" s="29" t="str">
        <f t="shared" si="6"/>
        <v>Fri</v>
      </c>
      <c r="K129" s="29" t="b">
        <f t="shared" si="7"/>
        <v>0</v>
      </c>
      <c r="L129" s="29" t="b">
        <f t="shared" si="8"/>
        <v>0</v>
      </c>
      <c r="M129" s="29" t="b">
        <f t="shared" si="11"/>
        <v>0</v>
      </c>
      <c r="N129" s="29" cm="1">
        <f t="array" ref="N129">_xlfn.IFS(
  E129="Airlines 1", IF(K129, F129*0.04, 0),
  E129="Airlines 2", P129,
  E129="Airlines 3", IF(L129, 20000*F129, 0),
  E129="Airlines 4", IF(M129, 15000*F129, 0),
  E129="Airlines 5",
    IF(F129&lt;50000000, F129*0.01,
      IF(F129&lt;100000000, F129*0.02,
        IF(F129&lt;200000000, F129*0.03, F129*0.035))),
  TRUE, 0
)</f>
        <v>0</v>
      </c>
      <c r="O129" s="29">
        <f t="shared" si="9"/>
        <v>13</v>
      </c>
      <c r="P129" s="29">
        <f t="shared" si="10"/>
        <v>0</v>
      </c>
      <c r="Q129" s="30" cm="1">
        <f t="array" ref="Q129">_xlfn.SWITCH(I129, "Method 1", 0, "Method 2", H129*0.03, "Method 3", 4000, "Method 4", 3000, 0)</f>
        <v>4000</v>
      </c>
    </row>
    <row r="130" spans="1:17">
      <c r="A130" s="24">
        <v>53197124</v>
      </c>
      <c r="B130" s="17">
        <v>42293</v>
      </c>
      <c r="C130" s="17">
        <v>42299</v>
      </c>
      <c r="D130" s="18" t="s">
        <v>86</v>
      </c>
      <c r="E130" s="18" t="s">
        <v>5</v>
      </c>
      <c r="F130" s="18">
        <v>1</v>
      </c>
      <c r="G130" s="19">
        <v>1860000</v>
      </c>
      <c r="H130" s="19">
        <v>1846100</v>
      </c>
      <c r="I130" s="18" t="s">
        <v>22</v>
      </c>
      <c r="J130" s="29" t="str">
        <f t="shared" si="6"/>
        <v>Fri</v>
      </c>
      <c r="K130" s="29" t="b">
        <f t="shared" si="7"/>
        <v>0</v>
      </c>
      <c r="L130" s="29" t="b">
        <f t="shared" si="8"/>
        <v>0</v>
      </c>
      <c r="M130" s="29" t="b">
        <f t="shared" si="11"/>
        <v>0</v>
      </c>
      <c r="N130" s="29" cm="1">
        <f t="array" ref="N130">_xlfn.IFS(
  E130="Airlines 1", IF(K130, F130*0.04, 0),
  E130="Airlines 2", P130,
  E130="Airlines 3", IF(L130, 20000*F130, 0),
  E130="Airlines 4", IF(M130, 15000*F130, 0),
  E130="Airlines 5",
    IF(F130&lt;50000000, F130*0.01,
      IF(F130&lt;100000000, F130*0.02,
        IF(F130&lt;200000000, F130*0.03, F130*0.035))),
  TRUE, 0
)</f>
        <v>0</v>
      </c>
      <c r="O130" s="29">
        <f t="shared" si="9"/>
        <v>13</v>
      </c>
      <c r="P130" s="29">
        <f t="shared" si="10"/>
        <v>0</v>
      </c>
      <c r="Q130" s="30" cm="1">
        <f t="array" ref="Q130">_xlfn.SWITCH(I130, "Method 1", 0, "Method 2", H130*0.03, "Method 3", 4000, "Method 4", 3000, 0)</f>
        <v>0</v>
      </c>
    </row>
    <row r="131" spans="1:17">
      <c r="A131" s="24">
        <v>53197657</v>
      </c>
      <c r="B131" s="17">
        <v>42293</v>
      </c>
      <c r="C131" s="17">
        <v>42295</v>
      </c>
      <c r="D131" s="18" t="s">
        <v>42</v>
      </c>
      <c r="E131" s="18" t="s">
        <v>5</v>
      </c>
      <c r="F131" s="18">
        <v>1</v>
      </c>
      <c r="G131" s="19">
        <v>793000</v>
      </c>
      <c r="H131" s="19">
        <v>787300</v>
      </c>
      <c r="I131" s="18" t="s">
        <v>22</v>
      </c>
      <c r="J131" s="29" t="str">
        <f t="shared" si="6"/>
        <v>Fri</v>
      </c>
      <c r="K131" s="29" t="b">
        <f t="shared" si="7"/>
        <v>0</v>
      </c>
      <c r="L131" s="29" t="b">
        <f t="shared" si="8"/>
        <v>0</v>
      </c>
      <c r="M131" s="29" t="b">
        <f t="shared" si="11"/>
        <v>0</v>
      </c>
      <c r="N131" s="29" cm="1">
        <f t="array" ref="N131">_xlfn.IFS(
  E131="Airlines 1", IF(K131, F131*0.04, 0),
  E131="Airlines 2", P131,
  E131="Airlines 3", IF(L131, 20000*F131, 0),
  E131="Airlines 4", IF(M131, 15000*F131, 0),
  E131="Airlines 5",
    IF(F131&lt;50000000, F131*0.01,
      IF(F131&lt;100000000, F131*0.02,
        IF(F131&lt;200000000, F131*0.03, F131*0.035))),
  TRUE, 0
)</f>
        <v>0</v>
      </c>
      <c r="O131" s="29">
        <f t="shared" si="9"/>
        <v>13</v>
      </c>
      <c r="P131" s="29">
        <f t="shared" si="10"/>
        <v>0</v>
      </c>
      <c r="Q131" s="30" cm="1">
        <f t="array" ref="Q131">_xlfn.SWITCH(I131, "Method 1", 0, "Method 2", H131*0.03, "Method 3", 4000, "Method 4", 3000, 0)</f>
        <v>0</v>
      </c>
    </row>
    <row r="132" spans="1:17">
      <c r="A132" s="24">
        <v>53197609</v>
      </c>
      <c r="B132" s="17">
        <v>42293</v>
      </c>
      <c r="C132" s="17">
        <v>42294</v>
      </c>
      <c r="D132" s="18" t="s">
        <v>41</v>
      </c>
      <c r="E132" s="18" t="s">
        <v>5</v>
      </c>
      <c r="F132" s="18">
        <v>1</v>
      </c>
      <c r="G132" s="19">
        <v>549900</v>
      </c>
      <c r="H132" s="19">
        <v>545800</v>
      </c>
      <c r="I132" s="18" t="s">
        <v>22</v>
      </c>
      <c r="J132" s="29" t="str">
        <f t="shared" si="6"/>
        <v>Fri</v>
      </c>
      <c r="K132" s="29" t="b">
        <f t="shared" si="7"/>
        <v>0</v>
      </c>
      <c r="L132" s="29" t="b">
        <f t="shared" si="8"/>
        <v>0</v>
      </c>
      <c r="M132" s="29" t="b">
        <f t="shared" si="11"/>
        <v>0</v>
      </c>
      <c r="N132" s="29" cm="1">
        <f t="array" ref="N132">_xlfn.IFS(
  E132="Airlines 1", IF(K132, F132*0.04, 0),
  E132="Airlines 2", P132,
  E132="Airlines 3", IF(L132, 20000*F132, 0),
  E132="Airlines 4", IF(M132, 15000*F132, 0),
  E132="Airlines 5",
    IF(F132&lt;50000000, F132*0.01,
      IF(F132&lt;100000000, F132*0.02,
        IF(F132&lt;200000000, F132*0.03, F132*0.035))),
  TRUE, 0
)</f>
        <v>0</v>
      </c>
      <c r="O132" s="29">
        <f t="shared" si="9"/>
        <v>13</v>
      </c>
      <c r="P132" s="29">
        <f t="shared" si="10"/>
        <v>0</v>
      </c>
      <c r="Q132" s="30" cm="1">
        <f t="array" ref="Q132">_xlfn.SWITCH(I132, "Method 1", 0, "Method 2", H132*0.03, "Method 3", 4000, "Method 4", 3000, 0)</f>
        <v>0</v>
      </c>
    </row>
    <row r="133" spans="1:17">
      <c r="A133" s="24">
        <v>53197335</v>
      </c>
      <c r="B133" s="17">
        <v>42293</v>
      </c>
      <c r="C133" s="17">
        <v>42312</v>
      </c>
      <c r="D133" s="18" t="s">
        <v>64</v>
      </c>
      <c r="E133" s="18" t="s">
        <v>5</v>
      </c>
      <c r="F133" s="18">
        <v>1</v>
      </c>
      <c r="G133" s="19">
        <v>416100</v>
      </c>
      <c r="H133" s="19">
        <v>412500</v>
      </c>
      <c r="I133" s="18" t="s">
        <v>26</v>
      </c>
      <c r="J133" s="29" t="str">
        <f t="shared" si="6"/>
        <v>Fri</v>
      </c>
      <c r="K133" s="29" t="b">
        <f t="shared" si="7"/>
        <v>0</v>
      </c>
      <c r="L133" s="29" t="b">
        <f t="shared" si="8"/>
        <v>0</v>
      </c>
      <c r="M133" s="29" t="b">
        <f t="shared" si="11"/>
        <v>0</v>
      </c>
      <c r="N133" s="29" cm="1">
        <f t="array" ref="N133">_xlfn.IFS(
  E133="Airlines 1", IF(K133, F133*0.04, 0),
  E133="Airlines 2", P133,
  E133="Airlines 3", IF(L133, 20000*F133, 0),
  E133="Airlines 4", IF(M133, 15000*F133, 0),
  E133="Airlines 5",
    IF(F133&lt;50000000, F133*0.01,
      IF(F133&lt;100000000, F133*0.02,
        IF(F133&lt;200000000, F133*0.03, F133*0.035))),
  TRUE, 0
)</f>
        <v>0</v>
      </c>
      <c r="O133" s="29">
        <f t="shared" si="9"/>
        <v>13</v>
      </c>
      <c r="P133" s="29">
        <f t="shared" si="10"/>
        <v>0</v>
      </c>
      <c r="Q133" s="30" cm="1">
        <f t="array" ref="Q133">_xlfn.SWITCH(I133, "Method 1", 0, "Method 2", H133*0.03, "Method 3", 4000, "Method 4", 3000, 0)</f>
        <v>4000</v>
      </c>
    </row>
    <row r="134" spans="1:17">
      <c r="A134" s="24">
        <v>53196579</v>
      </c>
      <c r="B134" s="17">
        <v>42278</v>
      </c>
      <c r="C134" s="17">
        <v>42279</v>
      </c>
      <c r="D134" s="18" t="s">
        <v>111</v>
      </c>
      <c r="E134" s="18" t="s">
        <v>8</v>
      </c>
      <c r="F134" s="18">
        <v>1</v>
      </c>
      <c r="G134" s="19">
        <v>894000</v>
      </c>
      <c r="H134" s="19">
        <v>889500</v>
      </c>
      <c r="I134" s="18" t="s">
        <v>24</v>
      </c>
      <c r="J134" s="29" t="str">
        <f t="shared" si="6"/>
        <v>Thu</v>
      </c>
      <c r="K134" s="29" t="b">
        <f t="shared" si="7"/>
        <v>0</v>
      </c>
      <c r="L134" s="29" t="b">
        <f t="shared" si="8"/>
        <v>0</v>
      </c>
      <c r="M134" s="29" t="b">
        <f t="shared" si="11"/>
        <v>1</v>
      </c>
      <c r="N134" s="29" cm="1">
        <f t="array" ref="N134">_xlfn.IFS(
  E134="Airlines 1", IF(K134, F134*0.04, 0),
  E134="Airlines 2", P134,
  E134="Airlines 3", IF(L134, 20000*F134, 0),
  E134="Airlines 4", IF(M134, 15000*F134, 0),
  E134="Airlines 5",
    IF(F134&lt;50000000, F134*0.01,
      IF(F134&lt;100000000, F134*0.02,
        IF(F134&lt;200000000, F134*0.03, F134*0.035))),
  TRUE, 0
)</f>
        <v>0</v>
      </c>
      <c r="O134" s="29">
        <f t="shared" si="9"/>
        <v>16</v>
      </c>
      <c r="P134" s="29">
        <f t="shared" si="10"/>
        <v>0</v>
      </c>
      <c r="Q134" s="30" cm="1">
        <f t="array" ref="Q134">_xlfn.SWITCH(I134, "Method 1", 0, "Method 2", H134*0.03, "Method 3", 4000, "Method 4", 3000, 0)</f>
        <v>26685</v>
      </c>
    </row>
    <row r="135" spans="1:17">
      <c r="A135" s="24">
        <v>53197218</v>
      </c>
      <c r="B135" s="17">
        <v>42278</v>
      </c>
      <c r="C135" s="17">
        <v>42278</v>
      </c>
      <c r="D135" s="18" t="s">
        <v>40</v>
      </c>
      <c r="E135" s="18" t="s">
        <v>8</v>
      </c>
      <c r="F135" s="18">
        <v>3</v>
      </c>
      <c r="G135" s="19">
        <v>3646200</v>
      </c>
      <c r="H135" s="19">
        <v>3627900</v>
      </c>
      <c r="I135" s="18" t="s">
        <v>26</v>
      </c>
      <c r="J135" s="29" t="str">
        <f t="shared" ref="J135:J198" si="12">TEXT(B135,"ddd")</f>
        <v>Thu</v>
      </c>
      <c r="K135" s="29" t="b">
        <f t="shared" ref="K135:K198" si="13">OR(J135="Sat",J135="Sun")</f>
        <v>0</v>
      </c>
      <c r="L135" s="29" t="b">
        <f t="shared" ref="L135:L198" si="14">OR(D135="CGK_SUB", D135="CGK_PKU", D135="CGK_JOG",
    D135="SUB_CGK", D135="PKU_CGK", D135="JOG_CGK")</f>
        <v>1</v>
      </c>
      <c r="M135" s="29" t="b">
        <f t="shared" si="11"/>
        <v>1</v>
      </c>
      <c r="N135" s="29" cm="1">
        <f t="array" ref="N135">_xlfn.IFS(
  E135="Airlines 1", IF(K135, F135*0.04, 0),
  E135="Airlines 2", P135,
  E135="Airlines 3", IF(L135, 20000*F135, 0),
  E135="Airlines 4", IF(M135, 15000*F135, 0),
  E135="Airlines 5",
    IF(F135&lt;50000000, F135*0.01,
      IF(F135&lt;100000000, F135*0.02,
        IF(F135&lt;200000000, F135*0.03, F135*0.035))),
  TRUE, 0
)</f>
        <v>0</v>
      </c>
      <c r="O135" s="29">
        <f t="shared" ref="O135:O198" si="15">SUMIFS($F$6:$F$647, $E$6:$E$647, "Airlines 2", $B$6:$B$647, B135)</f>
        <v>16</v>
      </c>
      <c r="P135" s="29">
        <f t="shared" ref="P135:P198" si="16">IF(AND(E134="Airlines 2", O134&gt;20), F134*0.05, 0)</f>
        <v>0</v>
      </c>
      <c r="Q135" s="30" cm="1">
        <f t="array" ref="Q135">_xlfn.SWITCH(I135, "Method 1", 0, "Method 2", H135*0.03, "Method 3", 4000, "Method 4", 3000, 0)</f>
        <v>4000</v>
      </c>
    </row>
    <row r="136" spans="1:17">
      <c r="A136" s="24">
        <v>53194994</v>
      </c>
      <c r="B136" s="17">
        <v>42278</v>
      </c>
      <c r="C136" s="17">
        <v>42279</v>
      </c>
      <c r="D136" s="18" t="s">
        <v>112</v>
      </c>
      <c r="E136" s="18" t="s">
        <v>8</v>
      </c>
      <c r="F136" s="18">
        <v>2</v>
      </c>
      <c r="G136" s="19">
        <v>1454000</v>
      </c>
      <c r="H136" s="19">
        <v>1446800</v>
      </c>
      <c r="I136" s="18" t="s">
        <v>22</v>
      </c>
      <c r="J136" s="29" t="str">
        <f t="shared" si="12"/>
        <v>Thu</v>
      </c>
      <c r="K136" s="29" t="b">
        <f t="shared" si="13"/>
        <v>0</v>
      </c>
      <c r="L136" s="29" t="b">
        <f t="shared" si="14"/>
        <v>0</v>
      </c>
      <c r="M136" s="29" t="b">
        <f t="shared" ref="M136:M199" si="17">AND(B136&gt;=DATE(2015,10,1),B136&lt;=DATE(2015,10,15))</f>
        <v>1</v>
      </c>
      <c r="N136" s="29" cm="1">
        <f t="array" ref="N136">_xlfn.IFS(
  E136="Airlines 1", IF(K136, F136*0.04, 0),
  E136="Airlines 2", P136,
  E136="Airlines 3", IF(L136, 20000*F136, 0),
  E136="Airlines 4", IF(M136, 15000*F136, 0),
  E136="Airlines 5",
    IF(F136&lt;50000000, F136*0.01,
      IF(F136&lt;100000000, F136*0.02,
        IF(F136&lt;200000000, F136*0.03, F136*0.035))),
  TRUE, 0
)</f>
        <v>0</v>
      </c>
      <c r="O136" s="29">
        <f t="shared" si="15"/>
        <v>16</v>
      </c>
      <c r="P136" s="29">
        <f t="shared" si="16"/>
        <v>0</v>
      </c>
      <c r="Q136" s="30" cm="1">
        <f t="array" ref="Q136">_xlfn.SWITCH(I136, "Method 1", 0, "Method 2", H136*0.03, "Method 3", 4000, "Method 4", 3000, 0)</f>
        <v>0</v>
      </c>
    </row>
    <row r="137" spans="1:17">
      <c r="A137" s="24">
        <v>53197626</v>
      </c>
      <c r="B137" s="17">
        <v>42278</v>
      </c>
      <c r="C137" s="17">
        <v>42286</v>
      </c>
      <c r="D137" s="18" t="s">
        <v>113</v>
      </c>
      <c r="E137" s="18" t="s">
        <v>8</v>
      </c>
      <c r="F137" s="18">
        <v>1</v>
      </c>
      <c r="G137" s="19">
        <v>828100</v>
      </c>
      <c r="H137" s="19">
        <v>836400</v>
      </c>
      <c r="I137" s="18" t="s">
        <v>22</v>
      </c>
      <c r="J137" s="29" t="str">
        <f t="shared" si="12"/>
        <v>Thu</v>
      </c>
      <c r="K137" s="29" t="b">
        <f t="shared" si="13"/>
        <v>0</v>
      </c>
      <c r="L137" s="29" t="b">
        <f t="shared" si="14"/>
        <v>0</v>
      </c>
      <c r="M137" s="29" t="b">
        <f t="shared" si="17"/>
        <v>1</v>
      </c>
      <c r="N137" s="29" cm="1">
        <f t="array" ref="N137">_xlfn.IFS(
  E137="Airlines 1", IF(K137, F137*0.04, 0),
  E137="Airlines 2", P137,
  E137="Airlines 3", IF(L137, 20000*F137, 0),
  E137="Airlines 4", IF(M137, 15000*F137, 0),
  E137="Airlines 5",
    IF(F137&lt;50000000, F137*0.01,
      IF(F137&lt;100000000, F137*0.02,
        IF(F137&lt;200000000, F137*0.03, F137*0.035))),
  TRUE, 0
)</f>
        <v>0</v>
      </c>
      <c r="O137" s="29">
        <f t="shared" si="15"/>
        <v>16</v>
      </c>
      <c r="P137" s="29">
        <f t="shared" si="16"/>
        <v>0</v>
      </c>
      <c r="Q137" s="30" cm="1">
        <f t="array" ref="Q137">_xlfn.SWITCH(I137, "Method 1", 0, "Method 2", H137*0.03, "Method 3", 4000, "Method 4", 3000, 0)</f>
        <v>0</v>
      </c>
    </row>
    <row r="138" spans="1:17">
      <c r="A138" s="24">
        <v>53197632</v>
      </c>
      <c r="B138" s="17">
        <v>42278</v>
      </c>
      <c r="C138" s="17">
        <v>42288</v>
      </c>
      <c r="D138" s="18" t="s">
        <v>97</v>
      </c>
      <c r="E138" s="18" t="s">
        <v>8</v>
      </c>
      <c r="F138" s="18">
        <v>1</v>
      </c>
      <c r="G138" s="19">
        <v>1210400</v>
      </c>
      <c r="H138" s="19">
        <v>1197100</v>
      </c>
      <c r="I138" s="18" t="s">
        <v>22</v>
      </c>
      <c r="J138" s="29" t="str">
        <f t="shared" si="12"/>
        <v>Thu</v>
      </c>
      <c r="K138" s="29" t="b">
        <f t="shared" si="13"/>
        <v>0</v>
      </c>
      <c r="L138" s="29" t="b">
        <f t="shared" si="14"/>
        <v>1</v>
      </c>
      <c r="M138" s="29" t="b">
        <f t="shared" si="17"/>
        <v>1</v>
      </c>
      <c r="N138" s="29" cm="1">
        <f t="array" ref="N138">_xlfn.IFS(
  E138="Airlines 1", IF(K138, F138*0.04, 0),
  E138="Airlines 2", P138,
  E138="Airlines 3", IF(L138, 20000*F138, 0),
  E138="Airlines 4", IF(M138, 15000*F138, 0),
  E138="Airlines 5",
    IF(F138&lt;50000000, F138*0.01,
      IF(F138&lt;100000000, F138*0.02,
        IF(F138&lt;200000000, F138*0.03, F138*0.035))),
  TRUE, 0
)</f>
        <v>0</v>
      </c>
      <c r="O138" s="29">
        <f t="shared" si="15"/>
        <v>16</v>
      </c>
      <c r="P138" s="29">
        <f t="shared" si="16"/>
        <v>0</v>
      </c>
      <c r="Q138" s="30" cm="1">
        <f t="array" ref="Q138">_xlfn.SWITCH(I138, "Method 1", 0, "Method 2", H138*0.03, "Method 3", 4000, "Method 4", 3000, 0)</f>
        <v>0</v>
      </c>
    </row>
    <row r="139" spans="1:17">
      <c r="A139" s="24">
        <v>53197677</v>
      </c>
      <c r="B139" s="17">
        <v>42278</v>
      </c>
      <c r="C139" s="17">
        <v>42293</v>
      </c>
      <c r="D139" s="18" t="s">
        <v>114</v>
      </c>
      <c r="E139" s="18" t="s">
        <v>8</v>
      </c>
      <c r="F139" s="18">
        <v>1</v>
      </c>
      <c r="G139" s="19">
        <v>700000</v>
      </c>
      <c r="H139" s="19">
        <v>692300</v>
      </c>
      <c r="I139" s="18" t="s">
        <v>26</v>
      </c>
      <c r="J139" s="29" t="str">
        <f t="shared" si="12"/>
        <v>Thu</v>
      </c>
      <c r="K139" s="29" t="b">
        <f t="shared" si="13"/>
        <v>0</v>
      </c>
      <c r="L139" s="29" t="b">
        <f t="shared" si="14"/>
        <v>0</v>
      </c>
      <c r="M139" s="29" t="b">
        <f t="shared" si="17"/>
        <v>1</v>
      </c>
      <c r="N139" s="29" cm="1">
        <f t="array" ref="N139">_xlfn.IFS(
  E139="Airlines 1", IF(K139, F139*0.04, 0),
  E139="Airlines 2", P139,
  E139="Airlines 3", IF(L139, 20000*F139, 0),
  E139="Airlines 4", IF(M139, 15000*F139, 0),
  E139="Airlines 5",
    IF(F139&lt;50000000, F139*0.01,
      IF(F139&lt;100000000, F139*0.02,
        IF(F139&lt;200000000, F139*0.03, F139*0.035))),
  TRUE, 0
)</f>
        <v>0</v>
      </c>
      <c r="O139" s="29">
        <f t="shared" si="15"/>
        <v>16</v>
      </c>
      <c r="P139" s="29">
        <f t="shared" si="16"/>
        <v>0</v>
      </c>
      <c r="Q139" s="30" cm="1">
        <f t="array" ref="Q139">_xlfn.SWITCH(I139, "Method 1", 0, "Method 2", H139*0.03, "Method 3", 4000, "Method 4", 3000, 0)</f>
        <v>4000</v>
      </c>
    </row>
    <row r="140" spans="1:17">
      <c r="A140" s="24">
        <v>53197042</v>
      </c>
      <c r="B140" s="17">
        <v>42278</v>
      </c>
      <c r="C140" s="17">
        <v>42278</v>
      </c>
      <c r="D140" s="18" t="s">
        <v>115</v>
      </c>
      <c r="E140" s="18" t="s">
        <v>8</v>
      </c>
      <c r="F140" s="18">
        <v>1</v>
      </c>
      <c r="G140" s="19">
        <v>816000</v>
      </c>
      <c r="H140" s="19">
        <v>807000</v>
      </c>
      <c r="I140" s="18" t="s">
        <v>24</v>
      </c>
      <c r="J140" s="29" t="str">
        <f t="shared" si="12"/>
        <v>Thu</v>
      </c>
      <c r="K140" s="29" t="b">
        <f t="shared" si="13"/>
        <v>0</v>
      </c>
      <c r="L140" s="29" t="b">
        <f t="shared" si="14"/>
        <v>0</v>
      </c>
      <c r="M140" s="29" t="b">
        <f t="shared" si="17"/>
        <v>1</v>
      </c>
      <c r="N140" s="29" cm="1">
        <f t="array" ref="N140">_xlfn.IFS(
  E140="Airlines 1", IF(K140, F140*0.04, 0),
  E140="Airlines 2", P140,
  E140="Airlines 3", IF(L140, 20000*F140, 0),
  E140="Airlines 4", IF(M140, 15000*F140, 0),
  E140="Airlines 5",
    IF(F140&lt;50000000, F140*0.01,
      IF(F140&lt;100000000, F140*0.02,
        IF(F140&lt;200000000, F140*0.03, F140*0.035))),
  TRUE, 0
)</f>
        <v>0</v>
      </c>
      <c r="O140" s="29">
        <f t="shared" si="15"/>
        <v>16</v>
      </c>
      <c r="P140" s="29">
        <f t="shared" si="16"/>
        <v>0</v>
      </c>
      <c r="Q140" s="30" cm="1">
        <f t="array" ref="Q140">_xlfn.SWITCH(I140, "Method 1", 0, "Method 2", H140*0.03, "Method 3", 4000, "Method 4", 3000, 0)</f>
        <v>24210</v>
      </c>
    </row>
    <row r="141" spans="1:17">
      <c r="A141" s="24">
        <v>53197623</v>
      </c>
      <c r="B141" s="17">
        <v>42278</v>
      </c>
      <c r="C141" s="17">
        <v>42283</v>
      </c>
      <c r="D141" s="18" t="s">
        <v>116</v>
      </c>
      <c r="E141" s="18" t="s">
        <v>8</v>
      </c>
      <c r="F141" s="18">
        <v>4</v>
      </c>
      <c r="G141" s="19">
        <v>2134500</v>
      </c>
      <c r="H141" s="19">
        <v>2124100</v>
      </c>
      <c r="I141" s="18" t="s">
        <v>26</v>
      </c>
      <c r="J141" s="29" t="str">
        <f t="shared" si="12"/>
        <v>Thu</v>
      </c>
      <c r="K141" s="29" t="b">
        <f t="shared" si="13"/>
        <v>0</v>
      </c>
      <c r="L141" s="29" t="b">
        <f t="shared" si="14"/>
        <v>0</v>
      </c>
      <c r="M141" s="29" t="b">
        <f t="shared" si="17"/>
        <v>1</v>
      </c>
      <c r="N141" s="29" cm="1">
        <f t="array" ref="N141">_xlfn.IFS(
  E141="Airlines 1", IF(K141, F141*0.04, 0),
  E141="Airlines 2", P141,
  E141="Airlines 3", IF(L141, 20000*F141, 0),
  E141="Airlines 4", IF(M141, 15000*F141, 0),
  E141="Airlines 5",
    IF(F141&lt;50000000, F141*0.01,
      IF(F141&lt;100000000, F141*0.02,
        IF(F141&lt;200000000, F141*0.03, F141*0.035))),
  TRUE, 0
)</f>
        <v>0</v>
      </c>
      <c r="O141" s="29">
        <f t="shared" si="15"/>
        <v>16</v>
      </c>
      <c r="P141" s="29">
        <f t="shared" si="16"/>
        <v>0</v>
      </c>
      <c r="Q141" s="30" cm="1">
        <f t="array" ref="Q141">_xlfn.SWITCH(I141, "Method 1", 0, "Method 2", H141*0.03, "Method 3", 4000, "Method 4", 3000, 0)</f>
        <v>4000</v>
      </c>
    </row>
    <row r="142" spans="1:17">
      <c r="A142" s="24">
        <v>53197678</v>
      </c>
      <c r="B142" s="17">
        <v>42278</v>
      </c>
      <c r="C142" s="17">
        <v>42281</v>
      </c>
      <c r="D142" s="18" t="s">
        <v>117</v>
      </c>
      <c r="E142" s="18" t="s">
        <v>8</v>
      </c>
      <c r="F142" s="18">
        <v>1</v>
      </c>
      <c r="G142" s="19">
        <v>1301000</v>
      </c>
      <c r="H142" s="19">
        <v>1286700</v>
      </c>
      <c r="I142" s="18" t="s">
        <v>22</v>
      </c>
      <c r="J142" s="29" t="str">
        <f t="shared" si="12"/>
        <v>Thu</v>
      </c>
      <c r="K142" s="29" t="b">
        <f t="shared" si="13"/>
        <v>0</v>
      </c>
      <c r="L142" s="29" t="b">
        <f t="shared" si="14"/>
        <v>0</v>
      </c>
      <c r="M142" s="29" t="b">
        <f t="shared" si="17"/>
        <v>1</v>
      </c>
      <c r="N142" s="29" cm="1">
        <f t="array" ref="N142">_xlfn.IFS(
  E142="Airlines 1", IF(K142, F142*0.04, 0),
  E142="Airlines 2", P142,
  E142="Airlines 3", IF(L142, 20000*F142, 0),
  E142="Airlines 4", IF(M142, 15000*F142, 0),
  E142="Airlines 5",
    IF(F142&lt;50000000, F142*0.01,
      IF(F142&lt;100000000, F142*0.02,
        IF(F142&lt;200000000, F142*0.03, F142*0.035))),
  TRUE, 0
)</f>
        <v>0</v>
      </c>
      <c r="O142" s="29">
        <f t="shared" si="15"/>
        <v>16</v>
      </c>
      <c r="P142" s="29">
        <f t="shared" si="16"/>
        <v>0</v>
      </c>
      <c r="Q142" s="30" cm="1">
        <f t="array" ref="Q142">_xlfn.SWITCH(I142, "Method 1", 0, "Method 2", H142*0.03, "Method 3", 4000, "Method 4", 3000, 0)</f>
        <v>0</v>
      </c>
    </row>
    <row r="143" spans="1:17">
      <c r="A143" s="24">
        <v>53197747</v>
      </c>
      <c r="B143" s="17">
        <v>42278</v>
      </c>
      <c r="C143" s="17">
        <v>42279</v>
      </c>
      <c r="D143" s="18" t="s">
        <v>118</v>
      </c>
      <c r="E143" s="18" t="s">
        <v>8</v>
      </c>
      <c r="F143" s="18">
        <v>1</v>
      </c>
      <c r="G143" s="19">
        <v>610800</v>
      </c>
      <c r="H143" s="19">
        <v>604100</v>
      </c>
      <c r="I143" s="18" t="s">
        <v>22</v>
      </c>
      <c r="J143" s="29" t="str">
        <f t="shared" si="12"/>
        <v>Thu</v>
      </c>
      <c r="K143" s="29" t="b">
        <f t="shared" si="13"/>
        <v>0</v>
      </c>
      <c r="L143" s="29" t="b">
        <f t="shared" si="14"/>
        <v>0</v>
      </c>
      <c r="M143" s="29" t="b">
        <f t="shared" si="17"/>
        <v>1</v>
      </c>
      <c r="N143" s="29" cm="1">
        <f t="array" ref="N143">_xlfn.IFS(
  E143="Airlines 1", IF(K143, F143*0.04, 0),
  E143="Airlines 2", P143,
  E143="Airlines 3", IF(L143, 20000*F143, 0),
  E143="Airlines 4", IF(M143, 15000*F143, 0),
  E143="Airlines 5",
    IF(F143&lt;50000000, F143*0.01,
      IF(F143&lt;100000000, F143*0.02,
        IF(F143&lt;200000000, F143*0.03, F143*0.035))),
  TRUE, 0
)</f>
        <v>0</v>
      </c>
      <c r="O143" s="29">
        <f t="shared" si="15"/>
        <v>16</v>
      </c>
      <c r="P143" s="29">
        <f t="shared" si="16"/>
        <v>0</v>
      </c>
      <c r="Q143" s="30" cm="1">
        <f t="array" ref="Q143">_xlfn.SWITCH(I143, "Method 1", 0, "Method 2", H143*0.03, "Method 3", 4000, "Method 4", 3000, 0)</f>
        <v>0</v>
      </c>
    </row>
    <row r="144" spans="1:17">
      <c r="A144" s="24">
        <v>53194689</v>
      </c>
      <c r="B144" s="17">
        <v>42280</v>
      </c>
      <c r="C144" s="17">
        <v>42281</v>
      </c>
      <c r="D144" s="18" t="s">
        <v>119</v>
      </c>
      <c r="E144" s="18" t="s">
        <v>8</v>
      </c>
      <c r="F144" s="18">
        <v>1</v>
      </c>
      <c r="G144" s="19">
        <v>690000</v>
      </c>
      <c r="H144" s="19">
        <v>682400</v>
      </c>
      <c r="I144" s="18" t="s">
        <v>22</v>
      </c>
      <c r="J144" s="29" t="str">
        <f t="shared" si="12"/>
        <v>Sat</v>
      </c>
      <c r="K144" s="29" t="b">
        <f t="shared" si="13"/>
        <v>1</v>
      </c>
      <c r="L144" s="29" t="b">
        <f t="shared" si="14"/>
        <v>0</v>
      </c>
      <c r="M144" s="29" t="b">
        <f t="shared" si="17"/>
        <v>1</v>
      </c>
      <c r="N144" s="29" cm="1">
        <f t="array" ref="N144">_xlfn.IFS(
  E144="Airlines 1", IF(K144, F144*0.04, 0),
  E144="Airlines 2", P144,
  E144="Airlines 3", IF(L144, 20000*F144, 0),
  E144="Airlines 4", IF(M144, 15000*F144, 0),
  E144="Airlines 5",
    IF(F144&lt;50000000, F144*0.01,
      IF(F144&lt;100000000, F144*0.02,
        IF(F144&lt;200000000, F144*0.03, F144*0.035))),
  TRUE, 0
)</f>
        <v>0</v>
      </c>
      <c r="O144" s="29">
        <f t="shared" si="15"/>
        <v>12</v>
      </c>
      <c r="P144" s="29">
        <f t="shared" si="16"/>
        <v>0</v>
      </c>
      <c r="Q144" s="30" cm="1">
        <f t="array" ref="Q144">_xlfn.SWITCH(I144, "Method 1", 0, "Method 2", H144*0.03, "Method 3", 4000, "Method 4", 3000, 0)</f>
        <v>0</v>
      </c>
    </row>
    <row r="145" spans="1:17">
      <c r="A145" s="24">
        <v>53197690</v>
      </c>
      <c r="B145" s="17">
        <v>42280</v>
      </c>
      <c r="C145" s="17">
        <v>42280</v>
      </c>
      <c r="D145" s="18" t="s">
        <v>62</v>
      </c>
      <c r="E145" s="18" t="s">
        <v>8</v>
      </c>
      <c r="F145" s="18">
        <v>1</v>
      </c>
      <c r="G145" s="19">
        <v>1068000</v>
      </c>
      <c r="H145" s="19">
        <v>1056300</v>
      </c>
      <c r="I145" s="18" t="s">
        <v>26</v>
      </c>
      <c r="J145" s="29" t="str">
        <f t="shared" si="12"/>
        <v>Sat</v>
      </c>
      <c r="K145" s="29" t="b">
        <f t="shared" si="13"/>
        <v>1</v>
      </c>
      <c r="L145" s="29" t="b">
        <f t="shared" si="14"/>
        <v>1</v>
      </c>
      <c r="M145" s="29" t="b">
        <f t="shared" si="17"/>
        <v>1</v>
      </c>
      <c r="N145" s="29" cm="1">
        <f t="array" ref="N145">_xlfn.IFS(
  E145="Airlines 1", IF(K145, F145*0.04, 0),
  E145="Airlines 2", P145,
  E145="Airlines 3", IF(L145, 20000*F145, 0),
  E145="Airlines 4", IF(M145, 15000*F145, 0),
  E145="Airlines 5",
    IF(F145&lt;50000000, F145*0.01,
      IF(F145&lt;100000000, F145*0.02,
        IF(F145&lt;200000000, F145*0.03, F145*0.035))),
  TRUE, 0
)</f>
        <v>0</v>
      </c>
      <c r="O145" s="29">
        <f t="shared" si="15"/>
        <v>12</v>
      </c>
      <c r="P145" s="29">
        <f t="shared" si="16"/>
        <v>0</v>
      </c>
      <c r="Q145" s="30" cm="1">
        <f t="array" ref="Q145">_xlfn.SWITCH(I145, "Method 1", 0, "Method 2", H145*0.03, "Method 3", 4000, "Method 4", 3000, 0)</f>
        <v>4000</v>
      </c>
    </row>
    <row r="146" spans="1:17">
      <c r="A146" s="24">
        <v>53197357</v>
      </c>
      <c r="B146" s="17">
        <v>42280</v>
      </c>
      <c r="C146" s="17">
        <v>42281</v>
      </c>
      <c r="D146" s="18" t="s">
        <v>120</v>
      </c>
      <c r="E146" s="18" t="s">
        <v>8</v>
      </c>
      <c r="F146" s="18">
        <v>1</v>
      </c>
      <c r="G146" s="19">
        <v>481000</v>
      </c>
      <c r="H146" s="19">
        <v>475700</v>
      </c>
      <c r="I146" s="18" t="s">
        <v>24</v>
      </c>
      <c r="J146" s="29" t="str">
        <f t="shared" si="12"/>
        <v>Sat</v>
      </c>
      <c r="K146" s="29" t="b">
        <f t="shared" si="13"/>
        <v>1</v>
      </c>
      <c r="L146" s="29" t="b">
        <f t="shared" si="14"/>
        <v>0</v>
      </c>
      <c r="M146" s="29" t="b">
        <f t="shared" si="17"/>
        <v>1</v>
      </c>
      <c r="N146" s="29" cm="1">
        <f t="array" ref="N146">_xlfn.IFS(
  E146="Airlines 1", IF(K146, F146*0.04, 0),
  E146="Airlines 2", P146,
  E146="Airlines 3", IF(L146, 20000*F146, 0),
  E146="Airlines 4", IF(M146, 15000*F146, 0),
  E146="Airlines 5",
    IF(F146&lt;50000000, F146*0.01,
      IF(F146&lt;100000000, F146*0.02,
        IF(F146&lt;200000000, F146*0.03, F146*0.035))),
  TRUE, 0
)</f>
        <v>0</v>
      </c>
      <c r="O146" s="29">
        <f t="shared" si="15"/>
        <v>12</v>
      </c>
      <c r="P146" s="29">
        <f t="shared" si="16"/>
        <v>0</v>
      </c>
      <c r="Q146" s="30" cm="1">
        <f t="array" ref="Q146">_xlfn.SWITCH(I146, "Method 1", 0, "Method 2", H146*0.03, "Method 3", 4000, "Method 4", 3000, 0)</f>
        <v>14271</v>
      </c>
    </row>
    <row r="147" spans="1:17">
      <c r="A147" s="24">
        <v>53197825</v>
      </c>
      <c r="B147" s="17">
        <v>42280</v>
      </c>
      <c r="C147" s="17">
        <v>42281</v>
      </c>
      <c r="D147" s="18" t="s">
        <v>68</v>
      </c>
      <c r="E147" s="18" t="s">
        <v>8</v>
      </c>
      <c r="F147" s="18">
        <v>2</v>
      </c>
      <c r="G147" s="19">
        <v>794000</v>
      </c>
      <c r="H147" s="19">
        <v>785200</v>
      </c>
      <c r="I147" s="18" t="s">
        <v>26</v>
      </c>
      <c r="J147" s="29" t="str">
        <f t="shared" si="12"/>
        <v>Sat</v>
      </c>
      <c r="K147" s="29" t="b">
        <f t="shared" si="13"/>
        <v>1</v>
      </c>
      <c r="L147" s="29" t="b">
        <f t="shared" si="14"/>
        <v>0</v>
      </c>
      <c r="M147" s="29" t="b">
        <f t="shared" si="17"/>
        <v>1</v>
      </c>
      <c r="N147" s="29" cm="1">
        <f t="array" ref="N147">_xlfn.IFS(
  E147="Airlines 1", IF(K147, F147*0.04, 0),
  E147="Airlines 2", P147,
  E147="Airlines 3", IF(L147, 20000*F147, 0),
  E147="Airlines 4", IF(M147, 15000*F147, 0),
  E147="Airlines 5",
    IF(F147&lt;50000000, F147*0.01,
      IF(F147&lt;100000000, F147*0.02,
        IF(F147&lt;200000000, F147*0.03, F147*0.035))),
  TRUE, 0
)</f>
        <v>0</v>
      </c>
      <c r="O147" s="29">
        <f t="shared" si="15"/>
        <v>12</v>
      </c>
      <c r="P147" s="29">
        <f t="shared" si="16"/>
        <v>0</v>
      </c>
      <c r="Q147" s="30" cm="1">
        <f t="array" ref="Q147">_xlfn.SWITCH(I147, "Method 1", 0, "Method 2", H147*0.03, "Method 3", 4000, "Method 4", 3000, 0)</f>
        <v>4000</v>
      </c>
    </row>
    <row r="148" spans="1:17">
      <c r="A148" s="24">
        <v>53196599</v>
      </c>
      <c r="B148" s="17">
        <v>42280</v>
      </c>
      <c r="C148" s="17">
        <v>42300</v>
      </c>
      <c r="D148" s="18" t="s">
        <v>118</v>
      </c>
      <c r="E148" s="18" t="s">
        <v>8</v>
      </c>
      <c r="F148" s="18">
        <v>1</v>
      </c>
      <c r="G148" s="19">
        <v>481000</v>
      </c>
      <c r="H148" s="19">
        <v>475700</v>
      </c>
      <c r="I148" s="18" t="s">
        <v>28</v>
      </c>
      <c r="J148" s="29" t="str">
        <f t="shared" si="12"/>
        <v>Sat</v>
      </c>
      <c r="K148" s="29" t="b">
        <f t="shared" si="13"/>
        <v>1</v>
      </c>
      <c r="L148" s="29" t="b">
        <f t="shared" si="14"/>
        <v>0</v>
      </c>
      <c r="M148" s="29" t="b">
        <f t="shared" si="17"/>
        <v>1</v>
      </c>
      <c r="N148" s="29" cm="1">
        <f t="array" ref="N148">_xlfn.IFS(
  E148="Airlines 1", IF(K148, F148*0.04, 0),
  E148="Airlines 2", P148,
  E148="Airlines 3", IF(L148, 20000*F148, 0),
  E148="Airlines 4", IF(M148, 15000*F148, 0),
  E148="Airlines 5",
    IF(F148&lt;50000000, F148*0.01,
      IF(F148&lt;100000000, F148*0.02,
        IF(F148&lt;200000000, F148*0.03, F148*0.035))),
  TRUE, 0
)</f>
        <v>0</v>
      </c>
      <c r="O148" s="29">
        <f t="shared" si="15"/>
        <v>12</v>
      </c>
      <c r="P148" s="29">
        <f t="shared" si="16"/>
        <v>0</v>
      </c>
      <c r="Q148" s="30" cm="1">
        <f t="array" ref="Q148">_xlfn.SWITCH(I148, "Method 1", 0, "Method 2", H148*0.03, "Method 3", 4000, "Method 4", 3000, 0)</f>
        <v>3000</v>
      </c>
    </row>
    <row r="149" spans="1:17">
      <c r="A149" s="24">
        <v>53197765</v>
      </c>
      <c r="B149" s="17">
        <v>42280</v>
      </c>
      <c r="C149" s="17">
        <v>42304</v>
      </c>
      <c r="D149" s="18" t="s">
        <v>41</v>
      </c>
      <c r="E149" s="18" t="s">
        <v>8</v>
      </c>
      <c r="F149" s="18">
        <v>1</v>
      </c>
      <c r="G149" s="19">
        <v>1310000</v>
      </c>
      <c r="H149" s="19">
        <v>1295600</v>
      </c>
      <c r="I149" s="18" t="s">
        <v>22</v>
      </c>
      <c r="J149" s="29" t="str">
        <f t="shared" si="12"/>
        <v>Sat</v>
      </c>
      <c r="K149" s="29" t="b">
        <f t="shared" si="13"/>
        <v>1</v>
      </c>
      <c r="L149" s="29" t="b">
        <f t="shared" si="14"/>
        <v>0</v>
      </c>
      <c r="M149" s="29" t="b">
        <f t="shared" si="17"/>
        <v>1</v>
      </c>
      <c r="N149" s="29" cm="1">
        <f t="array" ref="N149">_xlfn.IFS(
  E149="Airlines 1", IF(K149, F149*0.04, 0),
  E149="Airlines 2", P149,
  E149="Airlines 3", IF(L149, 20000*F149, 0),
  E149="Airlines 4", IF(M149, 15000*F149, 0),
  E149="Airlines 5",
    IF(F149&lt;50000000, F149*0.01,
      IF(F149&lt;100000000, F149*0.02,
        IF(F149&lt;200000000, F149*0.03, F149*0.035))),
  TRUE, 0
)</f>
        <v>0</v>
      </c>
      <c r="O149" s="29">
        <f t="shared" si="15"/>
        <v>12</v>
      </c>
      <c r="P149" s="29">
        <f t="shared" si="16"/>
        <v>0</v>
      </c>
      <c r="Q149" s="30" cm="1">
        <f t="array" ref="Q149">_xlfn.SWITCH(I149, "Method 1", 0, "Method 2", H149*0.03, "Method 3", 4000, "Method 4", 3000, 0)</f>
        <v>0</v>
      </c>
    </row>
    <row r="150" spans="1:17">
      <c r="A150" s="24">
        <v>53197076</v>
      </c>
      <c r="B150" s="17">
        <v>42280</v>
      </c>
      <c r="C150" s="17">
        <v>42291</v>
      </c>
      <c r="D150" s="18" t="s">
        <v>121</v>
      </c>
      <c r="E150" s="18" t="s">
        <v>8</v>
      </c>
      <c r="F150" s="18">
        <v>1</v>
      </c>
      <c r="G150" s="19">
        <v>880000</v>
      </c>
      <c r="H150" s="19">
        <v>875600</v>
      </c>
      <c r="I150" s="18" t="s">
        <v>22</v>
      </c>
      <c r="J150" s="29" t="str">
        <f t="shared" si="12"/>
        <v>Sat</v>
      </c>
      <c r="K150" s="29" t="b">
        <f t="shared" si="13"/>
        <v>1</v>
      </c>
      <c r="L150" s="29" t="b">
        <f t="shared" si="14"/>
        <v>0</v>
      </c>
      <c r="M150" s="29" t="b">
        <f t="shared" si="17"/>
        <v>1</v>
      </c>
      <c r="N150" s="29" cm="1">
        <f t="array" ref="N150">_xlfn.IFS(
  E150="Airlines 1", IF(K150, F150*0.04, 0),
  E150="Airlines 2", P150,
  E150="Airlines 3", IF(L150, 20000*F150, 0),
  E150="Airlines 4", IF(M150, 15000*F150, 0),
  E150="Airlines 5",
    IF(F150&lt;50000000, F150*0.01,
      IF(F150&lt;100000000, F150*0.02,
        IF(F150&lt;200000000, F150*0.03, F150*0.035))),
  TRUE, 0
)</f>
        <v>0</v>
      </c>
      <c r="O150" s="29">
        <f t="shared" si="15"/>
        <v>12</v>
      </c>
      <c r="P150" s="29">
        <f t="shared" si="16"/>
        <v>0</v>
      </c>
      <c r="Q150" s="30" cm="1">
        <f t="array" ref="Q150">_xlfn.SWITCH(I150, "Method 1", 0, "Method 2", H150*0.03, "Method 3", 4000, "Method 4", 3000, 0)</f>
        <v>0</v>
      </c>
    </row>
    <row r="151" spans="1:17">
      <c r="A151" s="24">
        <v>53197893</v>
      </c>
      <c r="B151" s="17">
        <v>42280</v>
      </c>
      <c r="C151" s="17">
        <v>42280</v>
      </c>
      <c r="D151" s="18" t="s">
        <v>68</v>
      </c>
      <c r="E151" s="18" t="s">
        <v>8</v>
      </c>
      <c r="F151" s="18">
        <v>2</v>
      </c>
      <c r="G151" s="19">
        <v>860000</v>
      </c>
      <c r="H151" s="19">
        <v>850600</v>
      </c>
      <c r="I151" s="18" t="s">
        <v>22</v>
      </c>
      <c r="J151" s="29" t="str">
        <f t="shared" si="12"/>
        <v>Sat</v>
      </c>
      <c r="K151" s="29" t="b">
        <f t="shared" si="13"/>
        <v>1</v>
      </c>
      <c r="L151" s="29" t="b">
        <f t="shared" si="14"/>
        <v>0</v>
      </c>
      <c r="M151" s="29" t="b">
        <f t="shared" si="17"/>
        <v>1</v>
      </c>
      <c r="N151" s="29" cm="1">
        <f t="array" ref="N151">_xlfn.IFS(
  E151="Airlines 1", IF(K151, F151*0.04, 0),
  E151="Airlines 2", P151,
  E151="Airlines 3", IF(L151, 20000*F151, 0),
  E151="Airlines 4", IF(M151, 15000*F151, 0),
  E151="Airlines 5",
    IF(F151&lt;50000000, F151*0.01,
      IF(F151&lt;100000000, F151*0.02,
        IF(F151&lt;200000000, F151*0.03, F151*0.035))),
  TRUE, 0
)</f>
        <v>0</v>
      </c>
      <c r="O151" s="29">
        <f t="shared" si="15"/>
        <v>12</v>
      </c>
      <c r="P151" s="29">
        <f t="shared" si="16"/>
        <v>0</v>
      </c>
      <c r="Q151" s="30" cm="1">
        <f t="array" ref="Q151">_xlfn.SWITCH(I151, "Method 1", 0, "Method 2", H151*0.03, "Method 3", 4000, "Method 4", 3000, 0)</f>
        <v>0</v>
      </c>
    </row>
    <row r="152" spans="1:17">
      <c r="A152" s="24">
        <v>53197879</v>
      </c>
      <c r="B152" s="17">
        <v>42280</v>
      </c>
      <c r="C152" s="17">
        <v>42281</v>
      </c>
      <c r="D152" s="18" t="s">
        <v>62</v>
      </c>
      <c r="E152" s="18" t="s">
        <v>8</v>
      </c>
      <c r="F152" s="18">
        <v>1</v>
      </c>
      <c r="G152" s="19">
        <v>1068000</v>
      </c>
      <c r="H152" s="19">
        <v>1056300</v>
      </c>
      <c r="I152" s="18" t="s">
        <v>22</v>
      </c>
      <c r="J152" s="29" t="str">
        <f t="shared" si="12"/>
        <v>Sat</v>
      </c>
      <c r="K152" s="29" t="b">
        <f t="shared" si="13"/>
        <v>1</v>
      </c>
      <c r="L152" s="29" t="b">
        <f t="shared" si="14"/>
        <v>1</v>
      </c>
      <c r="M152" s="29" t="b">
        <f t="shared" si="17"/>
        <v>1</v>
      </c>
      <c r="N152" s="29" cm="1">
        <f t="array" ref="N152">_xlfn.IFS(
  E152="Airlines 1", IF(K152, F152*0.04, 0),
  E152="Airlines 2", P152,
  E152="Airlines 3", IF(L152, 20000*F152, 0),
  E152="Airlines 4", IF(M152, 15000*F152, 0),
  E152="Airlines 5",
    IF(F152&lt;50000000, F152*0.01,
      IF(F152&lt;100000000, F152*0.02,
        IF(F152&lt;200000000, F152*0.03, F152*0.035))),
  TRUE, 0
)</f>
        <v>0</v>
      </c>
      <c r="O152" s="29">
        <f t="shared" si="15"/>
        <v>12</v>
      </c>
      <c r="P152" s="29">
        <f t="shared" si="16"/>
        <v>0</v>
      </c>
      <c r="Q152" s="30" cm="1">
        <f t="array" ref="Q152">_xlfn.SWITCH(I152, "Method 1", 0, "Method 2", H152*0.03, "Method 3", 4000, "Method 4", 3000, 0)</f>
        <v>0</v>
      </c>
    </row>
    <row r="153" spans="1:17">
      <c r="A153" s="24">
        <v>53197910</v>
      </c>
      <c r="B153" s="17">
        <v>42280</v>
      </c>
      <c r="C153" s="17">
        <v>42287</v>
      </c>
      <c r="D153" s="18" t="s">
        <v>58</v>
      </c>
      <c r="E153" s="18" t="s">
        <v>8</v>
      </c>
      <c r="F153" s="18">
        <v>1</v>
      </c>
      <c r="G153" s="19">
        <v>1140600</v>
      </c>
      <c r="H153" s="19">
        <v>1128100</v>
      </c>
      <c r="I153" s="18" t="s">
        <v>22</v>
      </c>
      <c r="J153" s="29" t="str">
        <f t="shared" si="12"/>
        <v>Sat</v>
      </c>
      <c r="K153" s="29" t="b">
        <f t="shared" si="13"/>
        <v>1</v>
      </c>
      <c r="L153" s="29" t="b">
        <f t="shared" si="14"/>
        <v>0</v>
      </c>
      <c r="M153" s="29" t="b">
        <f t="shared" si="17"/>
        <v>1</v>
      </c>
      <c r="N153" s="29" cm="1">
        <f t="array" ref="N153">_xlfn.IFS(
  E153="Airlines 1", IF(K153, F153*0.04, 0),
  E153="Airlines 2", P153,
  E153="Airlines 3", IF(L153, 20000*F153, 0),
  E153="Airlines 4", IF(M153, 15000*F153, 0),
  E153="Airlines 5",
    IF(F153&lt;50000000, F153*0.01,
      IF(F153&lt;100000000, F153*0.02,
        IF(F153&lt;200000000, F153*0.03, F153*0.035))),
  TRUE, 0
)</f>
        <v>0</v>
      </c>
      <c r="O153" s="29">
        <f t="shared" si="15"/>
        <v>12</v>
      </c>
      <c r="P153" s="29">
        <f t="shared" si="16"/>
        <v>0</v>
      </c>
      <c r="Q153" s="30" cm="1">
        <f t="array" ref="Q153">_xlfn.SWITCH(I153, "Method 1", 0, "Method 2", H153*0.03, "Method 3", 4000, "Method 4", 3000, 0)</f>
        <v>0</v>
      </c>
    </row>
    <row r="154" spans="1:17">
      <c r="A154" s="24">
        <v>53197727</v>
      </c>
      <c r="B154" s="17">
        <v>42282</v>
      </c>
      <c r="C154" s="17">
        <v>42285</v>
      </c>
      <c r="D154" s="18" t="s">
        <v>113</v>
      </c>
      <c r="E154" s="18" t="s">
        <v>8</v>
      </c>
      <c r="F154" s="18">
        <v>2</v>
      </c>
      <c r="G154" s="19">
        <v>1631400</v>
      </c>
      <c r="H154" s="19">
        <v>1648000</v>
      </c>
      <c r="I154" s="18" t="s">
        <v>22</v>
      </c>
      <c r="J154" s="29" t="str">
        <f t="shared" si="12"/>
        <v>Mon</v>
      </c>
      <c r="K154" s="29" t="b">
        <f t="shared" si="13"/>
        <v>0</v>
      </c>
      <c r="L154" s="29" t="b">
        <f t="shared" si="14"/>
        <v>0</v>
      </c>
      <c r="M154" s="29" t="b">
        <f t="shared" si="17"/>
        <v>1</v>
      </c>
      <c r="N154" s="29" cm="1">
        <f t="array" ref="N154">_xlfn.IFS(
  E154="Airlines 1", IF(K154, F154*0.04, 0),
  E154="Airlines 2", P154,
  E154="Airlines 3", IF(L154, 20000*F154, 0),
  E154="Airlines 4", IF(M154, 15000*F154, 0),
  E154="Airlines 5",
    IF(F154&lt;50000000, F154*0.01,
      IF(F154&lt;100000000, F154*0.02,
        IF(F154&lt;200000000, F154*0.03, F154*0.035))),
  TRUE, 0
)</f>
        <v>0</v>
      </c>
      <c r="O154" s="29">
        <f t="shared" si="15"/>
        <v>12</v>
      </c>
      <c r="P154" s="29">
        <f t="shared" si="16"/>
        <v>0</v>
      </c>
      <c r="Q154" s="30" cm="1">
        <f t="array" ref="Q154">_xlfn.SWITCH(I154, "Method 1", 0, "Method 2", H154*0.03, "Method 3", 4000, "Method 4", 3000, 0)</f>
        <v>0</v>
      </c>
    </row>
    <row r="155" spans="1:17">
      <c r="A155" s="24">
        <v>53197928</v>
      </c>
      <c r="B155" s="17">
        <v>42282</v>
      </c>
      <c r="C155" s="17">
        <v>42292</v>
      </c>
      <c r="D155" s="18" t="s">
        <v>122</v>
      </c>
      <c r="E155" s="18" t="s">
        <v>8</v>
      </c>
      <c r="F155" s="18">
        <v>1</v>
      </c>
      <c r="G155" s="19">
        <v>760000</v>
      </c>
      <c r="H155" s="19">
        <v>751600</v>
      </c>
      <c r="I155" s="18" t="s">
        <v>22</v>
      </c>
      <c r="J155" s="29" t="str">
        <f t="shared" si="12"/>
        <v>Mon</v>
      </c>
      <c r="K155" s="29" t="b">
        <f t="shared" si="13"/>
        <v>0</v>
      </c>
      <c r="L155" s="29" t="b">
        <f t="shared" si="14"/>
        <v>0</v>
      </c>
      <c r="M155" s="29" t="b">
        <f t="shared" si="17"/>
        <v>1</v>
      </c>
      <c r="N155" s="29" cm="1">
        <f t="array" ref="N155">_xlfn.IFS(
  E155="Airlines 1", IF(K155, F155*0.04, 0),
  E155="Airlines 2", P155,
  E155="Airlines 3", IF(L155, 20000*F155, 0),
  E155="Airlines 4", IF(M155, 15000*F155, 0),
  E155="Airlines 5",
    IF(F155&lt;50000000, F155*0.01,
      IF(F155&lt;100000000, F155*0.02,
        IF(F155&lt;200000000, F155*0.03, F155*0.035))),
  TRUE, 0
)</f>
        <v>0</v>
      </c>
      <c r="O155" s="29">
        <f t="shared" si="15"/>
        <v>12</v>
      </c>
      <c r="P155" s="29">
        <f t="shared" si="16"/>
        <v>0</v>
      </c>
      <c r="Q155" s="30" cm="1">
        <f t="array" ref="Q155">_xlfn.SWITCH(I155, "Method 1", 0, "Method 2", H155*0.03, "Method 3", 4000, "Method 4", 3000, 0)</f>
        <v>0</v>
      </c>
    </row>
    <row r="156" spans="1:17">
      <c r="A156" s="24">
        <v>53197856</v>
      </c>
      <c r="B156" s="17">
        <v>42282</v>
      </c>
      <c r="C156" s="17">
        <v>42283</v>
      </c>
      <c r="D156" s="18" t="s">
        <v>42</v>
      </c>
      <c r="E156" s="18" t="s">
        <v>8</v>
      </c>
      <c r="F156" s="18">
        <v>1</v>
      </c>
      <c r="G156" s="19">
        <v>1137300</v>
      </c>
      <c r="H156" s="19">
        <v>1124800</v>
      </c>
      <c r="I156" s="18" t="s">
        <v>26</v>
      </c>
      <c r="J156" s="29" t="str">
        <f t="shared" si="12"/>
        <v>Mon</v>
      </c>
      <c r="K156" s="29" t="b">
        <f t="shared" si="13"/>
        <v>0</v>
      </c>
      <c r="L156" s="29" t="b">
        <f t="shared" si="14"/>
        <v>0</v>
      </c>
      <c r="M156" s="29" t="b">
        <f t="shared" si="17"/>
        <v>1</v>
      </c>
      <c r="N156" s="29" cm="1">
        <f t="array" ref="N156">_xlfn.IFS(
  E156="Airlines 1", IF(K156, F156*0.04, 0),
  E156="Airlines 2", P156,
  E156="Airlines 3", IF(L156, 20000*F156, 0),
  E156="Airlines 4", IF(M156, 15000*F156, 0),
  E156="Airlines 5",
    IF(F156&lt;50000000, F156*0.01,
      IF(F156&lt;100000000, F156*0.02,
        IF(F156&lt;200000000, F156*0.03, F156*0.035))),
  TRUE, 0
)</f>
        <v>0</v>
      </c>
      <c r="O156" s="29">
        <f t="shared" si="15"/>
        <v>12</v>
      </c>
      <c r="P156" s="29">
        <f t="shared" si="16"/>
        <v>0</v>
      </c>
      <c r="Q156" s="30" cm="1">
        <f t="array" ref="Q156">_xlfn.SWITCH(I156, "Method 1", 0, "Method 2", H156*0.03, "Method 3", 4000, "Method 4", 3000, 0)</f>
        <v>4000</v>
      </c>
    </row>
    <row r="157" spans="1:17">
      <c r="A157" s="24">
        <v>53197897</v>
      </c>
      <c r="B157" s="17">
        <v>42282</v>
      </c>
      <c r="C157" s="17">
        <v>42283</v>
      </c>
      <c r="D157" s="18" t="s">
        <v>104</v>
      </c>
      <c r="E157" s="18" t="s">
        <v>8</v>
      </c>
      <c r="F157" s="18">
        <v>1</v>
      </c>
      <c r="G157" s="19">
        <v>784000</v>
      </c>
      <c r="H157" s="19">
        <v>775400</v>
      </c>
      <c r="I157" s="18" t="s">
        <v>24</v>
      </c>
      <c r="J157" s="29" t="str">
        <f t="shared" si="12"/>
        <v>Mon</v>
      </c>
      <c r="K157" s="29" t="b">
        <f t="shared" si="13"/>
        <v>0</v>
      </c>
      <c r="L157" s="29" t="b">
        <f t="shared" si="14"/>
        <v>0</v>
      </c>
      <c r="M157" s="29" t="b">
        <f t="shared" si="17"/>
        <v>1</v>
      </c>
      <c r="N157" s="29" cm="1">
        <f t="array" ref="N157">_xlfn.IFS(
  E157="Airlines 1", IF(K157, F157*0.04, 0),
  E157="Airlines 2", P157,
  E157="Airlines 3", IF(L157, 20000*F157, 0),
  E157="Airlines 4", IF(M157, 15000*F157, 0),
  E157="Airlines 5",
    IF(F157&lt;50000000, F157*0.01,
      IF(F157&lt;100000000, F157*0.02,
        IF(F157&lt;200000000, F157*0.03, F157*0.035))),
  TRUE, 0
)</f>
        <v>0</v>
      </c>
      <c r="O157" s="29">
        <f t="shared" si="15"/>
        <v>12</v>
      </c>
      <c r="P157" s="29">
        <f t="shared" si="16"/>
        <v>0</v>
      </c>
      <c r="Q157" s="30" cm="1">
        <f t="array" ref="Q157">_xlfn.SWITCH(I157, "Method 1", 0, "Method 2", H157*0.03, "Method 3", 4000, "Method 4", 3000, 0)</f>
        <v>23262</v>
      </c>
    </row>
    <row r="158" spans="1:17">
      <c r="A158" s="24">
        <v>53197861</v>
      </c>
      <c r="B158" s="17">
        <v>42282</v>
      </c>
      <c r="C158" s="17">
        <v>42283</v>
      </c>
      <c r="D158" s="18" t="s">
        <v>123</v>
      </c>
      <c r="E158" s="18" t="s">
        <v>8</v>
      </c>
      <c r="F158" s="18">
        <v>1</v>
      </c>
      <c r="G158" s="19">
        <v>410000</v>
      </c>
      <c r="H158" s="19">
        <v>405500</v>
      </c>
      <c r="I158" s="18" t="s">
        <v>26</v>
      </c>
      <c r="J158" s="29" t="str">
        <f t="shared" si="12"/>
        <v>Mon</v>
      </c>
      <c r="K158" s="29" t="b">
        <f t="shared" si="13"/>
        <v>0</v>
      </c>
      <c r="L158" s="29" t="b">
        <f t="shared" si="14"/>
        <v>0</v>
      </c>
      <c r="M158" s="29" t="b">
        <f t="shared" si="17"/>
        <v>1</v>
      </c>
      <c r="N158" s="29" cm="1">
        <f t="array" ref="N158">_xlfn.IFS(
  E158="Airlines 1", IF(K158, F158*0.04, 0),
  E158="Airlines 2", P158,
  E158="Airlines 3", IF(L158, 20000*F158, 0),
  E158="Airlines 4", IF(M158, 15000*F158, 0),
  E158="Airlines 5",
    IF(F158&lt;50000000, F158*0.01,
      IF(F158&lt;100000000, F158*0.02,
        IF(F158&lt;200000000, F158*0.03, F158*0.035))),
  TRUE, 0
)</f>
        <v>0</v>
      </c>
      <c r="O158" s="29">
        <f t="shared" si="15"/>
        <v>12</v>
      </c>
      <c r="P158" s="29">
        <f t="shared" si="16"/>
        <v>0</v>
      </c>
      <c r="Q158" s="30" cm="1">
        <f t="array" ref="Q158">_xlfn.SWITCH(I158, "Method 1", 0, "Method 2", H158*0.03, "Method 3", 4000, "Method 4", 3000, 0)</f>
        <v>4000</v>
      </c>
    </row>
    <row r="159" spans="1:17">
      <c r="A159" s="24">
        <v>53197724</v>
      </c>
      <c r="B159" s="17">
        <v>42282</v>
      </c>
      <c r="C159" s="17">
        <v>42283</v>
      </c>
      <c r="D159" s="18" t="s">
        <v>124</v>
      </c>
      <c r="E159" s="18" t="s">
        <v>8</v>
      </c>
      <c r="F159" s="18">
        <v>2</v>
      </c>
      <c r="G159" s="19">
        <v>1722000</v>
      </c>
      <c r="H159" s="19">
        <v>1703000</v>
      </c>
      <c r="I159" s="18" t="s">
        <v>28</v>
      </c>
      <c r="J159" s="29" t="str">
        <f t="shared" si="12"/>
        <v>Mon</v>
      </c>
      <c r="K159" s="29" t="b">
        <f t="shared" si="13"/>
        <v>0</v>
      </c>
      <c r="L159" s="29" t="b">
        <f t="shared" si="14"/>
        <v>0</v>
      </c>
      <c r="M159" s="29" t="b">
        <f t="shared" si="17"/>
        <v>1</v>
      </c>
      <c r="N159" s="29" cm="1">
        <f t="array" ref="N159">_xlfn.IFS(
  E159="Airlines 1", IF(K159, F159*0.04, 0),
  E159="Airlines 2", P159,
  E159="Airlines 3", IF(L159, 20000*F159, 0),
  E159="Airlines 4", IF(M159, 15000*F159, 0),
  E159="Airlines 5",
    IF(F159&lt;50000000, F159*0.01,
      IF(F159&lt;100000000, F159*0.02,
        IF(F159&lt;200000000, F159*0.03, F159*0.035))),
  TRUE, 0
)</f>
        <v>0</v>
      </c>
      <c r="O159" s="29">
        <f t="shared" si="15"/>
        <v>12</v>
      </c>
      <c r="P159" s="29">
        <f t="shared" si="16"/>
        <v>0</v>
      </c>
      <c r="Q159" s="30" cm="1">
        <f t="array" ref="Q159">_xlfn.SWITCH(I159, "Method 1", 0, "Method 2", H159*0.03, "Method 3", 4000, "Method 4", 3000, 0)</f>
        <v>3000</v>
      </c>
    </row>
    <row r="160" spans="1:17">
      <c r="A160" s="24">
        <v>53197988</v>
      </c>
      <c r="B160" s="17">
        <v>42282</v>
      </c>
      <c r="C160" s="17">
        <v>42286</v>
      </c>
      <c r="D160" s="18" t="s">
        <v>97</v>
      </c>
      <c r="E160" s="18" t="s">
        <v>8</v>
      </c>
      <c r="F160" s="18">
        <v>1</v>
      </c>
      <c r="G160" s="19">
        <v>799000</v>
      </c>
      <c r="H160" s="19">
        <v>790200</v>
      </c>
      <c r="I160" s="18" t="s">
        <v>22</v>
      </c>
      <c r="J160" s="29" t="str">
        <f t="shared" si="12"/>
        <v>Mon</v>
      </c>
      <c r="K160" s="29" t="b">
        <f t="shared" si="13"/>
        <v>0</v>
      </c>
      <c r="L160" s="29" t="b">
        <f t="shared" si="14"/>
        <v>1</v>
      </c>
      <c r="M160" s="29" t="b">
        <f t="shared" si="17"/>
        <v>1</v>
      </c>
      <c r="N160" s="29" cm="1">
        <f t="array" ref="N160">_xlfn.IFS(
  E160="Airlines 1", IF(K160, F160*0.04, 0),
  E160="Airlines 2", P160,
  E160="Airlines 3", IF(L160, 20000*F160, 0),
  E160="Airlines 4", IF(M160, 15000*F160, 0),
  E160="Airlines 5",
    IF(F160&lt;50000000, F160*0.01,
      IF(F160&lt;100000000, F160*0.02,
        IF(F160&lt;200000000, F160*0.03, F160*0.035))),
  TRUE, 0
)</f>
        <v>0</v>
      </c>
      <c r="O160" s="29">
        <f t="shared" si="15"/>
        <v>12</v>
      </c>
      <c r="P160" s="29">
        <f t="shared" si="16"/>
        <v>0</v>
      </c>
      <c r="Q160" s="30" cm="1">
        <f t="array" ref="Q160">_xlfn.SWITCH(I160, "Method 1", 0, "Method 2", H160*0.03, "Method 3", 4000, "Method 4", 3000, 0)</f>
        <v>0</v>
      </c>
    </row>
    <row r="161" spans="1:17">
      <c r="A161" s="24">
        <v>53197914</v>
      </c>
      <c r="B161" s="17">
        <v>42282</v>
      </c>
      <c r="C161" s="17">
        <v>42294</v>
      </c>
      <c r="D161" s="18" t="s">
        <v>65</v>
      </c>
      <c r="E161" s="18" t="s">
        <v>8</v>
      </c>
      <c r="F161" s="18">
        <v>1</v>
      </c>
      <c r="G161" s="19">
        <v>640000</v>
      </c>
      <c r="H161" s="19">
        <v>633000</v>
      </c>
      <c r="I161" s="18" t="s">
        <v>22</v>
      </c>
      <c r="J161" s="29" t="str">
        <f t="shared" si="12"/>
        <v>Mon</v>
      </c>
      <c r="K161" s="29" t="b">
        <f t="shared" si="13"/>
        <v>0</v>
      </c>
      <c r="L161" s="29" t="b">
        <f t="shared" si="14"/>
        <v>0</v>
      </c>
      <c r="M161" s="29" t="b">
        <f t="shared" si="17"/>
        <v>1</v>
      </c>
      <c r="N161" s="29" cm="1">
        <f t="array" ref="N161">_xlfn.IFS(
  E161="Airlines 1", IF(K161, F161*0.04, 0),
  E161="Airlines 2", P161,
  E161="Airlines 3", IF(L161, 20000*F161, 0),
  E161="Airlines 4", IF(M161, 15000*F161, 0),
  E161="Airlines 5",
    IF(F161&lt;50000000, F161*0.01,
      IF(F161&lt;100000000, F161*0.02,
        IF(F161&lt;200000000, F161*0.03, F161*0.035))),
  TRUE, 0
)</f>
        <v>0</v>
      </c>
      <c r="O161" s="29">
        <f t="shared" si="15"/>
        <v>12</v>
      </c>
      <c r="P161" s="29">
        <f t="shared" si="16"/>
        <v>0</v>
      </c>
      <c r="Q161" s="30" cm="1">
        <f t="array" ref="Q161">_xlfn.SWITCH(I161, "Method 1", 0, "Method 2", H161*0.03, "Method 3", 4000, "Method 4", 3000, 0)</f>
        <v>0</v>
      </c>
    </row>
    <row r="162" spans="1:17">
      <c r="A162" s="24">
        <v>53196985</v>
      </c>
      <c r="B162" s="17">
        <v>42282</v>
      </c>
      <c r="C162" s="17">
        <v>42284</v>
      </c>
      <c r="D162" s="18" t="s">
        <v>65</v>
      </c>
      <c r="E162" s="18" t="s">
        <v>8</v>
      </c>
      <c r="F162" s="18">
        <v>1</v>
      </c>
      <c r="G162" s="19">
        <v>772000</v>
      </c>
      <c r="H162" s="19">
        <v>763500</v>
      </c>
      <c r="I162" s="18" t="s">
        <v>22</v>
      </c>
      <c r="J162" s="29" t="str">
        <f t="shared" si="12"/>
        <v>Mon</v>
      </c>
      <c r="K162" s="29" t="b">
        <f t="shared" si="13"/>
        <v>0</v>
      </c>
      <c r="L162" s="29" t="b">
        <f t="shared" si="14"/>
        <v>0</v>
      </c>
      <c r="M162" s="29" t="b">
        <f t="shared" si="17"/>
        <v>1</v>
      </c>
      <c r="N162" s="29" cm="1">
        <f t="array" ref="N162">_xlfn.IFS(
  E162="Airlines 1", IF(K162, F162*0.04, 0),
  E162="Airlines 2", P162,
  E162="Airlines 3", IF(L162, 20000*F162, 0),
  E162="Airlines 4", IF(M162, 15000*F162, 0),
  E162="Airlines 5",
    IF(F162&lt;50000000, F162*0.01,
      IF(F162&lt;100000000, F162*0.02,
        IF(F162&lt;200000000, F162*0.03, F162*0.035))),
  TRUE, 0
)</f>
        <v>0</v>
      </c>
      <c r="O162" s="29">
        <f t="shared" si="15"/>
        <v>12</v>
      </c>
      <c r="P162" s="29">
        <f t="shared" si="16"/>
        <v>0</v>
      </c>
      <c r="Q162" s="30" cm="1">
        <f t="array" ref="Q162">_xlfn.SWITCH(I162, "Method 1", 0, "Method 2", H162*0.03, "Method 3", 4000, "Method 4", 3000, 0)</f>
        <v>0</v>
      </c>
    </row>
    <row r="163" spans="1:17">
      <c r="A163" s="24">
        <v>53196090</v>
      </c>
      <c r="B163" s="17">
        <v>42282</v>
      </c>
      <c r="C163" s="17">
        <v>42295</v>
      </c>
      <c r="D163" s="18" t="s">
        <v>58</v>
      </c>
      <c r="E163" s="18" t="s">
        <v>8</v>
      </c>
      <c r="F163" s="18">
        <v>1</v>
      </c>
      <c r="G163" s="19">
        <v>1805000</v>
      </c>
      <c r="H163" s="19">
        <v>1785000</v>
      </c>
      <c r="I163" s="18" t="s">
        <v>22</v>
      </c>
      <c r="J163" s="29" t="str">
        <f t="shared" si="12"/>
        <v>Mon</v>
      </c>
      <c r="K163" s="29" t="b">
        <f t="shared" si="13"/>
        <v>0</v>
      </c>
      <c r="L163" s="29" t="b">
        <f t="shared" si="14"/>
        <v>0</v>
      </c>
      <c r="M163" s="29" t="b">
        <f t="shared" si="17"/>
        <v>1</v>
      </c>
      <c r="N163" s="29" cm="1">
        <f t="array" ref="N163">_xlfn.IFS(
  E163="Airlines 1", IF(K163, F163*0.04, 0),
  E163="Airlines 2", P163,
  E163="Airlines 3", IF(L163, 20000*F163, 0),
  E163="Airlines 4", IF(M163, 15000*F163, 0),
  E163="Airlines 5",
    IF(F163&lt;50000000, F163*0.01,
      IF(F163&lt;100000000, F163*0.02,
        IF(F163&lt;200000000, F163*0.03, F163*0.035))),
  TRUE, 0
)</f>
        <v>0</v>
      </c>
      <c r="O163" s="29">
        <f t="shared" si="15"/>
        <v>12</v>
      </c>
      <c r="P163" s="29">
        <f t="shared" si="16"/>
        <v>0</v>
      </c>
      <c r="Q163" s="30" cm="1">
        <f t="array" ref="Q163">_xlfn.SWITCH(I163, "Method 1", 0, "Method 2", H163*0.03, "Method 3", 4000, "Method 4", 3000, 0)</f>
        <v>0</v>
      </c>
    </row>
    <row r="164" spans="1:17">
      <c r="A164" s="24">
        <v>53197270</v>
      </c>
      <c r="B164" s="17">
        <v>42285</v>
      </c>
      <c r="C164" s="17">
        <v>42287</v>
      </c>
      <c r="D164" s="18" t="s">
        <v>97</v>
      </c>
      <c r="E164" s="18" t="s">
        <v>8</v>
      </c>
      <c r="F164" s="18">
        <v>1</v>
      </c>
      <c r="G164" s="19">
        <v>799000</v>
      </c>
      <c r="H164" s="19">
        <v>790200</v>
      </c>
      <c r="I164" s="18" t="s">
        <v>24</v>
      </c>
      <c r="J164" s="29" t="str">
        <f t="shared" si="12"/>
        <v>Thu</v>
      </c>
      <c r="K164" s="29" t="b">
        <f t="shared" si="13"/>
        <v>0</v>
      </c>
      <c r="L164" s="29" t="b">
        <f t="shared" si="14"/>
        <v>1</v>
      </c>
      <c r="M164" s="29" t="b">
        <f t="shared" si="17"/>
        <v>1</v>
      </c>
      <c r="N164" s="29" cm="1">
        <f t="array" ref="N164">_xlfn.IFS(
  E164="Airlines 1", IF(K164, F164*0.04, 0),
  E164="Airlines 2", P164,
  E164="Airlines 3", IF(L164, 20000*F164, 0),
  E164="Airlines 4", IF(M164, 15000*F164, 0),
  E164="Airlines 5",
    IF(F164&lt;50000000, F164*0.01,
      IF(F164&lt;100000000, F164*0.02,
        IF(F164&lt;200000000, F164*0.03, F164*0.035))),
  TRUE, 0
)</f>
        <v>0</v>
      </c>
      <c r="O164" s="29">
        <f t="shared" si="15"/>
        <v>17</v>
      </c>
      <c r="P164" s="29">
        <f t="shared" si="16"/>
        <v>0</v>
      </c>
      <c r="Q164" s="30" cm="1">
        <f t="array" ref="Q164">_xlfn.SWITCH(I164, "Method 1", 0, "Method 2", H164*0.03, "Method 3", 4000, "Method 4", 3000, 0)</f>
        <v>23706</v>
      </c>
    </row>
    <row r="165" spans="1:17">
      <c r="A165" s="24">
        <v>53198007</v>
      </c>
      <c r="B165" s="17">
        <v>42285</v>
      </c>
      <c r="C165" s="17">
        <v>42291</v>
      </c>
      <c r="D165" s="18" t="s">
        <v>125</v>
      </c>
      <c r="E165" s="18" t="s">
        <v>8</v>
      </c>
      <c r="F165" s="18">
        <v>1</v>
      </c>
      <c r="G165" s="19">
        <v>646500</v>
      </c>
      <c r="H165" s="19">
        <v>639400</v>
      </c>
      <c r="I165" s="18" t="s">
        <v>24</v>
      </c>
      <c r="J165" s="29" t="str">
        <f t="shared" si="12"/>
        <v>Thu</v>
      </c>
      <c r="K165" s="29" t="b">
        <f t="shared" si="13"/>
        <v>0</v>
      </c>
      <c r="L165" s="29" t="b">
        <f t="shared" si="14"/>
        <v>0</v>
      </c>
      <c r="M165" s="29" t="b">
        <f t="shared" si="17"/>
        <v>1</v>
      </c>
      <c r="N165" s="29" cm="1">
        <f t="array" ref="N165">_xlfn.IFS(
  E165="Airlines 1", IF(K165, F165*0.04, 0),
  E165="Airlines 2", P165,
  E165="Airlines 3", IF(L165, 20000*F165, 0),
  E165="Airlines 4", IF(M165, 15000*F165, 0),
  E165="Airlines 5",
    IF(F165&lt;50000000, F165*0.01,
      IF(F165&lt;100000000, F165*0.02,
        IF(F165&lt;200000000, F165*0.03, F165*0.035))),
  TRUE, 0
)</f>
        <v>0</v>
      </c>
      <c r="O165" s="29">
        <f t="shared" si="15"/>
        <v>17</v>
      </c>
      <c r="P165" s="29">
        <f t="shared" si="16"/>
        <v>0</v>
      </c>
      <c r="Q165" s="30" cm="1">
        <f t="array" ref="Q165">_xlfn.SWITCH(I165, "Method 1", 0, "Method 2", H165*0.03, "Method 3", 4000, "Method 4", 3000, 0)</f>
        <v>19182</v>
      </c>
    </row>
    <row r="166" spans="1:17">
      <c r="A166" s="24">
        <v>53198005</v>
      </c>
      <c r="B166" s="17">
        <v>42285</v>
      </c>
      <c r="C166" s="17">
        <v>42287</v>
      </c>
      <c r="D166" s="18" t="s">
        <v>112</v>
      </c>
      <c r="E166" s="18" t="s">
        <v>8</v>
      </c>
      <c r="F166" s="18">
        <v>1</v>
      </c>
      <c r="G166" s="19">
        <v>727000</v>
      </c>
      <c r="H166" s="19">
        <v>719000</v>
      </c>
      <c r="I166" s="18" t="s">
        <v>24</v>
      </c>
      <c r="J166" s="29" t="str">
        <f t="shared" si="12"/>
        <v>Thu</v>
      </c>
      <c r="K166" s="29" t="b">
        <f t="shared" si="13"/>
        <v>0</v>
      </c>
      <c r="L166" s="29" t="b">
        <f t="shared" si="14"/>
        <v>0</v>
      </c>
      <c r="M166" s="29" t="b">
        <f t="shared" si="17"/>
        <v>1</v>
      </c>
      <c r="N166" s="29" cm="1">
        <f t="array" ref="N166">_xlfn.IFS(
  E166="Airlines 1", IF(K166, F166*0.04, 0),
  E166="Airlines 2", P166,
  E166="Airlines 3", IF(L166, 20000*F166, 0),
  E166="Airlines 4", IF(M166, 15000*F166, 0),
  E166="Airlines 5",
    IF(F166&lt;50000000, F166*0.01,
      IF(F166&lt;100000000, F166*0.02,
        IF(F166&lt;200000000, F166*0.03, F166*0.035))),
  TRUE, 0
)</f>
        <v>0</v>
      </c>
      <c r="O166" s="29">
        <f t="shared" si="15"/>
        <v>17</v>
      </c>
      <c r="P166" s="29">
        <f t="shared" si="16"/>
        <v>0</v>
      </c>
      <c r="Q166" s="30" cm="1">
        <f t="array" ref="Q166">_xlfn.SWITCH(I166, "Method 1", 0, "Method 2", H166*0.03, "Method 3", 4000, "Method 4", 3000, 0)</f>
        <v>21570</v>
      </c>
    </row>
    <row r="167" spans="1:17">
      <c r="A167" s="24">
        <v>53197346</v>
      </c>
      <c r="B167" s="17">
        <v>42285</v>
      </c>
      <c r="C167" s="17">
        <v>42286</v>
      </c>
      <c r="D167" s="18" t="s">
        <v>77</v>
      </c>
      <c r="E167" s="18" t="s">
        <v>8</v>
      </c>
      <c r="F167" s="18">
        <v>1</v>
      </c>
      <c r="G167" s="19">
        <v>1750000</v>
      </c>
      <c r="H167" s="19">
        <v>1730800</v>
      </c>
      <c r="I167" s="18" t="s">
        <v>24</v>
      </c>
      <c r="J167" s="29" t="str">
        <f t="shared" si="12"/>
        <v>Thu</v>
      </c>
      <c r="K167" s="29" t="b">
        <f t="shared" si="13"/>
        <v>0</v>
      </c>
      <c r="L167" s="29" t="b">
        <f t="shared" si="14"/>
        <v>0</v>
      </c>
      <c r="M167" s="29" t="b">
        <f t="shared" si="17"/>
        <v>1</v>
      </c>
      <c r="N167" s="29" cm="1">
        <f t="array" ref="N167">_xlfn.IFS(
  E167="Airlines 1", IF(K167, F167*0.04, 0),
  E167="Airlines 2", P167,
  E167="Airlines 3", IF(L167, 20000*F167, 0),
  E167="Airlines 4", IF(M167, 15000*F167, 0),
  E167="Airlines 5",
    IF(F167&lt;50000000, F167*0.01,
      IF(F167&lt;100000000, F167*0.02,
        IF(F167&lt;200000000, F167*0.03, F167*0.035))),
  TRUE, 0
)</f>
        <v>0</v>
      </c>
      <c r="O167" s="29">
        <f t="shared" si="15"/>
        <v>17</v>
      </c>
      <c r="P167" s="29">
        <f t="shared" si="16"/>
        <v>0</v>
      </c>
      <c r="Q167" s="30" cm="1">
        <f t="array" ref="Q167">_xlfn.SWITCH(I167, "Method 1", 0, "Method 2", H167*0.03, "Method 3", 4000, "Method 4", 3000, 0)</f>
        <v>51924</v>
      </c>
    </row>
    <row r="168" spans="1:17">
      <c r="A168" s="24">
        <v>53197908</v>
      </c>
      <c r="B168" s="17">
        <v>42285</v>
      </c>
      <c r="C168" s="17">
        <v>42294</v>
      </c>
      <c r="D168" s="18" t="s">
        <v>88</v>
      </c>
      <c r="E168" s="18" t="s">
        <v>8</v>
      </c>
      <c r="F168" s="18">
        <v>1</v>
      </c>
      <c r="G168" s="19">
        <v>1125000</v>
      </c>
      <c r="H168" s="19">
        <v>1112600</v>
      </c>
      <c r="I168" s="18" t="s">
        <v>24</v>
      </c>
      <c r="J168" s="29" t="str">
        <f t="shared" si="12"/>
        <v>Thu</v>
      </c>
      <c r="K168" s="29" t="b">
        <f t="shared" si="13"/>
        <v>0</v>
      </c>
      <c r="L168" s="29" t="b">
        <f t="shared" si="14"/>
        <v>0</v>
      </c>
      <c r="M168" s="29" t="b">
        <f t="shared" si="17"/>
        <v>1</v>
      </c>
      <c r="N168" s="29" cm="1">
        <f t="array" ref="N168">_xlfn.IFS(
  E168="Airlines 1", IF(K168, F168*0.04, 0),
  E168="Airlines 2", P168,
  E168="Airlines 3", IF(L168, 20000*F168, 0),
  E168="Airlines 4", IF(M168, 15000*F168, 0),
  E168="Airlines 5",
    IF(F168&lt;50000000, F168*0.01,
      IF(F168&lt;100000000, F168*0.02,
        IF(F168&lt;200000000, F168*0.03, F168*0.035))),
  TRUE, 0
)</f>
        <v>0</v>
      </c>
      <c r="O168" s="29">
        <f t="shared" si="15"/>
        <v>17</v>
      </c>
      <c r="P168" s="29">
        <f t="shared" si="16"/>
        <v>0</v>
      </c>
      <c r="Q168" s="30" cm="1">
        <f t="array" ref="Q168">_xlfn.SWITCH(I168, "Method 1", 0, "Method 2", H168*0.03, "Method 3", 4000, "Method 4", 3000, 0)</f>
        <v>33378</v>
      </c>
    </row>
    <row r="169" spans="1:17">
      <c r="A169" s="24">
        <v>53198093</v>
      </c>
      <c r="B169" s="17">
        <v>42285</v>
      </c>
      <c r="C169" s="17">
        <v>42286</v>
      </c>
      <c r="D169" s="18" t="s">
        <v>126</v>
      </c>
      <c r="E169" s="18" t="s">
        <v>8</v>
      </c>
      <c r="F169" s="18">
        <v>2</v>
      </c>
      <c r="G169" s="19">
        <v>1452000</v>
      </c>
      <c r="H169" s="19">
        <v>1436000</v>
      </c>
      <c r="I169" s="18" t="s">
        <v>24</v>
      </c>
      <c r="J169" s="29" t="str">
        <f t="shared" si="12"/>
        <v>Thu</v>
      </c>
      <c r="K169" s="29" t="b">
        <f t="shared" si="13"/>
        <v>0</v>
      </c>
      <c r="L169" s="29" t="b">
        <f t="shared" si="14"/>
        <v>0</v>
      </c>
      <c r="M169" s="29" t="b">
        <f t="shared" si="17"/>
        <v>1</v>
      </c>
      <c r="N169" s="29" cm="1">
        <f t="array" ref="N169">_xlfn.IFS(
  E169="Airlines 1", IF(K169, F169*0.04, 0),
  E169="Airlines 2", P169,
  E169="Airlines 3", IF(L169, 20000*F169, 0),
  E169="Airlines 4", IF(M169, 15000*F169, 0),
  E169="Airlines 5",
    IF(F169&lt;50000000, F169*0.01,
      IF(F169&lt;100000000, F169*0.02,
        IF(F169&lt;200000000, F169*0.03, F169*0.035))),
  TRUE, 0
)</f>
        <v>0</v>
      </c>
      <c r="O169" s="29">
        <f t="shared" si="15"/>
        <v>17</v>
      </c>
      <c r="P169" s="29">
        <f t="shared" si="16"/>
        <v>0</v>
      </c>
      <c r="Q169" s="30" cm="1">
        <f t="array" ref="Q169">_xlfn.SWITCH(I169, "Method 1", 0, "Method 2", H169*0.03, "Method 3", 4000, "Method 4", 3000, 0)</f>
        <v>43080</v>
      </c>
    </row>
    <row r="170" spans="1:17">
      <c r="A170" s="24">
        <v>53198396</v>
      </c>
      <c r="B170" s="17">
        <v>42285</v>
      </c>
      <c r="C170" s="17">
        <v>42305</v>
      </c>
      <c r="D170" s="18" t="s">
        <v>97</v>
      </c>
      <c r="E170" s="18" t="s">
        <v>8</v>
      </c>
      <c r="F170" s="18">
        <v>1</v>
      </c>
      <c r="G170" s="19">
        <v>799000</v>
      </c>
      <c r="H170" s="19">
        <v>790200</v>
      </c>
      <c r="I170" s="18" t="s">
        <v>24</v>
      </c>
      <c r="J170" s="29" t="str">
        <f t="shared" si="12"/>
        <v>Thu</v>
      </c>
      <c r="K170" s="29" t="b">
        <f t="shared" si="13"/>
        <v>0</v>
      </c>
      <c r="L170" s="29" t="b">
        <f t="shared" si="14"/>
        <v>1</v>
      </c>
      <c r="M170" s="29" t="b">
        <f t="shared" si="17"/>
        <v>1</v>
      </c>
      <c r="N170" s="29" cm="1">
        <f t="array" ref="N170">_xlfn.IFS(
  E170="Airlines 1", IF(K170, F170*0.04, 0),
  E170="Airlines 2", P170,
  E170="Airlines 3", IF(L170, 20000*F170, 0),
  E170="Airlines 4", IF(M170, 15000*F170, 0),
  E170="Airlines 5",
    IF(F170&lt;50000000, F170*0.01,
      IF(F170&lt;100000000, F170*0.02,
        IF(F170&lt;200000000, F170*0.03, F170*0.035))),
  TRUE, 0
)</f>
        <v>0</v>
      </c>
      <c r="O170" s="29">
        <f t="shared" si="15"/>
        <v>17</v>
      </c>
      <c r="P170" s="29">
        <f t="shared" si="16"/>
        <v>0</v>
      </c>
      <c r="Q170" s="30" cm="1">
        <f t="array" ref="Q170">_xlfn.SWITCH(I170, "Method 1", 0, "Method 2", H170*0.03, "Method 3", 4000, "Method 4", 3000, 0)</f>
        <v>23706</v>
      </c>
    </row>
    <row r="171" spans="1:17">
      <c r="A171" s="24">
        <v>53197975</v>
      </c>
      <c r="B171" s="17">
        <v>42285</v>
      </c>
      <c r="C171" s="17">
        <v>42298</v>
      </c>
      <c r="D171" s="18" t="s">
        <v>112</v>
      </c>
      <c r="E171" s="18" t="s">
        <v>8</v>
      </c>
      <c r="F171" s="18">
        <v>2</v>
      </c>
      <c r="G171" s="19">
        <v>1806000</v>
      </c>
      <c r="H171" s="19">
        <v>1786200</v>
      </c>
      <c r="I171" s="18" t="s">
        <v>24</v>
      </c>
      <c r="J171" s="29" t="str">
        <f t="shared" si="12"/>
        <v>Thu</v>
      </c>
      <c r="K171" s="29" t="b">
        <f t="shared" si="13"/>
        <v>0</v>
      </c>
      <c r="L171" s="29" t="b">
        <f t="shared" si="14"/>
        <v>0</v>
      </c>
      <c r="M171" s="29" t="b">
        <f t="shared" si="17"/>
        <v>1</v>
      </c>
      <c r="N171" s="29" cm="1">
        <f t="array" ref="N171">_xlfn.IFS(
  E171="Airlines 1", IF(K171, F171*0.04, 0),
  E171="Airlines 2", P171,
  E171="Airlines 3", IF(L171, 20000*F171, 0),
  E171="Airlines 4", IF(M171, 15000*F171, 0),
  E171="Airlines 5",
    IF(F171&lt;50000000, F171*0.01,
      IF(F171&lt;100000000, F171*0.02,
        IF(F171&lt;200000000, F171*0.03, F171*0.035))),
  TRUE, 0
)</f>
        <v>0</v>
      </c>
      <c r="O171" s="29">
        <f t="shared" si="15"/>
        <v>17</v>
      </c>
      <c r="P171" s="29">
        <f t="shared" si="16"/>
        <v>0</v>
      </c>
      <c r="Q171" s="30" cm="1">
        <f t="array" ref="Q171">_xlfn.SWITCH(I171, "Method 1", 0, "Method 2", H171*0.03, "Method 3", 4000, "Method 4", 3000, 0)</f>
        <v>53586</v>
      </c>
    </row>
    <row r="172" spans="1:17">
      <c r="A172" s="24">
        <v>53197640</v>
      </c>
      <c r="B172" s="17">
        <v>42285</v>
      </c>
      <c r="C172" s="17">
        <v>42287</v>
      </c>
      <c r="D172" s="18" t="s">
        <v>127</v>
      </c>
      <c r="E172" s="18" t="s">
        <v>8</v>
      </c>
      <c r="F172" s="18">
        <v>4</v>
      </c>
      <c r="G172" s="19">
        <v>3256500</v>
      </c>
      <c r="H172" s="19">
        <v>3221700</v>
      </c>
      <c r="I172" s="18" t="s">
        <v>24</v>
      </c>
      <c r="J172" s="29" t="str">
        <f t="shared" si="12"/>
        <v>Thu</v>
      </c>
      <c r="K172" s="29" t="b">
        <f t="shared" si="13"/>
        <v>0</v>
      </c>
      <c r="L172" s="29" t="b">
        <f t="shared" si="14"/>
        <v>0</v>
      </c>
      <c r="M172" s="29" t="b">
        <f t="shared" si="17"/>
        <v>1</v>
      </c>
      <c r="N172" s="29" cm="1">
        <f t="array" ref="N172">_xlfn.IFS(
  E172="Airlines 1", IF(K172, F172*0.04, 0),
  E172="Airlines 2", P172,
  E172="Airlines 3", IF(L172, 20000*F172, 0),
  E172="Airlines 4", IF(M172, 15000*F172, 0),
  E172="Airlines 5",
    IF(F172&lt;50000000, F172*0.01,
      IF(F172&lt;100000000, F172*0.02,
        IF(F172&lt;200000000, F172*0.03, F172*0.035))),
  TRUE, 0
)</f>
        <v>0</v>
      </c>
      <c r="O172" s="29">
        <f t="shared" si="15"/>
        <v>17</v>
      </c>
      <c r="P172" s="29">
        <f t="shared" si="16"/>
        <v>0</v>
      </c>
      <c r="Q172" s="30" cm="1">
        <f t="array" ref="Q172">_xlfn.SWITCH(I172, "Method 1", 0, "Method 2", H172*0.03, "Method 3", 4000, "Method 4", 3000, 0)</f>
        <v>96651</v>
      </c>
    </row>
    <row r="173" spans="1:17">
      <c r="A173" s="24">
        <v>53198438</v>
      </c>
      <c r="B173" s="17">
        <v>42285</v>
      </c>
      <c r="C173" s="17">
        <v>42286</v>
      </c>
      <c r="D173" s="18" t="s">
        <v>109</v>
      </c>
      <c r="E173" s="18" t="s">
        <v>8</v>
      </c>
      <c r="F173" s="18">
        <v>1</v>
      </c>
      <c r="G173" s="19">
        <v>708800</v>
      </c>
      <c r="H173" s="19">
        <v>701000</v>
      </c>
      <c r="I173" s="18" t="s">
        <v>24</v>
      </c>
      <c r="J173" s="29" t="str">
        <f t="shared" si="12"/>
        <v>Thu</v>
      </c>
      <c r="K173" s="29" t="b">
        <f t="shared" si="13"/>
        <v>0</v>
      </c>
      <c r="L173" s="29" t="b">
        <f t="shared" si="14"/>
        <v>0</v>
      </c>
      <c r="M173" s="29" t="b">
        <f t="shared" si="17"/>
        <v>1</v>
      </c>
      <c r="N173" s="29" cm="1">
        <f t="array" ref="N173">_xlfn.IFS(
  E173="Airlines 1", IF(K173, F173*0.04, 0),
  E173="Airlines 2", P173,
  E173="Airlines 3", IF(L173, 20000*F173, 0),
  E173="Airlines 4", IF(M173, 15000*F173, 0),
  E173="Airlines 5",
    IF(F173&lt;50000000, F173*0.01,
      IF(F173&lt;100000000, F173*0.02,
        IF(F173&lt;200000000, F173*0.03, F173*0.035))),
  TRUE, 0
)</f>
        <v>0</v>
      </c>
      <c r="O173" s="29">
        <f t="shared" si="15"/>
        <v>17</v>
      </c>
      <c r="P173" s="29">
        <f t="shared" si="16"/>
        <v>0</v>
      </c>
      <c r="Q173" s="30" cm="1">
        <f t="array" ref="Q173">_xlfn.SWITCH(I173, "Method 1", 0, "Method 2", H173*0.03, "Method 3", 4000, "Method 4", 3000, 0)</f>
        <v>21030</v>
      </c>
    </row>
    <row r="174" spans="1:17">
      <c r="A174" s="24">
        <v>53198442</v>
      </c>
      <c r="B174" s="17">
        <v>42285</v>
      </c>
      <c r="C174" s="17">
        <v>42287</v>
      </c>
      <c r="D174" s="18" t="s">
        <v>128</v>
      </c>
      <c r="E174" s="18" t="s">
        <v>8</v>
      </c>
      <c r="F174" s="18">
        <v>1</v>
      </c>
      <c r="G174" s="19">
        <v>1612000</v>
      </c>
      <c r="H174" s="19">
        <v>1594300</v>
      </c>
      <c r="I174" s="18" t="s">
        <v>28</v>
      </c>
      <c r="J174" s="29" t="str">
        <f t="shared" si="12"/>
        <v>Thu</v>
      </c>
      <c r="K174" s="29" t="b">
        <f t="shared" si="13"/>
        <v>0</v>
      </c>
      <c r="L174" s="29" t="b">
        <f t="shared" si="14"/>
        <v>1</v>
      </c>
      <c r="M174" s="29" t="b">
        <f t="shared" si="17"/>
        <v>1</v>
      </c>
      <c r="N174" s="29" cm="1">
        <f t="array" ref="N174">_xlfn.IFS(
  E174="Airlines 1", IF(K174, F174*0.04, 0),
  E174="Airlines 2", P174,
  E174="Airlines 3", IF(L174, 20000*F174, 0),
  E174="Airlines 4", IF(M174, 15000*F174, 0),
  E174="Airlines 5",
    IF(F174&lt;50000000, F174*0.01,
      IF(F174&lt;100000000, F174*0.02,
        IF(F174&lt;200000000, F174*0.03, F174*0.035))),
  TRUE, 0
)</f>
        <v>0</v>
      </c>
      <c r="O174" s="29">
        <f t="shared" si="15"/>
        <v>17</v>
      </c>
      <c r="P174" s="29">
        <f t="shared" si="16"/>
        <v>0</v>
      </c>
      <c r="Q174" s="30" cm="1">
        <f t="array" ref="Q174">_xlfn.SWITCH(I174, "Method 1", 0, "Method 2", H174*0.03, "Method 3", 4000, "Method 4", 3000, 0)</f>
        <v>3000</v>
      </c>
    </row>
    <row r="175" spans="1:17">
      <c r="A175" s="24">
        <v>53198437</v>
      </c>
      <c r="B175" s="17">
        <v>42285</v>
      </c>
      <c r="C175" s="17">
        <v>42288</v>
      </c>
      <c r="D175" s="18" t="s">
        <v>129</v>
      </c>
      <c r="E175" s="18" t="s">
        <v>8</v>
      </c>
      <c r="F175" s="18">
        <v>1</v>
      </c>
      <c r="G175" s="19">
        <v>1504700</v>
      </c>
      <c r="H175" s="19">
        <v>1500800</v>
      </c>
      <c r="I175" s="18" t="s">
        <v>28</v>
      </c>
      <c r="J175" s="29" t="str">
        <f t="shared" si="12"/>
        <v>Thu</v>
      </c>
      <c r="K175" s="29" t="b">
        <f t="shared" si="13"/>
        <v>0</v>
      </c>
      <c r="L175" s="29" t="b">
        <f t="shared" si="14"/>
        <v>0</v>
      </c>
      <c r="M175" s="29" t="b">
        <f t="shared" si="17"/>
        <v>1</v>
      </c>
      <c r="N175" s="29" cm="1">
        <f t="array" ref="N175">_xlfn.IFS(
  E175="Airlines 1", IF(K175, F175*0.04, 0),
  E175="Airlines 2", P175,
  E175="Airlines 3", IF(L175, 20000*F175, 0),
  E175="Airlines 4", IF(M175, 15000*F175, 0),
  E175="Airlines 5",
    IF(F175&lt;50000000, F175*0.01,
      IF(F175&lt;100000000, F175*0.02,
        IF(F175&lt;200000000, F175*0.03, F175*0.035))),
  TRUE, 0
)</f>
        <v>0</v>
      </c>
      <c r="O175" s="29">
        <f t="shared" si="15"/>
        <v>17</v>
      </c>
      <c r="P175" s="29">
        <f t="shared" si="16"/>
        <v>0</v>
      </c>
      <c r="Q175" s="30" cm="1">
        <f t="array" ref="Q175">_xlfn.SWITCH(I175, "Method 1", 0, "Method 2", H175*0.03, "Method 3", 4000, "Method 4", 3000, 0)</f>
        <v>3000</v>
      </c>
    </row>
    <row r="176" spans="1:17">
      <c r="A176" s="24">
        <v>53197348</v>
      </c>
      <c r="B176" s="17">
        <v>42287</v>
      </c>
      <c r="C176" s="17">
        <v>42288</v>
      </c>
      <c r="D176" s="18" t="s">
        <v>62</v>
      </c>
      <c r="E176" s="18" t="s">
        <v>8</v>
      </c>
      <c r="F176" s="18">
        <v>1</v>
      </c>
      <c r="G176" s="19">
        <v>903000</v>
      </c>
      <c r="H176" s="19">
        <v>893100</v>
      </c>
      <c r="I176" s="18" t="s">
        <v>28</v>
      </c>
      <c r="J176" s="29" t="str">
        <f t="shared" si="12"/>
        <v>Sat</v>
      </c>
      <c r="K176" s="29" t="b">
        <f t="shared" si="13"/>
        <v>1</v>
      </c>
      <c r="L176" s="29" t="b">
        <f t="shared" si="14"/>
        <v>1</v>
      </c>
      <c r="M176" s="29" t="b">
        <f t="shared" si="17"/>
        <v>1</v>
      </c>
      <c r="N176" s="29" cm="1">
        <f t="array" ref="N176">_xlfn.IFS(
  E176="Airlines 1", IF(K176, F176*0.04, 0),
  E176="Airlines 2", P176,
  E176="Airlines 3", IF(L176, 20000*F176, 0),
  E176="Airlines 4", IF(M176, 15000*F176, 0),
  E176="Airlines 5",
    IF(F176&lt;50000000, F176*0.01,
      IF(F176&lt;100000000, F176*0.02,
        IF(F176&lt;200000000, F176*0.03, F176*0.035))),
  TRUE, 0
)</f>
        <v>0</v>
      </c>
      <c r="O176" s="29">
        <f t="shared" si="15"/>
        <v>15</v>
      </c>
      <c r="P176" s="29">
        <f t="shared" si="16"/>
        <v>0</v>
      </c>
      <c r="Q176" s="30" cm="1">
        <f t="array" ref="Q176">_xlfn.SWITCH(I176, "Method 1", 0, "Method 2", H176*0.03, "Method 3", 4000, "Method 4", 3000, 0)</f>
        <v>3000</v>
      </c>
    </row>
    <row r="177" spans="1:17">
      <c r="A177" s="24">
        <v>53198448</v>
      </c>
      <c r="B177" s="17">
        <v>42287</v>
      </c>
      <c r="C177" s="17">
        <v>42345</v>
      </c>
      <c r="D177" s="18" t="s">
        <v>80</v>
      </c>
      <c r="E177" s="18" t="s">
        <v>8</v>
      </c>
      <c r="F177" s="18">
        <v>1</v>
      </c>
      <c r="G177" s="19">
        <v>1147300</v>
      </c>
      <c r="H177" s="19">
        <v>1134700</v>
      </c>
      <c r="I177" s="18" t="s">
        <v>24</v>
      </c>
      <c r="J177" s="29" t="str">
        <f t="shared" si="12"/>
        <v>Sat</v>
      </c>
      <c r="K177" s="29" t="b">
        <f t="shared" si="13"/>
        <v>1</v>
      </c>
      <c r="L177" s="29" t="b">
        <f t="shared" si="14"/>
        <v>0</v>
      </c>
      <c r="M177" s="29" t="b">
        <f t="shared" si="17"/>
        <v>1</v>
      </c>
      <c r="N177" s="29" cm="1">
        <f t="array" ref="N177">_xlfn.IFS(
  E177="Airlines 1", IF(K177, F177*0.04, 0),
  E177="Airlines 2", P177,
  E177="Airlines 3", IF(L177, 20000*F177, 0),
  E177="Airlines 4", IF(M177, 15000*F177, 0),
  E177="Airlines 5",
    IF(F177&lt;50000000, F177*0.01,
      IF(F177&lt;100000000, F177*0.02,
        IF(F177&lt;200000000, F177*0.03, F177*0.035))),
  TRUE, 0
)</f>
        <v>0</v>
      </c>
      <c r="O177" s="29">
        <f t="shared" si="15"/>
        <v>15</v>
      </c>
      <c r="P177" s="29">
        <f t="shared" si="16"/>
        <v>0</v>
      </c>
      <c r="Q177" s="30" cm="1">
        <f t="array" ref="Q177">_xlfn.SWITCH(I177, "Method 1", 0, "Method 2", H177*0.03, "Method 3", 4000, "Method 4", 3000, 0)</f>
        <v>34041</v>
      </c>
    </row>
    <row r="178" spans="1:17">
      <c r="A178" s="24">
        <v>53198519</v>
      </c>
      <c r="B178" s="17">
        <v>42287</v>
      </c>
      <c r="C178" s="17">
        <v>42287</v>
      </c>
      <c r="D178" s="18" t="s">
        <v>130</v>
      </c>
      <c r="E178" s="18" t="s">
        <v>8</v>
      </c>
      <c r="F178" s="18">
        <v>1</v>
      </c>
      <c r="G178" s="19">
        <v>1233000</v>
      </c>
      <c r="H178" s="19">
        <v>1219400</v>
      </c>
      <c r="I178" s="18" t="s">
        <v>24</v>
      </c>
      <c r="J178" s="29" t="str">
        <f t="shared" si="12"/>
        <v>Sat</v>
      </c>
      <c r="K178" s="29" t="b">
        <f t="shared" si="13"/>
        <v>1</v>
      </c>
      <c r="L178" s="29" t="b">
        <f t="shared" si="14"/>
        <v>0</v>
      </c>
      <c r="M178" s="29" t="b">
        <f t="shared" si="17"/>
        <v>1</v>
      </c>
      <c r="N178" s="29" cm="1">
        <f t="array" ref="N178">_xlfn.IFS(
  E178="Airlines 1", IF(K178, F178*0.04, 0),
  E178="Airlines 2", P178,
  E178="Airlines 3", IF(L178, 20000*F178, 0),
  E178="Airlines 4", IF(M178, 15000*F178, 0),
  E178="Airlines 5",
    IF(F178&lt;50000000, F178*0.01,
      IF(F178&lt;100000000, F178*0.02,
        IF(F178&lt;200000000, F178*0.03, F178*0.035))),
  TRUE, 0
)</f>
        <v>0</v>
      </c>
      <c r="O178" s="29">
        <f t="shared" si="15"/>
        <v>15</v>
      </c>
      <c r="P178" s="29">
        <f t="shared" si="16"/>
        <v>0</v>
      </c>
      <c r="Q178" s="30" cm="1">
        <f t="array" ref="Q178">_xlfn.SWITCH(I178, "Method 1", 0, "Method 2", H178*0.03, "Method 3", 4000, "Method 4", 3000, 0)</f>
        <v>36582</v>
      </c>
    </row>
    <row r="179" spans="1:17">
      <c r="A179" s="24">
        <v>53198413</v>
      </c>
      <c r="B179" s="17">
        <v>42287</v>
      </c>
      <c r="C179" s="17">
        <v>42288</v>
      </c>
      <c r="D179" s="18" t="s">
        <v>41</v>
      </c>
      <c r="E179" s="18" t="s">
        <v>8</v>
      </c>
      <c r="F179" s="18">
        <v>1</v>
      </c>
      <c r="G179" s="19">
        <v>870000</v>
      </c>
      <c r="H179" s="19">
        <v>860400</v>
      </c>
      <c r="I179" s="18" t="s">
        <v>24</v>
      </c>
      <c r="J179" s="29" t="str">
        <f t="shared" si="12"/>
        <v>Sat</v>
      </c>
      <c r="K179" s="29" t="b">
        <f t="shared" si="13"/>
        <v>1</v>
      </c>
      <c r="L179" s="29" t="b">
        <f t="shared" si="14"/>
        <v>0</v>
      </c>
      <c r="M179" s="29" t="b">
        <f t="shared" si="17"/>
        <v>1</v>
      </c>
      <c r="N179" s="29" cm="1">
        <f t="array" ref="N179">_xlfn.IFS(
  E179="Airlines 1", IF(K179, F179*0.04, 0),
  E179="Airlines 2", P179,
  E179="Airlines 3", IF(L179, 20000*F179, 0),
  E179="Airlines 4", IF(M179, 15000*F179, 0),
  E179="Airlines 5",
    IF(F179&lt;50000000, F179*0.01,
      IF(F179&lt;100000000, F179*0.02,
        IF(F179&lt;200000000, F179*0.03, F179*0.035))),
  TRUE, 0
)</f>
        <v>0</v>
      </c>
      <c r="O179" s="29">
        <f t="shared" si="15"/>
        <v>15</v>
      </c>
      <c r="P179" s="29">
        <f t="shared" si="16"/>
        <v>0</v>
      </c>
      <c r="Q179" s="30" cm="1">
        <f t="array" ref="Q179">_xlfn.SWITCH(I179, "Method 1", 0, "Method 2", H179*0.03, "Method 3", 4000, "Method 4", 3000, 0)</f>
        <v>25812</v>
      </c>
    </row>
    <row r="180" spans="1:17">
      <c r="A180" s="24">
        <v>53198517</v>
      </c>
      <c r="B180" s="17">
        <v>42287</v>
      </c>
      <c r="C180" s="17">
        <v>42290</v>
      </c>
      <c r="D180" s="18" t="s">
        <v>80</v>
      </c>
      <c r="E180" s="18" t="s">
        <v>8</v>
      </c>
      <c r="F180" s="18">
        <v>4</v>
      </c>
      <c r="G180" s="19">
        <v>4929700</v>
      </c>
      <c r="H180" s="19">
        <v>4876900</v>
      </c>
      <c r="I180" s="18" t="s">
        <v>24</v>
      </c>
      <c r="J180" s="29" t="str">
        <f t="shared" si="12"/>
        <v>Sat</v>
      </c>
      <c r="K180" s="29" t="b">
        <f t="shared" si="13"/>
        <v>1</v>
      </c>
      <c r="L180" s="29" t="b">
        <f t="shared" si="14"/>
        <v>0</v>
      </c>
      <c r="M180" s="29" t="b">
        <f t="shared" si="17"/>
        <v>1</v>
      </c>
      <c r="N180" s="29" cm="1">
        <f t="array" ref="N180">_xlfn.IFS(
  E180="Airlines 1", IF(K180, F180*0.04, 0),
  E180="Airlines 2", P180,
  E180="Airlines 3", IF(L180, 20000*F180, 0),
  E180="Airlines 4", IF(M180, 15000*F180, 0),
  E180="Airlines 5",
    IF(F180&lt;50000000, F180*0.01,
      IF(F180&lt;100000000, F180*0.02,
        IF(F180&lt;200000000, F180*0.03, F180*0.035))),
  TRUE, 0
)</f>
        <v>0</v>
      </c>
      <c r="O180" s="29">
        <f t="shared" si="15"/>
        <v>15</v>
      </c>
      <c r="P180" s="29">
        <f t="shared" si="16"/>
        <v>0</v>
      </c>
      <c r="Q180" s="30" cm="1">
        <f t="array" ref="Q180">_xlfn.SWITCH(I180, "Method 1", 0, "Method 2", H180*0.03, "Method 3", 4000, "Method 4", 3000, 0)</f>
        <v>146307</v>
      </c>
    </row>
    <row r="181" spans="1:17">
      <c r="A181" s="24">
        <v>53198518</v>
      </c>
      <c r="B181" s="17">
        <v>42287</v>
      </c>
      <c r="C181" s="17">
        <v>42294</v>
      </c>
      <c r="D181" s="18" t="s">
        <v>58</v>
      </c>
      <c r="E181" s="18" t="s">
        <v>8</v>
      </c>
      <c r="F181" s="18">
        <v>1</v>
      </c>
      <c r="G181" s="19">
        <v>1140600</v>
      </c>
      <c r="H181" s="19">
        <v>1128100</v>
      </c>
      <c r="I181" s="18" t="s">
        <v>24</v>
      </c>
      <c r="J181" s="29" t="str">
        <f t="shared" si="12"/>
        <v>Sat</v>
      </c>
      <c r="K181" s="29" t="b">
        <f t="shared" si="13"/>
        <v>1</v>
      </c>
      <c r="L181" s="29" t="b">
        <f t="shared" si="14"/>
        <v>0</v>
      </c>
      <c r="M181" s="29" t="b">
        <f t="shared" si="17"/>
        <v>1</v>
      </c>
      <c r="N181" s="29" cm="1">
        <f t="array" ref="N181">_xlfn.IFS(
  E181="Airlines 1", IF(K181, F181*0.04, 0),
  E181="Airlines 2", P181,
  E181="Airlines 3", IF(L181, 20000*F181, 0),
  E181="Airlines 4", IF(M181, 15000*F181, 0),
  E181="Airlines 5",
    IF(F181&lt;50000000, F181*0.01,
      IF(F181&lt;100000000, F181*0.02,
        IF(F181&lt;200000000, F181*0.03, F181*0.035))),
  TRUE, 0
)</f>
        <v>0</v>
      </c>
      <c r="O181" s="29">
        <f t="shared" si="15"/>
        <v>15</v>
      </c>
      <c r="P181" s="29">
        <f t="shared" si="16"/>
        <v>0</v>
      </c>
      <c r="Q181" s="30" cm="1">
        <f t="array" ref="Q181">_xlfn.SWITCH(I181, "Method 1", 0, "Method 2", H181*0.03, "Method 3", 4000, "Method 4", 3000, 0)</f>
        <v>33843</v>
      </c>
    </row>
    <row r="182" spans="1:17">
      <c r="A182" s="24">
        <v>53198576</v>
      </c>
      <c r="B182" s="17">
        <v>42287</v>
      </c>
      <c r="C182" s="17">
        <v>42293</v>
      </c>
      <c r="D182" s="18" t="s">
        <v>51</v>
      </c>
      <c r="E182" s="18" t="s">
        <v>8</v>
      </c>
      <c r="F182" s="18">
        <v>1</v>
      </c>
      <c r="G182" s="19">
        <v>1708000</v>
      </c>
      <c r="H182" s="19">
        <v>1689200</v>
      </c>
      <c r="I182" s="18" t="s">
        <v>24</v>
      </c>
      <c r="J182" s="29" t="str">
        <f t="shared" si="12"/>
        <v>Sat</v>
      </c>
      <c r="K182" s="29" t="b">
        <f t="shared" si="13"/>
        <v>1</v>
      </c>
      <c r="L182" s="29" t="b">
        <f t="shared" si="14"/>
        <v>0</v>
      </c>
      <c r="M182" s="29" t="b">
        <f t="shared" si="17"/>
        <v>1</v>
      </c>
      <c r="N182" s="29" cm="1">
        <f t="array" ref="N182">_xlfn.IFS(
  E182="Airlines 1", IF(K182, F182*0.04, 0),
  E182="Airlines 2", P182,
  E182="Airlines 3", IF(L182, 20000*F182, 0),
  E182="Airlines 4", IF(M182, 15000*F182, 0),
  E182="Airlines 5",
    IF(F182&lt;50000000, F182*0.01,
      IF(F182&lt;100000000, F182*0.02,
        IF(F182&lt;200000000, F182*0.03, F182*0.035))),
  TRUE, 0
)</f>
        <v>0</v>
      </c>
      <c r="O182" s="29">
        <f t="shared" si="15"/>
        <v>15</v>
      </c>
      <c r="P182" s="29">
        <f t="shared" si="16"/>
        <v>0</v>
      </c>
      <c r="Q182" s="30" cm="1">
        <f t="array" ref="Q182">_xlfn.SWITCH(I182, "Method 1", 0, "Method 2", H182*0.03, "Method 3", 4000, "Method 4", 3000, 0)</f>
        <v>50676</v>
      </c>
    </row>
    <row r="183" spans="1:17">
      <c r="A183" s="24">
        <v>53198487</v>
      </c>
      <c r="B183" s="17">
        <v>42287</v>
      </c>
      <c r="C183" s="17">
        <v>42287</v>
      </c>
      <c r="D183" s="18" t="s">
        <v>131</v>
      </c>
      <c r="E183" s="18" t="s">
        <v>8</v>
      </c>
      <c r="F183" s="18">
        <v>1</v>
      </c>
      <c r="G183" s="19">
        <v>451000</v>
      </c>
      <c r="H183" s="19">
        <v>446000</v>
      </c>
      <c r="I183" s="18" t="s">
        <v>24</v>
      </c>
      <c r="J183" s="29" t="str">
        <f t="shared" si="12"/>
        <v>Sat</v>
      </c>
      <c r="K183" s="29" t="b">
        <f t="shared" si="13"/>
        <v>1</v>
      </c>
      <c r="L183" s="29" t="b">
        <f t="shared" si="14"/>
        <v>0</v>
      </c>
      <c r="M183" s="29" t="b">
        <f t="shared" si="17"/>
        <v>1</v>
      </c>
      <c r="N183" s="29" cm="1">
        <f t="array" ref="N183">_xlfn.IFS(
  E183="Airlines 1", IF(K183, F183*0.04, 0),
  E183="Airlines 2", P183,
  E183="Airlines 3", IF(L183, 20000*F183, 0),
  E183="Airlines 4", IF(M183, 15000*F183, 0),
  E183="Airlines 5",
    IF(F183&lt;50000000, F183*0.01,
      IF(F183&lt;100000000, F183*0.02,
        IF(F183&lt;200000000, F183*0.03, F183*0.035))),
  TRUE, 0
)</f>
        <v>0</v>
      </c>
      <c r="O183" s="29">
        <f t="shared" si="15"/>
        <v>15</v>
      </c>
      <c r="P183" s="29">
        <f t="shared" si="16"/>
        <v>0</v>
      </c>
      <c r="Q183" s="30" cm="1">
        <f t="array" ref="Q183">_xlfn.SWITCH(I183, "Method 1", 0, "Method 2", H183*0.03, "Method 3", 4000, "Method 4", 3000, 0)</f>
        <v>13380</v>
      </c>
    </row>
    <row r="184" spans="1:17">
      <c r="A184" s="24">
        <v>53198549</v>
      </c>
      <c r="B184" s="17">
        <v>42287</v>
      </c>
      <c r="C184" s="17">
        <v>42287</v>
      </c>
      <c r="D184" s="18" t="s">
        <v>132</v>
      </c>
      <c r="E184" s="18" t="s">
        <v>8</v>
      </c>
      <c r="F184" s="18">
        <v>1</v>
      </c>
      <c r="G184" s="19">
        <v>464500</v>
      </c>
      <c r="H184" s="19">
        <v>459400</v>
      </c>
      <c r="I184" s="18" t="s">
        <v>24</v>
      </c>
      <c r="J184" s="29" t="str">
        <f t="shared" si="12"/>
        <v>Sat</v>
      </c>
      <c r="K184" s="29" t="b">
        <f t="shared" si="13"/>
        <v>1</v>
      </c>
      <c r="L184" s="29" t="b">
        <f t="shared" si="14"/>
        <v>0</v>
      </c>
      <c r="M184" s="29" t="b">
        <f t="shared" si="17"/>
        <v>1</v>
      </c>
      <c r="N184" s="29" cm="1">
        <f t="array" ref="N184">_xlfn.IFS(
  E184="Airlines 1", IF(K184, F184*0.04, 0),
  E184="Airlines 2", P184,
  E184="Airlines 3", IF(L184, 20000*F184, 0),
  E184="Airlines 4", IF(M184, 15000*F184, 0),
  E184="Airlines 5",
    IF(F184&lt;50000000, F184*0.01,
      IF(F184&lt;100000000, F184*0.02,
        IF(F184&lt;200000000, F184*0.03, F184*0.035))),
  TRUE, 0
)</f>
        <v>0</v>
      </c>
      <c r="O184" s="29">
        <f t="shared" si="15"/>
        <v>15</v>
      </c>
      <c r="P184" s="29">
        <f t="shared" si="16"/>
        <v>0</v>
      </c>
      <c r="Q184" s="30" cm="1">
        <f t="array" ref="Q184">_xlfn.SWITCH(I184, "Method 1", 0, "Method 2", H184*0.03, "Method 3", 4000, "Method 4", 3000, 0)</f>
        <v>13782</v>
      </c>
    </row>
    <row r="185" spans="1:17">
      <c r="A185" s="24">
        <v>53198457</v>
      </c>
      <c r="B185" s="17">
        <v>42287</v>
      </c>
      <c r="C185" s="17">
        <v>42290</v>
      </c>
      <c r="D185" s="18" t="s">
        <v>133</v>
      </c>
      <c r="E185" s="18" t="s">
        <v>8</v>
      </c>
      <c r="F185" s="18">
        <v>1</v>
      </c>
      <c r="G185" s="19">
        <v>2610000</v>
      </c>
      <c r="H185" s="19">
        <v>2590000</v>
      </c>
      <c r="I185" s="18" t="s">
        <v>24</v>
      </c>
      <c r="J185" s="29" t="str">
        <f t="shared" si="12"/>
        <v>Sat</v>
      </c>
      <c r="K185" s="29" t="b">
        <f t="shared" si="13"/>
        <v>1</v>
      </c>
      <c r="L185" s="29" t="b">
        <f t="shared" si="14"/>
        <v>0</v>
      </c>
      <c r="M185" s="29" t="b">
        <f t="shared" si="17"/>
        <v>1</v>
      </c>
      <c r="N185" s="29" cm="1">
        <f t="array" ref="N185">_xlfn.IFS(
  E185="Airlines 1", IF(K185, F185*0.04, 0),
  E185="Airlines 2", P185,
  E185="Airlines 3", IF(L185, 20000*F185, 0),
  E185="Airlines 4", IF(M185, 15000*F185, 0),
  E185="Airlines 5",
    IF(F185&lt;50000000, F185*0.01,
      IF(F185&lt;100000000, F185*0.02,
        IF(F185&lt;200000000, F185*0.03, F185*0.035))),
  TRUE, 0
)</f>
        <v>0</v>
      </c>
      <c r="O185" s="29">
        <f t="shared" si="15"/>
        <v>15</v>
      </c>
      <c r="P185" s="29">
        <f t="shared" si="16"/>
        <v>0</v>
      </c>
      <c r="Q185" s="30" cm="1">
        <f t="array" ref="Q185">_xlfn.SWITCH(I185, "Method 1", 0, "Method 2", H185*0.03, "Method 3", 4000, "Method 4", 3000, 0)</f>
        <v>77700</v>
      </c>
    </row>
    <row r="186" spans="1:17">
      <c r="A186" s="24">
        <v>53197948</v>
      </c>
      <c r="B186" s="17">
        <v>42287</v>
      </c>
      <c r="C186" s="17">
        <v>42289</v>
      </c>
      <c r="D186" s="18" t="s">
        <v>106</v>
      </c>
      <c r="E186" s="18" t="s">
        <v>8</v>
      </c>
      <c r="F186" s="18">
        <v>1</v>
      </c>
      <c r="G186" s="19">
        <v>605000</v>
      </c>
      <c r="H186" s="19">
        <v>598300</v>
      </c>
      <c r="I186" s="18" t="s">
        <v>24</v>
      </c>
      <c r="J186" s="29" t="str">
        <f t="shared" si="12"/>
        <v>Sat</v>
      </c>
      <c r="K186" s="29" t="b">
        <f t="shared" si="13"/>
        <v>1</v>
      </c>
      <c r="L186" s="29" t="b">
        <f t="shared" si="14"/>
        <v>0</v>
      </c>
      <c r="M186" s="29" t="b">
        <f t="shared" si="17"/>
        <v>1</v>
      </c>
      <c r="N186" s="29" cm="1">
        <f t="array" ref="N186">_xlfn.IFS(
  E186="Airlines 1", IF(K186, F186*0.04, 0),
  E186="Airlines 2", P186,
  E186="Airlines 3", IF(L186, 20000*F186, 0),
  E186="Airlines 4", IF(M186, 15000*F186, 0),
  E186="Airlines 5",
    IF(F186&lt;50000000, F186*0.01,
      IF(F186&lt;100000000, F186*0.02,
        IF(F186&lt;200000000, F186*0.03, F186*0.035))),
  TRUE, 0
)</f>
        <v>0</v>
      </c>
      <c r="O186" s="29">
        <f t="shared" si="15"/>
        <v>15</v>
      </c>
      <c r="P186" s="29">
        <f t="shared" si="16"/>
        <v>0</v>
      </c>
      <c r="Q186" s="30" cm="1">
        <f t="array" ref="Q186">_xlfn.SWITCH(I186, "Method 1", 0, "Method 2", H186*0.03, "Method 3", 4000, "Method 4", 3000, 0)</f>
        <v>17949</v>
      </c>
    </row>
    <row r="187" spans="1:17">
      <c r="A187" s="24">
        <v>53195708</v>
      </c>
      <c r="B187" s="17">
        <v>42287</v>
      </c>
      <c r="C187" s="17">
        <v>42291</v>
      </c>
      <c r="D187" s="18" t="s">
        <v>134</v>
      </c>
      <c r="E187" s="18" t="s">
        <v>8</v>
      </c>
      <c r="F187" s="18">
        <v>1</v>
      </c>
      <c r="G187" s="19">
        <v>1397000</v>
      </c>
      <c r="H187" s="19">
        <v>1381600</v>
      </c>
      <c r="I187" s="18" t="s">
        <v>24</v>
      </c>
      <c r="J187" s="29" t="str">
        <f t="shared" si="12"/>
        <v>Sat</v>
      </c>
      <c r="K187" s="29" t="b">
        <f t="shared" si="13"/>
        <v>1</v>
      </c>
      <c r="L187" s="29" t="b">
        <f t="shared" si="14"/>
        <v>0</v>
      </c>
      <c r="M187" s="29" t="b">
        <f t="shared" si="17"/>
        <v>1</v>
      </c>
      <c r="N187" s="29" cm="1">
        <f t="array" ref="N187">_xlfn.IFS(
  E187="Airlines 1", IF(K187, F187*0.04, 0),
  E187="Airlines 2", P187,
  E187="Airlines 3", IF(L187, 20000*F187, 0),
  E187="Airlines 4", IF(M187, 15000*F187, 0),
  E187="Airlines 5",
    IF(F187&lt;50000000, F187*0.01,
      IF(F187&lt;100000000, F187*0.02,
        IF(F187&lt;200000000, F187*0.03, F187*0.035))),
  TRUE, 0
)</f>
        <v>0</v>
      </c>
      <c r="O187" s="29">
        <f t="shared" si="15"/>
        <v>15</v>
      </c>
      <c r="P187" s="29">
        <f t="shared" si="16"/>
        <v>0</v>
      </c>
      <c r="Q187" s="30" cm="1">
        <f t="array" ref="Q187">_xlfn.SWITCH(I187, "Method 1", 0, "Method 2", H187*0.03, "Method 3", 4000, "Method 4", 3000, 0)</f>
        <v>41448</v>
      </c>
    </row>
    <row r="188" spans="1:17">
      <c r="A188" s="24">
        <v>53198577</v>
      </c>
      <c r="B188" s="17">
        <v>42289</v>
      </c>
      <c r="C188" s="17">
        <v>42372</v>
      </c>
      <c r="D188" s="18" t="s">
        <v>97</v>
      </c>
      <c r="E188" s="18" t="s">
        <v>8</v>
      </c>
      <c r="F188" s="18">
        <v>1</v>
      </c>
      <c r="G188" s="19">
        <v>1210400</v>
      </c>
      <c r="H188" s="19">
        <v>1204300</v>
      </c>
      <c r="I188" s="18" t="s">
        <v>28</v>
      </c>
      <c r="J188" s="29" t="str">
        <f t="shared" si="12"/>
        <v>Mon</v>
      </c>
      <c r="K188" s="29" t="b">
        <f t="shared" si="13"/>
        <v>0</v>
      </c>
      <c r="L188" s="29" t="b">
        <f t="shared" si="14"/>
        <v>1</v>
      </c>
      <c r="M188" s="29" t="b">
        <f t="shared" si="17"/>
        <v>1</v>
      </c>
      <c r="N188" s="29" cm="1">
        <f t="array" ref="N188">_xlfn.IFS(
  E188="Airlines 1", IF(K188, F188*0.04, 0),
  E188="Airlines 2", P188,
  E188="Airlines 3", IF(L188, 20000*F188, 0),
  E188="Airlines 4", IF(M188, 15000*F188, 0),
  E188="Airlines 5",
    IF(F188&lt;50000000, F188*0.01,
      IF(F188&lt;100000000, F188*0.02,
        IF(F188&lt;200000000, F188*0.03, F188*0.035))),
  TRUE, 0
)</f>
        <v>0</v>
      </c>
      <c r="O188" s="29">
        <f t="shared" si="15"/>
        <v>12</v>
      </c>
      <c r="P188" s="29">
        <f t="shared" si="16"/>
        <v>0</v>
      </c>
      <c r="Q188" s="30" cm="1">
        <f t="array" ref="Q188">_xlfn.SWITCH(I188, "Method 1", 0, "Method 2", H188*0.03, "Method 3", 4000, "Method 4", 3000, 0)</f>
        <v>3000</v>
      </c>
    </row>
    <row r="189" spans="1:17">
      <c r="A189" s="24">
        <v>53197734</v>
      </c>
      <c r="B189" s="17">
        <v>42289</v>
      </c>
      <c r="C189" s="17">
        <v>42328</v>
      </c>
      <c r="D189" s="18" t="s">
        <v>82</v>
      </c>
      <c r="E189" s="18" t="s">
        <v>8</v>
      </c>
      <c r="F189" s="18">
        <v>1</v>
      </c>
      <c r="G189" s="19">
        <v>727000</v>
      </c>
      <c r="H189" s="19">
        <v>719000</v>
      </c>
      <c r="I189" s="18" t="s">
        <v>28</v>
      </c>
      <c r="J189" s="29" t="str">
        <f t="shared" si="12"/>
        <v>Mon</v>
      </c>
      <c r="K189" s="29" t="b">
        <f t="shared" si="13"/>
        <v>0</v>
      </c>
      <c r="L189" s="29" t="b">
        <f t="shared" si="14"/>
        <v>0</v>
      </c>
      <c r="M189" s="29" t="b">
        <f t="shared" si="17"/>
        <v>1</v>
      </c>
      <c r="N189" s="29" cm="1">
        <f t="array" ref="N189">_xlfn.IFS(
  E189="Airlines 1", IF(K189, F189*0.04, 0),
  E189="Airlines 2", P189,
  E189="Airlines 3", IF(L189, 20000*F189, 0),
  E189="Airlines 4", IF(M189, 15000*F189, 0),
  E189="Airlines 5",
    IF(F189&lt;50000000, F189*0.01,
      IF(F189&lt;100000000, F189*0.02,
        IF(F189&lt;200000000, F189*0.03, F189*0.035))),
  TRUE, 0
)</f>
        <v>0</v>
      </c>
      <c r="O189" s="29">
        <f t="shared" si="15"/>
        <v>12</v>
      </c>
      <c r="P189" s="29">
        <f t="shared" si="16"/>
        <v>0</v>
      </c>
      <c r="Q189" s="30" cm="1">
        <f t="array" ref="Q189">_xlfn.SWITCH(I189, "Method 1", 0, "Method 2", H189*0.03, "Method 3", 4000, "Method 4", 3000, 0)</f>
        <v>3000</v>
      </c>
    </row>
    <row r="190" spans="1:17">
      <c r="A190" s="24">
        <v>53198589</v>
      </c>
      <c r="B190" s="17">
        <v>42289</v>
      </c>
      <c r="C190" s="17">
        <v>42291</v>
      </c>
      <c r="D190" s="18" t="s">
        <v>135</v>
      </c>
      <c r="E190" s="18" t="s">
        <v>8</v>
      </c>
      <c r="F190" s="18">
        <v>1</v>
      </c>
      <c r="G190" s="19">
        <v>2960000</v>
      </c>
      <c r="H190" s="19">
        <v>2940000</v>
      </c>
      <c r="I190" s="18" t="s">
        <v>28</v>
      </c>
      <c r="J190" s="29" t="str">
        <f t="shared" si="12"/>
        <v>Mon</v>
      </c>
      <c r="K190" s="29" t="b">
        <f t="shared" si="13"/>
        <v>0</v>
      </c>
      <c r="L190" s="29" t="b">
        <f t="shared" si="14"/>
        <v>0</v>
      </c>
      <c r="M190" s="29" t="b">
        <f t="shared" si="17"/>
        <v>1</v>
      </c>
      <c r="N190" s="29" cm="1">
        <f t="array" ref="N190">_xlfn.IFS(
  E190="Airlines 1", IF(K190, F190*0.04, 0),
  E190="Airlines 2", P190,
  E190="Airlines 3", IF(L190, 20000*F190, 0),
  E190="Airlines 4", IF(M190, 15000*F190, 0),
  E190="Airlines 5",
    IF(F190&lt;50000000, F190*0.01,
      IF(F190&lt;100000000, F190*0.02,
        IF(F190&lt;200000000, F190*0.03, F190*0.035))),
  TRUE, 0
)</f>
        <v>0</v>
      </c>
      <c r="O190" s="29">
        <f t="shared" si="15"/>
        <v>12</v>
      </c>
      <c r="P190" s="29">
        <f t="shared" si="16"/>
        <v>0</v>
      </c>
      <c r="Q190" s="30" cm="1">
        <f t="array" ref="Q190">_xlfn.SWITCH(I190, "Method 1", 0, "Method 2", H190*0.03, "Method 3", 4000, "Method 4", 3000, 0)</f>
        <v>3000</v>
      </c>
    </row>
    <row r="191" spans="1:17">
      <c r="A191" s="24">
        <v>53198391</v>
      </c>
      <c r="B191" s="17">
        <v>42289</v>
      </c>
      <c r="C191" s="17">
        <v>42323</v>
      </c>
      <c r="D191" s="18" t="s">
        <v>136</v>
      </c>
      <c r="E191" s="18" t="s">
        <v>8</v>
      </c>
      <c r="F191" s="18">
        <v>1</v>
      </c>
      <c r="G191" s="19">
        <v>591000</v>
      </c>
      <c r="H191" s="19">
        <v>584500</v>
      </c>
      <c r="I191" s="18" t="s">
        <v>24</v>
      </c>
      <c r="J191" s="29" t="str">
        <f t="shared" si="12"/>
        <v>Mon</v>
      </c>
      <c r="K191" s="29" t="b">
        <f t="shared" si="13"/>
        <v>0</v>
      </c>
      <c r="L191" s="29" t="b">
        <f t="shared" si="14"/>
        <v>0</v>
      </c>
      <c r="M191" s="29" t="b">
        <f t="shared" si="17"/>
        <v>1</v>
      </c>
      <c r="N191" s="29" cm="1">
        <f t="array" ref="N191">_xlfn.IFS(
  E191="Airlines 1", IF(K191, F191*0.04, 0),
  E191="Airlines 2", P191,
  E191="Airlines 3", IF(L191, 20000*F191, 0),
  E191="Airlines 4", IF(M191, 15000*F191, 0),
  E191="Airlines 5",
    IF(F191&lt;50000000, F191*0.01,
      IF(F191&lt;100000000, F191*0.02,
        IF(F191&lt;200000000, F191*0.03, F191*0.035))),
  TRUE, 0
)</f>
        <v>0</v>
      </c>
      <c r="O191" s="29">
        <f t="shared" si="15"/>
        <v>12</v>
      </c>
      <c r="P191" s="29">
        <f t="shared" si="16"/>
        <v>0</v>
      </c>
      <c r="Q191" s="30" cm="1">
        <f t="array" ref="Q191">_xlfn.SWITCH(I191, "Method 1", 0, "Method 2", H191*0.03, "Method 3", 4000, "Method 4", 3000, 0)</f>
        <v>17535</v>
      </c>
    </row>
    <row r="192" spans="1:17">
      <c r="A192" s="24">
        <v>53198486</v>
      </c>
      <c r="B192" s="17">
        <v>42289</v>
      </c>
      <c r="C192" s="17">
        <v>42365</v>
      </c>
      <c r="D192" s="18" t="s">
        <v>137</v>
      </c>
      <c r="E192" s="18" t="s">
        <v>8</v>
      </c>
      <c r="F192" s="18">
        <v>1</v>
      </c>
      <c r="G192" s="19">
        <v>789000</v>
      </c>
      <c r="H192" s="19">
        <v>780300</v>
      </c>
      <c r="I192" s="18" t="s">
        <v>24</v>
      </c>
      <c r="J192" s="29" t="str">
        <f t="shared" si="12"/>
        <v>Mon</v>
      </c>
      <c r="K192" s="29" t="b">
        <f t="shared" si="13"/>
        <v>0</v>
      </c>
      <c r="L192" s="29" t="b">
        <f t="shared" si="14"/>
        <v>0</v>
      </c>
      <c r="M192" s="29" t="b">
        <f t="shared" si="17"/>
        <v>1</v>
      </c>
      <c r="N192" s="29" cm="1">
        <f t="array" ref="N192">_xlfn.IFS(
  E192="Airlines 1", IF(K192, F192*0.04, 0),
  E192="Airlines 2", P192,
  E192="Airlines 3", IF(L192, 20000*F192, 0),
  E192="Airlines 4", IF(M192, 15000*F192, 0),
  E192="Airlines 5",
    IF(F192&lt;50000000, F192*0.01,
      IF(F192&lt;100000000, F192*0.02,
        IF(F192&lt;200000000, F192*0.03, F192*0.035))),
  TRUE, 0
)</f>
        <v>0</v>
      </c>
      <c r="O192" s="29">
        <f t="shared" si="15"/>
        <v>12</v>
      </c>
      <c r="P192" s="29">
        <f t="shared" si="16"/>
        <v>0</v>
      </c>
      <c r="Q192" s="30" cm="1">
        <f t="array" ref="Q192">_xlfn.SWITCH(I192, "Method 1", 0, "Method 2", H192*0.03, "Method 3", 4000, "Method 4", 3000, 0)</f>
        <v>23409</v>
      </c>
    </row>
    <row r="193" spans="1:17">
      <c r="A193" s="24">
        <v>53198628</v>
      </c>
      <c r="B193" s="17">
        <v>42289</v>
      </c>
      <c r="C193" s="17">
        <v>42295</v>
      </c>
      <c r="D193" s="18" t="s">
        <v>55</v>
      </c>
      <c r="E193" s="18" t="s">
        <v>8</v>
      </c>
      <c r="F193" s="18">
        <v>1</v>
      </c>
      <c r="G193" s="19">
        <v>1780800</v>
      </c>
      <c r="H193" s="19">
        <v>1761200</v>
      </c>
      <c r="I193" s="18" t="s">
        <v>24</v>
      </c>
      <c r="J193" s="29" t="str">
        <f t="shared" si="12"/>
        <v>Mon</v>
      </c>
      <c r="K193" s="29" t="b">
        <f t="shared" si="13"/>
        <v>0</v>
      </c>
      <c r="L193" s="29" t="b">
        <f t="shared" si="14"/>
        <v>0</v>
      </c>
      <c r="M193" s="29" t="b">
        <f t="shared" si="17"/>
        <v>1</v>
      </c>
      <c r="N193" s="29" cm="1">
        <f t="array" ref="N193">_xlfn.IFS(
  E193="Airlines 1", IF(K193, F193*0.04, 0),
  E193="Airlines 2", P193,
  E193="Airlines 3", IF(L193, 20000*F193, 0),
  E193="Airlines 4", IF(M193, 15000*F193, 0),
  E193="Airlines 5",
    IF(F193&lt;50000000, F193*0.01,
      IF(F193&lt;100000000, F193*0.02,
        IF(F193&lt;200000000, F193*0.03, F193*0.035))),
  TRUE, 0
)</f>
        <v>0</v>
      </c>
      <c r="O193" s="29">
        <f t="shared" si="15"/>
        <v>12</v>
      </c>
      <c r="P193" s="29">
        <f t="shared" si="16"/>
        <v>0</v>
      </c>
      <c r="Q193" s="30" cm="1">
        <f t="array" ref="Q193">_xlfn.SWITCH(I193, "Method 1", 0, "Method 2", H193*0.03, "Method 3", 4000, "Method 4", 3000, 0)</f>
        <v>52836</v>
      </c>
    </row>
    <row r="194" spans="1:17">
      <c r="A194" s="24">
        <v>53198587</v>
      </c>
      <c r="B194" s="17">
        <v>42289</v>
      </c>
      <c r="C194" s="17">
        <v>42291</v>
      </c>
      <c r="D194" s="18" t="s">
        <v>138</v>
      </c>
      <c r="E194" s="18" t="s">
        <v>8</v>
      </c>
      <c r="F194" s="18">
        <v>2</v>
      </c>
      <c r="G194" s="19">
        <v>738000</v>
      </c>
      <c r="H194" s="19">
        <v>729800</v>
      </c>
      <c r="I194" s="18" t="s">
        <v>24</v>
      </c>
      <c r="J194" s="29" t="str">
        <f t="shared" si="12"/>
        <v>Mon</v>
      </c>
      <c r="K194" s="29" t="b">
        <f t="shared" si="13"/>
        <v>0</v>
      </c>
      <c r="L194" s="29" t="b">
        <f t="shared" si="14"/>
        <v>0</v>
      </c>
      <c r="M194" s="29" t="b">
        <f t="shared" si="17"/>
        <v>1</v>
      </c>
      <c r="N194" s="29" cm="1">
        <f t="array" ref="N194">_xlfn.IFS(
  E194="Airlines 1", IF(K194, F194*0.04, 0),
  E194="Airlines 2", P194,
  E194="Airlines 3", IF(L194, 20000*F194, 0),
  E194="Airlines 4", IF(M194, 15000*F194, 0),
  E194="Airlines 5",
    IF(F194&lt;50000000, F194*0.01,
      IF(F194&lt;100000000, F194*0.02,
        IF(F194&lt;200000000, F194*0.03, F194*0.035))),
  TRUE, 0
)</f>
        <v>0</v>
      </c>
      <c r="O194" s="29">
        <f t="shared" si="15"/>
        <v>12</v>
      </c>
      <c r="P194" s="29">
        <f t="shared" si="16"/>
        <v>0</v>
      </c>
      <c r="Q194" s="30" cm="1">
        <f t="array" ref="Q194">_xlfn.SWITCH(I194, "Method 1", 0, "Method 2", H194*0.03, "Method 3", 4000, "Method 4", 3000, 0)</f>
        <v>21894</v>
      </c>
    </row>
    <row r="195" spans="1:17">
      <c r="A195" s="24">
        <v>53198622</v>
      </c>
      <c r="B195" s="17">
        <v>42289</v>
      </c>
      <c r="C195" s="17">
        <v>42368</v>
      </c>
      <c r="D195" s="18" t="s">
        <v>79</v>
      </c>
      <c r="E195" s="18" t="s">
        <v>8</v>
      </c>
      <c r="F195" s="18">
        <v>1</v>
      </c>
      <c r="G195" s="19">
        <v>930000</v>
      </c>
      <c r="H195" s="19">
        <v>919800</v>
      </c>
      <c r="I195" s="18" t="s">
        <v>24</v>
      </c>
      <c r="J195" s="29" t="str">
        <f t="shared" si="12"/>
        <v>Mon</v>
      </c>
      <c r="K195" s="29" t="b">
        <f t="shared" si="13"/>
        <v>0</v>
      </c>
      <c r="L195" s="29" t="b">
        <f t="shared" si="14"/>
        <v>0</v>
      </c>
      <c r="M195" s="29" t="b">
        <f t="shared" si="17"/>
        <v>1</v>
      </c>
      <c r="N195" s="29" cm="1">
        <f t="array" ref="N195">_xlfn.IFS(
  E195="Airlines 1", IF(K195, F195*0.04, 0),
  E195="Airlines 2", P195,
  E195="Airlines 3", IF(L195, 20000*F195, 0),
  E195="Airlines 4", IF(M195, 15000*F195, 0),
  E195="Airlines 5",
    IF(F195&lt;50000000, F195*0.01,
      IF(F195&lt;100000000, F195*0.02,
        IF(F195&lt;200000000, F195*0.03, F195*0.035))),
  TRUE, 0
)</f>
        <v>0</v>
      </c>
      <c r="O195" s="29">
        <f t="shared" si="15"/>
        <v>12</v>
      </c>
      <c r="P195" s="29">
        <f t="shared" si="16"/>
        <v>0</v>
      </c>
      <c r="Q195" s="30" cm="1">
        <f t="array" ref="Q195">_xlfn.SWITCH(I195, "Method 1", 0, "Method 2", H195*0.03, "Method 3", 4000, "Method 4", 3000, 0)</f>
        <v>27594</v>
      </c>
    </row>
    <row r="196" spans="1:17">
      <c r="A196" s="24">
        <v>53198635</v>
      </c>
      <c r="B196" s="17">
        <v>42289</v>
      </c>
      <c r="C196" s="17">
        <v>42290</v>
      </c>
      <c r="D196" s="18" t="s">
        <v>132</v>
      </c>
      <c r="E196" s="18" t="s">
        <v>8</v>
      </c>
      <c r="F196" s="18">
        <v>1</v>
      </c>
      <c r="G196" s="19">
        <v>464500</v>
      </c>
      <c r="H196" s="19">
        <v>459400</v>
      </c>
      <c r="I196" s="18" t="s">
        <v>24</v>
      </c>
      <c r="J196" s="29" t="str">
        <f t="shared" si="12"/>
        <v>Mon</v>
      </c>
      <c r="K196" s="29" t="b">
        <f t="shared" si="13"/>
        <v>0</v>
      </c>
      <c r="L196" s="29" t="b">
        <f t="shared" si="14"/>
        <v>0</v>
      </c>
      <c r="M196" s="29" t="b">
        <f t="shared" si="17"/>
        <v>1</v>
      </c>
      <c r="N196" s="29" cm="1">
        <f t="array" ref="N196">_xlfn.IFS(
  E196="Airlines 1", IF(K196, F196*0.04, 0),
  E196="Airlines 2", P196,
  E196="Airlines 3", IF(L196, 20000*F196, 0),
  E196="Airlines 4", IF(M196, 15000*F196, 0),
  E196="Airlines 5",
    IF(F196&lt;50000000, F196*0.01,
      IF(F196&lt;100000000, F196*0.02,
        IF(F196&lt;200000000, F196*0.03, F196*0.035))),
  TRUE, 0
)</f>
        <v>0</v>
      </c>
      <c r="O196" s="29">
        <f t="shared" si="15"/>
        <v>12</v>
      </c>
      <c r="P196" s="29">
        <f t="shared" si="16"/>
        <v>0</v>
      </c>
      <c r="Q196" s="30" cm="1">
        <f t="array" ref="Q196">_xlfn.SWITCH(I196, "Method 1", 0, "Method 2", H196*0.03, "Method 3", 4000, "Method 4", 3000, 0)</f>
        <v>13782</v>
      </c>
    </row>
    <row r="197" spans="1:17">
      <c r="A197" s="24">
        <v>53198534</v>
      </c>
      <c r="B197" s="17">
        <v>42289</v>
      </c>
      <c r="C197" s="17">
        <v>42290</v>
      </c>
      <c r="D197" s="18" t="s">
        <v>139</v>
      </c>
      <c r="E197" s="18" t="s">
        <v>8</v>
      </c>
      <c r="F197" s="18">
        <v>1</v>
      </c>
      <c r="G197" s="19">
        <v>454000</v>
      </c>
      <c r="H197" s="19">
        <v>449000</v>
      </c>
      <c r="I197" s="18" t="s">
        <v>24</v>
      </c>
      <c r="J197" s="29" t="str">
        <f t="shared" si="12"/>
        <v>Mon</v>
      </c>
      <c r="K197" s="29" t="b">
        <f t="shared" si="13"/>
        <v>0</v>
      </c>
      <c r="L197" s="29" t="b">
        <f t="shared" si="14"/>
        <v>0</v>
      </c>
      <c r="M197" s="29" t="b">
        <f t="shared" si="17"/>
        <v>1</v>
      </c>
      <c r="N197" s="29" cm="1">
        <f t="array" ref="N197">_xlfn.IFS(
  E197="Airlines 1", IF(K197, F197*0.04, 0),
  E197="Airlines 2", P197,
  E197="Airlines 3", IF(L197, 20000*F197, 0),
  E197="Airlines 4", IF(M197, 15000*F197, 0),
  E197="Airlines 5",
    IF(F197&lt;50000000, F197*0.01,
      IF(F197&lt;100000000, F197*0.02,
        IF(F197&lt;200000000, F197*0.03, F197*0.035))),
  TRUE, 0
)</f>
        <v>0</v>
      </c>
      <c r="O197" s="29">
        <f t="shared" si="15"/>
        <v>12</v>
      </c>
      <c r="P197" s="29">
        <f t="shared" si="16"/>
        <v>0</v>
      </c>
      <c r="Q197" s="30" cm="1">
        <f t="array" ref="Q197">_xlfn.SWITCH(I197, "Method 1", 0, "Method 2", H197*0.03, "Method 3", 4000, "Method 4", 3000, 0)</f>
        <v>13470</v>
      </c>
    </row>
    <row r="198" spans="1:17">
      <c r="A198" s="24">
        <v>53198623</v>
      </c>
      <c r="B198" s="17">
        <v>42289</v>
      </c>
      <c r="C198" s="17">
        <v>42296</v>
      </c>
      <c r="D198" s="18" t="s">
        <v>82</v>
      </c>
      <c r="E198" s="18" t="s">
        <v>8</v>
      </c>
      <c r="F198" s="18">
        <v>1</v>
      </c>
      <c r="G198" s="19">
        <v>595000</v>
      </c>
      <c r="H198" s="19">
        <v>588500</v>
      </c>
      <c r="I198" s="18" t="s">
        <v>24</v>
      </c>
      <c r="J198" s="29" t="str">
        <f t="shared" si="12"/>
        <v>Mon</v>
      </c>
      <c r="K198" s="29" t="b">
        <f t="shared" si="13"/>
        <v>0</v>
      </c>
      <c r="L198" s="29" t="b">
        <f t="shared" si="14"/>
        <v>0</v>
      </c>
      <c r="M198" s="29" t="b">
        <f t="shared" si="17"/>
        <v>1</v>
      </c>
      <c r="N198" s="29" cm="1">
        <f t="array" ref="N198">_xlfn.IFS(
  E198="Airlines 1", IF(K198, F198*0.04, 0),
  E198="Airlines 2", P198,
  E198="Airlines 3", IF(L198, 20000*F198, 0),
  E198="Airlines 4", IF(M198, 15000*F198, 0),
  E198="Airlines 5",
    IF(F198&lt;50000000, F198*0.01,
      IF(F198&lt;100000000, F198*0.02,
        IF(F198&lt;200000000, F198*0.03, F198*0.035))),
  TRUE, 0
)</f>
        <v>0</v>
      </c>
      <c r="O198" s="29">
        <f t="shared" si="15"/>
        <v>12</v>
      </c>
      <c r="P198" s="29">
        <f t="shared" si="16"/>
        <v>0</v>
      </c>
      <c r="Q198" s="30" cm="1">
        <f t="array" ref="Q198">_xlfn.SWITCH(I198, "Method 1", 0, "Method 2", H198*0.03, "Method 3", 4000, "Method 4", 3000, 0)</f>
        <v>17655</v>
      </c>
    </row>
    <row r="199" spans="1:17">
      <c r="A199" s="24">
        <v>53198670</v>
      </c>
      <c r="B199" s="17">
        <v>42290</v>
      </c>
      <c r="C199" s="17">
        <v>42291</v>
      </c>
      <c r="D199" s="18" t="s">
        <v>140</v>
      </c>
      <c r="E199" s="18" t="s">
        <v>8</v>
      </c>
      <c r="F199" s="18">
        <v>1</v>
      </c>
      <c r="G199" s="19">
        <v>1705000</v>
      </c>
      <c r="H199" s="19">
        <v>1686200</v>
      </c>
      <c r="I199" s="18" t="s">
        <v>24</v>
      </c>
      <c r="J199" s="29" t="str">
        <f t="shared" ref="J199:J262" si="18">TEXT(B199,"ddd")</f>
        <v>Tue</v>
      </c>
      <c r="K199" s="29" t="b">
        <f t="shared" ref="K199:K262" si="19">OR(J199="Sat",J199="Sun")</f>
        <v>0</v>
      </c>
      <c r="L199" s="29" t="b">
        <f t="shared" ref="L199:L262" si="20">OR(D199="CGK_SUB", D199="CGK_PKU", D199="CGK_JOG",
    D199="SUB_CGK", D199="PKU_CGK", D199="JOG_CGK")</f>
        <v>0</v>
      </c>
      <c r="M199" s="29" t="b">
        <f t="shared" si="17"/>
        <v>1</v>
      </c>
      <c r="N199" s="29" cm="1">
        <f t="array" ref="N199">_xlfn.IFS(
  E199="Airlines 1", IF(K199, F199*0.04, 0),
  E199="Airlines 2", P199,
  E199="Airlines 3", IF(L199, 20000*F199, 0),
  E199="Airlines 4", IF(M199, 15000*F199, 0),
  E199="Airlines 5",
    IF(F199&lt;50000000, F199*0.01,
      IF(F199&lt;100000000, F199*0.02,
        IF(F199&lt;200000000, F199*0.03, F199*0.035))),
  TRUE, 0
)</f>
        <v>0</v>
      </c>
      <c r="O199" s="29">
        <f t="shared" ref="O199:O262" si="21">SUMIFS($F$6:$F$647, $E$6:$E$647, "Airlines 2", $B$6:$B$647, B199)</f>
        <v>22</v>
      </c>
      <c r="P199" s="29">
        <f t="shared" ref="P199:P262" si="22">IF(AND(E198="Airlines 2", O198&gt;20), F198*0.05, 0)</f>
        <v>0</v>
      </c>
      <c r="Q199" s="30" cm="1">
        <f t="array" ref="Q199">_xlfn.SWITCH(I199, "Method 1", 0, "Method 2", H199*0.03, "Method 3", 4000, "Method 4", 3000, 0)</f>
        <v>50586</v>
      </c>
    </row>
    <row r="200" spans="1:17">
      <c r="A200" s="24">
        <v>53198477</v>
      </c>
      <c r="B200" s="17">
        <v>42290</v>
      </c>
      <c r="C200" s="17">
        <v>42294</v>
      </c>
      <c r="D200" s="18" t="s">
        <v>91</v>
      </c>
      <c r="E200" s="18" t="s">
        <v>8</v>
      </c>
      <c r="F200" s="18">
        <v>1</v>
      </c>
      <c r="G200" s="19">
        <v>562000</v>
      </c>
      <c r="H200" s="19">
        <v>555800</v>
      </c>
      <c r="I200" s="18" t="s">
        <v>24</v>
      </c>
      <c r="J200" s="29" t="str">
        <f t="shared" si="18"/>
        <v>Tue</v>
      </c>
      <c r="K200" s="29" t="b">
        <f t="shared" si="19"/>
        <v>0</v>
      </c>
      <c r="L200" s="29" t="b">
        <f t="shared" si="20"/>
        <v>0</v>
      </c>
      <c r="M200" s="29" t="b">
        <f t="shared" ref="M200:M263" si="23">AND(B200&gt;=DATE(2015,10,1),B200&lt;=DATE(2015,10,15))</f>
        <v>1</v>
      </c>
      <c r="N200" s="29" cm="1">
        <f t="array" ref="N200">_xlfn.IFS(
  E200="Airlines 1", IF(K200, F200*0.04, 0),
  E200="Airlines 2", P200,
  E200="Airlines 3", IF(L200, 20000*F200, 0),
  E200="Airlines 4", IF(M200, 15000*F200, 0),
  E200="Airlines 5",
    IF(F200&lt;50000000, F200*0.01,
      IF(F200&lt;100000000, F200*0.02,
        IF(F200&lt;200000000, F200*0.03, F200*0.035))),
  TRUE, 0
)</f>
        <v>0.05</v>
      </c>
      <c r="O200" s="29">
        <f t="shared" si="21"/>
        <v>22</v>
      </c>
      <c r="P200" s="29">
        <f t="shared" si="22"/>
        <v>0.05</v>
      </c>
      <c r="Q200" s="30" cm="1">
        <f t="array" ref="Q200">_xlfn.SWITCH(I200, "Method 1", 0, "Method 2", H200*0.03, "Method 3", 4000, "Method 4", 3000, 0)</f>
        <v>16674</v>
      </c>
    </row>
    <row r="201" spans="1:17">
      <c r="A201" s="24">
        <v>53197864</v>
      </c>
      <c r="B201" s="17">
        <v>42290</v>
      </c>
      <c r="C201" s="17">
        <v>42293</v>
      </c>
      <c r="D201" s="18" t="s">
        <v>87</v>
      </c>
      <c r="E201" s="18" t="s">
        <v>8</v>
      </c>
      <c r="F201" s="18">
        <v>1</v>
      </c>
      <c r="G201" s="19">
        <v>1505600</v>
      </c>
      <c r="H201" s="19">
        <v>1489000</v>
      </c>
      <c r="I201" s="18" t="s">
        <v>24</v>
      </c>
      <c r="J201" s="29" t="str">
        <f t="shared" si="18"/>
        <v>Tue</v>
      </c>
      <c r="K201" s="29" t="b">
        <f t="shared" si="19"/>
        <v>0</v>
      </c>
      <c r="L201" s="29" t="b">
        <f t="shared" si="20"/>
        <v>0</v>
      </c>
      <c r="M201" s="29" t="b">
        <f t="shared" si="23"/>
        <v>1</v>
      </c>
      <c r="N201" s="29" cm="1">
        <f t="array" ref="N201">_xlfn.IFS(
  E201="Airlines 1", IF(K201, F201*0.04, 0),
  E201="Airlines 2", P201,
  E201="Airlines 3", IF(L201, 20000*F201, 0),
  E201="Airlines 4", IF(M201, 15000*F201, 0),
  E201="Airlines 5",
    IF(F201&lt;50000000, F201*0.01,
      IF(F201&lt;100000000, F201*0.02,
        IF(F201&lt;200000000, F201*0.03, F201*0.035))),
  TRUE, 0
)</f>
        <v>0.05</v>
      </c>
      <c r="O201" s="29">
        <f t="shared" si="21"/>
        <v>22</v>
      </c>
      <c r="P201" s="29">
        <f t="shared" si="22"/>
        <v>0.05</v>
      </c>
      <c r="Q201" s="30" cm="1">
        <f t="array" ref="Q201">_xlfn.SWITCH(I201, "Method 1", 0, "Method 2", H201*0.03, "Method 3", 4000, "Method 4", 3000, 0)</f>
        <v>44670</v>
      </c>
    </row>
    <row r="202" spans="1:17">
      <c r="A202" s="24">
        <v>53198652</v>
      </c>
      <c r="B202" s="17">
        <v>42290</v>
      </c>
      <c r="C202" s="17">
        <v>42291</v>
      </c>
      <c r="D202" s="18" t="s">
        <v>141</v>
      </c>
      <c r="E202" s="18" t="s">
        <v>8</v>
      </c>
      <c r="F202" s="18">
        <v>1</v>
      </c>
      <c r="G202" s="19">
        <v>1150000</v>
      </c>
      <c r="H202" s="19">
        <v>1137400</v>
      </c>
      <c r="I202" s="18" t="s">
        <v>28</v>
      </c>
      <c r="J202" s="29" t="str">
        <f t="shared" si="18"/>
        <v>Tue</v>
      </c>
      <c r="K202" s="29" t="b">
        <f t="shared" si="19"/>
        <v>0</v>
      </c>
      <c r="L202" s="29" t="b">
        <f t="shared" si="20"/>
        <v>0</v>
      </c>
      <c r="M202" s="29" t="b">
        <f t="shared" si="23"/>
        <v>1</v>
      </c>
      <c r="N202" s="29" cm="1">
        <f t="array" ref="N202">_xlfn.IFS(
  E202="Airlines 1", IF(K202, F202*0.04, 0),
  E202="Airlines 2", P202,
  E202="Airlines 3", IF(L202, 20000*F202, 0),
  E202="Airlines 4", IF(M202, 15000*F202, 0),
  E202="Airlines 5",
    IF(F202&lt;50000000, F202*0.01,
      IF(F202&lt;100000000, F202*0.02,
        IF(F202&lt;200000000, F202*0.03, F202*0.035))),
  TRUE, 0
)</f>
        <v>0.05</v>
      </c>
      <c r="O202" s="29">
        <f t="shared" si="21"/>
        <v>22</v>
      </c>
      <c r="P202" s="29">
        <f t="shared" si="22"/>
        <v>0.05</v>
      </c>
      <c r="Q202" s="30" cm="1">
        <f t="array" ref="Q202">_xlfn.SWITCH(I202, "Method 1", 0, "Method 2", H202*0.03, "Method 3", 4000, "Method 4", 3000, 0)</f>
        <v>3000</v>
      </c>
    </row>
    <row r="203" spans="1:17">
      <c r="A203" s="24">
        <v>53198642</v>
      </c>
      <c r="B203" s="17">
        <v>42290</v>
      </c>
      <c r="C203" s="17">
        <v>42292</v>
      </c>
      <c r="D203" s="18" t="s">
        <v>142</v>
      </c>
      <c r="E203" s="18" t="s">
        <v>8</v>
      </c>
      <c r="F203" s="18">
        <v>1</v>
      </c>
      <c r="G203" s="19">
        <v>756000</v>
      </c>
      <c r="H203" s="19">
        <v>747700</v>
      </c>
      <c r="I203" s="18" t="s">
        <v>28</v>
      </c>
      <c r="J203" s="29" t="str">
        <f t="shared" si="18"/>
        <v>Tue</v>
      </c>
      <c r="K203" s="29" t="b">
        <f t="shared" si="19"/>
        <v>0</v>
      </c>
      <c r="L203" s="29" t="b">
        <f t="shared" si="20"/>
        <v>0</v>
      </c>
      <c r="M203" s="29" t="b">
        <f t="shared" si="23"/>
        <v>1</v>
      </c>
      <c r="N203" s="29" cm="1">
        <f t="array" ref="N203">_xlfn.IFS(
  E203="Airlines 1", IF(K203, F203*0.04, 0),
  E203="Airlines 2", P203,
  E203="Airlines 3", IF(L203, 20000*F203, 0),
  E203="Airlines 4", IF(M203, 15000*F203, 0),
  E203="Airlines 5",
    IF(F203&lt;50000000, F203*0.01,
      IF(F203&lt;100000000, F203*0.02,
        IF(F203&lt;200000000, F203*0.03, F203*0.035))),
  TRUE, 0
)</f>
        <v>0.05</v>
      </c>
      <c r="O203" s="29">
        <f t="shared" si="21"/>
        <v>22</v>
      </c>
      <c r="P203" s="29">
        <f t="shared" si="22"/>
        <v>0.05</v>
      </c>
      <c r="Q203" s="30" cm="1">
        <f t="array" ref="Q203">_xlfn.SWITCH(I203, "Method 1", 0, "Method 2", H203*0.03, "Method 3", 4000, "Method 4", 3000, 0)</f>
        <v>3000</v>
      </c>
    </row>
    <row r="204" spans="1:17">
      <c r="A204" s="24">
        <v>53197817</v>
      </c>
      <c r="B204" s="17">
        <v>42290</v>
      </c>
      <c r="C204" s="17">
        <v>42293</v>
      </c>
      <c r="D204" s="18" t="s">
        <v>143</v>
      </c>
      <c r="E204" s="18" t="s">
        <v>8</v>
      </c>
      <c r="F204" s="18">
        <v>1</v>
      </c>
      <c r="G204" s="19">
        <v>1064000</v>
      </c>
      <c r="H204" s="19">
        <v>1052300</v>
      </c>
      <c r="I204" s="18" t="s">
        <v>28</v>
      </c>
      <c r="J204" s="29" t="str">
        <f t="shared" si="18"/>
        <v>Tue</v>
      </c>
      <c r="K204" s="29" t="b">
        <f t="shared" si="19"/>
        <v>0</v>
      </c>
      <c r="L204" s="29" t="b">
        <f t="shared" si="20"/>
        <v>0</v>
      </c>
      <c r="M204" s="29" t="b">
        <f t="shared" si="23"/>
        <v>1</v>
      </c>
      <c r="N204" s="29" cm="1">
        <f t="array" ref="N204">_xlfn.IFS(
  E204="Airlines 1", IF(K204, F204*0.04, 0),
  E204="Airlines 2", P204,
  E204="Airlines 3", IF(L204, 20000*F204, 0),
  E204="Airlines 4", IF(M204, 15000*F204, 0),
  E204="Airlines 5",
    IF(F204&lt;50000000, F204*0.01,
      IF(F204&lt;100000000, F204*0.02,
        IF(F204&lt;200000000, F204*0.03, F204*0.035))),
  TRUE, 0
)</f>
        <v>0.05</v>
      </c>
      <c r="O204" s="29">
        <f t="shared" si="21"/>
        <v>22</v>
      </c>
      <c r="P204" s="29">
        <f t="shared" si="22"/>
        <v>0.05</v>
      </c>
      <c r="Q204" s="30" cm="1">
        <f t="array" ref="Q204">_xlfn.SWITCH(I204, "Method 1", 0, "Method 2", H204*0.03, "Method 3", 4000, "Method 4", 3000, 0)</f>
        <v>3000</v>
      </c>
    </row>
    <row r="205" spans="1:17">
      <c r="A205" s="24">
        <v>53197915</v>
      </c>
      <c r="B205" s="17">
        <v>42290</v>
      </c>
      <c r="C205" s="17">
        <v>42295</v>
      </c>
      <c r="D205" s="18" t="s">
        <v>144</v>
      </c>
      <c r="E205" s="18" t="s">
        <v>8</v>
      </c>
      <c r="F205" s="18">
        <v>2</v>
      </c>
      <c r="G205" s="19">
        <v>1654000</v>
      </c>
      <c r="H205" s="19">
        <v>1635800</v>
      </c>
      <c r="I205" s="18" t="s">
        <v>24</v>
      </c>
      <c r="J205" s="29" t="str">
        <f t="shared" si="18"/>
        <v>Tue</v>
      </c>
      <c r="K205" s="29" t="b">
        <f t="shared" si="19"/>
        <v>0</v>
      </c>
      <c r="L205" s="29" t="b">
        <f t="shared" si="20"/>
        <v>0</v>
      </c>
      <c r="M205" s="29" t="b">
        <f t="shared" si="23"/>
        <v>1</v>
      </c>
      <c r="N205" s="29" cm="1">
        <f t="array" ref="N205">_xlfn.IFS(
  E205="Airlines 1", IF(K205, F205*0.04, 0),
  E205="Airlines 2", P205,
  E205="Airlines 3", IF(L205, 20000*F205, 0),
  E205="Airlines 4", IF(M205, 15000*F205, 0),
  E205="Airlines 5",
    IF(F205&lt;50000000, F205*0.01,
      IF(F205&lt;100000000, F205*0.02,
        IF(F205&lt;200000000, F205*0.03, F205*0.035))),
  TRUE, 0
)</f>
        <v>0.05</v>
      </c>
      <c r="O205" s="29">
        <f t="shared" si="21"/>
        <v>22</v>
      </c>
      <c r="P205" s="29">
        <f t="shared" si="22"/>
        <v>0.05</v>
      </c>
      <c r="Q205" s="30" cm="1">
        <f t="array" ref="Q205">_xlfn.SWITCH(I205, "Method 1", 0, "Method 2", H205*0.03, "Method 3", 4000, "Method 4", 3000, 0)</f>
        <v>49074</v>
      </c>
    </row>
    <row r="206" spans="1:17">
      <c r="A206" s="24">
        <v>53198574</v>
      </c>
      <c r="B206" s="17">
        <v>42290</v>
      </c>
      <c r="C206" s="17">
        <v>42291</v>
      </c>
      <c r="D206" s="18" t="s">
        <v>91</v>
      </c>
      <c r="E206" s="18" t="s">
        <v>8</v>
      </c>
      <c r="F206" s="18">
        <v>1</v>
      </c>
      <c r="G206" s="19">
        <v>562000</v>
      </c>
      <c r="H206" s="19">
        <v>555800</v>
      </c>
      <c r="I206" s="18" t="s">
        <v>24</v>
      </c>
      <c r="J206" s="29" t="str">
        <f t="shared" si="18"/>
        <v>Tue</v>
      </c>
      <c r="K206" s="29" t="b">
        <f t="shared" si="19"/>
        <v>0</v>
      </c>
      <c r="L206" s="29" t="b">
        <f t="shared" si="20"/>
        <v>0</v>
      </c>
      <c r="M206" s="29" t="b">
        <f t="shared" si="23"/>
        <v>1</v>
      </c>
      <c r="N206" s="29" cm="1">
        <f t="array" ref="N206">_xlfn.IFS(
  E206="Airlines 1", IF(K206, F206*0.04, 0),
  E206="Airlines 2", P206,
  E206="Airlines 3", IF(L206, 20000*F206, 0),
  E206="Airlines 4", IF(M206, 15000*F206, 0),
  E206="Airlines 5",
    IF(F206&lt;50000000, F206*0.01,
      IF(F206&lt;100000000, F206*0.02,
        IF(F206&lt;200000000, F206*0.03, F206*0.035))),
  TRUE, 0
)</f>
        <v>0.1</v>
      </c>
      <c r="O206" s="29">
        <f t="shared" si="21"/>
        <v>22</v>
      </c>
      <c r="P206" s="29">
        <f t="shared" si="22"/>
        <v>0.1</v>
      </c>
      <c r="Q206" s="30" cm="1">
        <f t="array" ref="Q206">_xlfn.SWITCH(I206, "Method 1", 0, "Method 2", H206*0.03, "Method 3", 4000, "Method 4", 3000, 0)</f>
        <v>16674</v>
      </c>
    </row>
    <row r="207" spans="1:17">
      <c r="A207" s="24">
        <v>53198689</v>
      </c>
      <c r="B207" s="17">
        <v>42290</v>
      </c>
      <c r="C207" s="17">
        <v>42294</v>
      </c>
      <c r="D207" s="18" t="s">
        <v>118</v>
      </c>
      <c r="E207" s="18" t="s">
        <v>8</v>
      </c>
      <c r="F207" s="18">
        <v>1</v>
      </c>
      <c r="G207" s="19">
        <v>610800</v>
      </c>
      <c r="H207" s="19">
        <v>604100</v>
      </c>
      <c r="I207" s="18" t="s">
        <v>24</v>
      </c>
      <c r="J207" s="29" t="str">
        <f t="shared" si="18"/>
        <v>Tue</v>
      </c>
      <c r="K207" s="29" t="b">
        <f t="shared" si="19"/>
        <v>0</v>
      </c>
      <c r="L207" s="29" t="b">
        <f t="shared" si="20"/>
        <v>0</v>
      </c>
      <c r="M207" s="29" t="b">
        <f t="shared" si="23"/>
        <v>1</v>
      </c>
      <c r="N207" s="29" cm="1">
        <f t="array" ref="N207">_xlfn.IFS(
  E207="Airlines 1", IF(K207, F207*0.04, 0),
  E207="Airlines 2", P207,
  E207="Airlines 3", IF(L207, 20000*F207, 0),
  E207="Airlines 4", IF(M207, 15000*F207, 0),
  E207="Airlines 5",
    IF(F207&lt;50000000, F207*0.01,
      IF(F207&lt;100000000, F207*0.02,
        IF(F207&lt;200000000, F207*0.03, F207*0.035))),
  TRUE, 0
)</f>
        <v>0.05</v>
      </c>
      <c r="O207" s="29">
        <f t="shared" si="21"/>
        <v>22</v>
      </c>
      <c r="P207" s="29">
        <f t="shared" si="22"/>
        <v>0.05</v>
      </c>
      <c r="Q207" s="30" cm="1">
        <f t="array" ref="Q207">_xlfn.SWITCH(I207, "Method 1", 0, "Method 2", H207*0.03, "Method 3", 4000, "Method 4", 3000, 0)</f>
        <v>18123</v>
      </c>
    </row>
    <row r="208" spans="1:17">
      <c r="A208" s="24">
        <v>53195906</v>
      </c>
      <c r="B208" s="17">
        <v>42290</v>
      </c>
      <c r="C208" s="17">
        <v>42294</v>
      </c>
      <c r="D208" s="18" t="s">
        <v>68</v>
      </c>
      <c r="E208" s="18" t="s">
        <v>8</v>
      </c>
      <c r="F208" s="18">
        <v>4</v>
      </c>
      <c r="G208" s="19">
        <v>1720000</v>
      </c>
      <c r="H208" s="19">
        <v>1701200</v>
      </c>
      <c r="I208" s="18" t="s">
        <v>24</v>
      </c>
      <c r="J208" s="29" t="str">
        <f t="shared" si="18"/>
        <v>Tue</v>
      </c>
      <c r="K208" s="29" t="b">
        <f t="shared" si="19"/>
        <v>0</v>
      </c>
      <c r="L208" s="29" t="b">
        <f t="shared" si="20"/>
        <v>0</v>
      </c>
      <c r="M208" s="29" t="b">
        <f t="shared" si="23"/>
        <v>1</v>
      </c>
      <c r="N208" s="29" cm="1">
        <f t="array" ref="N208">_xlfn.IFS(
  E208="Airlines 1", IF(K208, F208*0.04, 0),
  E208="Airlines 2", P208,
  E208="Airlines 3", IF(L208, 20000*F208, 0),
  E208="Airlines 4", IF(M208, 15000*F208, 0),
  E208="Airlines 5",
    IF(F208&lt;50000000, F208*0.01,
      IF(F208&lt;100000000, F208*0.02,
        IF(F208&lt;200000000, F208*0.03, F208*0.035))),
  TRUE, 0
)</f>
        <v>0.05</v>
      </c>
      <c r="O208" s="29">
        <f t="shared" si="21"/>
        <v>22</v>
      </c>
      <c r="P208" s="29">
        <f t="shared" si="22"/>
        <v>0.05</v>
      </c>
      <c r="Q208" s="30" cm="1">
        <f t="array" ref="Q208">_xlfn.SWITCH(I208, "Method 1", 0, "Method 2", H208*0.03, "Method 3", 4000, "Method 4", 3000, 0)</f>
        <v>51036</v>
      </c>
    </row>
    <row r="209" spans="1:17">
      <c r="A209" s="24">
        <v>53197689</v>
      </c>
      <c r="B209" s="17">
        <v>42290</v>
      </c>
      <c r="C209" s="17">
        <v>42291</v>
      </c>
      <c r="D209" s="18" t="s">
        <v>135</v>
      </c>
      <c r="E209" s="18" t="s">
        <v>8</v>
      </c>
      <c r="F209" s="18">
        <v>1</v>
      </c>
      <c r="G209" s="19">
        <v>4335000</v>
      </c>
      <c r="H209" s="19">
        <v>4315000</v>
      </c>
      <c r="I209" s="18" t="s">
        <v>24</v>
      </c>
      <c r="J209" s="29" t="str">
        <f t="shared" si="18"/>
        <v>Tue</v>
      </c>
      <c r="K209" s="29" t="b">
        <f t="shared" si="19"/>
        <v>0</v>
      </c>
      <c r="L209" s="29" t="b">
        <f t="shared" si="20"/>
        <v>0</v>
      </c>
      <c r="M209" s="29" t="b">
        <f t="shared" si="23"/>
        <v>1</v>
      </c>
      <c r="N209" s="29" cm="1">
        <f t="array" ref="N209">_xlfn.IFS(
  E209="Airlines 1", IF(K209, F209*0.04, 0),
  E209="Airlines 2", P209,
  E209="Airlines 3", IF(L209, 20000*F209, 0),
  E209="Airlines 4", IF(M209, 15000*F209, 0),
  E209="Airlines 5",
    IF(F209&lt;50000000, F209*0.01,
      IF(F209&lt;100000000, F209*0.02,
        IF(F209&lt;200000000, F209*0.03, F209*0.035))),
  TRUE, 0
)</f>
        <v>0.2</v>
      </c>
      <c r="O209" s="29">
        <f t="shared" si="21"/>
        <v>22</v>
      </c>
      <c r="P209" s="29">
        <f t="shared" si="22"/>
        <v>0.2</v>
      </c>
      <c r="Q209" s="30" cm="1">
        <f t="array" ref="Q209">_xlfn.SWITCH(I209, "Method 1", 0, "Method 2", H209*0.03, "Method 3", 4000, "Method 4", 3000, 0)</f>
        <v>129450</v>
      </c>
    </row>
    <row r="210" spans="1:17">
      <c r="A210" s="24">
        <v>53198712</v>
      </c>
      <c r="B210" s="17">
        <v>42290</v>
      </c>
      <c r="C210" s="17">
        <v>42292</v>
      </c>
      <c r="D210" s="18" t="s">
        <v>97</v>
      </c>
      <c r="E210" s="18" t="s">
        <v>8</v>
      </c>
      <c r="F210" s="18">
        <v>1</v>
      </c>
      <c r="G210" s="19">
        <v>1210400</v>
      </c>
      <c r="H210" s="19">
        <v>1197100</v>
      </c>
      <c r="I210" s="18" t="s">
        <v>24</v>
      </c>
      <c r="J210" s="29" t="str">
        <f t="shared" si="18"/>
        <v>Tue</v>
      </c>
      <c r="K210" s="29" t="b">
        <f t="shared" si="19"/>
        <v>0</v>
      </c>
      <c r="L210" s="29" t="b">
        <f t="shared" si="20"/>
        <v>1</v>
      </c>
      <c r="M210" s="29" t="b">
        <f t="shared" si="23"/>
        <v>1</v>
      </c>
      <c r="N210" s="29" cm="1">
        <f t="array" ref="N210">_xlfn.IFS(
  E210="Airlines 1", IF(K210, F210*0.04, 0),
  E210="Airlines 2", P210,
  E210="Airlines 3", IF(L210, 20000*F210, 0),
  E210="Airlines 4", IF(M210, 15000*F210, 0),
  E210="Airlines 5",
    IF(F210&lt;50000000, F210*0.01,
      IF(F210&lt;100000000, F210*0.02,
        IF(F210&lt;200000000, F210*0.03, F210*0.035))),
  TRUE, 0
)</f>
        <v>0.05</v>
      </c>
      <c r="O210" s="29">
        <f t="shared" si="21"/>
        <v>22</v>
      </c>
      <c r="P210" s="29">
        <f t="shared" si="22"/>
        <v>0.05</v>
      </c>
      <c r="Q210" s="30" cm="1">
        <f t="array" ref="Q210">_xlfn.SWITCH(I210, "Method 1", 0, "Method 2", H210*0.03, "Method 3", 4000, "Method 4", 3000, 0)</f>
        <v>35913</v>
      </c>
    </row>
    <row r="211" spans="1:17">
      <c r="A211" s="24">
        <v>53198484</v>
      </c>
      <c r="B211" s="17">
        <v>42290</v>
      </c>
      <c r="C211" s="17">
        <v>42292</v>
      </c>
      <c r="D211" s="18" t="s">
        <v>108</v>
      </c>
      <c r="E211" s="18" t="s">
        <v>8</v>
      </c>
      <c r="F211" s="18">
        <v>1</v>
      </c>
      <c r="G211" s="19">
        <v>723000</v>
      </c>
      <c r="H211" s="19">
        <v>715000</v>
      </c>
      <c r="I211" s="18" t="s">
        <v>24</v>
      </c>
      <c r="J211" s="29" t="str">
        <f t="shared" si="18"/>
        <v>Tue</v>
      </c>
      <c r="K211" s="29" t="b">
        <f t="shared" si="19"/>
        <v>0</v>
      </c>
      <c r="L211" s="29" t="b">
        <f t="shared" si="20"/>
        <v>0</v>
      </c>
      <c r="M211" s="29" t="b">
        <f t="shared" si="23"/>
        <v>1</v>
      </c>
      <c r="N211" s="29" cm="1">
        <f t="array" ref="N211">_xlfn.IFS(
  E211="Airlines 1", IF(K211, F211*0.04, 0),
  E211="Airlines 2", P211,
  E211="Airlines 3", IF(L211, 20000*F211, 0),
  E211="Airlines 4", IF(M211, 15000*F211, 0),
  E211="Airlines 5",
    IF(F211&lt;50000000, F211*0.01,
      IF(F211&lt;100000000, F211*0.02,
        IF(F211&lt;200000000, F211*0.03, F211*0.035))),
  TRUE, 0
)</f>
        <v>0.05</v>
      </c>
      <c r="O211" s="29">
        <f t="shared" si="21"/>
        <v>22</v>
      </c>
      <c r="P211" s="29">
        <f t="shared" si="22"/>
        <v>0.05</v>
      </c>
      <c r="Q211" s="30" cm="1">
        <f t="array" ref="Q211">_xlfn.SWITCH(I211, "Method 1", 0, "Method 2", H211*0.03, "Method 3", 4000, "Method 4", 3000, 0)</f>
        <v>21450</v>
      </c>
    </row>
    <row r="212" spans="1:17">
      <c r="A212" s="24">
        <v>53197298</v>
      </c>
      <c r="B212" s="17">
        <v>42290</v>
      </c>
      <c r="C212" s="17">
        <v>42297</v>
      </c>
      <c r="D212" s="18" t="s">
        <v>145</v>
      </c>
      <c r="E212" s="18" t="s">
        <v>8</v>
      </c>
      <c r="F212" s="18">
        <v>1</v>
      </c>
      <c r="G212" s="19">
        <v>859500</v>
      </c>
      <c r="H212" s="19">
        <v>850000</v>
      </c>
      <c r="I212" s="18" t="s">
        <v>24</v>
      </c>
      <c r="J212" s="29" t="str">
        <f t="shared" si="18"/>
        <v>Tue</v>
      </c>
      <c r="K212" s="29" t="b">
        <f t="shared" si="19"/>
        <v>0</v>
      </c>
      <c r="L212" s="29" t="b">
        <f t="shared" si="20"/>
        <v>0</v>
      </c>
      <c r="M212" s="29" t="b">
        <f t="shared" si="23"/>
        <v>1</v>
      </c>
      <c r="N212" s="29" cm="1">
        <f t="array" ref="N212">_xlfn.IFS(
  E212="Airlines 1", IF(K212, F212*0.04, 0),
  E212="Airlines 2", P212,
  E212="Airlines 3", IF(L212, 20000*F212, 0),
  E212="Airlines 4", IF(M212, 15000*F212, 0),
  E212="Airlines 5",
    IF(F212&lt;50000000, F212*0.01,
      IF(F212&lt;100000000, F212*0.02,
        IF(F212&lt;200000000, F212*0.03, F212*0.035))),
  TRUE, 0
)</f>
        <v>0.05</v>
      </c>
      <c r="O212" s="29">
        <f t="shared" si="21"/>
        <v>22</v>
      </c>
      <c r="P212" s="29">
        <f t="shared" si="22"/>
        <v>0.05</v>
      </c>
      <c r="Q212" s="30" cm="1">
        <f t="array" ref="Q212">_xlfn.SWITCH(I212, "Method 1", 0, "Method 2", H212*0.03, "Method 3", 4000, "Method 4", 3000, 0)</f>
        <v>25500</v>
      </c>
    </row>
    <row r="213" spans="1:17">
      <c r="A213" s="24">
        <v>53198499</v>
      </c>
      <c r="B213" s="17">
        <v>42290</v>
      </c>
      <c r="C213" s="17">
        <v>42293</v>
      </c>
      <c r="D213" s="18" t="s">
        <v>46</v>
      </c>
      <c r="E213" s="18" t="s">
        <v>8</v>
      </c>
      <c r="F213" s="18">
        <v>2</v>
      </c>
      <c r="G213" s="19">
        <v>1896000</v>
      </c>
      <c r="H213" s="19">
        <v>1875200</v>
      </c>
      <c r="I213" s="18" t="s">
        <v>24</v>
      </c>
      <c r="J213" s="29" t="str">
        <f t="shared" si="18"/>
        <v>Tue</v>
      </c>
      <c r="K213" s="29" t="b">
        <f t="shared" si="19"/>
        <v>0</v>
      </c>
      <c r="L213" s="29" t="b">
        <f t="shared" si="20"/>
        <v>0</v>
      </c>
      <c r="M213" s="29" t="b">
        <f t="shared" si="23"/>
        <v>1</v>
      </c>
      <c r="N213" s="29" cm="1">
        <f t="array" ref="N213">_xlfn.IFS(
  E213="Airlines 1", IF(K213, F213*0.04, 0),
  E213="Airlines 2", P213,
  E213="Airlines 3", IF(L213, 20000*F213, 0),
  E213="Airlines 4", IF(M213, 15000*F213, 0),
  E213="Airlines 5",
    IF(F213&lt;50000000, F213*0.01,
      IF(F213&lt;100000000, F213*0.02,
        IF(F213&lt;200000000, F213*0.03, F213*0.035))),
  TRUE, 0
)</f>
        <v>0.05</v>
      </c>
      <c r="O213" s="29">
        <f t="shared" si="21"/>
        <v>22</v>
      </c>
      <c r="P213" s="29">
        <f t="shared" si="22"/>
        <v>0.05</v>
      </c>
      <c r="Q213" s="30" cm="1">
        <f t="array" ref="Q213">_xlfn.SWITCH(I213, "Method 1", 0, "Method 2", H213*0.03, "Method 3", 4000, "Method 4", 3000, 0)</f>
        <v>56256</v>
      </c>
    </row>
    <row r="214" spans="1:17">
      <c r="A214" s="24">
        <v>53198520</v>
      </c>
      <c r="B214" s="17">
        <v>42290</v>
      </c>
      <c r="C214" s="17">
        <v>42302</v>
      </c>
      <c r="D214" s="18" t="s">
        <v>146</v>
      </c>
      <c r="E214" s="18" t="s">
        <v>8</v>
      </c>
      <c r="F214" s="18">
        <v>1</v>
      </c>
      <c r="G214" s="19">
        <v>1775800</v>
      </c>
      <c r="H214" s="19">
        <v>1756300</v>
      </c>
      <c r="I214" s="18" t="s">
        <v>24</v>
      </c>
      <c r="J214" s="29" t="str">
        <f t="shared" si="18"/>
        <v>Tue</v>
      </c>
      <c r="K214" s="29" t="b">
        <f t="shared" si="19"/>
        <v>0</v>
      </c>
      <c r="L214" s="29" t="b">
        <f t="shared" si="20"/>
        <v>0</v>
      </c>
      <c r="M214" s="29" t="b">
        <f t="shared" si="23"/>
        <v>1</v>
      </c>
      <c r="N214" s="29" cm="1">
        <f t="array" ref="N214">_xlfn.IFS(
  E214="Airlines 1", IF(K214, F214*0.04, 0),
  E214="Airlines 2", P214,
  E214="Airlines 3", IF(L214, 20000*F214, 0),
  E214="Airlines 4", IF(M214, 15000*F214, 0),
  E214="Airlines 5",
    IF(F214&lt;50000000, F214*0.01,
      IF(F214&lt;100000000, F214*0.02,
        IF(F214&lt;200000000, F214*0.03, F214*0.035))),
  TRUE, 0
)</f>
        <v>0.1</v>
      </c>
      <c r="O214" s="29">
        <f t="shared" si="21"/>
        <v>22</v>
      </c>
      <c r="P214" s="29">
        <f t="shared" si="22"/>
        <v>0.1</v>
      </c>
      <c r="Q214" s="30" cm="1">
        <f t="array" ref="Q214">_xlfn.SWITCH(I214, "Method 1", 0, "Method 2", H214*0.03, "Method 3", 4000, "Method 4", 3000, 0)</f>
        <v>52689</v>
      </c>
    </row>
    <row r="215" spans="1:17">
      <c r="A215" s="24">
        <v>53198638</v>
      </c>
      <c r="B215" s="17">
        <v>42290</v>
      </c>
      <c r="C215" s="17">
        <v>42305</v>
      </c>
      <c r="D215" s="18" t="s">
        <v>118</v>
      </c>
      <c r="E215" s="18" t="s">
        <v>8</v>
      </c>
      <c r="F215" s="18">
        <v>1</v>
      </c>
      <c r="G215" s="19">
        <v>610800</v>
      </c>
      <c r="H215" s="19">
        <v>604100</v>
      </c>
      <c r="I215" s="18" t="s">
        <v>24</v>
      </c>
      <c r="J215" s="29" t="str">
        <f t="shared" si="18"/>
        <v>Tue</v>
      </c>
      <c r="K215" s="29" t="b">
        <f t="shared" si="19"/>
        <v>0</v>
      </c>
      <c r="L215" s="29" t="b">
        <f t="shared" si="20"/>
        <v>0</v>
      </c>
      <c r="M215" s="29" t="b">
        <f t="shared" si="23"/>
        <v>1</v>
      </c>
      <c r="N215" s="29" cm="1">
        <f t="array" ref="N215">_xlfn.IFS(
  E215="Airlines 1", IF(K215, F215*0.04, 0),
  E215="Airlines 2", P215,
  E215="Airlines 3", IF(L215, 20000*F215, 0),
  E215="Airlines 4", IF(M215, 15000*F215, 0),
  E215="Airlines 5",
    IF(F215&lt;50000000, F215*0.01,
      IF(F215&lt;100000000, F215*0.02,
        IF(F215&lt;200000000, F215*0.03, F215*0.035))),
  TRUE, 0
)</f>
        <v>0.05</v>
      </c>
      <c r="O215" s="29">
        <f t="shared" si="21"/>
        <v>22</v>
      </c>
      <c r="P215" s="29">
        <f t="shared" si="22"/>
        <v>0.05</v>
      </c>
      <c r="Q215" s="30" cm="1">
        <f t="array" ref="Q215">_xlfn.SWITCH(I215, "Method 1", 0, "Method 2", H215*0.03, "Method 3", 4000, "Method 4", 3000, 0)</f>
        <v>18123</v>
      </c>
    </row>
    <row r="216" spans="1:17">
      <c r="A216" s="24">
        <v>53198412</v>
      </c>
      <c r="B216" s="17">
        <v>42293</v>
      </c>
      <c r="C216" s="17">
        <v>42295</v>
      </c>
      <c r="D216" s="18" t="s">
        <v>143</v>
      </c>
      <c r="E216" s="18" t="s">
        <v>8</v>
      </c>
      <c r="F216" s="18">
        <v>1</v>
      </c>
      <c r="G216" s="19">
        <v>1141000</v>
      </c>
      <c r="H216" s="19">
        <v>1128400</v>
      </c>
      <c r="I216" s="18" t="s">
        <v>24</v>
      </c>
      <c r="J216" s="29" t="str">
        <f t="shared" si="18"/>
        <v>Fri</v>
      </c>
      <c r="K216" s="29" t="b">
        <f t="shared" si="19"/>
        <v>0</v>
      </c>
      <c r="L216" s="29" t="b">
        <f t="shared" si="20"/>
        <v>0</v>
      </c>
      <c r="M216" s="29" t="b">
        <f t="shared" si="23"/>
        <v>0</v>
      </c>
      <c r="N216" s="29" cm="1">
        <f t="array" ref="N216">_xlfn.IFS(
  E216="Airlines 1", IF(K216, F216*0.04, 0),
  E216="Airlines 2", P216,
  E216="Airlines 3", IF(L216, 20000*F216, 0),
  E216="Airlines 4", IF(M216, 15000*F216, 0),
  E216="Airlines 5",
    IF(F216&lt;50000000, F216*0.01,
      IF(F216&lt;100000000, F216*0.02,
        IF(F216&lt;200000000, F216*0.03, F216*0.035))),
  TRUE, 0
)</f>
        <v>0.05</v>
      </c>
      <c r="O216" s="29">
        <f t="shared" si="21"/>
        <v>13</v>
      </c>
      <c r="P216" s="29">
        <f t="shared" si="22"/>
        <v>0.05</v>
      </c>
      <c r="Q216" s="30" cm="1">
        <f t="array" ref="Q216">_xlfn.SWITCH(I216, "Method 1", 0, "Method 2", H216*0.03, "Method 3", 4000, "Method 4", 3000, 0)</f>
        <v>33852</v>
      </c>
    </row>
    <row r="217" spans="1:17">
      <c r="A217" s="24">
        <v>53198706</v>
      </c>
      <c r="B217" s="17">
        <v>42293</v>
      </c>
      <c r="C217" s="17">
        <v>42298</v>
      </c>
      <c r="D217" s="18" t="s">
        <v>68</v>
      </c>
      <c r="E217" s="18" t="s">
        <v>8</v>
      </c>
      <c r="F217" s="18">
        <v>2</v>
      </c>
      <c r="G217" s="19">
        <v>794000</v>
      </c>
      <c r="H217" s="19">
        <v>785200</v>
      </c>
      <c r="I217" s="18" t="s">
        <v>24</v>
      </c>
      <c r="J217" s="29" t="str">
        <f t="shared" si="18"/>
        <v>Fri</v>
      </c>
      <c r="K217" s="29" t="b">
        <f t="shared" si="19"/>
        <v>0</v>
      </c>
      <c r="L217" s="29" t="b">
        <f t="shared" si="20"/>
        <v>0</v>
      </c>
      <c r="M217" s="29" t="b">
        <f t="shared" si="23"/>
        <v>0</v>
      </c>
      <c r="N217" s="29" cm="1">
        <f t="array" ref="N217">_xlfn.IFS(
  E217="Airlines 1", IF(K217, F217*0.04, 0),
  E217="Airlines 2", P217,
  E217="Airlines 3", IF(L217, 20000*F217, 0),
  E217="Airlines 4", IF(M217, 15000*F217, 0),
  E217="Airlines 5",
    IF(F217&lt;50000000, F217*0.01,
      IF(F217&lt;100000000, F217*0.02,
        IF(F217&lt;200000000, F217*0.03, F217*0.035))),
  TRUE, 0
)</f>
        <v>0</v>
      </c>
      <c r="O217" s="29">
        <f t="shared" si="21"/>
        <v>13</v>
      </c>
      <c r="P217" s="29">
        <f t="shared" si="22"/>
        <v>0</v>
      </c>
      <c r="Q217" s="30" cm="1">
        <f t="array" ref="Q217">_xlfn.SWITCH(I217, "Method 1", 0, "Method 2", H217*0.03, "Method 3", 4000, "Method 4", 3000, 0)</f>
        <v>23556</v>
      </c>
    </row>
    <row r="218" spans="1:17">
      <c r="A218" s="24">
        <v>53197191</v>
      </c>
      <c r="B218" s="17">
        <v>42293</v>
      </c>
      <c r="C218" s="17">
        <v>42295</v>
      </c>
      <c r="D218" s="18" t="s">
        <v>148</v>
      </c>
      <c r="E218" s="18" t="s">
        <v>8</v>
      </c>
      <c r="F218" s="18">
        <v>2</v>
      </c>
      <c r="G218" s="19">
        <v>1282000</v>
      </c>
      <c r="H218" s="19">
        <v>1267800</v>
      </c>
      <c r="I218" s="18" t="s">
        <v>24</v>
      </c>
      <c r="J218" s="29" t="str">
        <f t="shared" si="18"/>
        <v>Fri</v>
      </c>
      <c r="K218" s="29" t="b">
        <f t="shared" si="19"/>
        <v>0</v>
      </c>
      <c r="L218" s="29" t="b">
        <f t="shared" si="20"/>
        <v>0</v>
      </c>
      <c r="M218" s="29" t="b">
        <f t="shared" si="23"/>
        <v>0</v>
      </c>
      <c r="N218" s="29" cm="1">
        <f t="array" ref="N218">_xlfn.IFS(
  E218="Airlines 1", IF(K218, F218*0.04, 0),
  E218="Airlines 2", P218,
  E218="Airlines 3", IF(L218, 20000*F218, 0),
  E218="Airlines 4", IF(M218, 15000*F218, 0),
  E218="Airlines 5",
    IF(F218&lt;50000000, F218*0.01,
      IF(F218&lt;100000000, F218*0.02,
        IF(F218&lt;200000000, F218*0.03, F218*0.035))),
  TRUE, 0
)</f>
        <v>0</v>
      </c>
      <c r="O218" s="29">
        <f t="shared" si="21"/>
        <v>13</v>
      </c>
      <c r="P218" s="29">
        <f t="shared" si="22"/>
        <v>0</v>
      </c>
      <c r="Q218" s="30" cm="1">
        <f t="array" ref="Q218">_xlfn.SWITCH(I218, "Method 1", 0, "Method 2", H218*0.03, "Method 3", 4000, "Method 4", 3000, 0)</f>
        <v>38034</v>
      </c>
    </row>
    <row r="219" spans="1:17">
      <c r="A219" s="24">
        <v>53198405</v>
      </c>
      <c r="B219" s="17">
        <v>42293</v>
      </c>
      <c r="C219" s="17">
        <v>42299</v>
      </c>
      <c r="D219" s="18" t="s">
        <v>122</v>
      </c>
      <c r="E219" s="18" t="s">
        <v>8</v>
      </c>
      <c r="F219" s="18">
        <v>3</v>
      </c>
      <c r="G219" s="19">
        <v>2280000</v>
      </c>
      <c r="H219" s="19">
        <v>2254800</v>
      </c>
      <c r="I219" s="18" t="s">
        <v>24</v>
      </c>
      <c r="J219" s="29" t="str">
        <f t="shared" si="18"/>
        <v>Fri</v>
      </c>
      <c r="K219" s="29" t="b">
        <f t="shared" si="19"/>
        <v>0</v>
      </c>
      <c r="L219" s="29" t="b">
        <f t="shared" si="20"/>
        <v>0</v>
      </c>
      <c r="M219" s="29" t="b">
        <f t="shared" si="23"/>
        <v>0</v>
      </c>
      <c r="N219" s="29" cm="1">
        <f t="array" ref="N219">_xlfn.IFS(
  E219="Airlines 1", IF(K219, F219*0.04, 0),
  E219="Airlines 2", P219,
  E219="Airlines 3", IF(L219, 20000*F219, 0),
  E219="Airlines 4", IF(M219, 15000*F219, 0),
  E219="Airlines 5",
    IF(F219&lt;50000000, F219*0.01,
      IF(F219&lt;100000000, F219*0.02,
        IF(F219&lt;200000000, F219*0.03, F219*0.035))),
  TRUE, 0
)</f>
        <v>0</v>
      </c>
      <c r="O219" s="29">
        <f t="shared" si="21"/>
        <v>13</v>
      </c>
      <c r="P219" s="29">
        <f t="shared" si="22"/>
        <v>0</v>
      </c>
      <c r="Q219" s="30" cm="1">
        <f t="array" ref="Q219">_xlfn.SWITCH(I219, "Method 1", 0, "Method 2", H219*0.03, "Method 3", 4000, "Method 4", 3000, 0)</f>
        <v>67644</v>
      </c>
    </row>
    <row r="220" spans="1:17">
      <c r="A220" s="24">
        <v>53198718</v>
      </c>
      <c r="B220" s="17">
        <v>42293</v>
      </c>
      <c r="C220" s="17">
        <v>42307</v>
      </c>
      <c r="D220" s="18" t="s">
        <v>48</v>
      </c>
      <c r="E220" s="18" t="s">
        <v>8</v>
      </c>
      <c r="F220" s="18">
        <v>1</v>
      </c>
      <c r="G220" s="19">
        <v>1869700</v>
      </c>
      <c r="H220" s="19">
        <v>1849700</v>
      </c>
      <c r="I220" s="18" t="s">
        <v>24</v>
      </c>
      <c r="J220" s="29" t="str">
        <f t="shared" si="18"/>
        <v>Fri</v>
      </c>
      <c r="K220" s="29" t="b">
        <f t="shared" si="19"/>
        <v>0</v>
      </c>
      <c r="L220" s="29" t="b">
        <f t="shared" si="20"/>
        <v>0</v>
      </c>
      <c r="M220" s="29" t="b">
        <f t="shared" si="23"/>
        <v>0</v>
      </c>
      <c r="N220" s="29" cm="1">
        <f t="array" ref="N220">_xlfn.IFS(
  E220="Airlines 1", IF(K220, F220*0.04, 0),
  E220="Airlines 2", P220,
  E220="Airlines 3", IF(L220, 20000*F220, 0),
  E220="Airlines 4", IF(M220, 15000*F220, 0),
  E220="Airlines 5",
    IF(F220&lt;50000000, F220*0.01,
      IF(F220&lt;100000000, F220*0.02,
        IF(F220&lt;200000000, F220*0.03, F220*0.035))),
  TRUE, 0
)</f>
        <v>0</v>
      </c>
      <c r="O220" s="29">
        <f t="shared" si="21"/>
        <v>13</v>
      </c>
      <c r="P220" s="29">
        <f t="shared" si="22"/>
        <v>0</v>
      </c>
      <c r="Q220" s="30" cm="1">
        <f t="array" ref="Q220">_xlfn.SWITCH(I220, "Method 1", 0, "Method 2", H220*0.03, "Method 3", 4000, "Method 4", 3000, 0)</f>
        <v>55491</v>
      </c>
    </row>
    <row r="221" spans="1:17">
      <c r="A221" s="24">
        <v>53198710</v>
      </c>
      <c r="B221" s="17">
        <v>42293</v>
      </c>
      <c r="C221" s="17">
        <v>42475</v>
      </c>
      <c r="D221" s="18" t="s">
        <v>101</v>
      </c>
      <c r="E221" s="18" t="s">
        <v>8</v>
      </c>
      <c r="F221" s="18">
        <v>1</v>
      </c>
      <c r="G221" s="19">
        <v>1475000</v>
      </c>
      <c r="H221" s="19">
        <v>1458800</v>
      </c>
      <c r="I221" s="18" t="s">
        <v>24</v>
      </c>
      <c r="J221" s="29" t="str">
        <f t="shared" si="18"/>
        <v>Fri</v>
      </c>
      <c r="K221" s="29" t="b">
        <f t="shared" si="19"/>
        <v>0</v>
      </c>
      <c r="L221" s="29" t="b">
        <f t="shared" si="20"/>
        <v>0</v>
      </c>
      <c r="M221" s="29" t="b">
        <f t="shared" si="23"/>
        <v>0</v>
      </c>
      <c r="N221" s="29" cm="1">
        <f t="array" ref="N221">_xlfn.IFS(
  E221="Airlines 1", IF(K221, F221*0.04, 0),
  E221="Airlines 2", P221,
  E221="Airlines 3", IF(L221, 20000*F221, 0),
  E221="Airlines 4", IF(M221, 15000*F221, 0),
  E221="Airlines 5",
    IF(F221&lt;50000000, F221*0.01,
      IF(F221&lt;100000000, F221*0.02,
        IF(F221&lt;200000000, F221*0.03, F221*0.035))),
  TRUE, 0
)</f>
        <v>0</v>
      </c>
      <c r="O221" s="29">
        <f t="shared" si="21"/>
        <v>13</v>
      </c>
      <c r="P221" s="29">
        <f t="shared" si="22"/>
        <v>0</v>
      </c>
      <c r="Q221" s="30" cm="1">
        <f t="array" ref="Q221">_xlfn.SWITCH(I221, "Method 1", 0, "Method 2", H221*0.03, "Method 3", 4000, "Method 4", 3000, 0)</f>
        <v>43764</v>
      </c>
    </row>
    <row r="222" spans="1:17">
      <c r="A222" s="24">
        <v>53198658</v>
      </c>
      <c r="B222" s="17">
        <v>42293</v>
      </c>
      <c r="C222" s="17">
        <v>42295</v>
      </c>
      <c r="D222" s="18" t="s">
        <v>149</v>
      </c>
      <c r="E222" s="18" t="s">
        <v>8</v>
      </c>
      <c r="F222" s="18">
        <v>1</v>
      </c>
      <c r="G222" s="19">
        <v>690000</v>
      </c>
      <c r="H222" s="19">
        <v>682400</v>
      </c>
      <c r="I222" s="18" t="s">
        <v>24</v>
      </c>
      <c r="J222" s="29" t="str">
        <f t="shared" si="18"/>
        <v>Fri</v>
      </c>
      <c r="K222" s="29" t="b">
        <f t="shared" si="19"/>
        <v>0</v>
      </c>
      <c r="L222" s="29" t="b">
        <f t="shared" si="20"/>
        <v>0</v>
      </c>
      <c r="M222" s="29" t="b">
        <f t="shared" si="23"/>
        <v>0</v>
      </c>
      <c r="N222" s="29" cm="1">
        <f t="array" ref="N222">_xlfn.IFS(
  E222="Airlines 1", IF(K222, F222*0.04, 0),
  E222="Airlines 2", P222,
  E222="Airlines 3", IF(L222, 20000*F222, 0),
  E222="Airlines 4", IF(M222, 15000*F222, 0),
  E222="Airlines 5",
    IF(F222&lt;50000000, F222*0.01,
      IF(F222&lt;100000000, F222*0.02,
        IF(F222&lt;200000000, F222*0.03, F222*0.035))),
  TRUE, 0
)</f>
        <v>0</v>
      </c>
      <c r="O222" s="29">
        <f t="shared" si="21"/>
        <v>13</v>
      </c>
      <c r="P222" s="29">
        <f t="shared" si="22"/>
        <v>0</v>
      </c>
      <c r="Q222" s="30" cm="1">
        <f t="array" ref="Q222">_xlfn.SWITCH(I222, "Method 1", 0, "Method 2", H222*0.03, "Method 3", 4000, "Method 4", 3000, 0)</f>
        <v>20472</v>
      </c>
    </row>
    <row r="223" spans="1:17">
      <c r="A223" s="24">
        <v>53198934</v>
      </c>
      <c r="B223" s="17">
        <v>42293</v>
      </c>
      <c r="C223" s="17">
        <v>42296</v>
      </c>
      <c r="D223" s="18" t="s">
        <v>150</v>
      </c>
      <c r="E223" s="18" t="s">
        <v>8</v>
      </c>
      <c r="F223" s="18">
        <v>1</v>
      </c>
      <c r="G223" s="19">
        <v>333000</v>
      </c>
      <c r="H223" s="19">
        <v>329300</v>
      </c>
      <c r="I223" s="18" t="s">
        <v>24</v>
      </c>
      <c r="J223" s="29" t="str">
        <f t="shared" si="18"/>
        <v>Fri</v>
      </c>
      <c r="K223" s="29" t="b">
        <f t="shared" si="19"/>
        <v>0</v>
      </c>
      <c r="L223" s="29" t="b">
        <f t="shared" si="20"/>
        <v>0</v>
      </c>
      <c r="M223" s="29" t="b">
        <f t="shared" si="23"/>
        <v>0</v>
      </c>
      <c r="N223" s="29" cm="1">
        <f t="array" ref="N223">_xlfn.IFS(
  E223="Airlines 1", IF(K223, F223*0.04, 0),
  E223="Airlines 2", P223,
  E223="Airlines 3", IF(L223, 20000*F223, 0),
  E223="Airlines 4", IF(M223, 15000*F223, 0),
  E223="Airlines 5",
    IF(F223&lt;50000000, F223*0.01,
      IF(F223&lt;100000000, F223*0.02,
        IF(F223&lt;200000000, F223*0.03, F223*0.035))),
  TRUE, 0
)</f>
        <v>0</v>
      </c>
      <c r="O223" s="29">
        <f t="shared" si="21"/>
        <v>13</v>
      </c>
      <c r="P223" s="29">
        <f t="shared" si="22"/>
        <v>0</v>
      </c>
      <c r="Q223" s="30" cm="1">
        <f t="array" ref="Q223">_xlfn.SWITCH(I223, "Method 1", 0, "Method 2", H223*0.03, "Method 3", 4000, "Method 4", 3000, 0)</f>
        <v>9879</v>
      </c>
    </row>
    <row r="224" spans="1:17">
      <c r="A224" s="24">
        <v>53198910</v>
      </c>
      <c r="B224" s="17">
        <v>42293</v>
      </c>
      <c r="C224" s="17">
        <v>42302</v>
      </c>
      <c r="D224" s="18" t="s">
        <v>132</v>
      </c>
      <c r="E224" s="18" t="s">
        <v>8</v>
      </c>
      <c r="F224" s="18">
        <v>1</v>
      </c>
      <c r="G224" s="19">
        <v>464500</v>
      </c>
      <c r="H224" s="19">
        <v>459400</v>
      </c>
      <c r="I224" s="18" t="s">
        <v>28</v>
      </c>
      <c r="J224" s="29" t="str">
        <f t="shared" si="18"/>
        <v>Fri</v>
      </c>
      <c r="K224" s="29" t="b">
        <f t="shared" si="19"/>
        <v>0</v>
      </c>
      <c r="L224" s="29" t="b">
        <f t="shared" si="20"/>
        <v>0</v>
      </c>
      <c r="M224" s="29" t="b">
        <f t="shared" si="23"/>
        <v>0</v>
      </c>
      <c r="N224" s="29" cm="1">
        <f t="array" ref="N224">_xlfn.IFS(
  E224="Airlines 1", IF(K224, F224*0.04, 0),
  E224="Airlines 2", P224,
  E224="Airlines 3", IF(L224, 20000*F224, 0),
  E224="Airlines 4", IF(M224, 15000*F224, 0),
  E224="Airlines 5",
    IF(F224&lt;50000000, F224*0.01,
      IF(F224&lt;100000000, F224*0.02,
        IF(F224&lt;200000000, F224*0.03, F224*0.035))),
  TRUE, 0
)</f>
        <v>0</v>
      </c>
      <c r="O224" s="29">
        <f t="shared" si="21"/>
        <v>13</v>
      </c>
      <c r="P224" s="29">
        <f t="shared" si="22"/>
        <v>0</v>
      </c>
      <c r="Q224" s="30" cm="1">
        <f t="array" ref="Q224">_xlfn.SWITCH(I224, "Method 1", 0, "Method 2", H224*0.03, "Method 3", 4000, "Method 4", 3000, 0)</f>
        <v>3000</v>
      </c>
    </row>
    <row r="225" spans="1:17">
      <c r="A225" s="24">
        <v>53198683</v>
      </c>
      <c r="B225" s="17">
        <v>42300</v>
      </c>
      <c r="C225" s="17">
        <v>42301</v>
      </c>
      <c r="D225" s="18" t="s">
        <v>153</v>
      </c>
      <c r="E225" s="18" t="s">
        <v>8</v>
      </c>
      <c r="F225" s="18">
        <v>1</v>
      </c>
      <c r="G225" s="19">
        <v>1382000</v>
      </c>
      <c r="H225" s="19">
        <v>1366800</v>
      </c>
      <c r="I225" s="18" t="s">
        <v>22</v>
      </c>
      <c r="J225" s="29" t="str">
        <f t="shared" si="18"/>
        <v>Fri</v>
      </c>
      <c r="K225" s="29" t="b">
        <f t="shared" si="19"/>
        <v>0</v>
      </c>
      <c r="L225" s="29" t="b">
        <f t="shared" si="20"/>
        <v>0</v>
      </c>
      <c r="M225" s="29" t="b">
        <f t="shared" si="23"/>
        <v>0</v>
      </c>
      <c r="N225" s="29" cm="1">
        <f t="array" ref="N225">_xlfn.IFS(
  E225="Airlines 1", IF(K225, F225*0.04, 0),
  E225="Airlines 2", P225,
  E225="Airlines 3", IF(L225, 20000*F225, 0),
  E225="Airlines 4", IF(M225, 15000*F225, 0),
  E225="Airlines 5",
    IF(F225&lt;50000000, F225*0.01,
      IF(F225&lt;100000000, F225*0.02,
        IF(F225&lt;200000000, F225*0.03, F225*0.035))),
  TRUE, 0
)</f>
        <v>0</v>
      </c>
      <c r="O225" s="29">
        <f t="shared" si="21"/>
        <v>6</v>
      </c>
      <c r="P225" s="29">
        <f t="shared" si="22"/>
        <v>0</v>
      </c>
      <c r="Q225" s="30" cm="1">
        <f t="array" ref="Q225">_xlfn.SWITCH(I225, "Method 1", 0, "Method 2", H225*0.03, "Method 3", 4000, "Method 4", 3000, 0)</f>
        <v>0</v>
      </c>
    </row>
    <row r="226" spans="1:17">
      <c r="A226" s="24">
        <v>53198957</v>
      </c>
      <c r="B226" s="17">
        <v>42300</v>
      </c>
      <c r="C226" s="17">
        <v>42301</v>
      </c>
      <c r="D226" s="18" t="s">
        <v>154</v>
      </c>
      <c r="E226" s="18" t="s">
        <v>8</v>
      </c>
      <c r="F226" s="18">
        <v>1</v>
      </c>
      <c r="G226" s="19">
        <v>1091000</v>
      </c>
      <c r="H226" s="19">
        <v>1079000</v>
      </c>
      <c r="I226" s="18" t="s">
        <v>24</v>
      </c>
      <c r="J226" s="29" t="str">
        <f t="shared" si="18"/>
        <v>Fri</v>
      </c>
      <c r="K226" s="29" t="b">
        <f t="shared" si="19"/>
        <v>0</v>
      </c>
      <c r="L226" s="29" t="b">
        <f t="shared" si="20"/>
        <v>0</v>
      </c>
      <c r="M226" s="29" t="b">
        <f t="shared" si="23"/>
        <v>0</v>
      </c>
      <c r="N226" s="29" cm="1">
        <f t="array" ref="N226">_xlfn.IFS(
  E226="Airlines 1", IF(K226, F226*0.04, 0),
  E226="Airlines 2", P226,
  E226="Airlines 3", IF(L226, 20000*F226, 0),
  E226="Airlines 4", IF(M226, 15000*F226, 0),
  E226="Airlines 5",
    IF(F226&lt;50000000, F226*0.01,
      IF(F226&lt;100000000, F226*0.02,
        IF(F226&lt;200000000, F226*0.03, F226*0.035))),
  TRUE, 0
)</f>
        <v>0</v>
      </c>
      <c r="O226" s="29">
        <f t="shared" si="21"/>
        <v>6</v>
      </c>
      <c r="P226" s="29">
        <f t="shared" si="22"/>
        <v>0</v>
      </c>
      <c r="Q226" s="30" cm="1">
        <f t="array" ref="Q226">_xlfn.SWITCH(I226, "Method 1", 0, "Method 2", H226*0.03, "Method 3", 4000, "Method 4", 3000, 0)</f>
        <v>32370</v>
      </c>
    </row>
    <row r="227" spans="1:17">
      <c r="A227" s="24">
        <v>53198571</v>
      </c>
      <c r="B227" s="17">
        <v>42300</v>
      </c>
      <c r="C227" s="17">
        <v>42308</v>
      </c>
      <c r="D227" s="18" t="s">
        <v>139</v>
      </c>
      <c r="E227" s="18" t="s">
        <v>8</v>
      </c>
      <c r="F227" s="18">
        <v>1</v>
      </c>
      <c r="G227" s="19">
        <v>454000</v>
      </c>
      <c r="H227" s="19">
        <v>449000</v>
      </c>
      <c r="I227" s="18" t="s">
        <v>26</v>
      </c>
      <c r="J227" s="29" t="str">
        <f t="shared" si="18"/>
        <v>Fri</v>
      </c>
      <c r="K227" s="29" t="b">
        <f t="shared" si="19"/>
        <v>0</v>
      </c>
      <c r="L227" s="29" t="b">
        <f t="shared" si="20"/>
        <v>0</v>
      </c>
      <c r="M227" s="29" t="b">
        <f t="shared" si="23"/>
        <v>0</v>
      </c>
      <c r="N227" s="29" cm="1">
        <f t="array" ref="N227">_xlfn.IFS(
  E227="Airlines 1", IF(K227, F227*0.04, 0),
  E227="Airlines 2", P227,
  E227="Airlines 3", IF(L227, 20000*F227, 0),
  E227="Airlines 4", IF(M227, 15000*F227, 0),
  E227="Airlines 5",
    IF(F227&lt;50000000, F227*0.01,
      IF(F227&lt;100000000, F227*0.02,
        IF(F227&lt;200000000, F227*0.03, F227*0.035))),
  TRUE, 0
)</f>
        <v>0</v>
      </c>
      <c r="O227" s="29">
        <f t="shared" si="21"/>
        <v>6</v>
      </c>
      <c r="P227" s="29">
        <f t="shared" si="22"/>
        <v>0</v>
      </c>
      <c r="Q227" s="30" cm="1">
        <f t="array" ref="Q227">_xlfn.SWITCH(I227, "Method 1", 0, "Method 2", H227*0.03, "Method 3", 4000, "Method 4", 3000, 0)</f>
        <v>4000</v>
      </c>
    </row>
    <row r="228" spans="1:17">
      <c r="A228" s="24">
        <v>53198953</v>
      </c>
      <c r="B228" s="17">
        <v>42300</v>
      </c>
      <c r="C228" s="17">
        <v>42302</v>
      </c>
      <c r="D228" s="18" t="s">
        <v>50</v>
      </c>
      <c r="E228" s="18" t="s">
        <v>8</v>
      </c>
      <c r="F228" s="18">
        <v>1</v>
      </c>
      <c r="G228" s="19">
        <v>713800</v>
      </c>
      <c r="H228" s="19">
        <v>705900</v>
      </c>
      <c r="I228" s="18" t="s">
        <v>24</v>
      </c>
      <c r="J228" s="29" t="str">
        <f t="shared" si="18"/>
        <v>Fri</v>
      </c>
      <c r="K228" s="29" t="b">
        <f t="shared" si="19"/>
        <v>0</v>
      </c>
      <c r="L228" s="29" t="b">
        <f t="shared" si="20"/>
        <v>0</v>
      </c>
      <c r="M228" s="29" t="b">
        <f t="shared" si="23"/>
        <v>0</v>
      </c>
      <c r="N228" s="29" cm="1">
        <f t="array" ref="N228">_xlfn.IFS(
  E228="Airlines 1", IF(K228, F228*0.04, 0),
  E228="Airlines 2", P228,
  E228="Airlines 3", IF(L228, 20000*F228, 0),
  E228="Airlines 4", IF(M228, 15000*F228, 0),
  E228="Airlines 5",
    IF(F228&lt;50000000, F228*0.01,
      IF(F228&lt;100000000, F228*0.02,
        IF(F228&lt;200000000, F228*0.03, F228*0.035))),
  TRUE, 0
)</f>
        <v>0</v>
      </c>
      <c r="O228" s="29">
        <f t="shared" si="21"/>
        <v>6</v>
      </c>
      <c r="P228" s="29">
        <f t="shared" si="22"/>
        <v>0</v>
      </c>
      <c r="Q228" s="30" cm="1">
        <f t="array" ref="Q228">_xlfn.SWITCH(I228, "Method 1", 0, "Method 2", H228*0.03, "Method 3", 4000, "Method 4", 3000, 0)</f>
        <v>21177</v>
      </c>
    </row>
    <row r="229" spans="1:17">
      <c r="A229" s="24">
        <v>53198963</v>
      </c>
      <c r="B229" s="17">
        <v>42300</v>
      </c>
      <c r="C229" s="17">
        <v>42361</v>
      </c>
      <c r="D229" s="18" t="s">
        <v>82</v>
      </c>
      <c r="E229" s="18" t="s">
        <v>8</v>
      </c>
      <c r="F229" s="18">
        <v>1</v>
      </c>
      <c r="G229" s="19">
        <v>595000</v>
      </c>
      <c r="H229" s="19">
        <v>588500</v>
      </c>
      <c r="I229" s="18" t="s">
        <v>26</v>
      </c>
      <c r="J229" s="29" t="str">
        <f t="shared" si="18"/>
        <v>Fri</v>
      </c>
      <c r="K229" s="29" t="b">
        <f t="shared" si="19"/>
        <v>0</v>
      </c>
      <c r="L229" s="29" t="b">
        <f t="shared" si="20"/>
        <v>0</v>
      </c>
      <c r="M229" s="29" t="b">
        <f t="shared" si="23"/>
        <v>0</v>
      </c>
      <c r="N229" s="29" cm="1">
        <f t="array" ref="N229">_xlfn.IFS(
  E229="Airlines 1", IF(K229, F229*0.04, 0),
  E229="Airlines 2", P229,
  E229="Airlines 3", IF(L229, 20000*F229, 0),
  E229="Airlines 4", IF(M229, 15000*F229, 0),
  E229="Airlines 5",
    IF(F229&lt;50000000, F229*0.01,
      IF(F229&lt;100000000, F229*0.02,
        IF(F229&lt;200000000, F229*0.03, F229*0.035))),
  TRUE, 0
)</f>
        <v>0</v>
      </c>
      <c r="O229" s="29">
        <f t="shared" si="21"/>
        <v>6</v>
      </c>
      <c r="P229" s="29">
        <f t="shared" si="22"/>
        <v>0</v>
      </c>
      <c r="Q229" s="30" cm="1">
        <f t="array" ref="Q229">_xlfn.SWITCH(I229, "Method 1", 0, "Method 2", H229*0.03, "Method 3", 4000, "Method 4", 3000, 0)</f>
        <v>4000</v>
      </c>
    </row>
    <row r="230" spans="1:17">
      <c r="A230" s="24">
        <v>53198194</v>
      </c>
      <c r="B230" s="17">
        <v>42300</v>
      </c>
      <c r="C230" s="17">
        <v>42303</v>
      </c>
      <c r="D230" s="18" t="s">
        <v>65</v>
      </c>
      <c r="E230" s="18" t="s">
        <v>8</v>
      </c>
      <c r="F230" s="18">
        <v>1</v>
      </c>
      <c r="G230" s="19">
        <v>640000</v>
      </c>
      <c r="H230" s="19">
        <v>633000</v>
      </c>
      <c r="I230" s="18" t="s">
        <v>24</v>
      </c>
      <c r="J230" s="29" t="str">
        <f t="shared" si="18"/>
        <v>Fri</v>
      </c>
      <c r="K230" s="29" t="b">
        <f t="shared" si="19"/>
        <v>0</v>
      </c>
      <c r="L230" s="29" t="b">
        <f t="shared" si="20"/>
        <v>0</v>
      </c>
      <c r="M230" s="29" t="b">
        <f t="shared" si="23"/>
        <v>0</v>
      </c>
      <c r="N230" s="29" cm="1">
        <f t="array" ref="N230">_xlfn.IFS(
  E230="Airlines 1", IF(K230, F230*0.04, 0),
  E230="Airlines 2", P230,
  E230="Airlines 3", IF(L230, 20000*F230, 0),
  E230="Airlines 4", IF(M230, 15000*F230, 0),
  E230="Airlines 5",
    IF(F230&lt;50000000, F230*0.01,
      IF(F230&lt;100000000, F230*0.02,
        IF(F230&lt;200000000, F230*0.03, F230*0.035))),
  TRUE, 0
)</f>
        <v>0</v>
      </c>
      <c r="O230" s="29">
        <f t="shared" si="21"/>
        <v>6</v>
      </c>
      <c r="P230" s="29">
        <f t="shared" si="22"/>
        <v>0</v>
      </c>
      <c r="Q230" s="30" cm="1">
        <f t="array" ref="Q230">_xlfn.SWITCH(I230, "Method 1", 0, "Method 2", H230*0.03, "Method 3", 4000, "Method 4", 3000, 0)</f>
        <v>18990</v>
      </c>
    </row>
    <row r="231" spans="1:17">
      <c r="A231" s="24">
        <v>53198500</v>
      </c>
      <c r="B231" s="17">
        <v>42303</v>
      </c>
      <c r="C231" s="17">
        <v>42303</v>
      </c>
      <c r="D231" s="18" t="s">
        <v>142</v>
      </c>
      <c r="E231" s="18" t="s">
        <v>8</v>
      </c>
      <c r="F231" s="18">
        <v>1</v>
      </c>
      <c r="G231" s="19">
        <v>756000</v>
      </c>
      <c r="H231" s="19">
        <v>747700</v>
      </c>
      <c r="I231" s="18" t="s">
        <v>28</v>
      </c>
      <c r="J231" s="29" t="str">
        <f t="shared" si="18"/>
        <v>Mon</v>
      </c>
      <c r="K231" s="29" t="b">
        <f t="shared" si="19"/>
        <v>0</v>
      </c>
      <c r="L231" s="29" t="b">
        <f t="shared" si="20"/>
        <v>0</v>
      </c>
      <c r="M231" s="29" t="b">
        <f t="shared" si="23"/>
        <v>0</v>
      </c>
      <c r="N231" s="29" cm="1">
        <f t="array" ref="N231">_xlfn.IFS(
  E231="Airlines 1", IF(K231, F231*0.04, 0),
  E231="Airlines 2", P231,
  E231="Airlines 3", IF(L231, 20000*F231, 0),
  E231="Airlines 4", IF(M231, 15000*F231, 0),
  E231="Airlines 5",
    IF(F231&lt;50000000, F231*0.01,
      IF(F231&lt;100000000, F231*0.02,
        IF(F231&lt;200000000, F231*0.03, F231*0.035))),
  TRUE, 0
)</f>
        <v>0</v>
      </c>
      <c r="O231" s="29">
        <f t="shared" si="21"/>
        <v>11</v>
      </c>
      <c r="P231" s="29">
        <f t="shared" si="22"/>
        <v>0</v>
      </c>
      <c r="Q231" s="30" cm="1">
        <f t="array" ref="Q231">_xlfn.SWITCH(I231, "Method 1", 0, "Method 2", H231*0.03, "Method 3", 4000, "Method 4", 3000, 0)</f>
        <v>3000</v>
      </c>
    </row>
    <row r="232" spans="1:17">
      <c r="A232" s="24">
        <v>53199013</v>
      </c>
      <c r="B232" s="17">
        <v>42303</v>
      </c>
      <c r="C232" s="17">
        <v>42303</v>
      </c>
      <c r="D232" s="18" t="s">
        <v>121</v>
      </c>
      <c r="E232" s="18" t="s">
        <v>8</v>
      </c>
      <c r="F232" s="18">
        <v>1</v>
      </c>
      <c r="G232" s="19">
        <v>880000</v>
      </c>
      <c r="H232" s="19">
        <v>870300</v>
      </c>
      <c r="I232" s="18" t="s">
        <v>22</v>
      </c>
      <c r="J232" s="29" t="str">
        <f t="shared" si="18"/>
        <v>Mon</v>
      </c>
      <c r="K232" s="29" t="b">
        <f t="shared" si="19"/>
        <v>0</v>
      </c>
      <c r="L232" s="29" t="b">
        <f t="shared" si="20"/>
        <v>0</v>
      </c>
      <c r="M232" s="29" t="b">
        <f t="shared" si="23"/>
        <v>0</v>
      </c>
      <c r="N232" s="29" cm="1">
        <f t="array" ref="N232">_xlfn.IFS(
  E232="Airlines 1", IF(K232, F232*0.04, 0),
  E232="Airlines 2", P232,
  E232="Airlines 3", IF(L232, 20000*F232, 0),
  E232="Airlines 4", IF(M232, 15000*F232, 0),
  E232="Airlines 5",
    IF(F232&lt;50000000, F232*0.01,
      IF(F232&lt;100000000, F232*0.02,
        IF(F232&lt;200000000, F232*0.03, F232*0.035))),
  TRUE, 0
)</f>
        <v>0</v>
      </c>
      <c r="O232" s="29">
        <f t="shared" si="21"/>
        <v>11</v>
      </c>
      <c r="P232" s="29">
        <f t="shared" si="22"/>
        <v>0</v>
      </c>
      <c r="Q232" s="30" cm="1">
        <f t="array" ref="Q232">_xlfn.SWITCH(I232, "Method 1", 0, "Method 2", H232*0.03, "Method 3", 4000, "Method 4", 3000, 0)</f>
        <v>0</v>
      </c>
    </row>
    <row r="233" spans="1:17">
      <c r="A233" s="24">
        <v>53198972</v>
      </c>
      <c r="B233" s="17">
        <v>42303</v>
      </c>
      <c r="C233" s="17">
        <v>42305</v>
      </c>
      <c r="D233" s="18" t="s">
        <v>104</v>
      </c>
      <c r="E233" s="18" t="s">
        <v>8</v>
      </c>
      <c r="F233" s="18">
        <v>2</v>
      </c>
      <c r="G233" s="19">
        <v>1722000</v>
      </c>
      <c r="H233" s="19">
        <v>1703000</v>
      </c>
      <c r="I233" s="18" t="s">
        <v>22</v>
      </c>
      <c r="J233" s="29" t="str">
        <f t="shared" si="18"/>
        <v>Mon</v>
      </c>
      <c r="K233" s="29" t="b">
        <f t="shared" si="19"/>
        <v>0</v>
      </c>
      <c r="L233" s="29" t="b">
        <f t="shared" si="20"/>
        <v>0</v>
      </c>
      <c r="M233" s="29" t="b">
        <f t="shared" si="23"/>
        <v>0</v>
      </c>
      <c r="N233" s="29" cm="1">
        <f t="array" ref="N233">_xlfn.IFS(
  E233="Airlines 1", IF(K233, F233*0.04, 0),
  E233="Airlines 2", P233,
  E233="Airlines 3", IF(L233, 20000*F233, 0),
  E233="Airlines 4", IF(M233, 15000*F233, 0),
  E233="Airlines 5",
    IF(F233&lt;50000000, F233*0.01,
      IF(F233&lt;100000000, F233*0.02,
        IF(F233&lt;200000000, F233*0.03, F233*0.035))),
  TRUE, 0
)</f>
        <v>0</v>
      </c>
      <c r="O233" s="29">
        <f t="shared" si="21"/>
        <v>11</v>
      </c>
      <c r="P233" s="29">
        <f t="shared" si="22"/>
        <v>0</v>
      </c>
      <c r="Q233" s="30" cm="1">
        <f t="array" ref="Q233">_xlfn.SWITCH(I233, "Method 1", 0, "Method 2", H233*0.03, "Method 3", 4000, "Method 4", 3000, 0)</f>
        <v>0</v>
      </c>
    </row>
    <row r="234" spans="1:17">
      <c r="A234" s="24">
        <v>53198916</v>
      </c>
      <c r="B234" s="17">
        <v>42303</v>
      </c>
      <c r="C234" s="17">
        <v>42304</v>
      </c>
      <c r="D234" s="18" t="s">
        <v>151</v>
      </c>
      <c r="E234" s="18" t="s">
        <v>8</v>
      </c>
      <c r="F234" s="18">
        <v>1</v>
      </c>
      <c r="G234" s="19">
        <v>595000</v>
      </c>
      <c r="H234" s="19">
        <v>588500</v>
      </c>
      <c r="I234" s="18" t="s">
        <v>22</v>
      </c>
      <c r="J234" s="29" t="str">
        <f t="shared" si="18"/>
        <v>Mon</v>
      </c>
      <c r="K234" s="29" t="b">
        <f t="shared" si="19"/>
        <v>0</v>
      </c>
      <c r="L234" s="29" t="b">
        <f t="shared" si="20"/>
        <v>0</v>
      </c>
      <c r="M234" s="29" t="b">
        <f t="shared" si="23"/>
        <v>0</v>
      </c>
      <c r="N234" s="29" cm="1">
        <f t="array" ref="N234">_xlfn.IFS(
  E234="Airlines 1", IF(K234, F234*0.04, 0),
  E234="Airlines 2", P234,
  E234="Airlines 3", IF(L234, 20000*F234, 0),
  E234="Airlines 4", IF(M234, 15000*F234, 0),
  E234="Airlines 5",
    IF(F234&lt;50000000, F234*0.01,
      IF(F234&lt;100000000, F234*0.02,
        IF(F234&lt;200000000, F234*0.03, F234*0.035))),
  TRUE, 0
)</f>
        <v>0</v>
      </c>
      <c r="O234" s="29">
        <f t="shared" si="21"/>
        <v>11</v>
      </c>
      <c r="P234" s="29">
        <f t="shared" si="22"/>
        <v>0</v>
      </c>
      <c r="Q234" s="30" cm="1">
        <f t="array" ref="Q234">_xlfn.SWITCH(I234, "Method 1", 0, "Method 2", H234*0.03, "Method 3", 4000, "Method 4", 3000, 0)</f>
        <v>0</v>
      </c>
    </row>
    <row r="235" spans="1:17">
      <c r="A235" s="24">
        <v>53199043</v>
      </c>
      <c r="B235" s="17">
        <v>42303</v>
      </c>
      <c r="C235" s="17">
        <v>42313</v>
      </c>
      <c r="D235" s="18" t="s">
        <v>152</v>
      </c>
      <c r="E235" s="18" t="s">
        <v>8</v>
      </c>
      <c r="F235" s="18">
        <v>1</v>
      </c>
      <c r="G235" s="19">
        <v>520000</v>
      </c>
      <c r="H235" s="19">
        <v>514300</v>
      </c>
      <c r="I235" s="18" t="s">
        <v>22</v>
      </c>
      <c r="J235" s="29" t="str">
        <f t="shared" si="18"/>
        <v>Mon</v>
      </c>
      <c r="K235" s="29" t="b">
        <f t="shared" si="19"/>
        <v>0</v>
      </c>
      <c r="L235" s="29" t="b">
        <f t="shared" si="20"/>
        <v>0</v>
      </c>
      <c r="M235" s="29" t="b">
        <f t="shared" si="23"/>
        <v>0</v>
      </c>
      <c r="N235" s="29" cm="1">
        <f t="array" ref="N235">_xlfn.IFS(
  E235="Airlines 1", IF(K235, F235*0.04, 0),
  E235="Airlines 2", P235,
  E235="Airlines 3", IF(L235, 20000*F235, 0),
  E235="Airlines 4", IF(M235, 15000*F235, 0),
  E235="Airlines 5",
    IF(F235&lt;50000000, F235*0.01,
      IF(F235&lt;100000000, F235*0.02,
        IF(F235&lt;200000000, F235*0.03, F235*0.035))),
  TRUE, 0
)</f>
        <v>0</v>
      </c>
      <c r="O235" s="29">
        <f t="shared" si="21"/>
        <v>11</v>
      </c>
      <c r="P235" s="29">
        <f t="shared" si="22"/>
        <v>0</v>
      </c>
      <c r="Q235" s="30" cm="1">
        <f t="array" ref="Q235">_xlfn.SWITCH(I235, "Method 1", 0, "Method 2", H235*0.03, "Method 3", 4000, "Method 4", 3000, 0)</f>
        <v>0</v>
      </c>
    </row>
    <row r="236" spans="1:17">
      <c r="A236" s="24">
        <v>53198954</v>
      </c>
      <c r="B236" s="17">
        <v>42303</v>
      </c>
      <c r="C236" s="17">
        <v>42320</v>
      </c>
      <c r="D236" s="18" t="s">
        <v>91</v>
      </c>
      <c r="E236" s="18" t="s">
        <v>8</v>
      </c>
      <c r="F236" s="18">
        <v>1</v>
      </c>
      <c r="G236" s="19">
        <v>562000</v>
      </c>
      <c r="H236" s="19">
        <v>555800</v>
      </c>
      <c r="I236" s="18" t="s">
        <v>22</v>
      </c>
      <c r="J236" s="29" t="str">
        <f t="shared" si="18"/>
        <v>Mon</v>
      </c>
      <c r="K236" s="29" t="b">
        <f t="shared" si="19"/>
        <v>0</v>
      </c>
      <c r="L236" s="29" t="b">
        <f t="shared" si="20"/>
        <v>0</v>
      </c>
      <c r="M236" s="29" t="b">
        <f t="shared" si="23"/>
        <v>0</v>
      </c>
      <c r="N236" s="29" cm="1">
        <f t="array" ref="N236">_xlfn.IFS(
  E236="Airlines 1", IF(K236, F236*0.04, 0),
  E236="Airlines 2", P236,
  E236="Airlines 3", IF(L236, 20000*F236, 0),
  E236="Airlines 4", IF(M236, 15000*F236, 0),
  E236="Airlines 5",
    IF(F236&lt;50000000, F236*0.01,
      IF(F236&lt;100000000, F236*0.02,
        IF(F236&lt;200000000, F236*0.03, F236*0.035))),
  TRUE, 0
)</f>
        <v>0</v>
      </c>
      <c r="O236" s="29">
        <f t="shared" si="21"/>
        <v>11</v>
      </c>
      <c r="P236" s="29">
        <f t="shared" si="22"/>
        <v>0</v>
      </c>
      <c r="Q236" s="30" cm="1">
        <f t="array" ref="Q236">_xlfn.SWITCH(I236, "Method 1", 0, "Method 2", H236*0.03, "Method 3", 4000, "Method 4", 3000, 0)</f>
        <v>0</v>
      </c>
    </row>
    <row r="237" spans="1:17">
      <c r="A237" s="24">
        <v>53199061</v>
      </c>
      <c r="B237" s="17">
        <v>42303</v>
      </c>
      <c r="C237" s="17">
        <v>42304</v>
      </c>
      <c r="D237" s="18" t="s">
        <v>40</v>
      </c>
      <c r="E237" s="18" t="s">
        <v>8</v>
      </c>
      <c r="F237" s="18">
        <v>2</v>
      </c>
      <c r="G237" s="19">
        <v>2127800</v>
      </c>
      <c r="H237" s="19">
        <v>2105600</v>
      </c>
      <c r="I237" s="18" t="s">
        <v>22</v>
      </c>
      <c r="J237" s="29" t="str">
        <f t="shared" si="18"/>
        <v>Mon</v>
      </c>
      <c r="K237" s="29" t="b">
        <f t="shared" si="19"/>
        <v>0</v>
      </c>
      <c r="L237" s="29" t="b">
        <f t="shared" si="20"/>
        <v>1</v>
      </c>
      <c r="M237" s="29" t="b">
        <f t="shared" si="23"/>
        <v>0</v>
      </c>
      <c r="N237" s="29" cm="1">
        <f t="array" ref="N237">_xlfn.IFS(
  E237="Airlines 1", IF(K237, F237*0.04, 0),
  E237="Airlines 2", P237,
  E237="Airlines 3", IF(L237, 20000*F237, 0),
  E237="Airlines 4", IF(M237, 15000*F237, 0),
  E237="Airlines 5",
    IF(F237&lt;50000000, F237*0.01,
      IF(F237&lt;100000000, F237*0.02,
        IF(F237&lt;200000000, F237*0.03, F237*0.035))),
  TRUE, 0
)</f>
        <v>0</v>
      </c>
      <c r="O237" s="29">
        <f t="shared" si="21"/>
        <v>11</v>
      </c>
      <c r="P237" s="29">
        <f t="shared" si="22"/>
        <v>0</v>
      </c>
      <c r="Q237" s="30" cm="1">
        <f t="array" ref="Q237">_xlfn.SWITCH(I237, "Method 1", 0, "Method 2", H237*0.03, "Method 3", 4000, "Method 4", 3000, 0)</f>
        <v>0</v>
      </c>
    </row>
    <row r="238" spans="1:17">
      <c r="A238" s="24">
        <v>53198667</v>
      </c>
      <c r="B238" s="17">
        <v>42303</v>
      </c>
      <c r="C238" s="17">
        <v>42304</v>
      </c>
      <c r="D238" s="18" t="s">
        <v>40</v>
      </c>
      <c r="E238" s="18" t="s">
        <v>8</v>
      </c>
      <c r="F238" s="18">
        <v>2</v>
      </c>
      <c r="G238" s="19">
        <v>1365500</v>
      </c>
      <c r="H238" s="19">
        <v>1351300</v>
      </c>
      <c r="I238" s="18" t="s">
        <v>22</v>
      </c>
      <c r="J238" s="29" t="str">
        <f t="shared" si="18"/>
        <v>Mon</v>
      </c>
      <c r="K238" s="29" t="b">
        <f t="shared" si="19"/>
        <v>0</v>
      </c>
      <c r="L238" s="29" t="b">
        <f t="shared" si="20"/>
        <v>1</v>
      </c>
      <c r="M238" s="29" t="b">
        <f t="shared" si="23"/>
        <v>0</v>
      </c>
      <c r="N238" s="29" cm="1">
        <f t="array" ref="N238">_xlfn.IFS(
  E238="Airlines 1", IF(K238, F238*0.04, 0),
  E238="Airlines 2", P238,
  E238="Airlines 3", IF(L238, 20000*F238, 0),
  E238="Airlines 4", IF(M238, 15000*F238, 0),
  E238="Airlines 5",
    IF(F238&lt;50000000, F238*0.01,
      IF(F238&lt;100000000, F238*0.02,
        IF(F238&lt;200000000, F238*0.03, F238*0.035))),
  TRUE, 0
)</f>
        <v>0</v>
      </c>
      <c r="O238" s="29">
        <f t="shared" si="21"/>
        <v>11</v>
      </c>
      <c r="P238" s="29">
        <f t="shared" si="22"/>
        <v>0</v>
      </c>
      <c r="Q238" s="30" cm="1">
        <f t="array" ref="Q238">_xlfn.SWITCH(I238, "Method 1", 0, "Method 2", H238*0.03, "Method 3", 4000, "Method 4", 3000, 0)</f>
        <v>0</v>
      </c>
    </row>
    <row r="239" spans="1:17">
      <c r="A239" s="24">
        <v>53198970</v>
      </c>
      <c r="B239" s="17">
        <v>42304</v>
      </c>
      <c r="C239" s="17">
        <v>42305</v>
      </c>
      <c r="D239" s="18" t="s">
        <v>70</v>
      </c>
      <c r="E239" s="18" t="s">
        <v>8</v>
      </c>
      <c r="F239" s="18">
        <v>2</v>
      </c>
      <c r="G239" s="19">
        <v>1355000</v>
      </c>
      <c r="H239" s="19">
        <v>1340000</v>
      </c>
      <c r="I239" s="18" t="s">
        <v>22</v>
      </c>
      <c r="J239" s="29" t="str">
        <f t="shared" si="18"/>
        <v>Tue</v>
      </c>
      <c r="K239" s="29" t="b">
        <f t="shared" si="19"/>
        <v>0</v>
      </c>
      <c r="L239" s="29" t="b">
        <f t="shared" si="20"/>
        <v>0</v>
      </c>
      <c r="M239" s="29" t="b">
        <f t="shared" si="23"/>
        <v>0</v>
      </c>
      <c r="N239" s="29" cm="1">
        <f t="array" ref="N239">_xlfn.IFS(
  E239="Airlines 1", IF(K239, F239*0.04, 0),
  E239="Airlines 2", P239,
  E239="Airlines 3", IF(L239, 20000*F239, 0),
  E239="Airlines 4", IF(M239, 15000*F239, 0),
  E239="Airlines 5",
    IF(F239&lt;50000000, F239*0.01,
      IF(F239&lt;100000000, F239*0.02,
        IF(F239&lt;200000000, F239*0.03, F239*0.035))),
  TRUE, 0
)</f>
        <v>0</v>
      </c>
      <c r="O239" s="29">
        <f t="shared" si="21"/>
        <v>9</v>
      </c>
      <c r="P239" s="29">
        <f t="shared" si="22"/>
        <v>0</v>
      </c>
      <c r="Q239" s="30" cm="1">
        <f t="array" ref="Q239">_xlfn.SWITCH(I239, "Method 1", 0, "Method 2", H239*0.03, "Method 3", 4000, "Method 4", 3000, 0)</f>
        <v>0</v>
      </c>
    </row>
    <row r="240" spans="1:17">
      <c r="A240" s="24">
        <v>53199017</v>
      </c>
      <c r="B240" s="17">
        <v>42304</v>
      </c>
      <c r="C240" s="17">
        <v>42305</v>
      </c>
      <c r="D240" s="18" t="s">
        <v>48</v>
      </c>
      <c r="E240" s="18" t="s">
        <v>8</v>
      </c>
      <c r="F240" s="18">
        <v>2</v>
      </c>
      <c r="G240" s="19">
        <v>2030000</v>
      </c>
      <c r="H240" s="19">
        <v>2007600</v>
      </c>
      <c r="I240" s="18" t="s">
        <v>22</v>
      </c>
      <c r="J240" s="29" t="str">
        <f t="shared" si="18"/>
        <v>Tue</v>
      </c>
      <c r="K240" s="29" t="b">
        <f t="shared" si="19"/>
        <v>0</v>
      </c>
      <c r="L240" s="29" t="b">
        <f t="shared" si="20"/>
        <v>0</v>
      </c>
      <c r="M240" s="29" t="b">
        <f t="shared" si="23"/>
        <v>0</v>
      </c>
      <c r="N240" s="29" cm="1">
        <f t="array" ref="N240">_xlfn.IFS(
  E240="Airlines 1", IF(K240, F240*0.04, 0),
  E240="Airlines 2", P240,
  E240="Airlines 3", IF(L240, 20000*F240, 0),
  E240="Airlines 4", IF(M240, 15000*F240, 0),
  E240="Airlines 5",
    IF(F240&lt;50000000, F240*0.01,
      IF(F240&lt;100000000, F240*0.02,
        IF(F240&lt;200000000, F240*0.03, F240*0.035))),
  TRUE, 0
)</f>
        <v>0</v>
      </c>
      <c r="O240" s="29">
        <f t="shared" si="21"/>
        <v>9</v>
      </c>
      <c r="P240" s="29">
        <f t="shared" si="22"/>
        <v>0</v>
      </c>
      <c r="Q240" s="30" cm="1">
        <f t="array" ref="Q240">_xlfn.SWITCH(I240, "Method 1", 0, "Method 2", H240*0.03, "Method 3", 4000, "Method 4", 3000, 0)</f>
        <v>0</v>
      </c>
    </row>
    <row r="241" spans="1:17">
      <c r="A241" s="24">
        <v>53198918</v>
      </c>
      <c r="B241" s="17">
        <v>42304</v>
      </c>
      <c r="C241" s="17">
        <v>42355</v>
      </c>
      <c r="D241" s="18" t="s">
        <v>82</v>
      </c>
      <c r="E241" s="18" t="s">
        <v>8</v>
      </c>
      <c r="F241" s="18">
        <v>3</v>
      </c>
      <c r="G241" s="19">
        <v>2181000</v>
      </c>
      <c r="H241" s="19">
        <v>2157000</v>
      </c>
      <c r="I241" s="18" t="s">
        <v>22</v>
      </c>
      <c r="J241" s="29" t="str">
        <f t="shared" si="18"/>
        <v>Tue</v>
      </c>
      <c r="K241" s="29" t="b">
        <f t="shared" si="19"/>
        <v>0</v>
      </c>
      <c r="L241" s="29" t="b">
        <f t="shared" si="20"/>
        <v>0</v>
      </c>
      <c r="M241" s="29" t="b">
        <f t="shared" si="23"/>
        <v>0</v>
      </c>
      <c r="N241" s="29" cm="1">
        <f t="array" ref="N241">_xlfn.IFS(
  E241="Airlines 1", IF(K241, F241*0.04, 0),
  E241="Airlines 2", P241,
  E241="Airlines 3", IF(L241, 20000*F241, 0),
  E241="Airlines 4", IF(M241, 15000*F241, 0),
  E241="Airlines 5",
    IF(F241&lt;50000000, F241*0.01,
      IF(F241&lt;100000000, F241*0.02,
        IF(F241&lt;200000000, F241*0.03, F241*0.035))),
  TRUE, 0
)</f>
        <v>0</v>
      </c>
      <c r="O241" s="29">
        <f t="shared" si="21"/>
        <v>9</v>
      </c>
      <c r="P241" s="29">
        <f t="shared" si="22"/>
        <v>0</v>
      </c>
      <c r="Q241" s="30" cm="1">
        <f t="array" ref="Q241">_xlfn.SWITCH(I241, "Method 1", 0, "Method 2", H241*0.03, "Method 3", 4000, "Method 4", 3000, 0)</f>
        <v>0</v>
      </c>
    </row>
    <row r="242" spans="1:17">
      <c r="A242" s="24">
        <v>53198995</v>
      </c>
      <c r="B242" s="17">
        <v>42304</v>
      </c>
      <c r="C242" s="17">
        <v>42307</v>
      </c>
      <c r="D242" s="18" t="s">
        <v>155</v>
      </c>
      <c r="E242" s="18" t="s">
        <v>8</v>
      </c>
      <c r="F242" s="18">
        <v>1</v>
      </c>
      <c r="G242" s="19">
        <v>1840000</v>
      </c>
      <c r="H242" s="19">
        <v>1820000</v>
      </c>
      <c r="I242" s="18" t="s">
        <v>22</v>
      </c>
      <c r="J242" s="29" t="str">
        <f t="shared" si="18"/>
        <v>Tue</v>
      </c>
      <c r="K242" s="29" t="b">
        <f t="shared" si="19"/>
        <v>0</v>
      </c>
      <c r="L242" s="29" t="b">
        <f t="shared" si="20"/>
        <v>0</v>
      </c>
      <c r="M242" s="29" t="b">
        <f t="shared" si="23"/>
        <v>0</v>
      </c>
      <c r="N242" s="29" cm="1">
        <f t="array" ref="N242">_xlfn.IFS(
  E242="Airlines 1", IF(K242, F242*0.04, 0),
  E242="Airlines 2", P242,
  E242="Airlines 3", IF(L242, 20000*F242, 0),
  E242="Airlines 4", IF(M242, 15000*F242, 0),
  E242="Airlines 5",
    IF(F242&lt;50000000, F242*0.01,
      IF(F242&lt;100000000, F242*0.02,
        IF(F242&lt;200000000, F242*0.03, F242*0.035))),
  TRUE, 0
)</f>
        <v>0</v>
      </c>
      <c r="O242" s="29">
        <f t="shared" si="21"/>
        <v>9</v>
      </c>
      <c r="P242" s="29">
        <f t="shared" si="22"/>
        <v>0</v>
      </c>
      <c r="Q242" s="30" cm="1">
        <f t="array" ref="Q242">_xlfn.SWITCH(I242, "Method 1", 0, "Method 2", H242*0.03, "Method 3", 4000, "Method 4", 3000, 0)</f>
        <v>0</v>
      </c>
    </row>
    <row r="243" spans="1:17">
      <c r="A243" s="24">
        <v>53199098</v>
      </c>
      <c r="B243" s="17">
        <v>42304</v>
      </c>
      <c r="C243" s="17">
        <v>42309</v>
      </c>
      <c r="D243" s="18" t="s">
        <v>156</v>
      </c>
      <c r="E243" s="18" t="s">
        <v>8</v>
      </c>
      <c r="F243" s="18">
        <v>1</v>
      </c>
      <c r="G243" s="19">
        <v>1405000</v>
      </c>
      <c r="H243" s="19">
        <v>1389500</v>
      </c>
      <c r="I243" s="18" t="s">
        <v>22</v>
      </c>
      <c r="J243" s="29" t="str">
        <f t="shared" si="18"/>
        <v>Tue</v>
      </c>
      <c r="K243" s="29" t="b">
        <f t="shared" si="19"/>
        <v>0</v>
      </c>
      <c r="L243" s="29" t="b">
        <f t="shared" si="20"/>
        <v>0</v>
      </c>
      <c r="M243" s="29" t="b">
        <f t="shared" si="23"/>
        <v>0</v>
      </c>
      <c r="N243" s="29" cm="1">
        <f t="array" ref="N243">_xlfn.IFS(
  E243="Airlines 1", IF(K243, F243*0.04, 0),
  E243="Airlines 2", P243,
  E243="Airlines 3", IF(L243, 20000*F243, 0),
  E243="Airlines 4", IF(M243, 15000*F243, 0),
  E243="Airlines 5",
    IF(F243&lt;50000000, F243*0.01,
      IF(F243&lt;100000000, F243*0.02,
        IF(F243&lt;200000000, F243*0.03, F243*0.035))),
  TRUE, 0
)</f>
        <v>0</v>
      </c>
      <c r="O243" s="29">
        <f t="shared" si="21"/>
        <v>9</v>
      </c>
      <c r="P243" s="29">
        <f t="shared" si="22"/>
        <v>0</v>
      </c>
      <c r="Q243" s="30" cm="1">
        <f t="array" ref="Q243">_xlfn.SWITCH(I243, "Method 1", 0, "Method 2", H243*0.03, "Method 3", 4000, "Method 4", 3000, 0)</f>
        <v>0</v>
      </c>
    </row>
    <row r="244" spans="1:17">
      <c r="A244" s="24">
        <v>53198685</v>
      </c>
      <c r="B244" s="17">
        <v>42308</v>
      </c>
      <c r="C244" s="17">
        <v>42315</v>
      </c>
      <c r="D244" s="18" t="s">
        <v>91</v>
      </c>
      <c r="E244" s="18" t="s">
        <v>8</v>
      </c>
      <c r="F244" s="18">
        <v>1</v>
      </c>
      <c r="G244" s="19">
        <v>618700</v>
      </c>
      <c r="H244" s="19">
        <v>612500</v>
      </c>
      <c r="I244" s="18" t="s">
        <v>28</v>
      </c>
      <c r="J244" s="29" t="str">
        <f t="shared" si="18"/>
        <v>Sat</v>
      </c>
      <c r="K244" s="29" t="b">
        <f t="shared" si="19"/>
        <v>1</v>
      </c>
      <c r="L244" s="29" t="b">
        <f t="shared" si="20"/>
        <v>0</v>
      </c>
      <c r="M244" s="29" t="b">
        <f t="shared" si="23"/>
        <v>0</v>
      </c>
      <c r="N244" s="29" cm="1">
        <f t="array" ref="N244">_xlfn.IFS(
  E244="Airlines 1", IF(K244, F244*0.04, 0),
  E244="Airlines 2", P244,
  E244="Airlines 3", IF(L244, 20000*F244, 0),
  E244="Airlines 4", IF(M244, 15000*F244, 0),
  E244="Airlines 5",
    IF(F244&lt;50000000, F244*0.01,
      IF(F244&lt;100000000, F244*0.02,
        IF(F244&lt;200000000, F244*0.03, F244*0.035))),
  TRUE, 0
)</f>
        <v>0</v>
      </c>
      <c r="O244" s="29">
        <f t="shared" si="21"/>
        <v>5</v>
      </c>
      <c r="P244" s="29">
        <f t="shared" si="22"/>
        <v>0</v>
      </c>
      <c r="Q244" s="30" cm="1">
        <f t="array" ref="Q244">_xlfn.SWITCH(I244, "Method 1", 0, "Method 2", H244*0.03, "Method 3", 4000, "Method 4", 3000, 0)</f>
        <v>3000</v>
      </c>
    </row>
    <row r="245" spans="1:17">
      <c r="A245" s="24">
        <v>53199066</v>
      </c>
      <c r="B245" s="17">
        <v>42308</v>
      </c>
      <c r="C245" s="17">
        <v>42312</v>
      </c>
      <c r="D245" s="18" t="s">
        <v>45</v>
      </c>
      <c r="E245" s="18" t="s">
        <v>8</v>
      </c>
      <c r="F245" s="18">
        <v>1</v>
      </c>
      <c r="G245" s="19">
        <v>865000</v>
      </c>
      <c r="H245" s="19">
        <v>855500</v>
      </c>
      <c r="I245" s="18" t="s">
        <v>28</v>
      </c>
      <c r="J245" s="29" t="str">
        <f t="shared" si="18"/>
        <v>Sat</v>
      </c>
      <c r="K245" s="29" t="b">
        <f t="shared" si="19"/>
        <v>1</v>
      </c>
      <c r="L245" s="29" t="b">
        <f t="shared" si="20"/>
        <v>0</v>
      </c>
      <c r="M245" s="29" t="b">
        <f t="shared" si="23"/>
        <v>0</v>
      </c>
      <c r="N245" s="29" cm="1">
        <f t="array" ref="N245">_xlfn.IFS(
  E245="Airlines 1", IF(K245, F245*0.04, 0),
  E245="Airlines 2", P245,
  E245="Airlines 3", IF(L245, 20000*F245, 0),
  E245="Airlines 4", IF(M245, 15000*F245, 0),
  E245="Airlines 5",
    IF(F245&lt;50000000, F245*0.01,
      IF(F245&lt;100000000, F245*0.02,
        IF(F245&lt;200000000, F245*0.03, F245*0.035))),
  TRUE, 0
)</f>
        <v>0</v>
      </c>
      <c r="O245" s="29">
        <f t="shared" si="21"/>
        <v>5</v>
      </c>
      <c r="P245" s="29">
        <f t="shared" si="22"/>
        <v>0</v>
      </c>
      <c r="Q245" s="30" cm="1">
        <f t="array" ref="Q245">_xlfn.SWITCH(I245, "Method 1", 0, "Method 2", H245*0.03, "Method 3", 4000, "Method 4", 3000, 0)</f>
        <v>3000</v>
      </c>
    </row>
    <row r="246" spans="1:17">
      <c r="A246" s="24">
        <v>53199078</v>
      </c>
      <c r="B246" s="17">
        <v>42308</v>
      </c>
      <c r="C246" s="17">
        <v>42310</v>
      </c>
      <c r="D246" s="18" t="s">
        <v>62</v>
      </c>
      <c r="E246" s="18" t="s">
        <v>8</v>
      </c>
      <c r="F246" s="18">
        <v>1</v>
      </c>
      <c r="G246" s="19">
        <v>749000</v>
      </c>
      <c r="H246" s="19">
        <v>740800</v>
      </c>
      <c r="I246" s="18" t="s">
        <v>28</v>
      </c>
      <c r="J246" s="29" t="str">
        <f t="shared" si="18"/>
        <v>Sat</v>
      </c>
      <c r="K246" s="29" t="b">
        <f t="shared" si="19"/>
        <v>1</v>
      </c>
      <c r="L246" s="29" t="b">
        <f t="shared" si="20"/>
        <v>1</v>
      </c>
      <c r="M246" s="29" t="b">
        <f t="shared" si="23"/>
        <v>0</v>
      </c>
      <c r="N246" s="29" cm="1">
        <f t="array" ref="N246">_xlfn.IFS(
  E246="Airlines 1", IF(K246, F246*0.04, 0),
  E246="Airlines 2", P246,
  E246="Airlines 3", IF(L246, 20000*F246, 0),
  E246="Airlines 4", IF(M246, 15000*F246, 0),
  E246="Airlines 5",
    IF(F246&lt;50000000, F246*0.01,
      IF(F246&lt;100000000, F246*0.02,
        IF(F246&lt;200000000, F246*0.03, F246*0.035))),
  TRUE, 0
)</f>
        <v>0</v>
      </c>
      <c r="O246" s="29">
        <f t="shared" si="21"/>
        <v>5</v>
      </c>
      <c r="P246" s="29">
        <f t="shared" si="22"/>
        <v>0</v>
      </c>
      <c r="Q246" s="30" cm="1">
        <f t="array" ref="Q246">_xlfn.SWITCH(I246, "Method 1", 0, "Method 2", H246*0.03, "Method 3", 4000, "Method 4", 3000, 0)</f>
        <v>3000</v>
      </c>
    </row>
    <row r="247" spans="1:17">
      <c r="A247" s="24">
        <v>53199112</v>
      </c>
      <c r="B247" s="17">
        <v>42308</v>
      </c>
      <c r="C247" s="17">
        <v>42309</v>
      </c>
      <c r="D247" s="18" t="s">
        <v>48</v>
      </c>
      <c r="E247" s="18" t="s">
        <v>8</v>
      </c>
      <c r="F247" s="18">
        <v>1</v>
      </c>
      <c r="G247" s="19">
        <v>905000</v>
      </c>
      <c r="H247" s="19">
        <v>895000</v>
      </c>
      <c r="I247" s="18" t="s">
        <v>24</v>
      </c>
      <c r="J247" s="29" t="str">
        <f t="shared" si="18"/>
        <v>Sat</v>
      </c>
      <c r="K247" s="29" t="b">
        <f t="shared" si="19"/>
        <v>1</v>
      </c>
      <c r="L247" s="29" t="b">
        <f t="shared" si="20"/>
        <v>0</v>
      </c>
      <c r="M247" s="29" t="b">
        <f t="shared" si="23"/>
        <v>0</v>
      </c>
      <c r="N247" s="29" cm="1">
        <f t="array" ref="N247">_xlfn.IFS(
  E247="Airlines 1", IF(K247, F247*0.04, 0),
  E247="Airlines 2", P247,
  E247="Airlines 3", IF(L247, 20000*F247, 0),
  E247="Airlines 4", IF(M247, 15000*F247, 0),
  E247="Airlines 5",
    IF(F247&lt;50000000, F247*0.01,
      IF(F247&lt;100000000, F247*0.02,
        IF(F247&lt;200000000, F247*0.03, F247*0.035))),
  TRUE, 0
)</f>
        <v>0</v>
      </c>
      <c r="O247" s="29">
        <f t="shared" si="21"/>
        <v>5</v>
      </c>
      <c r="P247" s="29">
        <f t="shared" si="22"/>
        <v>0</v>
      </c>
      <c r="Q247" s="30" cm="1">
        <f t="array" ref="Q247">_xlfn.SWITCH(I247, "Method 1", 0, "Method 2", H247*0.03, "Method 3", 4000, "Method 4", 3000, 0)</f>
        <v>26850</v>
      </c>
    </row>
    <row r="248" spans="1:17">
      <c r="A248" s="24">
        <v>53198917</v>
      </c>
      <c r="B248" s="17">
        <v>42308</v>
      </c>
      <c r="C248" s="17">
        <v>42365</v>
      </c>
      <c r="D248" s="18" t="s">
        <v>147</v>
      </c>
      <c r="E248" s="18" t="s">
        <v>8</v>
      </c>
      <c r="F248" s="18">
        <v>1</v>
      </c>
      <c r="G248" s="19">
        <v>1303400</v>
      </c>
      <c r="H248" s="19">
        <v>1289100</v>
      </c>
      <c r="I248" s="18" t="s">
        <v>24</v>
      </c>
      <c r="J248" s="29" t="str">
        <f t="shared" si="18"/>
        <v>Sat</v>
      </c>
      <c r="K248" s="29" t="b">
        <f t="shared" si="19"/>
        <v>1</v>
      </c>
      <c r="L248" s="29" t="b">
        <f t="shared" si="20"/>
        <v>0</v>
      </c>
      <c r="M248" s="29" t="b">
        <f t="shared" si="23"/>
        <v>0</v>
      </c>
      <c r="N248" s="29" cm="1">
        <f t="array" ref="N248">_xlfn.IFS(
  E248="Airlines 1", IF(K248, F248*0.04, 0),
  E248="Airlines 2", P248,
  E248="Airlines 3", IF(L248, 20000*F248, 0),
  E248="Airlines 4", IF(M248, 15000*F248, 0),
  E248="Airlines 5",
    IF(F248&lt;50000000, F248*0.01,
      IF(F248&lt;100000000, F248*0.02,
        IF(F248&lt;200000000, F248*0.03, F248*0.035))),
  TRUE, 0
)</f>
        <v>0</v>
      </c>
      <c r="O248" s="29">
        <f t="shared" si="21"/>
        <v>5</v>
      </c>
      <c r="P248" s="29">
        <f t="shared" si="22"/>
        <v>0</v>
      </c>
      <c r="Q248" s="30" cm="1">
        <f t="array" ref="Q248">_xlfn.SWITCH(I248, "Method 1", 0, "Method 2", H248*0.03, "Method 3", 4000, "Method 4", 3000, 0)</f>
        <v>38673</v>
      </c>
    </row>
    <row r="249" spans="1:17">
      <c r="A249" s="24">
        <v>53199026</v>
      </c>
      <c r="B249" s="17">
        <v>42278</v>
      </c>
      <c r="C249" s="17">
        <v>42278</v>
      </c>
      <c r="D249" s="18" t="s">
        <v>41</v>
      </c>
      <c r="E249" s="18" t="s">
        <v>11</v>
      </c>
      <c r="F249" s="18">
        <v>1</v>
      </c>
      <c r="G249" s="19">
        <v>758900</v>
      </c>
      <c r="H249" s="19">
        <v>754500</v>
      </c>
      <c r="I249" s="18" t="s">
        <v>24</v>
      </c>
      <c r="J249" s="29" t="str">
        <f t="shared" si="18"/>
        <v>Thu</v>
      </c>
      <c r="K249" s="29" t="b">
        <f t="shared" si="19"/>
        <v>0</v>
      </c>
      <c r="L249" s="29" t="b">
        <f t="shared" si="20"/>
        <v>0</v>
      </c>
      <c r="M249" s="29" t="b">
        <f t="shared" si="23"/>
        <v>1</v>
      </c>
      <c r="N249" s="29" cm="1">
        <f t="array" ref="N249">_xlfn.IFS(
  E249="Airlines 1", IF(K249, F249*0.04, 0),
  E249="Airlines 2", P249,
  E249="Airlines 3", IF(L249, 20000*F249, 0),
  E249="Airlines 4", IF(M249, 15000*F249, 0),
  E249="Airlines 5",
    IF(F249&lt;50000000, F249*0.01,
      IF(F249&lt;100000000, F249*0.02,
        IF(F249&lt;200000000, F249*0.03, F249*0.035))),
  TRUE, 0
)</f>
        <v>0</v>
      </c>
      <c r="O249" s="29">
        <f t="shared" si="21"/>
        <v>16</v>
      </c>
      <c r="P249" s="29">
        <f t="shared" si="22"/>
        <v>0</v>
      </c>
      <c r="Q249" s="30" cm="1">
        <f t="array" ref="Q249">_xlfn.SWITCH(I249, "Method 1", 0, "Method 2", H249*0.03, "Method 3", 4000, "Method 4", 3000, 0)</f>
        <v>22635</v>
      </c>
    </row>
    <row r="250" spans="1:17">
      <c r="A250" s="24">
        <v>53199081</v>
      </c>
      <c r="B250" s="17">
        <v>42278</v>
      </c>
      <c r="C250" s="17">
        <v>42278</v>
      </c>
      <c r="D250" s="18" t="s">
        <v>40</v>
      </c>
      <c r="E250" s="18" t="s">
        <v>11</v>
      </c>
      <c r="F250" s="18">
        <v>1</v>
      </c>
      <c r="G250" s="19">
        <v>637900</v>
      </c>
      <c r="H250" s="19">
        <v>634100</v>
      </c>
      <c r="I250" s="18" t="s">
        <v>22</v>
      </c>
      <c r="J250" s="29" t="str">
        <f t="shared" si="18"/>
        <v>Thu</v>
      </c>
      <c r="K250" s="29" t="b">
        <f t="shared" si="19"/>
        <v>0</v>
      </c>
      <c r="L250" s="29" t="b">
        <f t="shared" si="20"/>
        <v>1</v>
      </c>
      <c r="M250" s="29" t="b">
        <f t="shared" si="23"/>
        <v>1</v>
      </c>
      <c r="N250" s="29" cm="1">
        <f t="array" ref="N250">_xlfn.IFS(
  E250="Airlines 1", IF(K250, F250*0.04, 0),
  E250="Airlines 2", P250,
  E250="Airlines 3", IF(L250, 20000*F250, 0),
  E250="Airlines 4", IF(M250, 15000*F250, 0),
  E250="Airlines 5",
    IF(F250&lt;50000000, F250*0.01,
      IF(F250&lt;100000000, F250*0.02,
        IF(F250&lt;200000000, F250*0.03, F250*0.035))),
  TRUE, 0
)</f>
        <v>20000</v>
      </c>
      <c r="O250" s="29">
        <f t="shared" si="21"/>
        <v>16</v>
      </c>
      <c r="P250" s="29">
        <f t="shared" si="22"/>
        <v>0</v>
      </c>
      <c r="Q250" s="30" cm="1">
        <f t="array" ref="Q250">_xlfn.SWITCH(I250, "Method 1", 0, "Method 2", H250*0.03, "Method 3", 4000, "Method 4", 3000, 0)</f>
        <v>0</v>
      </c>
    </row>
    <row r="251" spans="1:17">
      <c r="A251" s="24">
        <v>53199010</v>
      </c>
      <c r="B251" s="17">
        <v>42278</v>
      </c>
      <c r="C251" s="17">
        <v>42280</v>
      </c>
      <c r="D251" s="18" t="s">
        <v>157</v>
      </c>
      <c r="E251" s="18" t="s">
        <v>11</v>
      </c>
      <c r="F251" s="18">
        <v>2</v>
      </c>
      <c r="G251" s="19">
        <v>2252156</v>
      </c>
      <c r="H251" s="19">
        <v>2272734</v>
      </c>
      <c r="I251" s="18" t="s">
        <v>22</v>
      </c>
      <c r="J251" s="29" t="str">
        <f t="shared" si="18"/>
        <v>Thu</v>
      </c>
      <c r="K251" s="29" t="b">
        <f t="shared" si="19"/>
        <v>0</v>
      </c>
      <c r="L251" s="29" t="b">
        <f t="shared" si="20"/>
        <v>0</v>
      </c>
      <c r="M251" s="29" t="b">
        <f t="shared" si="23"/>
        <v>1</v>
      </c>
      <c r="N251" s="29" cm="1">
        <f t="array" ref="N251">_xlfn.IFS(
  E251="Airlines 1", IF(K251, F251*0.04, 0),
  E251="Airlines 2", P251,
  E251="Airlines 3", IF(L251, 20000*F251, 0),
  E251="Airlines 4", IF(M251, 15000*F251, 0),
  E251="Airlines 5",
    IF(F251&lt;50000000, F251*0.01,
      IF(F251&lt;100000000, F251*0.02,
        IF(F251&lt;200000000, F251*0.03, F251*0.035))),
  TRUE, 0
)</f>
        <v>0</v>
      </c>
      <c r="O251" s="29">
        <f t="shared" si="21"/>
        <v>16</v>
      </c>
      <c r="P251" s="29">
        <f t="shared" si="22"/>
        <v>0</v>
      </c>
      <c r="Q251" s="30" cm="1">
        <f t="array" ref="Q251">_xlfn.SWITCH(I251, "Method 1", 0, "Method 2", H251*0.03, "Method 3", 4000, "Method 4", 3000, 0)</f>
        <v>0</v>
      </c>
    </row>
    <row r="252" spans="1:17">
      <c r="A252" s="24">
        <v>53188275</v>
      </c>
      <c r="B252" s="17">
        <v>42278</v>
      </c>
      <c r="C252" s="17">
        <v>42293</v>
      </c>
      <c r="D252" s="18" t="s">
        <v>108</v>
      </c>
      <c r="E252" s="18" t="s">
        <v>11</v>
      </c>
      <c r="F252" s="18">
        <v>1</v>
      </c>
      <c r="G252" s="19">
        <v>512900</v>
      </c>
      <c r="H252" s="19">
        <v>510200</v>
      </c>
      <c r="I252" s="18" t="s">
        <v>22</v>
      </c>
      <c r="J252" s="29" t="str">
        <f t="shared" si="18"/>
        <v>Thu</v>
      </c>
      <c r="K252" s="29" t="b">
        <f t="shared" si="19"/>
        <v>0</v>
      </c>
      <c r="L252" s="29" t="b">
        <f t="shared" si="20"/>
        <v>0</v>
      </c>
      <c r="M252" s="29" t="b">
        <f t="shared" si="23"/>
        <v>1</v>
      </c>
      <c r="N252" s="29" cm="1">
        <f t="array" ref="N252">_xlfn.IFS(
  E252="Airlines 1", IF(K252, F252*0.04, 0),
  E252="Airlines 2", P252,
  E252="Airlines 3", IF(L252, 20000*F252, 0),
  E252="Airlines 4", IF(M252, 15000*F252, 0),
  E252="Airlines 5",
    IF(F252&lt;50000000, F252*0.01,
      IF(F252&lt;100000000, F252*0.02,
        IF(F252&lt;200000000, F252*0.03, F252*0.035))),
  TRUE, 0
)</f>
        <v>0</v>
      </c>
      <c r="O252" s="29">
        <f t="shared" si="21"/>
        <v>16</v>
      </c>
      <c r="P252" s="29">
        <f t="shared" si="22"/>
        <v>0</v>
      </c>
      <c r="Q252" s="30" cm="1">
        <f t="array" ref="Q252">_xlfn.SWITCH(I252, "Method 1", 0, "Method 2", H252*0.03, "Method 3", 4000, "Method 4", 3000, 0)</f>
        <v>0</v>
      </c>
    </row>
    <row r="253" spans="1:17">
      <c r="A253" s="24">
        <v>53196196</v>
      </c>
      <c r="B253" s="17">
        <v>42278</v>
      </c>
      <c r="C253" s="17">
        <v>42278</v>
      </c>
      <c r="D253" s="18" t="s">
        <v>48</v>
      </c>
      <c r="E253" s="18" t="s">
        <v>11</v>
      </c>
      <c r="F253" s="18">
        <v>2</v>
      </c>
      <c r="G253" s="19">
        <v>1169240</v>
      </c>
      <c r="H253" s="19">
        <v>1162400</v>
      </c>
      <c r="I253" s="18" t="s">
        <v>22</v>
      </c>
      <c r="J253" s="29" t="str">
        <f t="shared" si="18"/>
        <v>Thu</v>
      </c>
      <c r="K253" s="29" t="b">
        <f t="shared" si="19"/>
        <v>0</v>
      </c>
      <c r="L253" s="29" t="b">
        <f t="shared" si="20"/>
        <v>0</v>
      </c>
      <c r="M253" s="29" t="b">
        <f t="shared" si="23"/>
        <v>1</v>
      </c>
      <c r="N253" s="29" cm="1">
        <f t="array" ref="N253">_xlfn.IFS(
  E253="Airlines 1", IF(K253, F253*0.04, 0),
  E253="Airlines 2", P253,
  E253="Airlines 3", IF(L253, 20000*F253, 0),
  E253="Airlines 4", IF(M253, 15000*F253, 0),
  E253="Airlines 5",
    IF(F253&lt;50000000, F253*0.01,
      IF(F253&lt;100000000, F253*0.02,
        IF(F253&lt;200000000, F253*0.03, F253*0.035))),
  TRUE, 0
)</f>
        <v>0</v>
      </c>
      <c r="O253" s="29">
        <f t="shared" si="21"/>
        <v>16</v>
      </c>
      <c r="P253" s="29">
        <f t="shared" si="22"/>
        <v>0</v>
      </c>
      <c r="Q253" s="30" cm="1">
        <f t="array" ref="Q253">_xlfn.SWITCH(I253, "Method 1", 0, "Method 2", H253*0.03, "Method 3", 4000, "Method 4", 3000, 0)</f>
        <v>0</v>
      </c>
    </row>
    <row r="254" spans="1:17">
      <c r="A254" s="24">
        <v>53196247</v>
      </c>
      <c r="B254" s="17">
        <v>42278</v>
      </c>
      <c r="C254" s="17">
        <v>42287</v>
      </c>
      <c r="D254" s="18" t="s">
        <v>158</v>
      </c>
      <c r="E254" s="18" t="s">
        <v>11</v>
      </c>
      <c r="F254" s="18">
        <v>2</v>
      </c>
      <c r="G254" s="19">
        <v>2558000</v>
      </c>
      <c r="H254" s="19">
        <v>2557800</v>
      </c>
      <c r="I254" s="18" t="s">
        <v>22</v>
      </c>
      <c r="J254" s="29" t="str">
        <f t="shared" si="18"/>
        <v>Thu</v>
      </c>
      <c r="K254" s="29" t="b">
        <f t="shared" si="19"/>
        <v>0</v>
      </c>
      <c r="L254" s="29" t="b">
        <f t="shared" si="20"/>
        <v>0</v>
      </c>
      <c r="M254" s="29" t="b">
        <f t="shared" si="23"/>
        <v>1</v>
      </c>
      <c r="N254" s="29" cm="1">
        <f t="array" ref="N254">_xlfn.IFS(
  E254="Airlines 1", IF(K254, F254*0.04, 0),
  E254="Airlines 2", P254,
  E254="Airlines 3", IF(L254, 20000*F254, 0),
  E254="Airlines 4", IF(M254, 15000*F254, 0),
  E254="Airlines 5",
    IF(F254&lt;50000000, F254*0.01,
      IF(F254&lt;100000000, F254*0.02,
        IF(F254&lt;200000000, F254*0.03, F254*0.035))),
  TRUE, 0
)</f>
        <v>0</v>
      </c>
      <c r="O254" s="29">
        <f t="shared" si="21"/>
        <v>16</v>
      </c>
      <c r="P254" s="29">
        <f t="shared" si="22"/>
        <v>0</v>
      </c>
      <c r="Q254" s="30" cm="1">
        <f t="array" ref="Q254">_xlfn.SWITCH(I254, "Method 1", 0, "Method 2", H254*0.03, "Method 3", 4000, "Method 4", 3000, 0)</f>
        <v>0</v>
      </c>
    </row>
    <row r="255" spans="1:17">
      <c r="A255" s="24">
        <v>53196112</v>
      </c>
      <c r="B255" s="17">
        <v>42278</v>
      </c>
      <c r="C255" s="17">
        <v>42281</v>
      </c>
      <c r="D255" s="18" t="s">
        <v>137</v>
      </c>
      <c r="E255" s="18" t="s">
        <v>11</v>
      </c>
      <c r="F255" s="18">
        <v>2</v>
      </c>
      <c r="G255" s="19">
        <v>1289800</v>
      </c>
      <c r="H255" s="19">
        <v>1281400</v>
      </c>
      <c r="I255" s="18" t="s">
        <v>24</v>
      </c>
      <c r="J255" s="29" t="str">
        <f t="shared" si="18"/>
        <v>Thu</v>
      </c>
      <c r="K255" s="29" t="b">
        <f t="shared" si="19"/>
        <v>0</v>
      </c>
      <c r="L255" s="29" t="b">
        <f t="shared" si="20"/>
        <v>0</v>
      </c>
      <c r="M255" s="29" t="b">
        <f t="shared" si="23"/>
        <v>1</v>
      </c>
      <c r="N255" s="29" cm="1">
        <f t="array" ref="N255">_xlfn.IFS(
  E255="Airlines 1", IF(K255, F255*0.04, 0),
  E255="Airlines 2", P255,
  E255="Airlines 3", IF(L255, 20000*F255, 0),
  E255="Airlines 4", IF(M255, 15000*F255, 0),
  E255="Airlines 5",
    IF(F255&lt;50000000, F255*0.01,
      IF(F255&lt;100000000, F255*0.02,
        IF(F255&lt;200000000, F255*0.03, F255*0.035))),
  TRUE, 0
)</f>
        <v>0</v>
      </c>
      <c r="O255" s="29">
        <f t="shared" si="21"/>
        <v>16</v>
      </c>
      <c r="P255" s="29">
        <f t="shared" si="22"/>
        <v>0</v>
      </c>
      <c r="Q255" s="30" cm="1">
        <f t="array" ref="Q255">_xlfn.SWITCH(I255, "Method 1", 0, "Method 2", H255*0.03, "Method 3", 4000, "Method 4", 3000, 0)</f>
        <v>38442</v>
      </c>
    </row>
    <row r="256" spans="1:17">
      <c r="A256" s="24">
        <v>53196205</v>
      </c>
      <c r="B256" s="17">
        <v>42278</v>
      </c>
      <c r="C256" s="17">
        <v>42278</v>
      </c>
      <c r="D256" s="18" t="s">
        <v>48</v>
      </c>
      <c r="E256" s="18" t="s">
        <v>11</v>
      </c>
      <c r="F256" s="18">
        <v>2</v>
      </c>
      <c r="G256" s="19">
        <v>1169240</v>
      </c>
      <c r="H256" s="19">
        <v>1162400</v>
      </c>
      <c r="I256" s="18" t="s">
        <v>26</v>
      </c>
      <c r="J256" s="29" t="str">
        <f t="shared" si="18"/>
        <v>Thu</v>
      </c>
      <c r="K256" s="29" t="b">
        <f t="shared" si="19"/>
        <v>0</v>
      </c>
      <c r="L256" s="29" t="b">
        <f t="shared" si="20"/>
        <v>0</v>
      </c>
      <c r="M256" s="29" t="b">
        <f t="shared" si="23"/>
        <v>1</v>
      </c>
      <c r="N256" s="29" cm="1">
        <f t="array" ref="N256">_xlfn.IFS(
  E256="Airlines 1", IF(K256, F256*0.04, 0),
  E256="Airlines 2", P256,
  E256="Airlines 3", IF(L256, 20000*F256, 0),
  E256="Airlines 4", IF(M256, 15000*F256, 0),
  E256="Airlines 5",
    IF(F256&lt;50000000, F256*0.01,
      IF(F256&lt;100000000, F256*0.02,
        IF(F256&lt;200000000, F256*0.03, F256*0.035))),
  TRUE, 0
)</f>
        <v>0</v>
      </c>
      <c r="O256" s="29">
        <f t="shared" si="21"/>
        <v>16</v>
      </c>
      <c r="P256" s="29">
        <f t="shared" si="22"/>
        <v>0</v>
      </c>
      <c r="Q256" s="30" cm="1">
        <f t="array" ref="Q256">_xlfn.SWITCH(I256, "Method 1", 0, "Method 2", H256*0.03, "Method 3", 4000, "Method 4", 3000, 0)</f>
        <v>4000</v>
      </c>
    </row>
    <row r="257" spans="1:17">
      <c r="A257" s="24">
        <v>53195643</v>
      </c>
      <c r="B257" s="17">
        <v>42278</v>
      </c>
      <c r="C257" s="17">
        <v>42296</v>
      </c>
      <c r="D257" s="18" t="s">
        <v>43</v>
      </c>
      <c r="E257" s="18" t="s">
        <v>11</v>
      </c>
      <c r="F257" s="18">
        <v>1</v>
      </c>
      <c r="G257" s="19">
        <v>538337</v>
      </c>
      <c r="H257" s="19">
        <v>535100</v>
      </c>
      <c r="I257" s="18" t="s">
        <v>24</v>
      </c>
      <c r="J257" s="29" t="str">
        <f t="shared" si="18"/>
        <v>Thu</v>
      </c>
      <c r="K257" s="29" t="b">
        <f t="shared" si="19"/>
        <v>0</v>
      </c>
      <c r="L257" s="29" t="b">
        <f t="shared" si="20"/>
        <v>1</v>
      </c>
      <c r="M257" s="29" t="b">
        <f t="shared" si="23"/>
        <v>1</v>
      </c>
      <c r="N257" s="29" cm="1">
        <f t="array" ref="N257">_xlfn.IFS(
  E257="Airlines 1", IF(K257, F257*0.04, 0),
  E257="Airlines 2", P257,
  E257="Airlines 3", IF(L257, 20000*F257, 0),
  E257="Airlines 4", IF(M257, 15000*F257, 0),
  E257="Airlines 5",
    IF(F257&lt;50000000, F257*0.01,
      IF(F257&lt;100000000, F257*0.02,
        IF(F257&lt;200000000, F257*0.03, F257*0.035))),
  TRUE, 0
)</f>
        <v>20000</v>
      </c>
      <c r="O257" s="29">
        <f t="shared" si="21"/>
        <v>16</v>
      </c>
      <c r="P257" s="29">
        <f t="shared" si="22"/>
        <v>0</v>
      </c>
      <c r="Q257" s="30" cm="1">
        <f t="array" ref="Q257">_xlfn.SWITCH(I257, "Method 1", 0, "Method 2", H257*0.03, "Method 3", 4000, "Method 4", 3000, 0)</f>
        <v>16053</v>
      </c>
    </row>
    <row r="258" spans="1:17">
      <c r="A258" s="24">
        <v>53195313</v>
      </c>
      <c r="B258" s="17">
        <v>42278</v>
      </c>
      <c r="C258" s="17">
        <v>42335</v>
      </c>
      <c r="D258" s="18" t="s">
        <v>165</v>
      </c>
      <c r="E258" s="18" t="s">
        <v>11</v>
      </c>
      <c r="F258" s="18">
        <v>2</v>
      </c>
      <c r="G258" s="19">
        <v>390220</v>
      </c>
      <c r="H258" s="19">
        <v>394400</v>
      </c>
      <c r="I258" s="18" t="s">
        <v>24</v>
      </c>
      <c r="J258" s="29" t="str">
        <f t="shared" si="18"/>
        <v>Thu</v>
      </c>
      <c r="K258" s="29" t="b">
        <f t="shared" si="19"/>
        <v>0</v>
      </c>
      <c r="L258" s="29" t="b">
        <f t="shared" si="20"/>
        <v>0</v>
      </c>
      <c r="M258" s="29" t="b">
        <f t="shared" si="23"/>
        <v>1</v>
      </c>
      <c r="N258" s="29" cm="1">
        <f t="array" ref="N258">_xlfn.IFS(
  E258="Airlines 1", IF(K258, F258*0.04, 0),
  E258="Airlines 2", P258,
  E258="Airlines 3", IF(L258, 20000*F258, 0),
  E258="Airlines 4", IF(M258, 15000*F258, 0),
  E258="Airlines 5",
    IF(F258&lt;50000000, F258*0.01,
      IF(F258&lt;100000000, F258*0.02,
        IF(F258&lt;200000000, F258*0.03, F258*0.035))),
  TRUE, 0
)</f>
        <v>0</v>
      </c>
      <c r="O258" s="29">
        <f t="shared" si="21"/>
        <v>16</v>
      </c>
      <c r="P258" s="29">
        <f t="shared" si="22"/>
        <v>0</v>
      </c>
      <c r="Q258" s="30" cm="1">
        <f t="array" ref="Q258">_xlfn.SWITCH(I258, "Method 1", 0, "Method 2", H258*0.03, "Method 3", 4000, "Method 4", 3000, 0)</f>
        <v>11832</v>
      </c>
    </row>
    <row r="259" spans="1:17">
      <c r="A259" s="24">
        <v>53195128</v>
      </c>
      <c r="B259" s="17">
        <v>42278</v>
      </c>
      <c r="C259" s="17">
        <v>42278</v>
      </c>
      <c r="D259" s="18" t="s">
        <v>97</v>
      </c>
      <c r="E259" s="18" t="s">
        <v>11</v>
      </c>
      <c r="F259" s="18">
        <v>1</v>
      </c>
      <c r="G259" s="19">
        <v>654900</v>
      </c>
      <c r="H259" s="19">
        <v>651500</v>
      </c>
      <c r="I259" s="18" t="s">
        <v>26</v>
      </c>
      <c r="J259" s="29" t="str">
        <f t="shared" si="18"/>
        <v>Thu</v>
      </c>
      <c r="K259" s="29" t="b">
        <f t="shared" si="19"/>
        <v>0</v>
      </c>
      <c r="L259" s="29" t="b">
        <f t="shared" si="20"/>
        <v>1</v>
      </c>
      <c r="M259" s="29" t="b">
        <f t="shared" si="23"/>
        <v>1</v>
      </c>
      <c r="N259" s="29" cm="1">
        <f t="array" ref="N259">_xlfn.IFS(
  E259="Airlines 1", IF(K259, F259*0.04, 0),
  E259="Airlines 2", P259,
  E259="Airlines 3", IF(L259, 20000*F259, 0),
  E259="Airlines 4", IF(M259, 15000*F259, 0),
  E259="Airlines 5",
    IF(F259&lt;50000000, F259*0.01,
      IF(F259&lt;100000000, F259*0.02,
        IF(F259&lt;200000000, F259*0.03, F259*0.035))),
  TRUE, 0
)</f>
        <v>20000</v>
      </c>
      <c r="O259" s="29">
        <f t="shared" si="21"/>
        <v>16</v>
      </c>
      <c r="P259" s="29">
        <f t="shared" si="22"/>
        <v>0</v>
      </c>
      <c r="Q259" s="30" cm="1">
        <f t="array" ref="Q259">_xlfn.SWITCH(I259, "Method 1", 0, "Method 2", H259*0.03, "Method 3", 4000, "Method 4", 3000, 0)</f>
        <v>4000</v>
      </c>
    </row>
    <row r="260" spans="1:17">
      <c r="A260" s="24">
        <v>53194820</v>
      </c>
      <c r="B260" s="17">
        <v>42278</v>
      </c>
      <c r="C260" s="17">
        <v>42278</v>
      </c>
      <c r="D260" s="18" t="s">
        <v>83</v>
      </c>
      <c r="E260" s="18" t="s">
        <v>11</v>
      </c>
      <c r="F260" s="18">
        <v>1</v>
      </c>
      <c r="G260" s="19">
        <v>551240</v>
      </c>
      <c r="H260" s="19">
        <v>548400</v>
      </c>
      <c r="I260" s="18" t="s">
        <v>24</v>
      </c>
      <c r="J260" s="29" t="str">
        <f t="shared" si="18"/>
        <v>Thu</v>
      </c>
      <c r="K260" s="29" t="b">
        <f t="shared" si="19"/>
        <v>0</v>
      </c>
      <c r="L260" s="29" t="b">
        <f t="shared" si="20"/>
        <v>0</v>
      </c>
      <c r="M260" s="29" t="b">
        <f t="shared" si="23"/>
        <v>1</v>
      </c>
      <c r="N260" s="29" cm="1">
        <f t="array" ref="N260">_xlfn.IFS(
  E260="Airlines 1", IF(K260, F260*0.04, 0),
  E260="Airlines 2", P260,
  E260="Airlines 3", IF(L260, 20000*F260, 0),
  E260="Airlines 4", IF(M260, 15000*F260, 0),
  E260="Airlines 5",
    IF(F260&lt;50000000, F260*0.01,
      IF(F260&lt;100000000, F260*0.02,
        IF(F260&lt;200000000, F260*0.03, F260*0.035))),
  TRUE, 0
)</f>
        <v>0</v>
      </c>
      <c r="O260" s="29">
        <f t="shared" si="21"/>
        <v>16</v>
      </c>
      <c r="P260" s="29">
        <f t="shared" si="22"/>
        <v>0</v>
      </c>
      <c r="Q260" s="30" cm="1">
        <f t="array" ref="Q260">_xlfn.SWITCH(I260, "Method 1", 0, "Method 2", H260*0.03, "Method 3", 4000, "Method 4", 3000, 0)</f>
        <v>16452</v>
      </c>
    </row>
    <row r="261" spans="1:17">
      <c r="A261" s="24">
        <v>53196240</v>
      </c>
      <c r="B261" s="17">
        <v>42278</v>
      </c>
      <c r="C261" s="17">
        <v>42279</v>
      </c>
      <c r="D261" s="18" t="s">
        <v>48</v>
      </c>
      <c r="E261" s="18" t="s">
        <v>11</v>
      </c>
      <c r="F261" s="18">
        <v>1</v>
      </c>
      <c r="G261" s="19">
        <v>584620</v>
      </c>
      <c r="H261" s="19">
        <v>581700</v>
      </c>
      <c r="I261" s="18" t="s">
        <v>22</v>
      </c>
      <c r="J261" s="29" t="str">
        <f t="shared" si="18"/>
        <v>Thu</v>
      </c>
      <c r="K261" s="29" t="b">
        <f t="shared" si="19"/>
        <v>0</v>
      </c>
      <c r="L261" s="29" t="b">
        <f t="shared" si="20"/>
        <v>0</v>
      </c>
      <c r="M261" s="29" t="b">
        <f t="shared" si="23"/>
        <v>1</v>
      </c>
      <c r="N261" s="29" cm="1">
        <f t="array" ref="N261">_xlfn.IFS(
  E261="Airlines 1", IF(K261, F261*0.04, 0),
  E261="Airlines 2", P261,
  E261="Airlines 3", IF(L261, 20000*F261, 0),
  E261="Airlines 4", IF(M261, 15000*F261, 0),
  E261="Airlines 5",
    IF(F261&lt;50000000, F261*0.01,
      IF(F261&lt;100000000, F261*0.02,
        IF(F261&lt;200000000, F261*0.03, F261*0.035))),
  TRUE, 0
)</f>
        <v>0</v>
      </c>
      <c r="O261" s="29">
        <f t="shared" si="21"/>
        <v>16</v>
      </c>
      <c r="P261" s="29">
        <f t="shared" si="22"/>
        <v>0</v>
      </c>
      <c r="Q261" s="30" cm="1">
        <f t="array" ref="Q261">_xlfn.SWITCH(I261, "Method 1", 0, "Method 2", H261*0.03, "Method 3", 4000, "Method 4", 3000, 0)</f>
        <v>0</v>
      </c>
    </row>
    <row r="262" spans="1:17">
      <c r="A262" s="24">
        <v>53196402</v>
      </c>
      <c r="B262" s="17">
        <v>42278</v>
      </c>
      <c r="C262" s="17">
        <v>42335</v>
      </c>
      <c r="D262" s="18" t="s">
        <v>166</v>
      </c>
      <c r="E262" s="18" t="s">
        <v>11</v>
      </c>
      <c r="F262" s="18">
        <v>1</v>
      </c>
      <c r="G262" s="19">
        <v>1475900</v>
      </c>
      <c r="H262" s="19">
        <v>1468400</v>
      </c>
      <c r="I262" s="18" t="s">
        <v>22</v>
      </c>
      <c r="J262" s="29" t="str">
        <f t="shared" si="18"/>
        <v>Thu</v>
      </c>
      <c r="K262" s="29" t="b">
        <f t="shared" si="19"/>
        <v>0</v>
      </c>
      <c r="L262" s="29" t="b">
        <f t="shared" si="20"/>
        <v>0</v>
      </c>
      <c r="M262" s="29" t="b">
        <f t="shared" si="23"/>
        <v>1</v>
      </c>
      <c r="N262" s="29" cm="1">
        <f t="array" ref="N262">_xlfn.IFS(
  E262="Airlines 1", IF(K262, F262*0.04, 0),
  E262="Airlines 2", P262,
  E262="Airlines 3", IF(L262, 20000*F262, 0),
  E262="Airlines 4", IF(M262, 15000*F262, 0),
  E262="Airlines 5",
    IF(F262&lt;50000000, F262*0.01,
      IF(F262&lt;100000000, F262*0.02,
        IF(F262&lt;200000000, F262*0.03, F262*0.035))),
  TRUE, 0
)</f>
        <v>0</v>
      </c>
      <c r="O262" s="29">
        <f t="shared" si="21"/>
        <v>16</v>
      </c>
      <c r="P262" s="29">
        <f t="shared" si="22"/>
        <v>0</v>
      </c>
      <c r="Q262" s="30" cm="1">
        <f t="array" ref="Q262">_xlfn.SWITCH(I262, "Method 1", 0, "Method 2", H262*0.03, "Method 3", 4000, "Method 4", 3000, 0)</f>
        <v>0</v>
      </c>
    </row>
    <row r="263" spans="1:17">
      <c r="A263" s="24">
        <v>53196332</v>
      </c>
      <c r="B263" s="17">
        <v>42278</v>
      </c>
      <c r="C263" s="17">
        <v>42286</v>
      </c>
      <c r="D263" s="18" t="s">
        <v>167</v>
      </c>
      <c r="E263" s="18" t="s">
        <v>11</v>
      </c>
      <c r="F263" s="18">
        <v>1</v>
      </c>
      <c r="G263" s="19">
        <v>688902</v>
      </c>
      <c r="H263" s="19">
        <v>681940</v>
      </c>
      <c r="I263" s="18" t="s">
        <v>22</v>
      </c>
      <c r="J263" s="29" t="str">
        <f t="shared" ref="J263:J326" si="24">TEXT(B263,"ddd")</f>
        <v>Thu</v>
      </c>
      <c r="K263" s="29" t="b">
        <f t="shared" ref="K263:K326" si="25">OR(J263="Sat",J263="Sun")</f>
        <v>0</v>
      </c>
      <c r="L263" s="29" t="b">
        <f t="shared" ref="L263:L326" si="26">OR(D263="CGK_SUB", D263="CGK_PKU", D263="CGK_JOG",
    D263="SUB_CGK", D263="PKU_CGK", D263="JOG_CGK")</f>
        <v>0</v>
      </c>
      <c r="M263" s="29" t="b">
        <f t="shared" si="23"/>
        <v>1</v>
      </c>
      <c r="N263" s="29" cm="1">
        <f t="array" ref="N263">_xlfn.IFS(
  E263="Airlines 1", IF(K263, F263*0.04, 0),
  E263="Airlines 2", P263,
  E263="Airlines 3", IF(L263, 20000*F263, 0),
  E263="Airlines 4", IF(M263, 15000*F263, 0),
  E263="Airlines 5",
    IF(F263&lt;50000000, F263*0.01,
      IF(F263&lt;100000000, F263*0.02,
        IF(F263&lt;200000000, F263*0.03, F263*0.035))),
  TRUE, 0
)</f>
        <v>0</v>
      </c>
      <c r="O263" s="29">
        <f t="shared" ref="O263:O326" si="27">SUMIFS($F$6:$F$647, $E$6:$E$647, "Airlines 2", $B$6:$B$647, B263)</f>
        <v>16</v>
      </c>
      <c r="P263" s="29">
        <f t="shared" ref="P263:P326" si="28">IF(AND(E262="Airlines 2", O262&gt;20), F262*0.05, 0)</f>
        <v>0</v>
      </c>
      <c r="Q263" s="30" cm="1">
        <f t="array" ref="Q263">_xlfn.SWITCH(I263, "Method 1", 0, "Method 2", H263*0.03, "Method 3", 4000, "Method 4", 3000, 0)</f>
        <v>0</v>
      </c>
    </row>
    <row r="264" spans="1:17">
      <c r="A264" s="24">
        <v>53196290</v>
      </c>
      <c r="B264" s="17">
        <v>42278</v>
      </c>
      <c r="C264" s="17">
        <v>42279</v>
      </c>
      <c r="D264" s="18" t="s">
        <v>97</v>
      </c>
      <c r="E264" s="18" t="s">
        <v>11</v>
      </c>
      <c r="F264" s="18">
        <v>1</v>
      </c>
      <c r="G264" s="19">
        <v>368466</v>
      </c>
      <c r="H264" s="19">
        <v>366100</v>
      </c>
      <c r="I264" s="18" t="s">
        <v>22</v>
      </c>
      <c r="J264" s="29" t="str">
        <f t="shared" si="24"/>
        <v>Thu</v>
      </c>
      <c r="K264" s="29" t="b">
        <f t="shared" si="25"/>
        <v>0</v>
      </c>
      <c r="L264" s="29" t="b">
        <f t="shared" si="26"/>
        <v>1</v>
      </c>
      <c r="M264" s="29" t="b">
        <f t="shared" ref="M264:M327" si="29">AND(B264&gt;=DATE(2015,10,1),B264&lt;=DATE(2015,10,15))</f>
        <v>1</v>
      </c>
      <c r="N264" s="29" cm="1">
        <f t="array" ref="N264">_xlfn.IFS(
  E264="Airlines 1", IF(K264, F264*0.04, 0),
  E264="Airlines 2", P264,
  E264="Airlines 3", IF(L264, 20000*F264, 0),
  E264="Airlines 4", IF(M264, 15000*F264, 0),
  E264="Airlines 5",
    IF(F264&lt;50000000, F264*0.01,
      IF(F264&lt;100000000, F264*0.02,
        IF(F264&lt;200000000, F264*0.03, F264*0.035))),
  TRUE, 0
)</f>
        <v>20000</v>
      </c>
      <c r="O264" s="29">
        <f t="shared" si="27"/>
        <v>16</v>
      </c>
      <c r="P264" s="29">
        <f t="shared" si="28"/>
        <v>0</v>
      </c>
      <c r="Q264" s="30" cm="1">
        <f t="array" ref="Q264">_xlfn.SWITCH(I264, "Method 1", 0, "Method 2", H264*0.03, "Method 3", 4000, "Method 4", 3000, 0)</f>
        <v>0</v>
      </c>
    </row>
    <row r="265" spans="1:17">
      <c r="A265" s="24">
        <v>53194919</v>
      </c>
      <c r="B265" s="17">
        <v>42278</v>
      </c>
      <c r="C265" s="17">
        <v>42279</v>
      </c>
      <c r="D265" s="18" t="s">
        <v>48</v>
      </c>
      <c r="E265" s="18" t="s">
        <v>11</v>
      </c>
      <c r="F265" s="18">
        <v>1</v>
      </c>
      <c r="G265" s="19">
        <v>793900</v>
      </c>
      <c r="H265" s="19">
        <v>789800</v>
      </c>
      <c r="I265" s="18" t="s">
        <v>22</v>
      </c>
      <c r="J265" s="29" t="str">
        <f t="shared" si="24"/>
        <v>Thu</v>
      </c>
      <c r="K265" s="29" t="b">
        <f t="shared" si="25"/>
        <v>0</v>
      </c>
      <c r="L265" s="29" t="b">
        <f t="shared" si="26"/>
        <v>0</v>
      </c>
      <c r="M265" s="29" t="b">
        <f t="shared" si="29"/>
        <v>1</v>
      </c>
      <c r="N265" s="29" cm="1">
        <f t="array" ref="N265">_xlfn.IFS(
  E265="Airlines 1", IF(K265, F265*0.04, 0),
  E265="Airlines 2", P265,
  E265="Airlines 3", IF(L265, 20000*F265, 0),
  E265="Airlines 4", IF(M265, 15000*F265, 0),
  E265="Airlines 5",
    IF(F265&lt;50000000, F265*0.01,
      IF(F265&lt;100000000, F265*0.02,
        IF(F265&lt;200000000, F265*0.03, F265*0.035))),
  TRUE, 0
)</f>
        <v>0</v>
      </c>
      <c r="O265" s="29">
        <f t="shared" si="27"/>
        <v>16</v>
      </c>
      <c r="P265" s="29">
        <f t="shared" si="28"/>
        <v>0</v>
      </c>
      <c r="Q265" s="30" cm="1">
        <f t="array" ref="Q265">_xlfn.SWITCH(I265, "Method 1", 0, "Method 2", H265*0.03, "Method 3", 4000, "Method 4", 3000, 0)</f>
        <v>0</v>
      </c>
    </row>
    <row r="266" spans="1:17">
      <c r="A266" s="24">
        <v>53196338</v>
      </c>
      <c r="B266" s="17">
        <v>42278</v>
      </c>
      <c r="C266" s="17">
        <v>42283</v>
      </c>
      <c r="D266" s="18" t="s">
        <v>113</v>
      </c>
      <c r="E266" s="18" t="s">
        <v>11</v>
      </c>
      <c r="F266" s="18">
        <v>1</v>
      </c>
      <c r="G266" s="19">
        <v>722140</v>
      </c>
      <c r="H266" s="19">
        <v>729400</v>
      </c>
      <c r="I266" s="18" t="s">
        <v>24</v>
      </c>
      <c r="J266" s="29" t="str">
        <f t="shared" si="24"/>
        <v>Thu</v>
      </c>
      <c r="K266" s="29" t="b">
        <f t="shared" si="25"/>
        <v>0</v>
      </c>
      <c r="L266" s="29" t="b">
        <f t="shared" si="26"/>
        <v>0</v>
      </c>
      <c r="M266" s="29" t="b">
        <f t="shared" si="29"/>
        <v>1</v>
      </c>
      <c r="N266" s="29" cm="1">
        <f t="array" ref="N266">_xlfn.IFS(
  E266="Airlines 1", IF(K266, F266*0.04, 0),
  E266="Airlines 2", P266,
  E266="Airlines 3", IF(L266, 20000*F266, 0),
  E266="Airlines 4", IF(M266, 15000*F266, 0),
  E266="Airlines 5",
    IF(F266&lt;50000000, F266*0.01,
      IF(F266&lt;100000000, F266*0.02,
        IF(F266&lt;200000000, F266*0.03, F266*0.035))),
  TRUE, 0
)</f>
        <v>0</v>
      </c>
      <c r="O266" s="29">
        <f t="shared" si="27"/>
        <v>16</v>
      </c>
      <c r="P266" s="29">
        <f t="shared" si="28"/>
        <v>0</v>
      </c>
      <c r="Q266" s="30" cm="1">
        <f t="array" ref="Q266">_xlfn.SWITCH(I266, "Method 1", 0, "Method 2", H266*0.03, "Method 3", 4000, "Method 4", 3000, 0)</f>
        <v>21882</v>
      </c>
    </row>
    <row r="267" spans="1:17">
      <c r="A267" s="24">
        <v>53195549</v>
      </c>
      <c r="B267" s="17">
        <v>42278</v>
      </c>
      <c r="C267" s="17">
        <v>42279</v>
      </c>
      <c r="D267" s="18" t="s">
        <v>74</v>
      </c>
      <c r="E267" s="18" t="s">
        <v>11</v>
      </c>
      <c r="F267" s="18">
        <v>1</v>
      </c>
      <c r="G267" s="19">
        <v>619000</v>
      </c>
      <c r="H267" s="19">
        <v>618900</v>
      </c>
      <c r="I267" s="18" t="s">
        <v>26</v>
      </c>
      <c r="J267" s="29" t="str">
        <f t="shared" si="24"/>
        <v>Thu</v>
      </c>
      <c r="K267" s="29" t="b">
        <f t="shared" si="25"/>
        <v>0</v>
      </c>
      <c r="L267" s="29" t="b">
        <f t="shared" si="26"/>
        <v>0</v>
      </c>
      <c r="M267" s="29" t="b">
        <f t="shared" si="29"/>
        <v>1</v>
      </c>
      <c r="N267" s="29" cm="1">
        <f t="array" ref="N267">_xlfn.IFS(
  E267="Airlines 1", IF(K267, F267*0.04, 0),
  E267="Airlines 2", P267,
  E267="Airlines 3", IF(L267, 20000*F267, 0),
  E267="Airlines 4", IF(M267, 15000*F267, 0),
  E267="Airlines 5",
    IF(F267&lt;50000000, F267*0.01,
      IF(F267&lt;100000000, F267*0.02,
        IF(F267&lt;200000000, F267*0.03, F267*0.035))),
  TRUE, 0
)</f>
        <v>0</v>
      </c>
      <c r="O267" s="29">
        <f t="shared" si="27"/>
        <v>16</v>
      </c>
      <c r="P267" s="29">
        <f t="shared" si="28"/>
        <v>0</v>
      </c>
      <c r="Q267" s="30" cm="1">
        <f t="array" ref="Q267">_xlfn.SWITCH(I267, "Method 1", 0, "Method 2", H267*0.03, "Method 3", 4000, "Method 4", 3000, 0)</f>
        <v>4000</v>
      </c>
    </row>
    <row r="268" spans="1:17">
      <c r="A268" s="24">
        <v>53196099</v>
      </c>
      <c r="B268" s="17">
        <v>42279</v>
      </c>
      <c r="C268" s="17">
        <v>42295</v>
      </c>
      <c r="D268" s="18" t="s">
        <v>74</v>
      </c>
      <c r="E268" s="18" t="s">
        <v>11</v>
      </c>
      <c r="F268" s="18">
        <v>1</v>
      </c>
      <c r="G268" s="19">
        <v>619000</v>
      </c>
      <c r="H268" s="19">
        <v>618900</v>
      </c>
      <c r="I268" s="18" t="s">
        <v>24</v>
      </c>
      <c r="J268" s="29" t="str">
        <f t="shared" si="24"/>
        <v>Fri</v>
      </c>
      <c r="K268" s="29" t="b">
        <f t="shared" si="25"/>
        <v>0</v>
      </c>
      <c r="L268" s="29" t="b">
        <f t="shared" si="26"/>
        <v>0</v>
      </c>
      <c r="M268" s="29" t="b">
        <f t="shared" si="29"/>
        <v>1</v>
      </c>
      <c r="N268" s="29" cm="1">
        <f t="array" ref="N268">_xlfn.IFS(
  E268="Airlines 1", IF(K268, F268*0.04, 0),
  E268="Airlines 2", P268,
  E268="Airlines 3", IF(L268, 20000*F268, 0),
  E268="Airlines 4", IF(M268, 15000*F268, 0),
  E268="Airlines 5",
    IF(F268&lt;50000000, F268*0.01,
      IF(F268&lt;100000000, F268*0.02,
        IF(F268&lt;200000000, F268*0.03, F268*0.035))),
  TRUE, 0
)</f>
        <v>0</v>
      </c>
      <c r="O268" s="29">
        <f t="shared" si="27"/>
        <v>0</v>
      </c>
      <c r="P268" s="29">
        <f t="shared" si="28"/>
        <v>0</v>
      </c>
      <c r="Q268" s="30" cm="1">
        <f t="array" ref="Q268">_xlfn.SWITCH(I268, "Method 1", 0, "Method 2", H268*0.03, "Method 3", 4000, "Method 4", 3000, 0)</f>
        <v>18567</v>
      </c>
    </row>
    <row r="269" spans="1:17">
      <c r="A269" s="24">
        <v>53196438</v>
      </c>
      <c r="B269" s="17">
        <v>42279</v>
      </c>
      <c r="C269" s="17">
        <v>42328</v>
      </c>
      <c r="D269" s="18" t="s">
        <v>62</v>
      </c>
      <c r="E269" s="18" t="s">
        <v>11</v>
      </c>
      <c r="F269" s="18">
        <v>1</v>
      </c>
      <c r="G269" s="19">
        <v>503337</v>
      </c>
      <c r="H269" s="19">
        <v>500300</v>
      </c>
      <c r="I269" s="18" t="s">
        <v>26</v>
      </c>
      <c r="J269" s="29" t="str">
        <f t="shared" si="24"/>
        <v>Fri</v>
      </c>
      <c r="K269" s="29" t="b">
        <f t="shared" si="25"/>
        <v>0</v>
      </c>
      <c r="L269" s="29" t="b">
        <f t="shared" si="26"/>
        <v>1</v>
      </c>
      <c r="M269" s="29" t="b">
        <f t="shared" si="29"/>
        <v>1</v>
      </c>
      <c r="N269" s="29" cm="1">
        <f t="array" ref="N269">_xlfn.IFS(
  E269="Airlines 1", IF(K269, F269*0.04, 0),
  E269="Airlines 2", P269,
  E269="Airlines 3", IF(L269, 20000*F269, 0),
  E269="Airlines 4", IF(M269, 15000*F269, 0),
  E269="Airlines 5",
    IF(F269&lt;50000000, F269*0.01,
      IF(F269&lt;100000000, F269*0.02,
        IF(F269&lt;200000000, F269*0.03, F269*0.035))),
  TRUE, 0
)</f>
        <v>20000</v>
      </c>
      <c r="O269" s="29">
        <f t="shared" si="27"/>
        <v>0</v>
      </c>
      <c r="P269" s="29">
        <f t="shared" si="28"/>
        <v>0</v>
      </c>
      <c r="Q269" s="30" cm="1">
        <f t="array" ref="Q269">_xlfn.SWITCH(I269, "Method 1", 0, "Method 2", H269*0.03, "Method 3", 4000, "Method 4", 3000, 0)</f>
        <v>4000</v>
      </c>
    </row>
    <row r="270" spans="1:17">
      <c r="A270" s="24">
        <v>53197768</v>
      </c>
      <c r="B270" s="17">
        <v>42279</v>
      </c>
      <c r="C270" s="17">
        <v>42282</v>
      </c>
      <c r="D270" s="18" t="s">
        <v>74</v>
      </c>
      <c r="E270" s="18" t="s">
        <v>11</v>
      </c>
      <c r="F270" s="18">
        <v>1</v>
      </c>
      <c r="G270" s="19">
        <v>439000</v>
      </c>
      <c r="H270" s="19">
        <v>438900</v>
      </c>
      <c r="I270" s="18" t="s">
        <v>24</v>
      </c>
      <c r="J270" s="29" t="str">
        <f t="shared" si="24"/>
        <v>Fri</v>
      </c>
      <c r="K270" s="29" t="b">
        <f t="shared" si="25"/>
        <v>0</v>
      </c>
      <c r="L270" s="29" t="b">
        <f t="shared" si="26"/>
        <v>0</v>
      </c>
      <c r="M270" s="29" t="b">
        <f t="shared" si="29"/>
        <v>1</v>
      </c>
      <c r="N270" s="29" cm="1">
        <f t="array" ref="N270">_xlfn.IFS(
  E270="Airlines 1", IF(K270, F270*0.04, 0),
  E270="Airlines 2", P270,
  E270="Airlines 3", IF(L270, 20000*F270, 0),
  E270="Airlines 4", IF(M270, 15000*F270, 0),
  E270="Airlines 5",
    IF(F270&lt;50000000, F270*0.01,
      IF(F270&lt;100000000, F270*0.02,
        IF(F270&lt;200000000, F270*0.03, F270*0.035))),
  TRUE, 0
)</f>
        <v>0</v>
      </c>
      <c r="O270" s="29">
        <f t="shared" si="27"/>
        <v>0</v>
      </c>
      <c r="P270" s="29">
        <f t="shared" si="28"/>
        <v>0</v>
      </c>
      <c r="Q270" s="30" cm="1">
        <f t="array" ref="Q270">_xlfn.SWITCH(I270, "Method 1", 0, "Method 2", H270*0.03, "Method 3", 4000, "Method 4", 3000, 0)</f>
        <v>13167</v>
      </c>
    </row>
    <row r="271" spans="1:17">
      <c r="A271" s="24">
        <v>53197760</v>
      </c>
      <c r="B271" s="17">
        <v>42279</v>
      </c>
      <c r="C271" s="17">
        <v>42355</v>
      </c>
      <c r="D271" s="18" t="s">
        <v>62</v>
      </c>
      <c r="E271" s="18" t="s">
        <v>11</v>
      </c>
      <c r="F271" s="18">
        <v>1</v>
      </c>
      <c r="G271" s="19">
        <v>503337</v>
      </c>
      <c r="H271" s="19">
        <v>500300</v>
      </c>
      <c r="I271" s="18" t="s">
        <v>22</v>
      </c>
      <c r="J271" s="29" t="str">
        <f t="shared" si="24"/>
        <v>Fri</v>
      </c>
      <c r="K271" s="29" t="b">
        <f t="shared" si="25"/>
        <v>0</v>
      </c>
      <c r="L271" s="29" t="b">
        <f t="shared" si="26"/>
        <v>1</v>
      </c>
      <c r="M271" s="29" t="b">
        <f t="shared" si="29"/>
        <v>1</v>
      </c>
      <c r="N271" s="29" cm="1">
        <f t="array" ref="N271">_xlfn.IFS(
  E271="Airlines 1", IF(K271, F271*0.04, 0),
  E271="Airlines 2", P271,
  E271="Airlines 3", IF(L271, 20000*F271, 0),
  E271="Airlines 4", IF(M271, 15000*F271, 0),
  E271="Airlines 5",
    IF(F271&lt;50000000, F271*0.01,
      IF(F271&lt;100000000, F271*0.02,
        IF(F271&lt;200000000, F271*0.03, F271*0.035))),
  TRUE, 0
)</f>
        <v>20000</v>
      </c>
      <c r="O271" s="29">
        <f t="shared" si="27"/>
        <v>0</v>
      </c>
      <c r="P271" s="29">
        <f t="shared" si="28"/>
        <v>0</v>
      </c>
      <c r="Q271" s="30" cm="1">
        <f t="array" ref="Q271">_xlfn.SWITCH(I271, "Method 1", 0, "Method 2", H271*0.03, "Method 3", 4000, "Method 4", 3000, 0)</f>
        <v>0</v>
      </c>
    </row>
    <row r="272" spans="1:17">
      <c r="A272" s="24">
        <v>53197754</v>
      </c>
      <c r="B272" s="17">
        <v>42279</v>
      </c>
      <c r="C272" s="17">
        <v>42282</v>
      </c>
      <c r="D272" s="18" t="s">
        <v>62</v>
      </c>
      <c r="E272" s="18" t="s">
        <v>11</v>
      </c>
      <c r="F272" s="18">
        <v>1</v>
      </c>
      <c r="G272" s="19">
        <v>503337</v>
      </c>
      <c r="H272" s="19">
        <v>500800</v>
      </c>
      <c r="I272" s="18" t="s">
        <v>22</v>
      </c>
      <c r="J272" s="29" t="str">
        <f t="shared" si="24"/>
        <v>Fri</v>
      </c>
      <c r="K272" s="29" t="b">
        <f t="shared" si="25"/>
        <v>0</v>
      </c>
      <c r="L272" s="29" t="b">
        <f t="shared" si="26"/>
        <v>1</v>
      </c>
      <c r="M272" s="29" t="b">
        <f t="shared" si="29"/>
        <v>1</v>
      </c>
      <c r="N272" s="29" cm="1">
        <f t="array" ref="N272">_xlfn.IFS(
  E272="Airlines 1", IF(K272, F272*0.04, 0),
  E272="Airlines 2", P272,
  E272="Airlines 3", IF(L272, 20000*F272, 0),
  E272="Airlines 4", IF(M272, 15000*F272, 0),
  E272="Airlines 5",
    IF(F272&lt;50000000, F272*0.01,
      IF(F272&lt;100000000, F272*0.02,
        IF(F272&lt;200000000, F272*0.03, F272*0.035))),
  TRUE, 0
)</f>
        <v>20000</v>
      </c>
      <c r="O272" s="29">
        <f t="shared" si="27"/>
        <v>0</v>
      </c>
      <c r="P272" s="29">
        <f t="shared" si="28"/>
        <v>0</v>
      </c>
      <c r="Q272" s="30" cm="1">
        <f t="array" ref="Q272">_xlfn.SWITCH(I272, "Method 1", 0, "Method 2", H272*0.03, "Method 3", 4000, "Method 4", 3000, 0)</f>
        <v>0</v>
      </c>
    </row>
    <row r="273" spans="1:17">
      <c r="A273" s="24">
        <v>53197162</v>
      </c>
      <c r="B273" s="17">
        <v>42279</v>
      </c>
      <c r="C273" s="17">
        <v>42281</v>
      </c>
      <c r="D273" s="18" t="s">
        <v>108</v>
      </c>
      <c r="E273" s="18" t="s">
        <v>11</v>
      </c>
      <c r="F273" s="18">
        <v>1</v>
      </c>
      <c r="G273" s="19">
        <v>512900</v>
      </c>
      <c r="H273" s="19">
        <v>510200</v>
      </c>
      <c r="I273" s="18" t="s">
        <v>22</v>
      </c>
      <c r="J273" s="29" t="str">
        <f t="shared" si="24"/>
        <v>Fri</v>
      </c>
      <c r="K273" s="29" t="b">
        <f t="shared" si="25"/>
        <v>0</v>
      </c>
      <c r="L273" s="29" t="b">
        <f t="shared" si="26"/>
        <v>0</v>
      </c>
      <c r="M273" s="29" t="b">
        <f t="shared" si="29"/>
        <v>1</v>
      </c>
      <c r="N273" s="29" cm="1">
        <f t="array" ref="N273">_xlfn.IFS(
  E273="Airlines 1", IF(K273, F273*0.04, 0),
  E273="Airlines 2", P273,
  E273="Airlines 3", IF(L273, 20000*F273, 0),
  E273="Airlines 4", IF(M273, 15000*F273, 0),
  E273="Airlines 5",
    IF(F273&lt;50000000, F273*0.01,
      IF(F273&lt;100000000, F273*0.02,
        IF(F273&lt;200000000, F273*0.03, F273*0.035))),
  TRUE, 0
)</f>
        <v>0</v>
      </c>
      <c r="O273" s="29">
        <f t="shared" si="27"/>
        <v>0</v>
      </c>
      <c r="P273" s="29">
        <f t="shared" si="28"/>
        <v>0</v>
      </c>
      <c r="Q273" s="30" cm="1">
        <f t="array" ref="Q273">_xlfn.SWITCH(I273, "Method 1", 0, "Method 2", H273*0.03, "Method 3", 4000, "Method 4", 3000, 0)</f>
        <v>0</v>
      </c>
    </row>
    <row r="274" spans="1:17">
      <c r="A274" s="24">
        <v>53197722</v>
      </c>
      <c r="B274" s="17">
        <v>42279</v>
      </c>
      <c r="C274" s="17">
        <v>42353</v>
      </c>
      <c r="D274" s="18" t="s">
        <v>87</v>
      </c>
      <c r="E274" s="18" t="s">
        <v>11</v>
      </c>
      <c r="F274" s="18">
        <v>1</v>
      </c>
      <c r="G274" s="19">
        <v>479993</v>
      </c>
      <c r="H274" s="19">
        <v>477500</v>
      </c>
      <c r="I274" s="18" t="s">
        <v>22</v>
      </c>
      <c r="J274" s="29" t="str">
        <f t="shared" si="24"/>
        <v>Fri</v>
      </c>
      <c r="K274" s="29" t="b">
        <f t="shared" si="25"/>
        <v>0</v>
      </c>
      <c r="L274" s="29" t="b">
        <f t="shared" si="26"/>
        <v>0</v>
      </c>
      <c r="M274" s="29" t="b">
        <f t="shared" si="29"/>
        <v>1</v>
      </c>
      <c r="N274" s="29" cm="1">
        <f t="array" ref="N274">_xlfn.IFS(
  E274="Airlines 1", IF(K274, F274*0.04, 0),
  E274="Airlines 2", P274,
  E274="Airlines 3", IF(L274, 20000*F274, 0),
  E274="Airlines 4", IF(M274, 15000*F274, 0),
  E274="Airlines 5",
    IF(F274&lt;50000000, F274*0.01,
      IF(F274&lt;100000000, F274*0.02,
        IF(F274&lt;200000000, F274*0.03, F274*0.035))),
  TRUE, 0
)</f>
        <v>0</v>
      </c>
      <c r="O274" s="29">
        <f t="shared" si="27"/>
        <v>0</v>
      </c>
      <c r="P274" s="29">
        <f t="shared" si="28"/>
        <v>0</v>
      </c>
      <c r="Q274" s="30" cm="1">
        <f t="array" ref="Q274">_xlfn.SWITCH(I274, "Method 1", 0, "Method 2", H274*0.03, "Method 3", 4000, "Method 4", 3000, 0)</f>
        <v>0</v>
      </c>
    </row>
    <row r="275" spans="1:17">
      <c r="A275" s="24">
        <v>53197769</v>
      </c>
      <c r="B275" s="17">
        <v>42279</v>
      </c>
      <c r="C275" s="17">
        <v>42280</v>
      </c>
      <c r="D275" s="18" t="s">
        <v>168</v>
      </c>
      <c r="E275" s="18" t="s">
        <v>11</v>
      </c>
      <c r="F275" s="18">
        <v>1</v>
      </c>
      <c r="G275" s="19">
        <v>1513528</v>
      </c>
      <c r="H275" s="19">
        <v>1525345</v>
      </c>
      <c r="I275" s="18" t="s">
        <v>22</v>
      </c>
      <c r="J275" s="29" t="str">
        <f t="shared" si="24"/>
        <v>Fri</v>
      </c>
      <c r="K275" s="29" t="b">
        <f t="shared" si="25"/>
        <v>0</v>
      </c>
      <c r="L275" s="29" t="b">
        <f t="shared" si="26"/>
        <v>0</v>
      </c>
      <c r="M275" s="29" t="b">
        <f t="shared" si="29"/>
        <v>1</v>
      </c>
      <c r="N275" s="29" cm="1">
        <f t="array" ref="N275">_xlfn.IFS(
  E275="Airlines 1", IF(K275, F275*0.04, 0),
  E275="Airlines 2", P275,
  E275="Airlines 3", IF(L275, 20000*F275, 0),
  E275="Airlines 4", IF(M275, 15000*F275, 0),
  E275="Airlines 5",
    IF(F275&lt;50000000, F275*0.01,
      IF(F275&lt;100000000, F275*0.02,
        IF(F275&lt;200000000, F275*0.03, F275*0.035))),
  TRUE, 0
)</f>
        <v>0</v>
      </c>
      <c r="O275" s="29">
        <f t="shared" si="27"/>
        <v>0</v>
      </c>
      <c r="P275" s="29">
        <f t="shared" si="28"/>
        <v>0</v>
      </c>
      <c r="Q275" s="30" cm="1">
        <f t="array" ref="Q275">_xlfn.SWITCH(I275, "Method 1", 0, "Method 2", H275*0.03, "Method 3", 4000, "Method 4", 3000, 0)</f>
        <v>0</v>
      </c>
    </row>
    <row r="276" spans="1:17">
      <c r="A276" s="24">
        <v>53197785</v>
      </c>
      <c r="B276" s="17">
        <v>42279</v>
      </c>
      <c r="C276" s="17">
        <v>42308</v>
      </c>
      <c r="D276" s="18" t="s">
        <v>74</v>
      </c>
      <c r="E276" s="18" t="s">
        <v>11</v>
      </c>
      <c r="F276" s="18">
        <v>2</v>
      </c>
      <c r="G276" s="19">
        <v>878000</v>
      </c>
      <c r="H276" s="19">
        <v>877800</v>
      </c>
      <c r="I276" s="18" t="s">
        <v>24</v>
      </c>
      <c r="J276" s="29" t="str">
        <f t="shared" si="24"/>
        <v>Fri</v>
      </c>
      <c r="K276" s="29" t="b">
        <f t="shared" si="25"/>
        <v>0</v>
      </c>
      <c r="L276" s="29" t="b">
        <f t="shared" si="26"/>
        <v>0</v>
      </c>
      <c r="M276" s="29" t="b">
        <f t="shared" si="29"/>
        <v>1</v>
      </c>
      <c r="N276" s="29" cm="1">
        <f t="array" ref="N276">_xlfn.IFS(
  E276="Airlines 1", IF(K276, F276*0.04, 0),
  E276="Airlines 2", P276,
  E276="Airlines 3", IF(L276, 20000*F276, 0),
  E276="Airlines 4", IF(M276, 15000*F276, 0),
  E276="Airlines 5",
    IF(F276&lt;50000000, F276*0.01,
      IF(F276&lt;100000000, F276*0.02,
        IF(F276&lt;200000000, F276*0.03, F276*0.035))),
  TRUE, 0
)</f>
        <v>0</v>
      </c>
      <c r="O276" s="29">
        <f t="shared" si="27"/>
        <v>0</v>
      </c>
      <c r="P276" s="29">
        <f t="shared" si="28"/>
        <v>0</v>
      </c>
      <c r="Q276" s="30" cm="1">
        <f t="array" ref="Q276">_xlfn.SWITCH(I276, "Method 1", 0, "Method 2", H276*0.03, "Method 3", 4000, "Method 4", 3000, 0)</f>
        <v>26334</v>
      </c>
    </row>
    <row r="277" spans="1:17">
      <c r="A277" s="24">
        <v>53196984</v>
      </c>
      <c r="B277" s="17">
        <v>42279</v>
      </c>
      <c r="C277" s="17">
        <v>42283</v>
      </c>
      <c r="D277" s="18" t="s">
        <v>169</v>
      </c>
      <c r="E277" s="18" t="s">
        <v>11</v>
      </c>
      <c r="F277" s="18">
        <v>3</v>
      </c>
      <c r="G277" s="19">
        <v>1061700</v>
      </c>
      <c r="H277" s="19">
        <v>1054500</v>
      </c>
      <c r="I277" s="18" t="s">
        <v>26</v>
      </c>
      <c r="J277" s="29" t="str">
        <f t="shared" si="24"/>
        <v>Fri</v>
      </c>
      <c r="K277" s="29" t="b">
        <f t="shared" si="25"/>
        <v>0</v>
      </c>
      <c r="L277" s="29" t="b">
        <f t="shared" si="26"/>
        <v>0</v>
      </c>
      <c r="M277" s="29" t="b">
        <f t="shared" si="29"/>
        <v>1</v>
      </c>
      <c r="N277" s="29" cm="1">
        <f t="array" ref="N277">_xlfn.IFS(
  E277="Airlines 1", IF(K277, F277*0.04, 0),
  E277="Airlines 2", P277,
  E277="Airlines 3", IF(L277, 20000*F277, 0),
  E277="Airlines 4", IF(M277, 15000*F277, 0),
  E277="Airlines 5",
    IF(F277&lt;50000000, F277*0.01,
      IF(F277&lt;100000000, F277*0.02,
        IF(F277&lt;200000000, F277*0.03, F277*0.035))),
  TRUE, 0
)</f>
        <v>0</v>
      </c>
      <c r="O277" s="29">
        <f t="shared" si="27"/>
        <v>0</v>
      </c>
      <c r="P277" s="29">
        <f t="shared" si="28"/>
        <v>0</v>
      </c>
      <c r="Q277" s="30" cm="1">
        <f t="array" ref="Q277">_xlfn.SWITCH(I277, "Method 1", 0, "Method 2", H277*0.03, "Method 3", 4000, "Method 4", 3000, 0)</f>
        <v>4000</v>
      </c>
    </row>
    <row r="278" spans="1:17">
      <c r="A278" s="24">
        <v>53196282</v>
      </c>
      <c r="B278" s="17">
        <v>42281</v>
      </c>
      <c r="C278" s="17">
        <v>42284</v>
      </c>
      <c r="D278" s="18" t="s">
        <v>62</v>
      </c>
      <c r="E278" s="18" t="s">
        <v>11</v>
      </c>
      <c r="F278" s="18">
        <v>1</v>
      </c>
      <c r="G278" s="19">
        <v>503337</v>
      </c>
      <c r="H278" s="19">
        <v>500800</v>
      </c>
      <c r="I278" s="18" t="s">
        <v>24</v>
      </c>
      <c r="J278" s="29" t="str">
        <f t="shared" si="24"/>
        <v>Sun</v>
      </c>
      <c r="K278" s="29" t="b">
        <f t="shared" si="25"/>
        <v>1</v>
      </c>
      <c r="L278" s="29" t="b">
        <f t="shared" si="26"/>
        <v>1</v>
      </c>
      <c r="M278" s="29" t="b">
        <f t="shared" si="29"/>
        <v>1</v>
      </c>
      <c r="N278" s="29" cm="1">
        <f t="array" ref="N278">_xlfn.IFS(
  E278="Airlines 1", IF(K278, F278*0.04, 0),
  E278="Airlines 2", P278,
  E278="Airlines 3", IF(L278, 20000*F278, 0),
  E278="Airlines 4", IF(M278, 15000*F278, 0),
  E278="Airlines 5",
    IF(F278&lt;50000000, F278*0.01,
      IF(F278&lt;100000000, F278*0.02,
        IF(F278&lt;200000000, F278*0.03, F278*0.035))),
  TRUE, 0
)</f>
        <v>20000</v>
      </c>
      <c r="O278" s="29">
        <f t="shared" si="27"/>
        <v>0</v>
      </c>
      <c r="P278" s="29">
        <f t="shared" si="28"/>
        <v>0</v>
      </c>
      <c r="Q278" s="30" cm="1">
        <f t="array" ref="Q278">_xlfn.SWITCH(I278, "Method 1", 0, "Method 2", H278*0.03, "Method 3", 4000, "Method 4", 3000, 0)</f>
        <v>15024</v>
      </c>
    </row>
    <row r="279" spans="1:17">
      <c r="A279" s="24">
        <v>53197260</v>
      </c>
      <c r="B279" s="17">
        <v>42281</v>
      </c>
      <c r="C279" s="17">
        <v>42344</v>
      </c>
      <c r="D279" s="18" t="s">
        <v>43</v>
      </c>
      <c r="E279" s="18" t="s">
        <v>11</v>
      </c>
      <c r="F279" s="18">
        <v>1</v>
      </c>
      <c r="G279" s="19">
        <v>584900</v>
      </c>
      <c r="H279" s="19">
        <v>581400</v>
      </c>
      <c r="I279" s="18" t="s">
        <v>26</v>
      </c>
      <c r="J279" s="29" t="str">
        <f t="shared" si="24"/>
        <v>Sun</v>
      </c>
      <c r="K279" s="29" t="b">
        <f t="shared" si="25"/>
        <v>1</v>
      </c>
      <c r="L279" s="29" t="b">
        <f t="shared" si="26"/>
        <v>1</v>
      </c>
      <c r="M279" s="29" t="b">
        <f t="shared" si="29"/>
        <v>1</v>
      </c>
      <c r="N279" s="29" cm="1">
        <f t="array" ref="N279">_xlfn.IFS(
  E279="Airlines 1", IF(K279, F279*0.04, 0),
  E279="Airlines 2", P279,
  E279="Airlines 3", IF(L279, 20000*F279, 0),
  E279="Airlines 4", IF(M279, 15000*F279, 0),
  E279="Airlines 5",
    IF(F279&lt;50000000, F279*0.01,
      IF(F279&lt;100000000, F279*0.02,
        IF(F279&lt;200000000, F279*0.03, F279*0.035))),
  TRUE, 0
)</f>
        <v>20000</v>
      </c>
      <c r="O279" s="29">
        <f t="shared" si="27"/>
        <v>0</v>
      </c>
      <c r="P279" s="29">
        <f t="shared" si="28"/>
        <v>0</v>
      </c>
      <c r="Q279" s="30" cm="1">
        <f t="array" ref="Q279">_xlfn.SWITCH(I279, "Method 1", 0, "Method 2", H279*0.03, "Method 3", 4000, "Method 4", 3000, 0)</f>
        <v>4000</v>
      </c>
    </row>
    <row r="280" spans="1:17">
      <c r="A280" s="24">
        <v>53197820</v>
      </c>
      <c r="B280" s="17">
        <v>42281</v>
      </c>
      <c r="C280" s="17">
        <v>42306</v>
      </c>
      <c r="D280" s="18" t="s">
        <v>170</v>
      </c>
      <c r="E280" s="18" t="s">
        <v>11</v>
      </c>
      <c r="F280" s="18">
        <v>2</v>
      </c>
      <c r="G280" s="19">
        <v>2154484</v>
      </c>
      <c r="H280" s="19">
        <v>2154402</v>
      </c>
      <c r="I280" s="18" t="s">
        <v>24</v>
      </c>
      <c r="J280" s="29" t="str">
        <f t="shared" si="24"/>
        <v>Sun</v>
      </c>
      <c r="K280" s="29" t="b">
        <f t="shared" si="25"/>
        <v>1</v>
      </c>
      <c r="L280" s="29" t="b">
        <f t="shared" si="26"/>
        <v>0</v>
      </c>
      <c r="M280" s="29" t="b">
        <f t="shared" si="29"/>
        <v>1</v>
      </c>
      <c r="N280" s="29" cm="1">
        <f t="array" ref="N280">_xlfn.IFS(
  E280="Airlines 1", IF(K280, F280*0.04, 0),
  E280="Airlines 2", P280,
  E280="Airlines 3", IF(L280, 20000*F280, 0),
  E280="Airlines 4", IF(M280, 15000*F280, 0),
  E280="Airlines 5",
    IF(F280&lt;50000000, F280*0.01,
      IF(F280&lt;100000000, F280*0.02,
        IF(F280&lt;200000000, F280*0.03, F280*0.035))),
  TRUE, 0
)</f>
        <v>0</v>
      </c>
      <c r="O280" s="29">
        <f t="shared" si="27"/>
        <v>0</v>
      </c>
      <c r="P280" s="29">
        <f t="shared" si="28"/>
        <v>0</v>
      </c>
      <c r="Q280" s="30" cm="1">
        <f t="array" ref="Q280">_xlfn.SWITCH(I280, "Method 1", 0, "Method 2", H280*0.03, "Method 3", 4000, "Method 4", 3000, 0)</f>
        <v>64632.06</v>
      </c>
    </row>
    <row r="281" spans="1:17">
      <c r="A281" s="24">
        <v>53199139</v>
      </c>
      <c r="B281" s="17">
        <v>42281</v>
      </c>
      <c r="C281" s="17">
        <v>42285</v>
      </c>
      <c r="D281" s="18" t="s">
        <v>171</v>
      </c>
      <c r="E281" s="18" t="s">
        <v>11</v>
      </c>
      <c r="F281" s="18">
        <v>1</v>
      </c>
      <c r="G281" s="19">
        <v>333853</v>
      </c>
      <c r="H281" s="19">
        <v>331600</v>
      </c>
      <c r="I281" s="18" t="s">
        <v>22</v>
      </c>
      <c r="J281" s="29" t="str">
        <f t="shared" si="24"/>
        <v>Sun</v>
      </c>
      <c r="K281" s="29" t="b">
        <f t="shared" si="25"/>
        <v>1</v>
      </c>
      <c r="L281" s="29" t="b">
        <f t="shared" si="26"/>
        <v>0</v>
      </c>
      <c r="M281" s="29" t="b">
        <f t="shared" si="29"/>
        <v>1</v>
      </c>
      <c r="N281" s="29" cm="1">
        <f t="array" ref="N281">_xlfn.IFS(
  E281="Airlines 1", IF(K281, F281*0.04, 0),
  E281="Airlines 2", P281,
  E281="Airlines 3", IF(L281, 20000*F281, 0),
  E281="Airlines 4", IF(M281, 15000*F281, 0),
  E281="Airlines 5",
    IF(F281&lt;50000000, F281*0.01,
      IF(F281&lt;100000000, F281*0.02,
        IF(F281&lt;200000000, F281*0.03, F281*0.035))),
  TRUE, 0
)</f>
        <v>0</v>
      </c>
      <c r="O281" s="29">
        <f t="shared" si="27"/>
        <v>0</v>
      </c>
      <c r="P281" s="29">
        <f t="shared" si="28"/>
        <v>0</v>
      </c>
      <c r="Q281" s="30" cm="1">
        <f t="array" ref="Q281">_xlfn.SWITCH(I281, "Method 1", 0, "Method 2", H281*0.03, "Method 3", 4000, "Method 4", 3000, 0)</f>
        <v>0</v>
      </c>
    </row>
    <row r="282" spans="1:17">
      <c r="A282" s="24">
        <v>53197122</v>
      </c>
      <c r="B282" s="17">
        <v>42281</v>
      </c>
      <c r="C282" s="17">
        <v>42289</v>
      </c>
      <c r="D282" s="18" t="s">
        <v>43</v>
      </c>
      <c r="E282" s="18" t="s">
        <v>11</v>
      </c>
      <c r="F282" s="18">
        <v>1</v>
      </c>
      <c r="G282" s="19">
        <v>538337</v>
      </c>
      <c r="H282" s="19">
        <v>535100</v>
      </c>
      <c r="I282" s="18" t="s">
        <v>22</v>
      </c>
      <c r="J282" s="29" t="str">
        <f t="shared" si="24"/>
        <v>Sun</v>
      </c>
      <c r="K282" s="29" t="b">
        <f t="shared" si="25"/>
        <v>1</v>
      </c>
      <c r="L282" s="29" t="b">
        <f t="shared" si="26"/>
        <v>1</v>
      </c>
      <c r="M282" s="29" t="b">
        <f t="shared" si="29"/>
        <v>1</v>
      </c>
      <c r="N282" s="29" cm="1">
        <f t="array" ref="N282">_xlfn.IFS(
  E282="Airlines 1", IF(K282, F282*0.04, 0),
  E282="Airlines 2", P282,
  E282="Airlines 3", IF(L282, 20000*F282, 0),
  E282="Airlines 4", IF(M282, 15000*F282, 0),
  E282="Airlines 5",
    IF(F282&lt;50000000, F282*0.01,
      IF(F282&lt;100000000, F282*0.02,
        IF(F282&lt;200000000, F282*0.03, F282*0.035))),
  TRUE, 0
)</f>
        <v>20000</v>
      </c>
      <c r="O282" s="29">
        <f t="shared" si="27"/>
        <v>0</v>
      </c>
      <c r="P282" s="29">
        <f t="shared" si="28"/>
        <v>0</v>
      </c>
      <c r="Q282" s="30" cm="1">
        <f t="array" ref="Q282">_xlfn.SWITCH(I282, "Method 1", 0, "Method 2", H282*0.03, "Method 3", 4000, "Method 4", 3000, 0)</f>
        <v>0</v>
      </c>
    </row>
    <row r="283" spans="1:17">
      <c r="A283" s="24">
        <v>53199125</v>
      </c>
      <c r="B283" s="17">
        <v>42281</v>
      </c>
      <c r="C283" s="17">
        <v>42283</v>
      </c>
      <c r="D283" s="18" t="s">
        <v>62</v>
      </c>
      <c r="E283" s="18" t="s">
        <v>11</v>
      </c>
      <c r="F283" s="18">
        <v>1</v>
      </c>
      <c r="G283" s="19">
        <v>725900</v>
      </c>
      <c r="H283" s="19">
        <v>721700</v>
      </c>
      <c r="I283" s="18" t="s">
        <v>22</v>
      </c>
      <c r="J283" s="29" t="str">
        <f t="shared" si="24"/>
        <v>Sun</v>
      </c>
      <c r="K283" s="29" t="b">
        <f t="shared" si="25"/>
        <v>1</v>
      </c>
      <c r="L283" s="29" t="b">
        <f t="shared" si="26"/>
        <v>1</v>
      </c>
      <c r="M283" s="29" t="b">
        <f t="shared" si="29"/>
        <v>1</v>
      </c>
      <c r="N283" s="29" cm="1">
        <f t="array" ref="N283">_xlfn.IFS(
  E283="Airlines 1", IF(K283, F283*0.04, 0),
  E283="Airlines 2", P283,
  E283="Airlines 3", IF(L283, 20000*F283, 0),
  E283="Airlines 4", IF(M283, 15000*F283, 0),
  E283="Airlines 5",
    IF(F283&lt;50000000, F283*0.01,
      IF(F283&lt;100000000, F283*0.02,
        IF(F283&lt;200000000, F283*0.03, F283*0.035))),
  TRUE, 0
)</f>
        <v>20000</v>
      </c>
      <c r="O283" s="29">
        <f t="shared" si="27"/>
        <v>0</v>
      </c>
      <c r="P283" s="29">
        <f t="shared" si="28"/>
        <v>0</v>
      </c>
      <c r="Q283" s="30" cm="1">
        <f t="array" ref="Q283">_xlfn.SWITCH(I283, "Method 1", 0, "Method 2", H283*0.03, "Method 3", 4000, "Method 4", 3000, 0)</f>
        <v>0</v>
      </c>
    </row>
    <row r="284" spans="1:17">
      <c r="A284" s="24">
        <v>53199118</v>
      </c>
      <c r="B284" s="17">
        <v>42281</v>
      </c>
      <c r="C284" s="17">
        <v>42288</v>
      </c>
      <c r="D284" s="18" t="s">
        <v>97</v>
      </c>
      <c r="E284" s="18" t="s">
        <v>11</v>
      </c>
      <c r="F284" s="18">
        <v>1</v>
      </c>
      <c r="G284" s="19">
        <v>720900</v>
      </c>
      <c r="H284" s="19">
        <v>716700</v>
      </c>
      <c r="I284" s="18" t="s">
        <v>22</v>
      </c>
      <c r="J284" s="29" t="str">
        <f t="shared" si="24"/>
        <v>Sun</v>
      </c>
      <c r="K284" s="29" t="b">
        <f t="shared" si="25"/>
        <v>1</v>
      </c>
      <c r="L284" s="29" t="b">
        <f t="shared" si="26"/>
        <v>1</v>
      </c>
      <c r="M284" s="29" t="b">
        <f t="shared" si="29"/>
        <v>1</v>
      </c>
      <c r="N284" s="29" cm="1">
        <f t="array" ref="N284">_xlfn.IFS(
  E284="Airlines 1", IF(K284, F284*0.04, 0),
  E284="Airlines 2", P284,
  E284="Airlines 3", IF(L284, 20000*F284, 0),
  E284="Airlines 4", IF(M284, 15000*F284, 0),
  E284="Airlines 5",
    IF(F284&lt;50000000, F284*0.01,
      IF(F284&lt;100000000, F284*0.02,
        IF(F284&lt;200000000, F284*0.03, F284*0.035))),
  TRUE, 0
)</f>
        <v>20000</v>
      </c>
      <c r="O284" s="29">
        <f t="shared" si="27"/>
        <v>0</v>
      </c>
      <c r="P284" s="29">
        <f t="shared" si="28"/>
        <v>0</v>
      </c>
      <c r="Q284" s="30" cm="1">
        <f t="array" ref="Q284">_xlfn.SWITCH(I284, "Method 1", 0, "Method 2", H284*0.03, "Method 3", 4000, "Method 4", 3000, 0)</f>
        <v>0</v>
      </c>
    </row>
    <row r="285" spans="1:17">
      <c r="A285" s="24">
        <v>53198986</v>
      </c>
      <c r="B285" s="17">
        <v>42281</v>
      </c>
      <c r="C285" s="17">
        <v>42286</v>
      </c>
      <c r="D285" s="18" t="s">
        <v>172</v>
      </c>
      <c r="E285" s="18" t="s">
        <v>11</v>
      </c>
      <c r="F285" s="18">
        <v>1</v>
      </c>
      <c r="G285" s="19">
        <v>699000</v>
      </c>
      <c r="H285" s="19">
        <v>698900</v>
      </c>
      <c r="I285" s="18" t="s">
        <v>22</v>
      </c>
      <c r="J285" s="29" t="str">
        <f t="shared" si="24"/>
        <v>Sun</v>
      </c>
      <c r="K285" s="29" t="b">
        <f t="shared" si="25"/>
        <v>1</v>
      </c>
      <c r="L285" s="29" t="b">
        <f t="shared" si="26"/>
        <v>0</v>
      </c>
      <c r="M285" s="29" t="b">
        <f t="shared" si="29"/>
        <v>1</v>
      </c>
      <c r="N285" s="29" cm="1">
        <f t="array" ref="N285">_xlfn.IFS(
  E285="Airlines 1", IF(K285, F285*0.04, 0),
  E285="Airlines 2", P285,
  E285="Airlines 3", IF(L285, 20000*F285, 0),
  E285="Airlines 4", IF(M285, 15000*F285, 0),
  E285="Airlines 5",
    IF(F285&lt;50000000, F285*0.01,
      IF(F285&lt;100000000, F285*0.02,
        IF(F285&lt;200000000, F285*0.03, F285*0.035))),
  TRUE, 0
)</f>
        <v>0</v>
      </c>
      <c r="O285" s="29">
        <f t="shared" si="27"/>
        <v>0</v>
      </c>
      <c r="P285" s="29">
        <f t="shared" si="28"/>
        <v>0</v>
      </c>
      <c r="Q285" s="30" cm="1">
        <f t="array" ref="Q285">_xlfn.SWITCH(I285, "Method 1", 0, "Method 2", H285*0.03, "Method 3", 4000, "Method 4", 3000, 0)</f>
        <v>0</v>
      </c>
    </row>
    <row r="286" spans="1:17">
      <c r="A286" s="24">
        <v>53198662</v>
      </c>
      <c r="B286" s="17">
        <v>42281</v>
      </c>
      <c r="C286" s="17">
        <v>42282</v>
      </c>
      <c r="D286" s="18" t="s">
        <v>43</v>
      </c>
      <c r="E286" s="18" t="s">
        <v>11</v>
      </c>
      <c r="F286" s="18">
        <v>1</v>
      </c>
      <c r="G286" s="19">
        <v>562900</v>
      </c>
      <c r="H286" s="19">
        <v>560000</v>
      </c>
      <c r="I286" s="18" t="s">
        <v>24</v>
      </c>
      <c r="J286" s="29" t="str">
        <f t="shared" si="24"/>
        <v>Sun</v>
      </c>
      <c r="K286" s="29" t="b">
        <f t="shared" si="25"/>
        <v>1</v>
      </c>
      <c r="L286" s="29" t="b">
        <f t="shared" si="26"/>
        <v>1</v>
      </c>
      <c r="M286" s="29" t="b">
        <f t="shared" si="29"/>
        <v>1</v>
      </c>
      <c r="N286" s="29" cm="1">
        <f t="array" ref="N286">_xlfn.IFS(
  E286="Airlines 1", IF(K286, F286*0.04, 0),
  E286="Airlines 2", P286,
  E286="Airlines 3", IF(L286, 20000*F286, 0),
  E286="Airlines 4", IF(M286, 15000*F286, 0),
  E286="Airlines 5",
    IF(F286&lt;50000000, F286*0.01,
      IF(F286&lt;100000000, F286*0.02,
        IF(F286&lt;200000000, F286*0.03, F286*0.035))),
  TRUE, 0
)</f>
        <v>20000</v>
      </c>
      <c r="O286" s="29">
        <f t="shared" si="27"/>
        <v>0</v>
      </c>
      <c r="P286" s="29">
        <f t="shared" si="28"/>
        <v>0</v>
      </c>
      <c r="Q286" s="30" cm="1">
        <f t="array" ref="Q286">_xlfn.SWITCH(I286, "Method 1", 0, "Method 2", H286*0.03, "Method 3", 4000, "Method 4", 3000, 0)</f>
        <v>16800</v>
      </c>
    </row>
    <row r="287" spans="1:17">
      <c r="A287" s="24">
        <v>53199111</v>
      </c>
      <c r="B287" s="17">
        <v>42281</v>
      </c>
      <c r="C287" s="17">
        <v>42282</v>
      </c>
      <c r="D287" s="18" t="s">
        <v>124</v>
      </c>
      <c r="E287" s="18" t="s">
        <v>11</v>
      </c>
      <c r="F287" s="18">
        <v>1</v>
      </c>
      <c r="G287" s="19">
        <v>562900</v>
      </c>
      <c r="H287" s="19">
        <v>559500</v>
      </c>
      <c r="I287" s="18" t="s">
        <v>26</v>
      </c>
      <c r="J287" s="29" t="str">
        <f t="shared" si="24"/>
        <v>Sun</v>
      </c>
      <c r="K287" s="29" t="b">
        <f t="shared" si="25"/>
        <v>1</v>
      </c>
      <c r="L287" s="29" t="b">
        <f t="shared" si="26"/>
        <v>0</v>
      </c>
      <c r="M287" s="29" t="b">
        <f t="shared" si="29"/>
        <v>1</v>
      </c>
      <c r="N287" s="29" cm="1">
        <f t="array" ref="N287">_xlfn.IFS(
  E287="Airlines 1", IF(K287, F287*0.04, 0),
  E287="Airlines 2", P287,
  E287="Airlines 3", IF(L287, 20000*F287, 0),
  E287="Airlines 4", IF(M287, 15000*F287, 0),
  E287="Airlines 5",
    IF(F287&lt;50000000, F287*0.01,
      IF(F287&lt;100000000, F287*0.02,
        IF(F287&lt;200000000, F287*0.03, F287*0.035))),
  TRUE, 0
)</f>
        <v>0</v>
      </c>
      <c r="O287" s="29">
        <f t="shared" si="27"/>
        <v>0</v>
      </c>
      <c r="P287" s="29">
        <f t="shared" si="28"/>
        <v>0</v>
      </c>
      <c r="Q287" s="30" cm="1">
        <f t="array" ref="Q287">_xlfn.SWITCH(I287, "Method 1", 0, "Method 2", H287*0.03, "Method 3", 4000, "Method 4", 3000, 0)</f>
        <v>4000</v>
      </c>
    </row>
    <row r="288" spans="1:17">
      <c r="A288" s="24">
        <v>53199124</v>
      </c>
      <c r="B288" s="17">
        <v>42281</v>
      </c>
      <c r="C288" s="17">
        <v>42283</v>
      </c>
      <c r="D288" s="18" t="s">
        <v>62</v>
      </c>
      <c r="E288" s="18" t="s">
        <v>11</v>
      </c>
      <c r="F288" s="18">
        <v>1</v>
      </c>
      <c r="G288" s="19">
        <v>527900</v>
      </c>
      <c r="H288" s="19">
        <v>524700</v>
      </c>
      <c r="I288" s="18" t="s">
        <v>24</v>
      </c>
      <c r="J288" s="29" t="str">
        <f t="shared" si="24"/>
        <v>Sun</v>
      </c>
      <c r="K288" s="29" t="b">
        <f t="shared" si="25"/>
        <v>1</v>
      </c>
      <c r="L288" s="29" t="b">
        <f t="shared" si="26"/>
        <v>1</v>
      </c>
      <c r="M288" s="29" t="b">
        <f t="shared" si="29"/>
        <v>1</v>
      </c>
      <c r="N288" s="29" cm="1">
        <f t="array" ref="N288">_xlfn.IFS(
  E288="Airlines 1", IF(K288, F288*0.04, 0),
  E288="Airlines 2", P288,
  E288="Airlines 3", IF(L288, 20000*F288, 0),
  E288="Airlines 4", IF(M288, 15000*F288, 0),
  E288="Airlines 5",
    IF(F288&lt;50000000, F288*0.01,
      IF(F288&lt;100000000, F288*0.02,
        IF(F288&lt;200000000, F288*0.03, F288*0.035))),
  TRUE, 0
)</f>
        <v>20000</v>
      </c>
      <c r="O288" s="29">
        <f t="shared" si="27"/>
        <v>0</v>
      </c>
      <c r="P288" s="29">
        <f t="shared" si="28"/>
        <v>0</v>
      </c>
      <c r="Q288" s="30" cm="1">
        <f t="array" ref="Q288">_xlfn.SWITCH(I288, "Method 1", 0, "Method 2", H288*0.03, "Method 3", 4000, "Method 4", 3000, 0)</f>
        <v>15741</v>
      </c>
    </row>
    <row r="289" spans="1:17">
      <c r="A289" s="24">
        <v>53199070</v>
      </c>
      <c r="B289" s="17">
        <v>42281</v>
      </c>
      <c r="C289" s="17">
        <v>42289</v>
      </c>
      <c r="D289" s="18" t="s">
        <v>43</v>
      </c>
      <c r="E289" s="18" t="s">
        <v>11</v>
      </c>
      <c r="F289" s="18">
        <v>1</v>
      </c>
      <c r="G289" s="19">
        <v>672900</v>
      </c>
      <c r="H289" s="19">
        <v>668900</v>
      </c>
      <c r="I289" s="18" t="s">
        <v>26</v>
      </c>
      <c r="J289" s="29" t="str">
        <f t="shared" si="24"/>
        <v>Sun</v>
      </c>
      <c r="K289" s="29" t="b">
        <f t="shared" si="25"/>
        <v>1</v>
      </c>
      <c r="L289" s="29" t="b">
        <f t="shared" si="26"/>
        <v>1</v>
      </c>
      <c r="M289" s="29" t="b">
        <f t="shared" si="29"/>
        <v>1</v>
      </c>
      <c r="N289" s="29" cm="1">
        <f t="array" ref="N289">_xlfn.IFS(
  E289="Airlines 1", IF(K289, F289*0.04, 0),
  E289="Airlines 2", P289,
  E289="Airlines 3", IF(L289, 20000*F289, 0),
  E289="Airlines 4", IF(M289, 15000*F289, 0),
  E289="Airlines 5",
    IF(F289&lt;50000000, F289*0.01,
      IF(F289&lt;100000000, F289*0.02,
        IF(F289&lt;200000000, F289*0.03, F289*0.035))),
  TRUE, 0
)</f>
        <v>20000</v>
      </c>
      <c r="O289" s="29">
        <f t="shared" si="27"/>
        <v>0</v>
      </c>
      <c r="P289" s="29">
        <f t="shared" si="28"/>
        <v>0</v>
      </c>
      <c r="Q289" s="30" cm="1">
        <f t="array" ref="Q289">_xlfn.SWITCH(I289, "Method 1", 0, "Method 2", H289*0.03, "Method 3", 4000, "Method 4", 3000, 0)</f>
        <v>4000</v>
      </c>
    </row>
    <row r="290" spans="1:17">
      <c r="A290" s="24">
        <v>53199055</v>
      </c>
      <c r="B290" s="17">
        <v>42281</v>
      </c>
      <c r="C290" s="17">
        <v>42307</v>
      </c>
      <c r="D290" s="18" t="s">
        <v>173</v>
      </c>
      <c r="E290" s="18" t="s">
        <v>11</v>
      </c>
      <c r="F290" s="18">
        <v>1</v>
      </c>
      <c r="G290" s="19">
        <v>854000</v>
      </c>
      <c r="H290" s="19">
        <v>853900</v>
      </c>
      <c r="I290" s="18" t="s">
        <v>24</v>
      </c>
      <c r="J290" s="29" t="str">
        <f t="shared" si="24"/>
        <v>Sun</v>
      </c>
      <c r="K290" s="29" t="b">
        <f t="shared" si="25"/>
        <v>1</v>
      </c>
      <c r="L290" s="29" t="b">
        <f t="shared" si="26"/>
        <v>0</v>
      </c>
      <c r="M290" s="29" t="b">
        <f t="shared" si="29"/>
        <v>1</v>
      </c>
      <c r="N290" s="29" cm="1">
        <f t="array" ref="N290">_xlfn.IFS(
  E290="Airlines 1", IF(K290, F290*0.04, 0),
  E290="Airlines 2", P290,
  E290="Airlines 3", IF(L290, 20000*F290, 0),
  E290="Airlines 4", IF(M290, 15000*F290, 0),
  E290="Airlines 5",
    IF(F290&lt;50000000, F290*0.01,
      IF(F290&lt;100000000, F290*0.02,
        IF(F290&lt;200000000, F290*0.03, F290*0.035))),
  TRUE, 0
)</f>
        <v>0</v>
      </c>
      <c r="O290" s="29">
        <f t="shared" si="27"/>
        <v>0</v>
      </c>
      <c r="P290" s="29">
        <f t="shared" si="28"/>
        <v>0</v>
      </c>
      <c r="Q290" s="30" cm="1">
        <f t="array" ref="Q290">_xlfn.SWITCH(I290, "Method 1", 0, "Method 2", H290*0.03, "Method 3", 4000, "Method 4", 3000, 0)</f>
        <v>25617</v>
      </c>
    </row>
    <row r="291" spans="1:17">
      <c r="A291" s="24">
        <v>53198399</v>
      </c>
      <c r="B291" s="17">
        <v>42282</v>
      </c>
      <c r="C291" s="17">
        <v>42287</v>
      </c>
      <c r="D291" s="18" t="s">
        <v>145</v>
      </c>
      <c r="E291" s="18" t="s">
        <v>11</v>
      </c>
      <c r="F291" s="18">
        <v>1</v>
      </c>
      <c r="G291" s="19">
        <v>519094</v>
      </c>
      <c r="H291" s="19">
        <v>515900</v>
      </c>
      <c r="I291" s="18" t="s">
        <v>22</v>
      </c>
      <c r="J291" s="29" t="str">
        <f t="shared" si="24"/>
        <v>Mon</v>
      </c>
      <c r="K291" s="29" t="b">
        <f t="shared" si="25"/>
        <v>0</v>
      </c>
      <c r="L291" s="29" t="b">
        <f t="shared" si="26"/>
        <v>0</v>
      </c>
      <c r="M291" s="29" t="b">
        <f t="shared" si="29"/>
        <v>1</v>
      </c>
      <c r="N291" s="29" cm="1">
        <f t="array" ref="N291">_xlfn.IFS(
  E291="Airlines 1", IF(K291, F291*0.04, 0),
  E291="Airlines 2", P291,
  E291="Airlines 3", IF(L291, 20000*F291, 0),
  E291="Airlines 4", IF(M291, 15000*F291, 0),
  E291="Airlines 5",
    IF(F291&lt;50000000, F291*0.01,
      IF(F291&lt;100000000, F291*0.02,
        IF(F291&lt;200000000, F291*0.03, F291*0.035))),
  TRUE, 0
)</f>
        <v>0</v>
      </c>
      <c r="O291" s="29">
        <f t="shared" si="27"/>
        <v>12</v>
      </c>
      <c r="P291" s="29">
        <f t="shared" si="28"/>
        <v>0</v>
      </c>
      <c r="Q291" s="30" cm="1">
        <f t="array" ref="Q291">_xlfn.SWITCH(I291, "Method 1", 0, "Method 2", H291*0.03, "Method 3", 4000, "Method 4", 3000, 0)</f>
        <v>0</v>
      </c>
    </row>
    <row r="292" spans="1:17">
      <c r="A292" s="24">
        <v>53199084</v>
      </c>
      <c r="B292" s="17">
        <v>42282</v>
      </c>
      <c r="C292" s="17">
        <v>42307</v>
      </c>
      <c r="D292" s="18" t="s">
        <v>171</v>
      </c>
      <c r="E292" s="18" t="s">
        <v>11</v>
      </c>
      <c r="F292" s="18">
        <v>1</v>
      </c>
      <c r="G292" s="19">
        <v>333853</v>
      </c>
      <c r="H292" s="19">
        <v>332100</v>
      </c>
      <c r="I292" s="18" t="s">
        <v>22</v>
      </c>
      <c r="J292" s="29" t="str">
        <f t="shared" si="24"/>
        <v>Mon</v>
      </c>
      <c r="K292" s="29" t="b">
        <f t="shared" si="25"/>
        <v>0</v>
      </c>
      <c r="L292" s="29" t="b">
        <f t="shared" si="26"/>
        <v>0</v>
      </c>
      <c r="M292" s="29" t="b">
        <f t="shared" si="29"/>
        <v>1</v>
      </c>
      <c r="N292" s="29" cm="1">
        <f t="array" ref="N292">_xlfn.IFS(
  E292="Airlines 1", IF(K292, F292*0.04, 0),
  E292="Airlines 2", P292,
  E292="Airlines 3", IF(L292, 20000*F292, 0),
  E292="Airlines 4", IF(M292, 15000*F292, 0),
  E292="Airlines 5",
    IF(F292&lt;50000000, F292*0.01,
      IF(F292&lt;100000000, F292*0.02,
        IF(F292&lt;200000000, F292*0.03, F292*0.035))),
  TRUE, 0
)</f>
        <v>0</v>
      </c>
      <c r="O292" s="29">
        <f t="shared" si="27"/>
        <v>12</v>
      </c>
      <c r="P292" s="29">
        <f t="shared" si="28"/>
        <v>0</v>
      </c>
      <c r="Q292" s="30" cm="1">
        <f t="array" ref="Q292">_xlfn.SWITCH(I292, "Method 1", 0, "Method 2", H292*0.03, "Method 3", 4000, "Method 4", 3000, 0)</f>
        <v>0</v>
      </c>
    </row>
    <row r="293" spans="1:17">
      <c r="A293" s="24">
        <v>53198177</v>
      </c>
      <c r="B293" s="17">
        <v>42282</v>
      </c>
      <c r="C293" s="17">
        <v>42282</v>
      </c>
      <c r="D293" s="18" t="s">
        <v>41</v>
      </c>
      <c r="E293" s="18" t="s">
        <v>11</v>
      </c>
      <c r="F293" s="18">
        <v>2</v>
      </c>
      <c r="G293" s="19">
        <v>1099240</v>
      </c>
      <c r="H293" s="19">
        <v>1092800</v>
      </c>
      <c r="I293" s="18" t="s">
        <v>22</v>
      </c>
      <c r="J293" s="29" t="str">
        <f t="shared" si="24"/>
        <v>Mon</v>
      </c>
      <c r="K293" s="29" t="b">
        <f t="shared" si="25"/>
        <v>0</v>
      </c>
      <c r="L293" s="29" t="b">
        <f t="shared" si="26"/>
        <v>0</v>
      </c>
      <c r="M293" s="29" t="b">
        <f t="shared" si="29"/>
        <v>1</v>
      </c>
      <c r="N293" s="29" cm="1">
        <f t="array" ref="N293">_xlfn.IFS(
  E293="Airlines 1", IF(K293, F293*0.04, 0),
  E293="Airlines 2", P293,
  E293="Airlines 3", IF(L293, 20000*F293, 0),
  E293="Airlines 4", IF(M293, 15000*F293, 0),
  E293="Airlines 5",
    IF(F293&lt;50000000, F293*0.01,
      IF(F293&lt;100000000, F293*0.02,
        IF(F293&lt;200000000, F293*0.03, F293*0.035))),
  TRUE, 0
)</f>
        <v>0</v>
      </c>
      <c r="O293" s="29">
        <f t="shared" si="27"/>
        <v>12</v>
      </c>
      <c r="P293" s="29">
        <f t="shared" si="28"/>
        <v>0</v>
      </c>
      <c r="Q293" s="30" cm="1">
        <f t="array" ref="Q293">_xlfn.SWITCH(I293, "Method 1", 0, "Method 2", H293*0.03, "Method 3", 4000, "Method 4", 3000, 0)</f>
        <v>0</v>
      </c>
    </row>
    <row r="294" spans="1:17">
      <c r="A294" s="24">
        <v>53198427</v>
      </c>
      <c r="B294" s="17">
        <v>42282</v>
      </c>
      <c r="C294" s="17">
        <v>42283</v>
      </c>
      <c r="D294" s="18" t="s">
        <v>145</v>
      </c>
      <c r="E294" s="18" t="s">
        <v>11</v>
      </c>
      <c r="F294" s="18">
        <v>2</v>
      </c>
      <c r="G294" s="19">
        <v>1038188</v>
      </c>
      <c r="H294" s="19">
        <v>1032800</v>
      </c>
      <c r="I294" s="18" t="s">
        <v>22</v>
      </c>
      <c r="J294" s="29" t="str">
        <f t="shared" si="24"/>
        <v>Mon</v>
      </c>
      <c r="K294" s="29" t="b">
        <f t="shared" si="25"/>
        <v>0</v>
      </c>
      <c r="L294" s="29" t="b">
        <f t="shared" si="26"/>
        <v>0</v>
      </c>
      <c r="M294" s="29" t="b">
        <f t="shared" si="29"/>
        <v>1</v>
      </c>
      <c r="N294" s="29" cm="1">
        <f t="array" ref="N294">_xlfn.IFS(
  E294="Airlines 1", IF(K294, F294*0.04, 0),
  E294="Airlines 2", P294,
  E294="Airlines 3", IF(L294, 20000*F294, 0),
  E294="Airlines 4", IF(M294, 15000*F294, 0),
  E294="Airlines 5",
    IF(F294&lt;50000000, F294*0.01,
      IF(F294&lt;100000000, F294*0.02,
        IF(F294&lt;200000000, F294*0.03, F294*0.035))),
  TRUE, 0
)</f>
        <v>0</v>
      </c>
      <c r="O294" s="29">
        <f t="shared" si="27"/>
        <v>12</v>
      </c>
      <c r="P294" s="29">
        <f t="shared" si="28"/>
        <v>0</v>
      </c>
      <c r="Q294" s="30" cm="1">
        <f t="array" ref="Q294">_xlfn.SWITCH(I294, "Method 1", 0, "Method 2", H294*0.03, "Method 3", 4000, "Method 4", 3000, 0)</f>
        <v>0</v>
      </c>
    </row>
    <row r="295" spans="1:17">
      <c r="A295" s="24">
        <v>53199028</v>
      </c>
      <c r="B295" s="17">
        <v>42282</v>
      </c>
      <c r="C295" s="17">
        <v>42284</v>
      </c>
      <c r="D295" s="18" t="s">
        <v>124</v>
      </c>
      <c r="E295" s="18" t="s">
        <v>11</v>
      </c>
      <c r="F295" s="18">
        <v>1</v>
      </c>
      <c r="G295" s="19">
        <v>661900</v>
      </c>
      <c r="H295" s="19">
        <v>658500</v>
      </c>
      <c r="I295" s="18" t="s">
        <v>22</v>
      </c>
      <c r="J295" s="29" t="str">
        <f t="shared" si="24"/>
        <v>Mon</v>
      </c>
      <c r="K295" s="29" t="b">
        <f t="shared" si="25"/>
        <v>0</v>
      </c>
      <c r="L295" s="29" t="b">
        <f t="shared" si="26"/>
        <v>0</v>
      </c>
      <c r="M295" s="29" t="b">
        <f t="shared" si="29"/>
        <v>1</v>
      </c>
      <c r="N295" s="29" cm="1">
        <f t="array" ref="N295">_xlfn.IFS(
  E295="Airlines 1", IF(K295, F295*0.04, 0),
  E295="Airlines 2", P295,
  E295="Airlines 3", IF(L295, 20000*F295, 0),
  E295="Airlines 4", IF(M295, 15000*F295, 0),
  E295="Airlines 5",
    IF(F295&lt;50000000, F295*0.01,
      IF(F295&lt;100000000, F295*0.02,
        IF(F295&lt;200000000, F295*0.03, F295*0.035))),
  TRUE, 0
)</f>
        <v>0</v>
      </c>
      <c r="O295" s="29">
        <f t="shared" si="27"/>
        <v>12</v>
      </c>
      <c r="P295" s="29">
        <f t="shared" si="28"/>
        <v>0</v>
      </c>
      <c r="Q295" s="30" cm="1">
        <f t="array" ref="Q295">_xlfn.SWITCH(I295, "Method 1", 0, "Method 2", H295*0.03, "Method 3", 4000, "Method 4", 3000, 0)</f>
        <v>0</v>
      </c>
    </row>
    <row r="296" spans="1:17">
      <c r="A296" s="24">
        <v>53199156</v>
      </c>
      <c r="B296" s="17">
        <v>42282</v>
      </c>
      <c r="C296" s="17">
        <v>42299</v>
      </c>
      <c r="D296" s="18" t="s">
        <v>66</v>
      </c>
      <c r="E296" s="18" t="s">
        <v>11</v>
      </c>
      <c r="F296" s="18">
        <v>1</v>
      </c>
      <c r="G296" s="19">
        <v>299000</v>
      </c>
      <c r="H296" s="19">
        <v>298900</v>
      </c>
      <c r="I296" s="18" t="s">
        <v>24</v>
      </c>
      <c r="J296" s="29" t="str">
        <f t="shared" si="24"/>
        <v>Mon</v>
      </c>
      <c r="K296" s="29" t="b">
        <f t="shared" si="25"/>
        <v>0</v>
      </c>
      <c r="L296" s="29" t="b">
        <f t="shared" si="26"/>
        <v>0</v>
      </c>
      <c r="M296" s="29" t="b">
        <f t="shared" si="29"/>
        <v>1</v>
      </c>
      <c r="N296" s="29" cm="1">
        <f t="array" ref="N296">_xlfn.IFS(
  E296="Airlines 1", IF(K296, F296*0.04, 0),
  E296="Airlines 2", P296,
  E296="Airlines 3", IF(L296, 20000*F296, 0),
  E296="Airlines 4", IF(M296, 15000*F296, 0),
  E296="Airlines 5",
    IF(F296&lt;50000000, F296*0.01,
      IF(F296&lt;100000000, F296*0.02,
        IF(F296&lt;200000000, F296*0.03, F296*0.035))),
  TRUE, 0
)</f>
        <v>0</v>
      </c>
      <c r="O296" s="29">
        <f t="shared" si="27"/>
        <v>12</v>
      </c>
      <c r="P296" s="29">
        <f t="shared" si="28"/>
        <v>0</v>
      </c>
      <c r="Q296" s="30" cm="1">
        <f t="array" ref="Q296">_xlfn.SWITCH(I296, "Method 1", 0, "Method 2", H296*0.03, "Method 3", 4000, "Method 4", 3000, 0)</f>
        <v>8967</v>
      </c>
    </row>
    <row r="297" spans="1:17">
      <c r="A297" s="24">
        <v>53199088</v>
      </c>
      <c r="B297" s="17">
        <v>42282</v>
      </c>
      <c r="C297" s="17">
        <v>42287</v>
      </c>
      <c r="D297" s="18" t="s">
        <v>97</v>
      </c>
      <c r="E297" s="18" t="s">
        <v>11</v>
      </c>
      <c r="F297" s="18">
        <v>1</v>
      </c>
      <c r="G297" s="19">
        <v>368466</v>
      </c>
      <c r="H297" s="19">
        <v>366100</v>
      </c>
      <c r="I297" s="18" t="s">
        <v>26</v>
      </c>
      <c r="J297" s="29" t="str">
        <f t="shared" si="24"/>
        <v>Mon</v>
      </c>
      <c r="K297" s="29" t="b">
        <f t="shared" si="25"/>
        <v>0</v>
      </c>
      <c r="L297" s="29" t="b">
        <f t="shared" si="26"/>
        <v>1</v>
      </c>
      <c r="M297" s="29" t="b">
        <f t="shared" si="29"/>
        <v>1</v>
      </c>
      <c r="N297" s="29" cm="1">
        <f t="array" ref="N297">_xlfn.IFS(
  E297="Airlines 1", IF(K297, F297*0.04, 0),
  E297="Airlines 2", P297,
  E297="Airlines 3", IF(L297, 20000*F297, 0),
  E297="Airlines 4", IF(M297, 15000*F297, 0),
  E297="Airlines 5",
    IF(F297&lt;50000000, F297*0.01,
      IF(F297&lt;100000000, F297*0.02,
        IF(F297&lt;200000000, F297*0.03, F297*0.035))),
  TRUE, 0
)</f>
        <v>20000</v>
      </c>
      <c r="O297" s="29">
        <f t="shared" si="27"/>
        <v>12</v>
      </c>
      <c r="P297" s="29">
        <f t="shared" si="28"/>
        <v>0</v>
      </c>
      <c r="Q297" s="30" cm="1">
        <f t="array" ref="Q297">_xlfn.SWITCH(I297, "Method 1", 0, "Method 2", H297*0.03, "Method 3", 4000, "Method 4", 3000, 0)</f>
        <v>4000</v>
      </c>
    </row>
    <row r="298" spans="1:17">
      <c r="A298" s="24">
        <v>53199154</v>
      </c>
      <c r="B298" s="17">
        <v>42282</v>
      </c>
      <c r="C298" s="17">
        <v>42284</v>
      </c>
      <c r="D298" s="18" t="s">
        <v>87</v>
      </c>
      <c r="E298" s="18" t="s">
        <v>11</v>
      </c>
      <c r="F298" s="18">
        <v>1</v>
      </c>
      <c r="G298" s="19">
        <v>479993</v>
      </c>
      <c r="H298" s="19">
        <v>477500</v>
      </c>
      <c r="I298" s="18" t="s">
        <v>24</v>
      </c>
      <c r="J298" s="29" t="str">
        <f t="shared" si="24"/>
        <v>Mon</v>
      </c>
      <c r="K298" s="29" t="b">
        <f t="shared" si="25"/>
        <v>0</v>
      </c>
      <c r="L298" s="29" t="b">
        <f t="shared" si="26"/>
        <v>0</v>
      </c>
      <c r="M298" s="29" t="b">
        <f t="shared" si="29"/>
        <v>1</v>
      </c>
      <c r="N298" s="29" cm="1">
        <f t="array" ref="N298">_xlfn.IFS(
  E298="Airlines 1", IF(K298, F298*0.04, 0),
  E298="Airlines 2", P298,
  E298="Airlines 3", IF(L298, 20000*F298, 0),
  E298="Airlines 4", IF(M298, 15000*F298, 0),
  E298="Airlines 5",
    IF(F298&lt;50000000, F298*0.01,
      IF(F298&lt;100000000, F298*0.02,
        IF(F298&lt;200000000, F298*0.03, F298*0.035))),
  TRUE, 0
)</f>
        <v>0</v>
      </c>
      <c r="O298" s="29">
        <f t="shared" si="27"/>
        <v>12</v>
      </c>
      <c r="P298" s="29">
        <f t="shared" si="28"/>
        <v>0</v>
      </c>
      <c r="Q298" s="30" cm="1">
        <f t="array" ref="Q298">_xlfn.SWITCH(I298, "Method 1", 0, "Method 2", H298*0.03, "Method 3", 4000, "Method 4", 3000, 0)</f>
        <v>14325</v>
      </c>
    </row>
    <row r="299" spans="1:17">
      <c r="A299" s="24">
        <v>53199309</v>
      </c>
      <c r="B299" s="17">
        <v>42282</v>
      </c>
      <c r="C299" s="17">
        <v>42286</v>
      </c>
      <c r="D299" s="18" t="s">
        <v>174</v>
      </c>
      <c r="E299" s="18" t="s">
        <v>11</v>
      </c>
      <c r="F299" s="18">
        <v>3</v>
      </c>
      <c r="G299" s="19">
        <v>1770729</v>
      </c>
      <c r="H299" s="19">
        <v>1788600</v>
      </c>
      <c r="I299" s="18" t="s">
        <v>26</v>
      </c>
      <c r="J299" s="29" t="str">
        <f t="shared" si="24"/>
        <v>Mon</v>
      </c>
      <c r="K299" s="29" t="b">
        <f t="shared" si="25"/>
        <v>0</v>
      </c>
      <c r="L299" s="29" t="b">
        <f t="shared" si="26"/>
        <v>0</v>
      </c>
      <c r="M299" s="29" t="b">
        <f t="shared" si="29"/>
        <v>1</v>
      </c>
      <c r="N299" s="29" cm="1">
        <f t="array" ref="N299">_xlfn.IFS(
  E299="Airlines 1", IF(K299, F299*0.04, 0),
  E299="Airlines 2", P299,
  E299="Airlines 3", IF(L299, 20000*F299, 0),
  E299="Airlines 4", IF(M299, 15000*F299, 0),
  E299="Airlines 5",
    IF(F299&lt;50000000, F299*0.01,
      IF(F299&lt;100000000, F299*0.02,
        IF(F299&lt;200000000, F299*0.03, F299*0.035))),
  TRUE, 0
)</f>
        <v>0</v>
      </c>
      <c r="O299" s="29">
        <f t="shared" si="27"/>
        <v>12</v>
      </c>
      <c r="P299" s="29">
        <f t="shared" si="28"/>
        <v>0</v>
      </c>
      <c r="Q299" s="30" cm="1">
        <f t="array" ref="Q299">_xlfn.SWITCH(I299, "Method 1", 0, "Method 2", H299*0.03, "Method 3", 4000, "Method 4", 3000, 0)</f>
        <v>4000</v>
      </c>
    </row>
    <row r="300" spans="1:17">
      <c r="A300" s="24">
        <v>53199294</v>
      </c>
      <c r="B300" s="17">
        <v>42282</v>
      </c>
      <c r="C300" s="17">
        <v>42285</v>
      </c>
      <c r="D300" s="18" t="s">
        <v>172</v>
      </c>
      <c r="E300" s="18" t="s">
        <v>11</v>
      </c>
      <c r="F300" s="18">
        <v>1</v>
      </c>
      <c r="G300" s="19">
        <v>1299000</v>
      </c>
      <c r="H300" s="19">
        <v>1298900</v>
      </c>
      <c r="I300" s="18" t="s">
        <v>24</v>
      </c>
      <c r="J300" s="29" t="str">
        <f t="shared" si="24"/>
        <v>Mon</v>
      </c>
      <c r="K300" s="29" t="b">
        <f t="shared" si="25"/>
        <v>0</v>
      </c>
      <c r="L300" s="29" t="b">
        <f t="shared" si="26"/>
        <v>0</v>
      </c>
      <c r="M300" s="29" t="b">
        <f t="shared" si="29"/>
        <v>1</v>
      </c>
      <c r="N300" s="29" cm="1">
        <f t="array" ref="N300">_xlfn.IFS(
  E300="Airlines 1", IF(K300, F300*0.04, 0),
  E300="Airlines 2", P300,
  E300="Airlines 3", IF(L300, 20000*F300, 0),
  E300="Airlines 4", IF(M300, 15000*F300, 0),
  E300="Airlines 5",
    IF(F300&lt;50000000, F300*0.01,
      IF(F300&lt;100000000, F300*0.02,
        IF(F300&lt;200000000, F300*0.03, F300*0.035))),
  TRUE, 0
)</f>
        <v>0</v>
      </c>
      <c r="O300" s="29">
        <f t="shared" si="27"/>
        <v>12</v>
      </c>
      <c r="P300" s="29">
        <f t="shared" si="28"/>
        <v>0</v>
      </c>
      <c r="Q300" s="30" cm="1">
        <f t="array" ref="Q300">_xlfn.SWITCH(I300, "Method 1", 0, "Method 2", H300*0.03, "Method 3", 4000, "Method 4", 3000, 0)</f>
        <v>38967</v>
      </c>
    </row>
    <row r="301" spans="1:17">
      <c r="A301" s="24">
        <v>53199325</v>
      </c>
      <c r="B301" s="17">
        <v>42282</v>
      </c>
      <c r="C301" s="17">
        <v>42284</v>
      </c>
      <c r="D301" s="18" t="s">
        <v>157</v>
      </c>
      <c r="E301" s="18" t="s">
        <v>11</v>
      </c>
      <c r="F301" s="18">
        <v>1</v>
      </c>
      <c r="G301" s="19">
        <v>821064</v>
      </c>
      <c r="H301" s="19">
        <v>829300</v>
      </c>
      <c r="I301" s="18" t="s">
        <v>22</v>
      </c>
      <c r="J301" s="29" t="str">
        <f t="shared" si="24"/>
        <v>Mon</v>
      </c>
      <c r="K301" s="29" t="b">
        <f t="shared" si="25"/>
        <v>0</v>
      </c>
      <c r="L301" s="29" t="b">
        <f t="shared" si="26"/>
        <v>0</v>
      </c>
      <c r="M301" s="29" t="b">
        <f t="shared" si="29"/>
        <v>1</v>
      </c>
      <c r="N301" s="29" cm="1">
        <f t="array" ref="N301">_xlfn.IFS(
  E301="Airlines 1", IF(K301, F301*0.04, 0),
  E301="Airlines 2", P301,
  E301="Airlines 3", IF(L301, 20000*F301, 0),
  E301="Airlines 4", IF(M301, 15000*F301, 0),
  E301="Airlines 5",
    IF(F301&lt;50000000, F301*0.01,
      IF(F301&lt;100000000, F301*0.02,
        IF(F301&lt;200000000, F301*0.03, F301*0.035))),
  TRUE, 0
)</f>
        <v>0</v>
      </c>
      <c r="O301" s="29">
        <f t="shared" si="27"/>
        <v>12</v>
      </c>
      <c r="P301" s="29">
        <f t="shared" si="28"/>
        <v>0</v>
      </c>
      <c r="Q301" s="30" cm="1">
        <f t="array" ref="Q301">_xlfn.SWITCH(I301, "Method 1", 0, "Method 2", H301*0.03, "Method 3", 4000, "Method 4", 3000, 0)</f>
        <v>0</v>
      </c>
    </row>
    <row r="302" spans="1:17">
      <c r="A302" s="24">
        <v>53199297</v>
      </c>
      <c r="B302" s="17">
        <v>42282</v>
      </c>
      <c r="C302" s="17">
        <v>42298</v>
      </c>
      <c r="D302" s="18" t="s">
        <v>163</v>
      </c>
      <c r="E302" s="18" t="s">
        <v>11</v>
      </c>
      <c r="F302" s="18">
        <v>1</v>
      </c>
      <c r="G302" s="19">
        <v>595900</v>
      </c>
      <c r="H302" s="19">
        <v>592300</v>
      </c>
      <c r="I302" s="18" t="s">
        <v>22</v>
      </c>
      <c r="J302" s="29" t="str">
        <f t="shared" si="24"/>
        <v>Mon</v>
      </c>
      <c r="K302" s="29" t="b">
        <f t="shared" si="25"/>
        <v>0</v>
      </c>
      <c r="L302" s="29" t="b">
        <f t="shared" si="26"/>
        <v>0</v>
      </c>
      <c r="M302" s="29" t="b">
        <f t="shared" si="29"/>
        <v>1</v>
      </c>
      <c r="N302" s="29" cm="1">
        <f t="array" ref="N302">_xlfn.IFS(
  E302="Airlines 1", IF(K302, F302*0.04, 0),
  E302="Airlines 2", P302,
  E302="Airlines 3", IF(L302, 20000*F302, 0),
  E302="Airlines 4", IF(M302, 15000*F302, 0),
  E302="Airlines 5",
    IF(F302&lt;50000000, F302*0.01,
      IF(F302&lt;100000000, F302*0.02,
        IF(F302&lt;200000000, F302*0.03, F302*0.035))),
  TRUE, 0
)</f>
        <v>0</v>
      </c>
      <c r="O302" s="29">
        <f t="shared" si="27"/>
        <v>12</v>
      </c>
      <c r="P302" s="29">
        <f t="shared" si="28"/>
        <v>0</v>
      </c>
      <c r="Q302" s="30" cm="1">
        <f t="array" ref="Q302">_xlfn.SWITCH(I302, "Method 1", 0, "Method 2", H302*0.03, "Method 3", 4000, "Method 4", 3000, 0)</f>
        <v>0</v>
      </c>
    </row>
    <row r="303" spans="1:17">
      <c r="A303" s="24">
        <v>53199358</v>
      </c>
      <c r="B303" s="17">
        <v>42283</v>
      </c>
      <c r="C303" s="17">
        <v>42283</v>
      </c>
      <c r="D303" s="18" t="s">
        <v>43</v>
      </c>
      <c r="E303" s="18" t="s">
        <v>11</v>
      </c>
      <c r="F303" s="18">
        <v>1</v>
      </c>
      <c r="G303" s="19">
        <v>538337</v>
      </c>
      <c r="H303" s="19">
        <v>535100</v>
      </c>
      <c r="I303" s="18" t="s">
        <v>26</v>
      </c>
      <c r="J303" s="29" t="str">
        <f t="shared" si="24"/>
        <v>Tue</v>
      </c>
      <c r="K303" s="29" t="b">
        <f t="shared" si="25"/>
        <v>0</v>
      </c>
      <c r="L303" s="29" t="b">
        <f t="shared" si="26"/>
        <v>1</v>
      </c>
      <c r="M303" s="29" t="b">
        <f t="shared" si="29"/>
        <v>1</v>
      </c>
      <c r="N303" s="29" cm="1">
        <f t="array" ref="N303">_xlfn.IFS(
  E303="Airlines 1", IF(K303, F303*0.04, 0),
  E303="Airlines 2", P303,
  E303="Airlines 3", IF(L303, 20000*F303, 0),
  E303="Airlines 4", IF(M303, 15000*F303, 0),
  E303="Airlines 5",
    IF(F303&lt;50000000, F303*0.01,
      IF(F303&lt;100000000, F303*0.02,
        IF(F303&lt;200000000, F303*0.03, F303*0.035))),
  TRUE, 0
)</f>
        <v>20000</v>
      </c>
      <c r="O303" s="29">
        <f t="shared" si="27"/>
        <v>0</v>
      </c>
      <c r="P303" s="29">
        <f t="shared" si="28"/>
        <v>0</v>
      </c>
      <c r="Q303" s="30" cm="1">
        <f t="array" ref="Q303">_xlfn.SWITCH(I303, "Method 1", 0, "Method 2", H303*0.03, "Method 3", 4000, "Method 4", 3000, 0)</f>
        <v>4000</v>
      </c>
    </row>
    <row r="304" spans="1:17">
      <c r="A304" s="24">
        <v>53199310</v>
      </c>
      <c r="B304" s="17">
        <v>42283</v>
      </c>
      <c r="C304" s="17">
        <v>42289</v>
      </c>
      <c r="D304" s="18" t="s">
        <v>97</v>
      </c>
      <c r="E304" s="18" t="s">
        <v>11</v>
      </c>
      <c r="F304" s="18">
        <v>1</v>
      </c>
      <c r="G304" s="19">
        <v>368466</v>
      </c>
      <c r="H304" s="19">
        <v>366100</v>
      </c>
      <c r="I304" s="18" t="s">
        <v>24</v>
      </c>
      <c r="J304" s="29" t="str">
        <f t="shared" si="24"/>
        <v>Tue</v>
      </c>
      <c r="K304" s="29" t="b">
        <f t="shared" si="25"/>
        <v>0</v>
      </c>
      <c r="L304" s="29" t="b">
        <f t="shared" si="26"/>
        <v>1</v>
      </c>
      <c r="M304" s="29" t="b">
        <f t="shared" si="29"/>
        <v>1</v>
      </c>
      <c r="N304" s="29" cm="1">
        <f t="array" ref="N304">_xlfn.IFS(
  E304="Airlines 1", IF(K304, F304*0.04, 0),
  E304="Airlines 2", P304,
  E304="Airlines 3", IF(L304, 20000*F304, 0),
  E304="Airlines 4", IF(M304, 15000*F304, 0),
  E304="Airlines 5",
    IF(F304&lt;50000000, F304*0.01,
      IF(F304&lt;100000000, F304*0.02,
        IF(F304&lt;200000000, F304*0.03, F304*0.035))),
  TRUE, 0
)</f>
        <v>20000</v>
      </c>
      <c r="O304" s="29">
        <f t="shared" si="27"/>
        <v>0</v>
      </c>
      <c r="P304" s="29">
        <f t="shared" si="28"/>
        <v>0</v>
      </c>
      <c r="Q304" s="30" cm="1">
        <f t="array" ref="Q304">_xlfn.SWITCH(I304, "Method 1", 0, "Method 2", H304*0.03, "Method 3", 4000, "Method 4", 3000, 0)</f>
        <v>10983</v>
      </c>
    </row>
    <row r="305" spans="1:17">
      <c r="A305" s="24">
        <v>53199346</v>
      </c>
      <c r="B305" s="17">
        <v>42283</v>
      </c>
      <c r="C305" s="17">
        <v>42283</v>
      </c>
      <c r="D305" s="18" t="s">
        <v>159</v>
      </c>
      <c r="E305" s="18" t="s">
        <v>11</v>
      </c>
      <c r="F305" s="18">
        <v>2</v>
      </c>
      <c r="G305" s="19">
        <v>455048</v>
      </c>
      <c r="H305" s="19">
        <v>455000</v>
      </c>
      <c r="I305" s="18" t="s">
        <v>22</v>
      </c>
      <c r="J305" s="29" t="str">
        <f t="shared" si="24"/>
        <v>Tue</v>
      </c>
      <c r="K305" s="29" t="b">
        <f t="shared" si="25"/>
        <v>0</v>
      </c>
      <c r="L305" s="29" t="b">
        <f t="shared" si="26"/>
        <v>0</v>
      </c>
      <c r="M305" s="29" t="b">
        <f t="shared" si="29"/>
        <v>1</v>
      </c>
      <c r="N305" s="29" cm="1">
        <f t="array" ref="N305">_xlfn.IFS(
  E305="Airlines 1", IF(K305, F305*0.04, 0),
  E305="Airlines 2", P305,
  E305="Airlines 3", IF(L305, 20000*F305, 0),
  E305="Airlines 4", IF(M305, 15000*F305, 0),
  E305="Airlines 5",
    IF(F305&lt;50000000, F305*0.01,
      IF(F305&lt;100000000, F305*0.02,
        IF(F305&lt;200000000, F305*0.03, F305*0.035))),
  TRUE, 0
)</f>
        <v>0</v>
      </c>
      <c r="O305" s="29">
        <f t="shared" si="27"/>
        <v>0</v>
      </c>
      <c r="P305" s="29">
        <f t="shared" si="28"/>
        <v>0</v>
      </c>
      <c r="Q305" s="30" cm="1">
        <f t="array" ref="Q305">_xlfn.SWITCH(I305, "Method 1", 0, "Method 2", H305*0.03, "Method 3", 4000, "Method 4", 3000, 0)</f>
        <v>0</v>
      </c>
    </row>
    <row r="306" spans="1:17">
      <c r="A306" s="24">
        <v>53199316</v>
      </c>
      <c r="B306" s="17">
        <v>42283</v>
      </c>
      <c r="C306" s="17">
        <v>42284</v>
      </c>
      <c r="D306" s="18" t="s">
        <v>160</v>
      </c>
      <c r="E306" s="18" t="s">
        <v>11</v>
      </c>
      <c r="F306" s="18">
        <v>1</v>
      </c>
      <c r="G306" s="19">
        <v>359422</v>
      </c>
      <c r="H306" s="19">
        <v>363100</v>
      </c>
      <c r="I306" s="18" t="s">
        <v>22</v>
      </c>
      <c r="J306" s="29" t="str">
        <f t="shared" si="24"/>
        <v>Tue</v>
      </c>
      <c r="K306" s="29" t="b">
        <f t="shared" si="25"/>
        <v>0</v>
      </c>
      <c r="L306" s="29" t="b">
        <f t="shared" si="26"/>
        <v>0</v>
      </c>
      <c r="M306" s="29" t="b">
        <f t="shared" si="29"/>
        <v>1</v>
      </c>
      <c r="N306" s="29" cm="1">
        <f t="array" ref="N306">_xlfn.IFS(
  E306="Airlines 1", IF(K306, F306*0.04, 0),
  E306="Airlines 2", P306,
  E306="Airlines 3", IF(L306, 20000*F306, 0),
  E306="Airlines 4", IF(M306, 15000*F306, 0),
  E306="Airlines 5",
    IF(F306&lt;50000000, F306*0.01,
      IF(F306&lt;100000000, F306*0.02,
        IF(F306&lt;200000000, F306*0.03, F306*0.035))),
  TRUE, 0
)</f>
        <v>0</v>
      </c>
      <c r="O306" s="29">
        <f t="shared" si="27"/>
        <v>0</v>
      </c>
      <c r="P306" s="29">
        <f t="shared" si="28"/>
        <v>0</v>
      </c>
      <c r="Q306" s="30" cm="1">
        <f t="array" ref="Q306">_xlfn.SWITCH(I306, "Method 1", 0, "Method 2", H306*0.03, "Method 3", 4000, "Method 4", 3000, 0)</f>
        <v>0</v>
      </c>
    </row>
    <row r="307" spans="1:17">
      <c r="A307" s="24">
        <v>53199379</v>
      </c>
      <c r="B307" s="17">
        <v>42283</v>
      </c>
      <c r="C307" s="17">
        <v>42284</v>
      </c>
      <c r="D307" s="18" t="s">
        <v>137</v>
      </c>
      <c r="E307" s="18" t="s">
        <v>11</v>
      </c>
      <c r="F307" s="18">
        <v>2</v>
      </c>
      <c r="G307" s="19">
        <v>1002480</v>
      </c>
      <c r="H307" s="19">
        <v>996400</v>
      </c>
      <c r="I307" s="18" t="s">
        <v>22</v>
      </c>
      <c r="J307" s="29" t="str">
        <f t="shared" si="24"/>
        <v>Tue</v>
      </c>
      <c r="K307" s="29" t="b">
        <f t="shared" si="25"/>
        <v>0</v>
      </c>
      <c r="L307" s="29" t="b">
        <f t="shared" si="26"/>
        <v>0</v>
      </c>
      <c r="M307" s="29" t="b">
        <f t="shared" si="29"/>
        <v>1</v>
      </c>
      <c r="N307" s="29" cm="1">
        <f t="array" ref="N307">_xlfn.IFS(
  E307="Airlines 1", IF(K307, F307*0.04, 0),
  E307="Airlines 2", P307,
  E307="Airlines 3", IF(L307, 20000*F307, 0),
  E307="Airlines 4", IF(M307, 15000*F307, 0),
  E307="Airlines 5",
    IF(F307&lt;50000000, F307*0.01,
      IF(F307&lt;100000000, F307*0.02,
        IF(F307&lt;200000000, F307*0.03, F307*0.035))),
  TRUE, 0
)</f>
        <v>0</v>
      </c>
      <c r="O307" s="29">
        <f t="shared" si="27"/>
        <v>0</v>
      </c>
      <c r="P307" s="29">
        <f t="shared" si="28"/>
        <v>0</v>
      </c>
      <c r="Q307" s="30" cm="1">
        <f t="array" ref="Q307">_xlfn.SWITCH(I307, "Method 1", 0, "Method 2", H307*0.03, "Method 3", 4000, "Method 4", 3000, 0)</f>
        <v>0</v>
      </c>
    </row>
    <row r="308" spans="1:17">
      <c r="A308" s="24">
        <v>53199343</v>
      </c>
      <c r="B308" s="17">
        <v>42283</v>
      </c>
      <c r="C308" s="17">
        <v>42284</v>
      </c>
      <c r="D308" s="18" t="s">
        <v>41</v>
      </c>
      <c r="E308" s="18" t="s">
        <v>11</v>
      </c>
      <c r="F308" s="18">
        <v>1</v>
      </c>
      <c r="G308" s="19">
        <v>868900</v>
      </c>
      <c r="H308" s="19">
        <v>864000</v>
      </c>
      <c r="I308" s="18" t="s">
        <v>22</v>
      </c>
      <c r="J308" s="29" t="str">
        <f t="shared" si="24"/>
        <v>Tue</v>
      </c>
      <c r="K308" s="29" t="b">
        <f t="shared" si="25"/>
        <v>0</v>
      </c>
      <c r="L308" s="29" t="b">
        <f t="shared" si="26"/>
        <v>0</v>
      </c>
      <c r="M308" s="29" t="b">
        <f t="shared" si="29"/>
        <v>1</v>
      </c>
      <c r="N308" s="29" cm="1">
        <f t="array" ref="N308">_xlfn.IFS(
  E308="Airlines 1", IF(K308, F308*0.04, 0),
  E308="Airlines 2", P308,
  E308="Airlines 3", IF(L308, 20000*F308, 0),
  E308="Airlines 4", IF(M308, 15000*F308, 0),
  E308="Airlines 5",
    IF(F308&lt;50000000, F308*0.01,
      IF(F308&lt;100000000, F308*0.02,
        IF(F308&lt;200000000, F308*0.03, F308*0.035))),
  TRUE, 0
)</f>
        <v>0</v>
      </c>
      <c r="O308" s="29">
        <f t="shared" si="27"/>
        <v>0</v>
      </c>
      <c r="P308" s="29">
        <f t="shared" si="28"/>
        <v>0</v>
      </c>
      <c r="Q308" s="30" cm="1">
        <f t="array" ref="Q308">_xlfn.SWITCH(I308, "Method 1", 0, "Method 2", H308*0.03, "Method 3", 4000, "Method 4", 3000, 0)</f>
        <v>0</v>
      </c>
    </row>
    <row r="309" spans="1:17">
      <c r="A309" s="24">
        <v>53199210</v>
      </c>
      <c r="B309" s="17">
        <v>42283</v>
      </c>
      <c r="C309" s="17">
        <v>42283</v>
      </c>
      <c r="D309" s="18" t="s">
        <v>161</v>
      </c>
      <c r="E309" s="18" t="s">
        <v>11</v>
      </c>
      <c r="F309" s="18">
        <v>2</v>
      </c>
      <c r="G309" s="19">
        <v>1971872</v>
      </c>
      <c r="H309" s="19">
        <v>1991800</v>
      </c>
      <c r="I309" s="18" t="s">
        <v>22</v>
      </c>
      <c r="J309" s="29" t="str">
        <f t="shared" si="24"/>
        <v>Tue</v>
      </c>
      <c r="K309" s="29" t="b">
        <f t="shared" si="25"/>
        <v>0</v>
      </c>
      <c r="L309" s="29" t="b">
        <f t="shared" si="26"/>
        <v>0</v>
      </c>
      <c r="M309" s="29" t="b">
        <f t="shared" si="29"/>
        <v>1</v>
      </c>
      <c r="N309" s="29" cm="1">
        <f t="array" ref="N309">_xlfn.IFS(
  E309="Airlines 1", IF(K309, F309*0.04, 0),
  E309="Airlines 2", P309,
  E309="Airlines 3", IF(L309, 20000*F309, 0),
  E309="Airlines 4", IF(M309, 15000*F309, 0),
  E309="Airlines 5",
    IF(F309&lt;50000000, F309*0.01,
      IF(F309&lt;100000000, F309*0.02,
        IF(F309&lt;200000000, F309*0.03, F309*0.035))),
  TRUE, 0
)</f>
        <v>0</v>
      </c>
      <c r="O309" s="29">
        <f t="shared" si="27"/>
        <v>0</v>
      </c>
      <c r="P309" s="29">
        <f t="shared" si="28"/>
        <v>0</v>
      </c>
      <c r="Q309" s="30" cm="1">
        <f t="array" ref="Q309">_xlfn.SWITCH(I309, "Method 1", 0, "Method 2", H309*0.03, "Method 3", 4000, "Method 4", 3000, 0)</f>
        <v>0</v>
      </c>
    </row>
    <row r="310" spans="1:17">
      <c r="A310" s="24">
        <v>53199378</v>
      </c>
      <c r="B310" s="17">
        <v>42283</v>
      </c>
      <c r="C310" s="17">
        <v>42297</v>
      </c>
      <c r="D310" s="18" t="s">
        <v>162</v>
      </c>
      <c r="E310" s="18" t="s">
        <v>11</v>
      </c>
      <c r="F310" s="18">
        <v>1</v>
      </c>
      <c r="G310" s="19">
        <v>743900</v>
      </c>
      <c r="H310" s="19">
        <v>739600</v>
      </c>
      <c r="I310" s="18" t="s">
        <v>24</v>
      </c>
      <c r="J310" s="29" t="str">
        <f t="shared" si="24"/>
        <v>Tue</v>
      </c>
      <c r="K310" s="29" t="b">
        <f t="shared" si="25"/>
        <v>0</v>
      </c>
      <c r="L310" s="29" t="b">
        <f t="shared" si="26"/>
        <v>0</v>
      </c>
      <c r="M310" s="29" t="b">
        <f t="shared" si="29"/>
        <v>1</v>
      </c>
      <c r="N310" s="29" cm="1">
        <f t="array" ref="N310">_xlfn.IFS(
  E310="Airlines 1", IF(K310, F310*0.04, 0),
  E310="Airlines 2", P310,
  E310="Airlines 3", IF(L310, 20000*F310, 0),
  E310="Airlines 4", IF(M310, 15000*F310, 0),
  E310="Airlines 5",
    IF(F310&lt;50000000, F310*0.01,
      IF(F310&lt;100000000, F310*0.02,
        IF(F310&lt;200000000, F310*0.03, F310*0.035))),
  TRUE, 0
)</f>
        <v>0</v>
      </c>
      <c r="O310" s="29">
        <f t="shared" si="27"/>
        <v>0</v>
      </c>
      <c r="P310" s="29">
        <f t="shared" si="28"/>
        <v>0</v>
      </c>
      <c r="Q310" s="30" cm="1">
        <f t="array" ref="Q310">_xlfn.SWITCH(I310, "Method 1", 0, "Method 2", H310*0.03, "Method 3", 4000, "Method 4", 3000, 0)</f>
        <v>22188</v>
      </c>
    </row>
    <row r="311" spans="1:17">
      <c r="A311" s="24">
        <v>53199267</v>
      </c>
      <c r="B311" s="17">
        <v>42284</v>
      </c>
      <c r="C311" s="17">
        <v>42287</v>
      </c>
      <c r="D311" s="18" t="s">
        <v>41</v>
      </c>
      <c r="E311" s="18" t="s">
        <v>11</v>
      </c>
      <c r="F311" s="18">
        <v>2</v>
      </c>
      <c r="G311" s="19">
        <v>1737800</v>
      </c>
      <c r="H311" s="19">
        <v>1728000</v>
      </c>
      <c r="I311" s="18" t="s">
        <v>22</v>
      </c>
      <c r="J311" s="29" t="str">
        <f t="shared" si="24"/>
        <v>Wed</v>
      </c>
      <c r="K311" s="29" t="b">
        <f t="shared" si="25"/>
        <v>0</v>
      </c>
      <c r="L311" s="29" t="b">
        <f t="shared" si="26"/>
        <v>0</v>
      </c>
      <c r="M311" s="29" t="b">
        <f t="shared" si="29"/>
        <v>1</v>
      </c>
      <c r="N311" s="29" cm="1">
        <f t="array" ref="N311">_xlfn.IFS(
  E311="Airlines 1", IF(K311, F311*0.04, 0),
  E311="Airlines 2", P311,
  E311="Airlines 3", IF(L311, 20000*F311, 0),
  E311="Airlines 4", IF(M311, 15000*F311, 0),
  E311="Airlines 5",
    IF(F311&lt;50000000, F311*0.01,
      IF(F311&lt;100000000, F311*0.02,
        IF(F311&lt;200000000, F311*0.03, F311*0.035))),
  TRUE, 0
)</f>
        <v>0</v>
      </c>
      <c r="O311" s="29">
        <f t="shared" si="27"/>
        <v>0</v>
      </c>
      <c r="P311" s="29">
        <f t="shared" si="28"/>
        <v>0</v>
      </c>
      <c r="Q311" s="30" cm="1">
        <f t="array" ref="Q311">_xlfn.SWITCH(I311, "Method 1", 0, "Method 2", H311*0.03, "Method 3", 4000, "Method 4", 3000, 0)</f>
        <v>0</v>
      </c>
    </row>
    <row r="312" spans="1:17">
      <c r="A312" s="24">
        <v>53199380</v>
      </c>
      <c r="B312" s="17">
        <v>42284</v>
      </c>
      <c r="C312" s="17">
        <v>42286</v>
      </c>
      <c r="D312" s="18" t="s">
        <v>74</v>
      </c>
      <c r="E312" s="18" t="s">
        <v>11</v>
      </c>
      <c r="F312" s="18">
        <v>1</v>
      </c>
      <c r="G312" s="19">
        <v>439000</v>
      </c>
      <c r="H312" s="19">
        <v>437900</v>
      </c>
      <c r="I312" s="18" t="s">
        <v>22</v>
      </c>
      <c r="J312" s="29" t="str">
        <f t="shared" si="24"/>
        <v>Wed</v>
      </c>
      <c r="K312" s="29" t="b">
        <f t="shared" si="25"/>
        <v>0</v>
      </c>
      <c r="L312" s="29" t="b">
        <f t="shared" si="26"/>
        <v>0</v>
      </c>
      <c r="M312" s="29" t="b">
        <f t="shared" si="29"/>
        <v>1</v>
      </c>
      <c r="N312" s="29" cm="1">
        <f t="array" ref="N312">_xlfn.IFS(
  E312="Airlines 1", IF(K312, F312*0.04, 0),
  E312="Airlines 2", P312,
  E312="Airlines 3", IF(L312, 20000*F312, 0),
  E312="Airlines 4", IF(M312, 15000*F312, 0),
  E312="Airlines 5",
    IF(F312&lt;50000000, F312*0.01,
      IF(F312&lt;100000000, F312*0.02,
        IF(F312&lt;200000000, F312*0.03, F312*0.035))),
  TRUE, 0
)</f>
        <v>0</v>
      </c>
      <c r="O312" s="29">
        <f t="shared" si="27"/>
        <v>0</v>
      </c>
      <c r="P312" s="29">
        <f t="shared" si="28"/>
        <v>0</v>
      </c>
      <c r="Q312" s="30" cm="1">
        <f t="array" ref="Q312">_xlfn.SWITCH(I312, "Method 1", 0, "Method 2", H312*0.03, "Method 3", 4000, "Method 4", 3000, 0)</f>
        <v>0</v>
      </c>
    </row>
    <row r="313" spans="1:17">
      <c r="A313" s="24">
        <v>53199373</v>
      </c>
      <c r="B313" s="17">
        <v>42284</v>
      </c>
      <c r="C313" s="17">
        <v>42285</v>
      </c>
      <c r="D313" s="18" t="s">
        <v>108</v>
      </c>
      <c r="E313" s="18" t="s">
        <v>11</v>
      </c>
      <c r="F313" s="18">
        <v>1</v>
      </c>
      <c r="G313" s="19">
        <v>459165</v>
      </c>
      <c r="H313" s="19">
        <v>456300</v>
      </c>
      <c r="I313" s="18" t="s">
        <v>22</v>
      </c>
      <c r="J313" s="29" t="str">
        <f t="shared" si="24"/>
        <v>Wed</v>
      </c>
      <c r="K313" s="29" t="b">
        <f t="shared" si="25"/>
        <v>0</v>
      </c>
      <c r="L313" s="29" t="b">
        <f t="shared" si="26"/>
        <v>0</v>
      </c>
      <c r="M313" s="29" t="b">
        <f t="shared" si="29"/>
        <v>1</v>
      </c>
      <c r="N313" s="29" cm="1">
        <f t="array" ref="N313">_xlfn.IFS(
  E313="Airlines 1", IF(K313, F313*0.04, 0),
  E313="Airlines 2", P313,
  E313="Airlines 3", IF(L313, 20000*F313, 0),
  E313="Airlines 4", IF(M313, 15000*F313, 0),
  E313="Airlines 5",
    IF(F313&lt;50000000, F313*0.01,
      IF(F313&lt;100000000, F313*0.02,
        IF(F313&lt;200000000, F313*0.03, F313*0.035))),
  TRUE, 0
)</f>
        <v>0</v>
      </c>
      <c r="O313" s="29">
        <f t="shared" si="27"/>
        <v>0</v>
      </c>
      <c r="P313" s="29">
        <f t="shared" si="28"/>
        <v>0</v>
      </c>
      <c r="Q313" s="30" cm="1">
        <f t="array" ref="Q313">_xlfn.SWITCH(I313, "Method 1", 0, "Method 2", H313*0.03, "Method 3", 4000, "Method 4", 3000, 0)</f>
        <v>0</v>
      </c>
    </row>
    <row r="314" spans="1:17">
      <c r="A314" s="24">
        <v>53199329</v>
      </c>
      <c r="B314" s="17">
        <v>42284</v>
      </c>
      <c r="C314" s="17">
        <v>42408</v>
      </c>
      <c r="D314" s="18" t="s">
        <v>113</v>
      </c>
      <c r="E314" s="18" t="s">
        <v>11</v>
      </c>
      <c r="F314" s="18">
        <v>1</v>
      </c>
      <c r="G314" s="19">
        <v>821064</v>
      </c>
      <c r="H314" s="19">
        <v>829300</v>
      </c>
      <c r="I314" s="18" t="s">
        <v>24</v>
      </c>
      <c r="J314" s="29" t="str">
        <f t="shared" si="24"/>
        <v>Wed</v>
      </c>
      <c r="K314" s="29" t="b">
        <f t="shared" si="25"/>
        <v>0</v>
      </c>
      <c r="L314" s="29" t="b">
        <f t="shared" si="26"/>
        <v>0</v>
      </c>
      <c r="M314" s="29" t="b">
        <f t="shared" si="29"/>
        <v>1</v>
      </c>
      <c r="N314" s="29" cm="1">
        <f t="array" ref="N314">_xlfn.IFS(
  E314="Airlines 1", IF(K314, F314*0.04, 0),
  E314="Airlines 2", P314,
  E314="Airlines 3", IF(L314, 20000*F314, 0),
  E314="Airlines 4", IF(M314, 15000*F314, 0),
  E314="Airlines 5",
    IF(F314&lt;50000000, F314*0.01,
      IF(F314&lt;100000000, F314*0.02,
        IF(F314&lt;200000000, F314*0.03, F314*0.035))),
  TRUE, 0
)</f>
        <v>0</v>
      </c>
      <c r="O314" s="29">
        <f t="shared" si="27"/>
        <v>0</v>
      </c>
      <c r="P314" s="29">
        <f t="shared" si="28"/>
        <v>0</v>
      </c>
      <c r="Q314" s="30" cm="1">
        <f t="array" ref="Q314">_xlfn.SWITCH(I314, "Method 1", 0, "Method 2", H314*0.03, "Method 3", 4000, "Method 4", 3000, 0)</f>
        <v>24879</v>
      </c>
    </row>
    <row r="315" spans="1:17">
      <c r="A315" s="24">
        <v>53199011</v>
      </c>
      <c r="B315" s="17">
        <v>42284</v>
      </c>
      <c r="C315" s="17">
        <v>42287</v>
      </c>
      <c r="D315" s="18" t="s">
        <v>108</v>
      </c>
      <c r="E315" s="18" t="s">
        <v>11</v>
      </c>
      <c r="F315" s="18">
        <v>1</v>
      </c>
      <c r="G315" s="19">
        <v>459165</v>
      </c>
      <c r="H315" s="19">
        <v>456300</v>
      </c>
      <c r="I315" s="18" t="s">
        <v>26</v>
      </c>
      <c r="J315" s="29" t="str">
        <f t="shared" si="24"/>
        <v>Wed</v>
      </c>
      <c r="K315" s="29" t="b">
        <f t="shared" si="25"/>
        <v>0</v>
      </c>
      <c r="L315" s="29" t="b">
        <f t="shared" si="26"/>
        <v>0</v>
      </c>
      <c r="M315" s="29" t="b">
        <f t="shared" si="29"/>
        <v>1</v>
      </c>
      <c r="N315" s="29" cm="1">
        <f t="array" ref="N315">_xlfn.IFS(
  E315="Airlines 1", IF(K315, F315*0.04, 0),
  E315="Airlines 2", P315,
  E315="Airlines 3", IF(L315, 20000*F315, 0),
  E315="Airlines 4", IF(M315, 15000*F315, 0),
  E315="Airlines 5",
    IF(F315&lt;50000000, F315*0.01,
      IF(F315&lt;100000000, F315*0.02,
        IF(F315&lt;200000000, F315*0.03, F315*0.035))),
  TRUE, 0
)</f>
        <v>0</v>
      </c>
      <c r="O315" s="29">
        <f t="shared" si="27"/>
        <v>0</v>
      </c>
      <c r="P315" s="29">
        <f t="shared" si="28"/>
        <v>0</v>
      </c>
      <c r="Q315" s="30" cm="1">
        <f t="array" ref="Q315">_xlfn.SWITCH(I315, "Method 1", 0, "Method 2", H315*0.03, "Method 3", 4000, "Method 4", 3000, 0)</f>
        <v>4000</v>
      </c>
    </row>
    <row r="316" spans="1:17">
      <c r="A316" s="24">
        <v>53199387</v>
      </c>
      <c r="B316" s="17">
        <v>42284</v>
      </c>
      <c r="C316" s="17">
        <v>42285</v>
      </c>
      <c r="D316" s="18" t="s">
        <v>83</v>
      </c>
      <c r="E316" s="18" t="s">
        <v>11</v>
      </c>
      <c r="F316" s="18">
        <v>2</v>
      </c>
      <c r="G316" s="19">
        <v>1102480</v>
      </c>
      <c r="H316" s="19">
        <v>1095800</v>
      </c>
      <c r="I316" s="18" t="s">
        <v>24</v>
      </c>
      <c r="J316" s="29" t="str">
        <f t="shared" si="24"/>
        <v>Wed</v>
      </c>
      <c r="K316" s="29" t="b">
        <f t="shared" si="25"/>
        <v>0</v>
      </c>
      <c r="L316" s="29" t="b">
        <f t="shared" si="26"/>
        <v>0</v>
      </c>
      <c r="M316" s="29" t="b">
        <f t="shared" si="29"/>
        <v>1</v>
      </c>
      <c r="N316" s="29" cm="1">
        <f t="array" ref="N316">_xlfn.IFS(
  E316="Airlines 1", IF(K316, F316*0.04, 0),
  E316="Airlines 2", P316,
  E316="Airlines 3", IF(L316, 20000*F316, 0),
  E316="Airlines 4", IF(M316, 15000*F316, 0),
  E316="Airlines 5",
    IF(F316&lt;50000000, F316*0.01,
      IF(F316&lt;100000000, F316*0.02,
        IF(F316&lt;200000000, F316*0.03, F316*0.035))),
  TRUE, 0
)</f>
        <v>0</v>
      </c>
      <c r="O316" s="29">
        <f t="shared" si="27"/>
        <v>0</v>
      </c>
      <c r="P316" s="29">
        <f t="shared" si="28"/>
        <v>0</v>
      </c>
      <c r="Q316" s="30" cm="1">
        <f t="array" ref="Q316">_xlfn.SWITCH(I316, "Method 1", 0, "Method 2", H316*0.03, "Method 3", 4000, "Method 4", 3000, 0)</f>
        <v>32874</v>
      </c>
    </row>
    <row r="317" spans="1:17">
      <c r="A317" s="24">
        <v>53199336</v>
      </c>
      <c r="B317" s="17">
        <v>42284</v>
      </c>
      <c r="C317" s="17">
        <v>42300</v>
      </c>
      <c r="D317" s="18" t="s">
        <v>175</v>
      </c>
      <c r="E317" s="18" t="s">
        <v>11</v>
      </c>
      <c r="F317" s="18">
        <v>1</v>
      </c>
      <c r="G317" s="19">
        <v>1144214</v>
      </c>
      <c r="H317" s="19">
        <v>1153752</v>
      </c>
      <c r="I317" s="18" t="s">
        <v>26</v>
      </c>
      <c r="J317" s="29" t="str">
        <f t="shared" si="24"/>
        <v>Wed</v>
      </c>
      <c r="K317" s="29" t="b">
        <f t="shared" si="25"/>
        <v>0</v>
      </c>
      <c r="L317" s="29" t="b">
        <f t="shared" si="26"/>
        <v>0</v>
      </c>
      <c r="M317" s="29" t="b">
        <f t="shared" si="29"/>
        <v>1</v>
      </c>
      <c r="N317" s="29" cm="1">
        <f t="array" ref="N317">_xlfn.IFS(
  E317="Airlines 1", IF(K317, F317*0.04, 0),
  E317="Airlines 2", P317,
  E317="Airlines 3", IF(L317, 20000*F317, 0),
  E317="Airlines 4", IF(M317, 15000*F317, 0),
  E317="Airlines 5",
    IF(F317&lt;50000000, F317*0.01,
      IF(F317&lt;100000000, F317*0.02,
        IF(F317&lt;200000000, F317*0.03, F317*0.035))),
  TRUE, 0
)</f>
        <v>0</v>
      </c>
      <c r="O317" s="29">
        <f t="shared" si="27"/>
        <v>0</v>
      </c>
      <c r="P317" s="29">
        <f t="shared" si="28"/>
        <v>0</v>
      </c>
      <c r="Q317" s="30" cm="1">
        <f t="array" ref="Q317">_xlfn.SWITCH(I317, "Method 1", 0, "Method 2", H317*0.03, "Method 3", 4000, "Method 4", 3000, 0)</f>
        <v>4000</v>
      </c>
    </row>
    <row r="318" spans="1:17">
      <c r="A318" s="24">
        <v>53199412</v>
      </c>
      <c r="B318" s="17">
        <v>42284</v>
      </c>
      <c r="C318" s="17">
        <v>42285</v>
      </c>
      <c r="D318" s="18" t="s">
        <v>62</v>
      </c>
      <c r="E318" s="18" t="s">
        <v>11</v>
      </c>
      <c r="F318" s="18">
        <v>1</v>
      </c>
      <c r="G318" s="19">
        <v>503337</v>
      </c>
      <c r="H318" s="19">
        <v>500300</v>
      </c>
      <c r="I318" s="18" t="s">
        <v>24</v>
      </c>
      <c r="J318" s="29" t="str">
        <f t="shared" si="24"/>
        <v>Wed</v>
      </c>
      <c r="K318" s="29" t="b">
        <f t="shared" si="25"/>
        <v>0</v>
      </c>
      <c r="L318" s="29" t="b">
        <f t="shared" si="26"/>
        <v>1</v>
      </c>
      <c r="M318" s="29" t="b">
        <f t="shared" si="29"/>
        <v>1</v>
      </c>
      <c r="N318" s="29" cm="1">
        <f t="array" ref="N318">_xlfn.IFS(
  E318="Airlines 1", IF(K318, F318*0.04, 0),
  E318="Airlines 2", P318,
  E318="Airlines 3", IF(L318, 20000*F318, 0),
  E318="Airlines 4", IF(M318, 15000*F318, 0),
  E318="Airlines 5",
    IF(F318&lt;50000000, F318*0.01,
      IF(F318&lt;100000000, F318*0.02,
        IF(F318&lt;200000000, F318*0.03, F318*0.035))),
  TRUE, 0
)</f>
        <v>20000</v>
      </c>
      <c r="O318" s="29">
        <f t="shared" si="27"/>
        <v>0</v>
      </c>
      <c r="P318" s="29">
        <f t="shared" si="28"/>
        <v>0</v>
      </c>
      <c r="Q318" s="30" cm="1">
        <f t="array" ref="Q318">_xlfn.SWITCH(I318, "Method 1", 0, "Method 2", H318*0.03, "Method 3", 4000, "Method 4", 3000, 0)</f>
        <v>15009</v>
      </c>
    </row>
    <row r="319" spans="1:17">
      <c r="A319" s="24">
        <v>53199480</v>
      </c>
      <c r="B319" s="17">
        <v>42284</v>
      </c>
      <c r="C319" s="17">
        <v>42348</v>
      </c>
      <c r="D319" s="18" t="s">
        <v>87</v>
      </c>
      <c r="E319" s="18" t="s">
        <v>11</v>
      </c>
      <c r="F319" s="18">
        <v>3</v>
      </c>
      <c r="G319" s="19">
        <v>1439979</v>
      </c>
      <c r="H319" s="19">
        <v>1432500</v>
      </c>
      <c r="I319" s="18" t="s">
        <v>22</v>
      </c>
      <c r="J319" s="29" t="str">
        <f t="shared" si="24"/>
        <v>Wed</v>
      </c>
      <c r="K319" s="29" t="b">
        <f t="shared" si="25"/>
        <v>0</v>
      </c>
      <c r="L319" s="29" t="b">
        <f t="shared" si="26"/>
        <v>0</v>
      </c>
      <c r="M319" s="29" t="b">
        <f t="shared" si="29"/>
        <v>1</v>
      </c>
      <c r="N319" s="29" cm="1">
        <f t="array" ref="N319">_xlfn.IFS(
  E319="Airlines 1", IF(K319, F319*0.04, 0),
  E319="Airlines 2", P319,
  E319="Airlines 3", IF(L319, 20000*F319, 0),
  E319="Airlines 4", IF(M319, 15000*F319, 0),
  E319="Airlines 5",
    IF(F319&lt;50000000, F319*0.01,
      IF(F319&lt;100000000, F319*0.02,
        IF(F319&lt;200000000, F319*0.03, F319*0.035))),
  TRUE, 0
)</f>
        <v>0</v>
      </c>
      <c r="O319" s="29">
        <f t="shared" si="27"/>
        <v>0</v>
      </c>
      <c r="P319" s="29">
        <f t="shared" si="28"/>
        <v>0</v>
      </c>
      <c r="Q319" s="30" cm="1">
        <f t="array" ref="Q319">_xlfn.SWITCH(I319, "Method 1", 0, "Method 2", H319*0.03, "Method 3", 4000, "Method 4", 3000, 0)</f>
        <v>0</v>
      </c>
    </row>
    <row r="320" spans="1:17">
      <c r="A320" s="24">
        <v>53199488</v>
      </c>
      <c r="B320" s="17">
        <v>42284</v>
      </c>
      <c r="C320" s="17">
        <v>42291</v>
      </c>
      <c r="D320" s="18" t="s">
        <v>48</v>
      </c>
      <c r="E320" s="18" t="s">
        <v>11</v>
      </c>
      <c r="F320" s="18">
        <v>1</v>
      </c>
      <c r="G320" s="19">
        <v>584620</v>
      </c>
      <c r="H320" s="19">
        <v>581700</v>
      </c>
      <c r="I320" s="18" t="s">
        <v>22</v>
      </c>
      <c r="J320" s="29" t="str">
        <f t="shared" si="24"/>
        <v>Wed</v>
      </c>
      <c r="K320" s="29" t="b">
        <f t="shared" si="25"/>
        <v>0</v>
      </c>
      <c r="L320" s="29" t="b">
        <f t="shared" si="26"/>
        <v>0</v>
      </c>
      <c r="M320" s="29" t="b">
        <f t="shared" si="29"/>
        <v>1</v>
      </c>
      <c r="N320" s="29" cm="1">
        <f t="array" ref="N320">_xlfn.IFS(
  E320="Airlines 1", IF(K320, F320*0.04, 0),
  E320="Airlines 2", P320,
  E320="Airlines 3", IF(L320, 20000*F320, 0),
  E320="Airlines 4", IF(M320, 15000*F320, 0),
  E320="Airlines 5",
    IF(F320&lt;50000000, F320*0.01,
      IF(F320&lt;100000000, F320*0.02,
        IF(F320&lt;200000000, F320*0.03, F320*0.035))),
  TRUE, 0
)</f>
        <v>0</v>
      </c>
      <c r="O320" s="29">
        <f t="shared" si="27"/>
        <v>0</v>
      </c>
      <c r="P320" s="29">
        <f t="shared" si="28"/>
        <v>0</v>
      </c>
      <c r="Q320" s="30" cm="1">
        <f t="array" ref="Q320">_xlfn.SWITCH(I320, "Method 1", 0, "Method 2", H320*0.03, "Method 3", 4000, "Method 4", 3000, 0)</f>
        <v>0</v>
      </c>
    </row>
    <row r="321" spans="1:17">
      <c r="A321" s="24">
        <v>53199429</v>
      </c>
      <c r="B321" s="17">
        <v>42284</v>
      </c>
      <c r="C321" s="17">
        <v>42310</v>
      </c>
      <c r="D321" s="18" t="s">
        <v>176</v>
      </c>
      <c r="E321" s="18" t="s">
        <v>11</v>
      </c>
      <c r="F321" s="18">
        <v>1</v>
      </c>
      <c r="G321" s="19">
        <v>1529000</v>
      </c>
      <c r="H321" s="19">
        <v>1528900</v>
      </c>
      <c r="I321" s="18" t="s">
        <v>22</v>
      </c>
      <c r="J321" s="29" t="str">
        <f t="shared" si="24"/>
        <v>Wed</v>
      </c>
      <c r="K321" s="29" t="b">
        <f t="shared" si="25"/>
        <v>0</v>
      </c>
      <c r="L321" s="29" t="b">
        <f t="shared" si="26"/>
        <v>0</v>
      </c>
      <c r="M321" s="29" t="b">
        <f t="shared" si="29"/>
        <v>1</v>
      </c>
      <c r="N321" s="29" cm="1">
        <f t="array" ref="N321">_xlfn.IFS(
  E321="Airlines 1", IF(K321, F321*0.04, 0),
  E321="Airlines 2", P321,
  E321="Airlines 3", IF(L321, 20000*F321, 0),
  E321="Airlines 4", IF(M321, 15000*F321, 0),
  E321="Airlines 5",
    IF(F321&lt;50000000, F321*0.01,
      IF(F321&lt;100000000, F321*0.02,
        IF(F321&lt;200000000, F321*0.03, F321*0.035))),
  TRUE, 0
)</f>
        <v>0</v>
      </c>
      <c r="O321" s="29">
        <f t="shared" si="27"/>
        <v>0</v>
      </c>
      <c r="P321" s="29">
        <f t="shared" si="28"/>
        <v>0</v>
      </c>
      <c r="Q321" s="30" cm="1">
        <f t="array" ref="Q321">_xlfn.SWITCH(I321, "Method 1", 0, "Method 2", H321*0.03, "Method 3", 4000, "Method 4", 3000, 0)</f>
        <v>0</v>
      </c>
    </row>
    <row r="322" spans="1:17">
      <c r="A322" s="24">
        <v>53199474</v>
      </c>
      <c r="B322" s="17">
        <v>42286</v>
      </c>
      <c r="C322" s="17">
        <v>42291</v>
      </c>
      <c r="D322" s="18" t="s">
        <v>87</v>
      </c>
      <c r="E322" s="18" t="s">
        <v>11</v>
      </c>
      <c r="F322" s="18">
        <v>1</v>
      </c>
      <c r="G322" s="19">
        <v>479993</v>
      </c>
      <c r="H322" s="19">
        <v>477500</v>
      </c>
      <c r="I322" s="18" t="s">
        <v>22</v>
      </c>
      <c r="J322" s="29" t="str">
        <f t="shared" si="24"/>
        <v>Fri</v>
      </c>
      <c r="K322" s="29" t="b">
        <f t="shared" si="25"/>
        <v>0</v>
      </c>
      <c r="L322" s="29" t="b">
        <f t="shared" si="26"/>
        <v>0</v>
      </c>
      <c r="M322" s="29" t="b">
        <f t="shared" si="29"/>
        <v>1</v>
      </c>
      <c r="N322" s="29" cm="1">
        <f t="array" ref="N322">_xlfn.IFS(
  E322="Airlines 1", IF(K322, F322*0.04, 0),
  E322="Airlines 2", P322,
  E322="Airlines 3", IF(L322, 20000*F322, 0),
  E322="Airlines 4", IF(M322, 15000*F322, 0),
  E322="Airlines 5",
    IF(F322&lt;50000000, F322*0.01,
      IF(F322&lt;100000000, F322*0.02,
        IF(F322&lt;200000000, F322*0.03, F322*0.035))),
  TRUE, 0
)</f>
        <v>0</v>
      </c>
      <c r="O322" s="29">
        <f t="shared" si="27"/>
        <v>0</v>
      </c>
      <c r="P322" s="29">
        <f t="shared" si="28"/>
        <v>0</v>
      </c>
      <c r="Q322" s="30" cm="1">
        <f t="array" ref="Q322">_xlfn.SWITCH(I322, "Method 1", 0, "Method 2", H322*0.03, "Method 3", 4000, "Method 4", 3000, 0)</f>
        <v>0</v>
      </c>
    </row>
    <row r="323" spans="1:17">
      <c r="A323" s="24">
        <v>53199471</v>
      </c>
      <c r="B323" s="17">
        <v>42286</v>
      </c>
      <c r="C323" s="17">
        <v>42287</v>
      </c>
      <c r="D323" s="18" t="s">
        <v>113</v>
      </c>
      <c r="E323" s="18" t="s">
        <v>11</v>
      </c>
      <c r="F323" s="18">
        <v>1</v>
      </c>
      <c r="G323" s="19">
        <v>903500</v>
      </c>
      <c r="H323" s="19">
        <v>910752</v>
      </c>
      <c r="I323" s="18" t="s">
        <v>22</v>
      </c>
      <c r="J323" s="29" t="str">
        <f t="shared" si="24"/>
        <v>Fri</v>
      </c>
      <c r="K323" s="29" t="b">
        <f t="shared" si="25"/>
        <v>0</v>
      </c>
      <c r="L323" s="29" t="b">
        <f t="shared" si="26"/>
        <v>0</v>
      </c>
      <c r="M323" s="29" t="b">
        <f t="shared" si="29"/>
        <v>1</v>
      </c>
      <c r="N323" s="29" cm="1">
        <f t="array" ref="N323">_xlfn.IFS(
  E323="Airlines 1", IF(K323, F323*0.04, 0),
  E323="Airlines 2", P323,
  E323="Airlines 3", IF(L323, 20000*F323, 0),
  E323="Airlines 4", IF(M323, 15000*F323, 0),
  E323="Airlines 5",
    IF(F323&lt;50000000, F323*0.01,
      IF(F323&lt;100000000, F323*0.02,
        IF(F323&lt;200000000, F323*0.03, F323*0.035))),
  TRUE, 0
)</f>
        <v>0</v>
      </c>
      <c r="O323" s="29">
        <f t="shared" si="27"/>
        <v>0</v>
      </c>
      <c r="P323" s="29">
        <f t="shared" si="28"/>
        <v>0</v>
      </c>
      <c r="Q323" s="30" cm="1">
        <f t="array" ref="Q323">_xlfn.SWITCH(I323, "Method 1", 0, "Method 2", H323*0.03, "Method 3", 4000, "Method 4", 3000, 0)</f>
        <v>0</v>
      </c>
    </row>
    <row r="324" spans="1:17">
      <c r="A324" s="24">
        <v>53199540</v>
      </c>
      <c r="B324" s="17">
        <v>42286</v>
      </c>
      <c r="C324" s="17">
        <v>42287</v>
      </c>
      <c r="D324" s="18" t="s">
        <v>48</v>
      </c>
      <c r="E324" s="18" t="s">
        <v>11</v>
      </c>
      <c r="F324" s="18">
        <v>2</v>
      </c>
      <c r="G324" s="19">
        <v>1807800</v>
      </c>
      <c r="H324" s="19">
        <v>1798600</v>
      </c>
      <c r="I324" s="18" t="s">
        <v>24</v>
      </c>
      <c r="J324" s="29" t="str">
        <f t="shared" si="24"/>
        <v>Fri</v>
      </c>
      <c r="K324" s="29" t="b">
        <f t="shared" si="25"/>
        <v>0</v>
      </c>
      <c r="L324" s="29" t="b">
        <f t="shared" si="26"/>
        <v>0</v>
      </c>
      <c r="M324" s="29" t="b">
        <f t="shared" si="29"/>
        <v>1</v>
      </c>
      <c r="N324" s="29" cm="1">
        <f t="array" ref="N324">_xlfn.IFS(
  E324="Airlines 1", IF(K324, F324*0.04, 0),
  E324="Airlines 2", P324,
  E324="Airlines 3", IF(L324, 20000*F324, 0),
  E324="Airlines 4", IF(M324, 15000*F324, 0),
  E324="Airlines 5",
    IF(F324&lt;50000000, F324*0.01,
      IF(F324&lt;100000000, F324*0.02,
        IF(F324&lt;200000000, F324*0.03, F324*0.035))),
  TRUE, 0
)</f>
        <v>0</v>
      </c>
      <c r="O324" s="29">
        <f t="shared" si="27"/>
        <v>0</v>
      </c>
      <c r="P324" s="29">
        <f t="shared" si="28"/>
        <v>0</v>
      </c>
      <c r="Q324" s="30" cm="1">
        <f t="array" ref="Q324">_xlfn.SWITCH(I324, "Method 1", 0, "Method 2", H324*0.03, "Method 3", 4000, "Method 4", 3000, 0)</f>
        <v>53958</v>
      </c>
    </row>
    <row r="325" spans="1:17">
      <c r="A325" s="24">
        <v>53199401</v>
      </c>
      <c r="B325" s="17">
        <v>42286</v>
      </c>
      <c r="C325" s="17">
        <v>42302</v>
      </c>
      <c r="D325" s="18" t="s">
        <v>145</v>
      </c>
      <c r="E325" s="18" t="s">
        <v>11</v>
      </c>
      <c r="F325" s="18">
        <v>1</v>
      </c>
      <c r="G325" s="19">
        <v>519094</v>
      </c>
      <c r="H325" s="19">
        <v>515900</v>
      </c>
      <c r="I325" s="18" t="s">
        <v>26</v>
      </c>
      <c r="J325" s="29" t="str">
        <f t="shared" si="24"/>
        <v>Fri</v>
      </c>
      <c r="K325" s="29" t="b">
        <f t="shared" si="25"/>
        <v>0</v>
      </c>
      <c r="L325" s="29" t="b">
        <f t="shared" si="26"/>
        <v>0</v>
      </c>
      <c r="M325" s="29" t="b">
        <f t="shared" si="29"/>
        <v>1</v>
      </c>
      <c r="N325" s="29" cm="1">
        <f t="array" ref="N325">_xlfn.IFS(
  E325="Airlines 1", IF(K325, F325*0.04, 0),
  E325="Airlines 2", P325,
  E325="Airlines 3", IF(L325, 20000*F325, 0),
  E325="Airlines 4", IF(M325, 15000*F325, 0),
  E325="Airlines 5",
    IF(F325&lt;50000000, F325*0.01,
      IF(F325&lt;100000000, F325*0.02,
        IF(F325&lt;200000000, F325*0.03, F325*0.035))),
  TRUE, 0
)</f>
        <v>0</v>
      </c>
      <c r="O325" s="29">
        <f t="shared" si="27"/>
        <v>0</v>
      </c>
      <c r="P325" s="29">
        <f t="shared" si="28"/>
        <v>0</v>
      </c>
      <c r="Q325" s="30" cm="1">
        <f t="array" ref="Q325">_xlfn.SWITCH(I325, "Method 1", 0, "Method 2", H325*0.03, "Method 3", 4000, "Method 4", 3000, 0)</f>
        <v>4000</v>
      </c>
    </row>
    <row r="326" spans="1:17">
      <c r="A326" s="24">
        <v>53199444</v>
      </c>
      <c r="B326" s="17">
        <v>42286</v>
      </c>
      <c r="C326" s="17">
        <v>42308</v>
      </c>
      <c r="D326" s="18" t="s">
        <v>177</v>
      </c>
      <c r="E326" s="18" t="s">
        <v>11</v>
      </c>
      <c r="F326" s="18">
        <v>2</v>
      </c>
      <c r="G326" s="19">
        <v>2078000</v>
      </c>
      <c r="H326" s="19">
        <v>2077800</v>
      </c>
      <c r="I326" s="18" t="s">
        <v>28</v>
      </c>
      <c r="J326" s="29" t="str">
        <f t="shared" si="24"/>
        <v>Fri</v>
      </c>
      <c r="K326" s="29" t="b">
        <f t="shared" si="25"/>
        <v>0</v>
      </c>
      <c r="L326" s="29" t="b">
        <f t="shared" si="26"/>
        <v>0</v>
      </c>
      <c r="M326" s="29" t="b">
        <f t="shared" si="29"/>
        <v>1</v>
      </c>
      <c r="N326" s="29" cm="1">
        <f t="array" ref="N326">_xlfn.IFS(
  E326="Airlines 1", IF(K326, F326*0.04, 0),
  E326="Airlines 2", P326,
  E326="Airlines 3", IF(L326, 20000*F326, 0),
  E326="Airlines 4", IF(M326, 15000*F326, 0),
  E326="Airlines 5",
    IF(F326&lt;50000000, F326*0.01,
      IF(F326&lt;100000000, F326*0.02,
        IF(F326&lt;200000000, F326*0.03, F326*0.035))),
  TRUE, 0
)</f>
        <v>0</v>
      </c>
      <c r="O326" s="29">
        <f t="shared" si="27"/>
        <v>0</v>
      </c>
      <c r="P326" s="29">
        <f t="shared" si="28"/>
        <v>0</v>
      </c>
      <c r="Q326" s="30" cm="1">
        <f t="array" ref="Q326">_xlfn.SWITCH(I326, "Method 1", 0, "Method 2", H326*0.03, "Method 3", 4000, "Method 4", 3000, 0)</f>
        <v>3000</v>
      </c>
    </row>
    <row r="327" spans="1:17">
      <c r="A327" s="24">
        <v>53199458</v>
      </c>
      <c r="B327" s="17">
        <v>42286</v>
      </c>
      <c r="C327" s="17">
        <v>42288</v>
      </c>
      <c r="D327" s="18" t="s">
        <v>43</v>
      </c>
      <c r="E327" s="18" t="s">
        <v>11</v>
      </c>
      <c r="F327" s="18">
        <v>1</v>
      </c>
      <c r="G327" s="19">
        <v>538337</v>
      </c>
      <c r="H327" s="19">
        <v>535100</v>
      </c>
      <c r="I327" s="18" t="s">
        <v>28</v>
      </c>
      <c r="J327" s="29" t="str">
        <f t="shared" ref="J327:J390" si="30">TEXT(B327,"ddd")</f>
        <v>Fri</v>
      </c>
      <c r="K327" s="29" t="b">
        <f t="shared" ref="K327:K390" si="31">OR(J327="Sat",J327="Sun")</f>
        <v>0</v>
      </c>
      <c r="L327" s="29" t="b">
        <f t="shared" ref="L327:L390" si="32">OR(D327="CGK_SUB", D327="CGK_PKU", D327="CGK_JOG",
    D327="SUB_CGK", D327="PKU_CGK", D327="JOG_CGK")</f>
        <v>1</v>
      </c>
      <c r="M327" s="29" t="b">
        <f t="shared" si="29"/>
        <v>1</v>
      </c>
      <c r="N327" s="29" cm="1">
        <f t="array" ref="N327">_xlfn.IFS(
  E327="Airlines 1", IF(K327, F327*0.04, 0),
  E327="Airlines 2", P327,
  E327="Airlines 3", IF(L327, 20000*F327, 0),
  E327="Airlines 4", IF(M327, 15000*F327, 0),
  E327="Airlines 5",
    IF(F327&lt;50000000, F327*0.01,
      IF(F327&lt;100000000, F327*0.02,
        IF(F327&lt;200000000, F327*0.03, F327*0.035))),
  TRUE, 0
)</f>
        <v>20000</v>
      </c>
      <c r="O327" s="29">
        <f t="shared" ref="O327:O390" si="33">SUMIFS($F$6:$F$647, $E$6:$E$647, "Airlines 2", $B$6:$B$647, B327)</f>
        <v>0</v>
      </c>
      <c r="P327" s="29">
        <f t="shared" ref="P327:P390" si="34">IF(AND(E326="Airlines 2", O326&gt;20), F326*0.05, 0)</f>
        <v>0</v>
      </c>
      <c r="Q327" s="30" cm="1">
        <f t="array" ref="Q327">_xlfn.SWITCH(I327, "Method 1", 0, "Method 2", H327*0.03, "Method 3", 4000, "Method 4", 3000, 0)</f>
        <v>3000</v>
      </c>
    </row>
    <row r="328" spans="1:17">
      <c r="A328" s="24">
        <v>53199448</v>
      </c>
      <c r="B328" s="17">
        <v>42286</v>
      </c>
      <c r="C328" s="17">
        <v>42288</v>
      </c>
      <c r="D328" s="18" t="s">
        <v>108</v>
      </c>
      <c r="E328" s="18" t="s">
        <v>11</v>
      </c>
      <c r="F328" s="18">
        <v>1</v>
      </c>
      <c r="G328" s="19">
        <v>459165</v>
      </c>
      <c r="H328" s="19">
        <v>456300</v>
      </c>
      <c r="I328" s="18" t="s">
        <v>28</v>
      </c>
      <c r="J328" s="29" t="str">
        <f t="shared" si="30"/>
        <v>Fri</v>
      </c>
      <c r="K328" s="29" t="b">
        <f t="shared" si="31"/>
        <v>0</v>
      </c>
      <c r="L328" s="29" t="b">
        <f t="shared" si="32"/>
        <v>0</v>
      </c>
      <c r="M328" s="29" t="b">
        <f t="shared" ref="M328:M391" si="35">AND(B328&gt;=DATE(2015,10,1),B328&lt;=DATE(2015,10,15))</f>
        <v>1</v>
      </c>
      <c r="N328" s="29" cm="1">
        <f t="array" ref="N328">_xlfn.IFS(
  E328="Airlines 1", IF(K328, F328*0.04, 0),
  E328="Airlines 2", P328,
  E328="Airlines 3", IF(L328, 20000*F328, 0),
  E328="Airlines 4", IF(M328, 15000*F328, 0),
  E328="Airlines 5",
    IF(F328&lt;50000000, F328*0.01,
      IF(F328&lt;100000000, F328*0.02,
        IF(F328&lt;200000000, F328*0.03, F328*0.035))),
  TRUE, 0
)</f>
        <v>0</v>
      </c>
      <c r="O328" s="29">
        <f t="shared" si="33"/>
        <v>0</v>
      </c>
      <c r="P328" s="29">
        <f t="shared" si="34"/>
        <v>0</v>
      </c>
      <c r="Q328" s="30" cm="1">
        <f t="array" ref="Q328">_xlfn.SWITCH(I328, "Method 1", 0, "Method 2", H328*0.03, "Method 3", 4000, "Method 4", 3000, 0)</f>
        <v>3000</v>
      </c>
    </row>
    <row r="329" spans="1:17">
      <c r="A329" s="24">
        <v>53199427</v>
      </c>
      <c r="B329" s="17">
        <v>42286</v>
      </c>
      <c r="C329" s="17">
        <v>42288</v>
      </c>
      <c r="D329" s="18" t="s">
        <v>62</v>
      </c>
      <c r="E329" s="18" t="s">
        <v>11</v>
      </c>
      <c r="F329" s="18">
        <v>1</v>
      </c>
      <c r="G329" s="19">
        <v>503337</v>
      </c>
      <c r="H329" s="19">
        <v>500300</v>
      </c>
      <c r="I329" s="18" t="s">
        <v>28</v>
      </c>
      <c r="J329" s="29" t="str">
        <f t="shared" si="30"/>
        <v>Fri</v>
      </c>
      <c r="K329" s="29" t="b">
        <f t="shared" si="31"/>
        <v>0</v>
      </c>
      <c r="L329" s="29" t="b">
        <f t="shared" si="32"/>
        <v>1</v>
      </c>
      <c r="M329" s="29" t="b">
        <f t="shared" si="35"/>
        <v>1</v>
      </c>
      <c r="N329" s="29" cm="1">
        <f t="array" ref="N329">_xlfn.IFS(
  E329="Airlines 1", IF(K329, F329*0.04, 0),
  E329="Airlines 2", P329,
  E329="Airlines 3", IF(L329, 20000*F329, 0),
  E329="Airlines 4", IF(M329, 15000*F329, 0),
  E329="Airlines 5",
    IF(F329&lt;50000000, F329*0.01,
      IF(F329&lt;100000000, F329*0.02,
        IF(F329&lt;200000000, F329*0.03, F329*0.035))),
  TRUE, 0
)</f>
        <v>20000</v>
      </c>
      <c r="O329" s="29">
        <f t="shared" si="33"/>
        <v>0</v>
      </c>
      <c r="P329" s="29">
        <f t="shared" si="34"/>
        <v>0</v>
      </c>
      <c r="Q329" s="30" cm="1">
        <f t="array" ref="Q329">_xlfn.SWITCH(I329, "Method 1", 0, "Method 2", H329*0.03, "Method 3", 4000, "Method 4", 3000, 0)</f>
        <v>3000</v>
      </c>
    </row>
    <row r="330" spans="1:17">
      <c r="A330" s="24">
        <v>53198719</v>
      </c>
      <c r="B330" s="17">
        <v>42286</v>
      </c>
      <c r="C330" s="17">
        <v>42287</v>
      </c>
      <c r="D330" s="18" t="s">
        <v>66</v>
      </c>
      <c r="E330" s="18" t="s">
        <v>11</v>
      </c>
      <c r="F330" s="18">
        <v>1</v>
      </c>
      <c r="G330" s="19">
        <v>549000</v>
      </c>
      <c r="H330" s="19">
        <v>548900</v>
      </c>
      <c r="I330" s="18" t="s">
        <v>28</v>
      </c>
      <c r="J330" s="29" t="str">
        <f t="shared" si="30"/>
        <v>Fri</v>
      </c>
      <c r="K330" s="29" t="b">
        <f t="shared" si="31"/>
        <v>0</v>
      </c>
      <c r="L330" s="29" t="b">
        <f t="shared" si="32"/>
        <v>0</v>
      </c>
      <c r="M330" s="29" t="b">
        <f t="shared" si="35"/>
        <v>1</v>
      </c>
      <c r="N330" s="29" cm="1">
        <f t="array" ref="N330">_xlfn.IFS(
  E330="Airlines 1", IF(K330, F330*0.04, 0),
  E330="Airlines 2", P330,
  E330="Airlines 3", IF(L330, 20000*F330, 0),
  E330="Airlines 4", IF(M330, 15000*F330, 0),
  E330="Airlines 5",
    IF(F330&lt;50000000, F330*0.01,
      IF(F330&lt;100000000, F330*0.02,
        IF(F330&lt;200000000, F330*0.03, F330*0.035))),
  TRUE, 0
)</f>
        <v>0</v>
      </c>
      <c r="O330" s="29">
        <f t="shared" si="33"/>
        <v>0</v>
      </c>
      <c r="P330" s="29">
        <f t="shared" si="34"/>
        <v>0</v>
      </c>
      <c r="Q330" s="30" cm="1">
        <f t="array" ref="Q330">_xlfn.SWITCH(I330, "Method 1", 0, "Method 2", H330*0.03, "Method 3", 4000, "Method 4", 3000, 0)</f>
        <v>3000</v>
      </c>
    </row>
    <row r="331" spans="1:17">
      <c r="A331" s="24">
        <v>53199651</v>
      </c>
      <c r="B331" s="17">
        <v>42286</v>
      </c>
      <c r="C331" s="17">
        <v>42317</v>
      </c>
      <c r="D331" s="18" t="s">
        <v>87</v>
      </c>
      <c r="E331" s="18" t="s">
        <v>11</v>
      </c>
      <c r="F331" s="18">
        <v>1</v>
      </c>
      <c r="G331" s="19">
        <v>479993</v>
      </c>
      <c r="H331" s="19">
        <v>477500</v>
      </c>
      <c r="I331" s="18" t="s">
        <v>28</v>
      </c>
      <c r="J331" s="29" t="str">
        <f t="shared" si="30"/>
        <v>Fri</v>
      </c>
      <c r="K331" s="29" t="b">
        <f t="shared" si="31"/>
        <v>0</v>
      </c>
      <c r="L331" s="29" t="b">
        <f t="shared" si="32"/>
        <v>0</v>
      </c>
      <c r="M331" s="29" t="b">
        <f t="shared" si="35"/>
        <v>1</v>
      </c>
      <c r="N331" s="29" cm="1">
        <f t="array" ref="N331">_xlfn.IFS(
  E331="Airlines 1", IF(K331, F331*0.04, 0),
  E331="Airlines 2", P331,
  E331="Airlines 3", IF(L331, 20000*F331, 0),
  E331="Airlines 4", IF(M331, 15000*F331, 0),
  E331="Airlines 5",
    IF(F331&lt;50000000, F331*0.01,
      IF(F331&lt;100000000, F331*0.02,
        IF(F331&lt;200000000, F331*0.03, F331*0.035))),
  TRUE, 0
)</f>
        <v>0</v>
      </c>
      <c r="O331" s="29">
        <f t="shared" si="33"/>
        <v>0</v>
      </c>
      <c r="P331" s="29">
        <f t="shared" si="34"/>
        <v>0</v>
      </c>
      <c r="Q331" s="30" cm="1">
        <f t="array" ref="Q331">_xlfn.SWITCH(I331, "Method 1", 0, "Method 2", H331*0.03, "Method 3", 4000, "Method 4", 3000, 0)</f>
        <v>3000</v>
      </c>
    </row>
    <row r="332" spans="1:17">
      <c r="A332" s="24">
        <v>53199079</v>
      </c>
      <c r="B332" s="17">
        <v>42286</v>
      </c>
      <c r="C332" s="17">
        <v>42294</v>
      </c>
      <c r="D332" s="18" t="s">
        <v>43</v>
      </c>
      <c r="E332" s="18" t="s">
        <v>11</v>
      </c>
      <c r="F332" s="18">
        <v>1</v>
      </c>
      <c r="G332" s="19">
        <v>538337</v>
      </c>
      <c r="H332" s="19">
        <v>535600</v>
      </c>
      <c r="I332" s="18" t="s">
        <v>28</v>
      </c>
      <c r="J332" s="29" t="str">
        <f t="shared" si="30"/>
        <v>Fri</v>
      </c>
      <c r="K332" s="29" t="b">
        <f t="shared" si="31"/>
        <v>0</v>
      </c>
      <c r="L332" s="29" t="b">
        <f t="shared" si="32"/>
        <v>1</v>
      </c>
      <c r="M332" s="29" t="b">
        <f t="shared" si="35"/>
        <v>1</v>
      </c>
      <c r="N332" s="29" cm="1">
        <f t="array" ref="N332">_xlfn.IFS(
  E332="Airlines 1", IF(K332, F332*0.04, 0),
  E332="Airlines 2", P332,
  E332="Airlines 3", IF(L332, 20000*F332, 0),
  E332="Airlines 4", IF(M332, 15000*F332, 0),
  E332="Airlines 5",
    IF(F332&lt;50000000, F332*0.01,
      IF(F332&lt;100000000, F332*0.02,
        IF(F332&lt;200000000, F332*0.03, F332*0.035))),
  TRUE, 0
)</f>
        <v>20000</v>
      </c>
      <c r="O332" s="29">
        <f t="shared" si="33"/>
        <v>0</v>
      </c>
      <c r="P332" s="29">
        <f t="shared" si="34"/>
        <v>0</v>
      </c>
      <c r="Q332" s="30" cm="1">
        <f t="array" ref="Q332">_xlfn.SWITCH(I332, "Method 1", 0, "Method 2", H332*0.03, "Method 3", 4000, "Method 4", 3000, 0)</f>
        <v>3000</v>
      </c>
    </row>
    <row r="333" spans="1:17">
      <c r="A333" s="24">
        <v>53199667</v>
      </c>
      <c r="B333" s="17">
        <v>42286</v>
      </c>
      <c r="C333" s="17">
        <v>42288</v>
      </c>
      <c r="D333" s="18" t="s">
        <v>62</v>
      </c>
      <c r="E333" s="18" t="s">
        <v>11</v>
      </c>
      <c r="F333" s="18">
        <v>1</v>
      </c>
      <c r="G333" s="19">
        <v>725900</v>
      </c>
      <c r="H333" s="19">
        <v>721700</v>
      </c>
      <c r="I333" s="18" t="s">
        <v>28</v>
      </c>
      <c r="J333" s="29" t="str">
        <f t="shared" si="30"/>
        <v>Fri</v>
      </c>
      <c r="K333" s="29" t="b">
        <f t="shared" si="31"/>
        <v>0</v>
      </c>
      <c r="L333" s="29" t="b">
        <f t="shared" si="32"/>
        <v>1</v>
      </c>
      <c r="M333" s="29" t="b">
        <f t="shared" si="35"/>
        <v>1</v>
      </c>
      <c r="N333" s="29" cm="1">
        <f t="array" ref="N333">_xlfn.IFS(
  E333="Airlines 1", IF(K333, F333*0.04, 0),
  E333="Airlines 2", P333,
  E333="Airlines 3", IF(L333, 20000*F333, 0),
  E333="Airlines 4", IF(M333, 15000*F333, 0),
  E333="Airlines 5",
    IF(F333&lt;50000000, F333*0.01,
      IF(F333&lt;100000000, F333*0.02,
        IF(F333&lt;200000000, F333*0.03, F333*0.035))),
  TRUE, 0
)</f>
        <v>20000</v>
      </c>
      <c r="O333" s="29">
        <f t="shared" si="33"/>
        <v>0</v>
      </c>
      <c r="P333" s="29">
        <f t="shared" si="34"/>
        <v>0</v>
      </c>
      <c r="Q333" s="30" cm="1">
        <f t="array" ref="Q333">_xlfn.SWITCH(I333, "Method 1", 0, "Method 2", H333*0.03, "Method 3", 4000, "Method 4", 3000, 0)</f>
        <v>3000</v>
      </c>
    </row>
    <row r="334" spans="1:17">
      <c r="A334" s="24">
        <v>53199632</v>
      </c>
      <c r="B334" s="17">
        <v>42286</v>
      </c>
      <c r="C334" s="17">
        <v>42290</v>
      </c>
      <c r="D334" s="18" t="s">
        <v>137</v>
      </c>
      <c r="E334" s="18" t="s">
        <v>11</v>
      </c>
      <c r="F334" s="18">
        <v>2</v>
      </c>
      <c r="G334" s="19">
        <v>1002480</v>
      </c>
      <c r="H334" s="19">
        <v>996400</v>
      </c>
      <c r="I334" s="18" t="s">
        <v>28</v>
      </c>
      <c r="J334" s="29" t="str">
        <f t="shared" si="30"/>
        <v>Fri</v>
      </c>
      <c r="K334" s="29" t="b">
        <f t="shared" si="31"/>
        <v>0</v>
      </c>
      <c r="L334" s="29" t="b">
        <f t="shared" si="32"/>
        <v>0</v>
      </c>
      <c r="M334" s="29" t="b">
        <f t="shared" si="35"/>
        <v>1</v>
      </c>
      <c r="N334" s="29" cm="1">
        <f t="array" ref="N334">_xlfn.IFS(
  E334="Airlines 1", IF(K334, F334*0.04, 0),
  E334="Airlines 2", P334,
  E334="Airlines 3", IF(L334, 20000*F334, 0),
  E334="Airlines 4", IF(M334, 15000*F334, 0),
  E334="Airlines 5",
    IF(F334&lt;50000000, F334*0.01,
      IF(F334&lt;100000000, F334*0.02,
        IF(F334&lt;200000000, F334*0.03, F334*0.035))),
  TRUE, 0
)</f>
        <v>0</v>
      </c>
      <c r="O334" s="29">
        <f t="shared" si="33"/>
        <v>0</v>
      </c>
      <c r="P334" s="29">
        <f t="shared" si="34"/>
        <v>0</v>
      </c>
      <c r="Q334" s="30" cm="1">
        <f t="array" ref="Q334">_xlfn.SWITCH(I334, "Method 1", 0, "Method 2", H334*0.03, "Method 3", 4000, "Method 4", 3000, 0)</f>
        <v>3000</v>
      </c>
    </row>
    <row r="335" spans="1:17">
      <c r="A335" s="24">
        <v>53199656</v>
      </c>
      <c r="B335" s="17">
        <v>42286</v>
      </c>
      <c r="C335" s="17">
        <v>42292</v>
      </c>
      <c r="D335" s="18" t="s">
        <v>66</v>
      </c>
      <c r="E335" s="18" t="s">
        <v>11</v>
      </c>
      <c r="F335" s="18">
        <v>3</v>
      </c>
      <c r="G335" s="19">
        <v>1647000</v>
      </c>
      <c r="H335" s="19">
        <v>1643700</v>
      </c>
      <c r="I335" s="18" t="s">
        <v>28</v>
      </c>
      <c r="J335" s="29" t="str">
        <f t="shared" si="30"/>
        <v>Fri</v>
      </c>
      <c r="K335" s="29" t="b">
        <f t="shared" si="31"/>
        <v>0</v>
      </c>
      <c r="L335" s="29" t="b">
        <f t="shared" si="32"/>
        <v>0</v>
      </c>
      <c r="M335" s="29" t="b">
        <f t="shared" si="35"/>
        <v>1</v>
      </c>
      <c r="N335" s="29" cm="1">
        <f t="array" ref="N335">_xlfn.IFS(
  E335="Airlines 1", IF(K335, F335*0.04, 0),
  E335="Airlines 2", P335,
  E335="Airlines 3", IF(L335, 20000*F335, 0),
  E335="Airlines 4", IF(M335, 15000*F335, 0),
  E335="Airlines 5",
    IF(F335&lt;50000000, F335*0.01,
      IF(F335&lt;100000000, F335*0.02,
        IF(F335&lt;200000000, F335*0.03, F335*0.035))),
  TRUE, 0
)</f>
        <v>0</v>
      </c>
      <c r="O335" s="29">
        <f t="shared" si="33"/>
        <v>0</v>
      </c>
      <c r="P335" s="29">
        <f t="shared" si="34"/>
        <v>0</v>
      </c>
      <c r="Q335" s="30" cm="1">
        <f t="array" ref="Q335">_xlfn.SWITCH(I335, "Method 1", 0, "Method 2", H335*0.03, "Method 3", 4000, "Method 4", 3000, 0)</f>
        <v>3000</v>
      </c>
    </row>
    <row r="336" spans="1:17">
      <c r="A336" s="24">
        <v>53199502</v>
      </c>
      <c r="B336" s="17">
        <v>42286</v>
      </c>
      <c r="C336" s="17">
        <v>42295</v>
      </c>
      <c r="D336" s="18" t="s">
        <v>97</v>
      </c>
      <c r="E336" s="18" t="s">
        <v>11</v>
      </c>
      <c r="F336" s="18">
        <v>1</v>
      </c>
      <c r="G336" s="19">
        <v>368466</v>
      </c>
      <c r="H336" s="19">
        <v>366100</v>
      </c>
      <c r="I336" s="18" t="s">
        <v>28</v>
      </c>
      <c r="J336" s="29" t="str">
        <f t="shared" si="30"/>
        <v>Fri</v>
      </c>
      <c r="K336" s="29" t="b">
        <f t="shared" si="31"/>
        <v>0</v>
      </c>
      <c r="L336" s="29" t="b">
        <f t="shared" si="32"/>
        <v>1</v>
      </c>
      <c r="M336" s="29" t="b">
        <f t="shared" si="35"/>
        <v>1</v>
      </c>
      <c r="N336" s="29" cm="1">
        <f t="array" ref="N336">_xlfn.IFS(
  E336="Airlines 1", IF(K336, F336*0.04, 0),
  E336="Airlines 2", P336,
  E336="Airlines 3", IF(L336, 20000*F336, 0),
  E336="Airlines 4", IF(M336, 15000*F336, 0),
  E336="Airlines 5",
    IF(F336&lt;50000000, F336*0.01,
      IF(F336&lt;100000000, F336*0.02,
        IF(F336&lt;200000000, F336*0.03, F336*0.035))),
  TRUE, 0
)</f>
        <v>20000</v>
      </c>
      <c r="O336" s="29">
        <f t="shared" si="33"/>
        <v>0</v>
      </c>
      <c r="P336" s="29">
        <f t="shared" si="34"/>
        <v>0</v>
      </c>
      <c r="Q336" s="30" cm="1">
        <f t="array" ref="Q336">_xlfn.SWITCH(I336, "Method 1", 0, "Method 2", H336*0.03, "Method 3", 4000, "Method 4", 3000, 0)</f>
        <v>3000</v>
      </c>
    </row>
    <row r="337" spans="1:17">
      <c r="A337" s="24">
        <v>53199693</v>
      </c>
      <c r="B337" s="17">
        <v>42286</v>
      </c>
      <c r="C337" s="17">
        <v>42310</v>
      </c>
      <c r="D337" s="18" t="s">
        <v>48</v>
      </c>
      <c r="E337" s="18" t="s">
        <v>11</v>
      </c>
      <c r="F337" s="18">
        <v>2</v>
      </c>
      <c r="G337" s="19">
        <v>1169240</v>
      </c>
      <c r="H337" s="19">
        <v>1162400</v>
      </c>
      <c r="I337" s="18" t="s">
        <v>28</v>
      </c>
      <c r="J337" s="29" t="str">
        <f t="shared" si="30"/>
        <v>Fri</v>
      </c>
      <c r="K337" s="29" t="b">
        <f t="shared" si="31"/>
        <v>0</v>
      </c>
      <c r="L337" s="29" t="b">
        <f t="shared" si="32"/>
        <v>0</v>
      </c>
      <c r="M337" s="29" t="b">
        <f t="shared" si="35"/>
        <v>1</v>
      </c>
      <c r="N337" s="29" cm="1">
        <f t="array" ref="N337">_xlfn.IFS(
  E337="Airlines 1", IF(K337, F337*0.04, 0),
  E337="Airlines 2", P337,
  E337="Airlines 3", IF(L337, 20000*F337, 0),
  E337="Airlines 4", IF(M337, 15000*F337, 0),
  E337="Airlines 5",
    IF(F337&lt;50000000, F337*0.01,
      IF(F337&lt;100000000, F337*0.02,
        IF(F337&lt;200000000, F337*0.03, F337*0.035))),
  TRUE, 0
)</f>
        <v>0</v>
      </c>
      <c r="O337" s="29">
        <f t="shared" si="33"/>
        <v>0</v>
      </c>
      <c r="P337" s="29">
        <f t="shared" si="34"/>
        <v>0</v>
      </c>
      <c r="Q337" s="30" cm="1">
        <f t="array" ref="Q337">_xlfn.SWITCH(I337, "Method 1", 0, "Method 2", H337*0.03, "Method 3", 4000, "Method 4", 3000, 0)</f>
        <v>3000</v>
      </c>
    </row>
    <row r="338" spans="1:17">
      <c r="A338" s="24">
        <v>53199653</v>
      </c>
      <c r="B338" s="17">
        <v>42286</v>
      </c>
      <c r="C338" s="17">
        <v>42286</v>
      </c>
      <c r="D338" s="18" t="s">
        <v>97</v>
      </c>
      <c r="E338" s="18" t="s">
        <v>11</v>
      </c>
      <c r="F338" s="18">
        <v>1</v>
      </c>
      <c r="G338" s="19">
        <v>467900</v>
      </c>
      <c r="H338" s="19">
        <v>465500</v>
      </c>
      <c r="I338" s="18" t="s">
        <v>28</v>
      </c>
      <c r="J338" s="29" t="str">
        <f t="shared" si="30"/>
        <v>Fri</v>
      </c>
      <c r="K338" s="29" t="b">
        <f t="shared" si="31"/>
        <v>0</v>
      </c>
      <c r="L338" s="29" t="b">
        <f t="shared" si="32"/>
        <v>1</v>
      </c>
      <c r="M338" s="29" t="b">
        <f t="shared" si="35"/>
        <v>1</v>
      </c>
      <c r="N338" s="29" cm="1">
        <f t="array" ref="N338">_xlfn.IFS(
  E338="Airlines 1", IF(K338, F338*0.04, 0),
  E338="Airlines 2", P338,
  E338="Airlines 3", IF(L338, 20000*F338, 0),
  E338="Airlines 4", IF(M338, 15000*F338, 0),
  E338="Airlines 5",
    IF(F338&lt;50000000, F338*0.01,
      IF(F338&lt;100000000, F338*0.02,
        IF(F338&lt;200000000, F338*0.03, F338*0.035))),
  TRUE, 0
)</f>
        <v>20000</v>
      </c>
      <c r="O338" s="29">
        <f t="shared" si="33"/>
        <v>0</v>
      </c>
      <c r="P338" s="29">
        <f t="shared" si="34"/>
        <v>0</v>
      </c>
      <c r="Q338" s="30" cm="1">
        <f t="array" ref="Q338">_xlfn.SWITCH(I338, "Method 1", 0, "Method 2", H338*0.03, "Method 3", 4000, "Method 4", 3000, 0)</f>
        <v>3000</v>
      </c>
    </row>
    <row r="339" spans="1:17">
      <c r="A339" s="24">
        <v>53199690</v>
      </c>
      <c r="B339" s="17">
        <v>42286</v>
      </c>
      <c r="C339" s="17">
        <v>42292</v>
      </c>
      <c r="D339" s="18" t="s">
        <v>178</v>
      </c>
      <c r="E339" s="18" t="s">
        <v>11</v>
      </c>
      <c r="F339" s="18">
        <v>1</v>
      </c>
      <c r="G339" s="19">
        <v>491319</v>
      </c>
      <c r="H339" s="19">
        <v>496300</v>
      </c>
      <c r="I339" s="18" t="s">
        <v>28</v>
      </c>
      <c r="J339" s="29" t="str">
        <f t="shared" si="30"/>
        <v>Fri</v>
      </c>
      <c r="K339" s="29" t="b">
        <f t="shared" si="31"/>
        <v>0</v>
      </c>
      <c r="L339" s="29" t="b">
        <f t="shared" si="32"/>
        <v>0</v>
      </c>
      <c r="M339" s="29" t="b">
        <f t="shared" si="35"/>
        <v>1</v>
      </c>
      <c r="N339" s="29" cm="1">
        <f t="array" ref="N339">_xlfn.IFS(
  E339="Airlines 1", IF(K339, F339*0.04, 0),
  E339="Airlines 2", P339,
  E339="Airlines 3", IF(L339, 20000*F339, 0),
  E339="Airlines 4", IF(M339, 15000*F339, 0),
  E339="Airlines 5",
    IF(F339&lt;50000000, F339*0.01,
      IF(F339&lt;100000000, F339*0.02,
        IF(F339&lt;200000000, F339*0.03, F339*0.035))),
  TRUE, 0
)</f>
        <v>0</v>
      </c>
      <c r="O339" s="29">
        <f t="shared" si="33"/>
        <v>0</v>
      </c>
      <c r="P339" s="29">
        <f t="shared" si="34"/>
        <v>0</v>
      </c>
      <c r="Q339" s="30" cm="1">
        <f t="array" ref="Q339">_xlfn.SWITCH(I339, "Method 1", 0, "Method 2", H339*0.03, "Method 3", 4000, "Method 4", 3000, 0)</f>
        <v>3000</v>
      </c>
    </row>
    <row r="340" spans="1:17">
      <c r="A340" s="24">
        <v>53198604</v>
      </c>
      <c r="B340" s="17">
        <v>42286</v>
      </c>
      <c r="C340" s="17">
        <v>42295</v>
      </c>
      <c r="D340" s="18" t="s">
        <v>43</v>
      </c>
      <c r="E340" s="18" t="s">
        <v>11</v>
      </c>
      <c r="F340" s="18">
        <v>1</v>
      </c>
      <c r="G340" s="19">
        <v>538337</v>
      </c>
      <c r="H340" s="19">
        <v>535600</v>
      </c>
      <c r="I340" s="18" t="s">
        <v>24</v>
      </c>
      <c r="J340" s="29" t="str">
        <f t="shared" si="30"/>
        <v>Fri</v>
      </c>
      <c r="K340" s="29" t="b">
        <f t="shared" si="31"/>
        <v>0</v>
      </c>
      <c r="L340" s="29" t="b">
        <f t="shared" si="32"/>
        <v>1</v>
      </c>
      <c r="M340" s="29" t="b">
        <f t="shared" si="35"/>
        <v>1</v>
      </c>
      <c r="N340" s="29" cm="1">
        <f t="array" ref="N340">_xlfn.IFS(
  E340="Airlines 1", IF(K340, F340*0.04, 0),
  E340="Airlines 2", P340,
  E340="Airlines 3", IF(L340, 20000*F340, 0),
  E340="Airlines 4", IF(M340, 15000*F340, 0),
  E340="Airlines 5",
    IF(F340&lt;50000000, F340*0.01,
      IF(F340&lt;100000000, F340*0.02,
        IF(F340&lt;200000000, F340*0.03, F340*0.035))),
  TRUE, 0
)</f>
        <v>20000</v>
      </c>
      <c r="O340" s="29">
        <f t="shared" si="33"/>
        <v>0</v>
      </c>
      <c r="P340" s="29">
        <f t="shared" si="34"/>
        <v>0</v>
      </c>
      <c r="Q340" s="30" cm="1">
        <f t="array" ref="Q340">_xlfn.SWITCH(I340, "Method 1", 0, "Method 2", H340*0.03, "Method 3", 4000, "Method 4", 3000, 0)</f>
        <v>16068</v>
      </c>
    </row>
    <row r="341" spans="1:17">
      <c r="A341" s="24">
        <v>53199733</v>
      </c>
      <c r="B341" s="17">
        <v>42286</v>
      </c>
      <c r="C341" s="17">
        <v>42323</v>
      </c>
      <c r="D341" s="18" t="s">
        <v>145</v>
      </c>
      <c r="E341" s="18" t="s">
        <v>11</v>
      </c>
      <c r="F341" s="18">
        <v>1</v>
      </c>
      <c r="G341" s="19">
        <v>519094</v>
      </c>
      <c r="H341" s="19">
        <v>515900</v>
      </c>
      <c r="I341" s="18" t="s">
        <v>24</v>
      </c>
      <c r="J341" s="29" t="str">
        <f t="shared" si="30"/>
        <v>Fri</v>
      </c>
      <c r="K341" s="29" t="b">
        <f t="shared" si="31"/>
        <v>0</v>
      </c>
      <c r="L341" s="29" t="b">
        <f t="shared" si="32"/>
        <v>0</v>
      </c>
      <c r="M341" s="29" t="b">
        <f t="shared" si="35"/>
        <v>1</v>
      </c>
      <c r="N341" s="29" cm="1">
        <f t="array" ref="N341">_xlfn.IFS(
  E341="Airlines 1", IF(K341, F341*0.04, 0),
  E341="Airlines 2", P341,
  E341="Airlines 3", IF(L341, 20000*F341, 0),
  E341="Airlines 4", IF(M341, 15000*F341, 0),
  E341="Airlines 5",
    IF(F341&lt;50000000, F341*0.01,
      IF(F341&lt;100000000, F341*0.02,
        IF(F341&lt;200000000, F341*0.03, F341*0.035))),
  TRUE, 0
)</f>
        <v>0</v>
      </c>
      <c r="O341" s="29">
        <f t="shared" si="33"/>
        <v>0</v>
      </c>
      <c r="P341" s="29">
        <f t="shared" si="34"/>
        <v>0</v>
      </c>
      <c r="Q341" s="30" cm="1">
        <f t="array" ref="Q341">_xlfn.SWITCH(I341, "Method 1", 0, "Method 2", H341*0.03, "Method 3", 4000, "Method 4", 3000, 0)</f>
        <v>15477</v>
      </c>
    </row>
    <row r="342" spans="1:17">
      <c r="A342" s="24">
        <v>53199716</v>
      </c>
      <c r="B342" s="17">
        <v>42286</v>
      </c>
      <c r="C342" s="17">
        <v>42287</v>
      </c>
      <c r="D342" s="18" t="s">
        <v>178</v>
      </c>
      <c r="E342" s="18" t="s">
        <v>11</v>
      </c>
      <c r="F342" s="18">
        <v>1</v>
      </c>
      <c r="G342" s="19">
        <v>491319</v>
      </c>
      <c r="H342" s="19">
        <v>496300</v>
      </c>
      <c r="I342" s="18" t="s">
        <v>24</v>
      </c>
      <c r="J342" s="29" t="str">
        <f t="shared" si="30"/>
        <v>Fri</v>
      </c>
      <c r="K342" s="29" t="b">
        <f t="shared" si="31"/>
        <v>0</v>
      </c>
      <c r="L342" s="29" t="b">
        <f t="shared" si="32"/>
        <v>0</v>
      </c>
      <c r="M342" s="29" t="b">
        <f t="shared" si="35"/>
        <v>1</v>
      </c>
      <c r="N342" s="29" cm="1">
        <f t="array" ref="N342">_xlfn.IFS(
  E342="Airlines 1", IF(K342, F342*0.04, 0),
  E342="Airlines 2", P342,
  E342="Airlines 3", IF(L342, 20000*F342, 0),
  E342="Airlines 4", IF(M342, 15000*F342, 0),
  E342="Airlines 5",
    IF(F342&lt;50000000, F342*0.01,
      IF(F342&lt;100000000, F342*0.02,
        IF(F342&lt;200000000, F342*0.03, F342*0.035))),
  TRUE, 0
)</f>
        <v>0</v>
      </c>
      <c r="O342" s="29">
        <f t="shared" si="33"/>
        <v>0</v>
      </c>
      <c r="P342" s="29">
        <f t="shared" si="34"/>
        <v>0</v>
      </c>
      <c r="Q342" s="30" cm="1">
        <f t="array" ref="Q342">_xlfn.SWITCH(I342, "Method 1", 0, "Method 2", H342*0.03, "Method 3", 4000, "Method 4", 3000, 0)</f>
        <v>14889</v>
      </c>
    </row>
    <row r="343" spans="1:17">
      <c r="A343" s="24">
        <v>53199678</v>
      </c>
      <c r="B343" s="17">
        <v>42286</v>
      </c>
      <c r="C343" s="17">
        <v>42291</v>
      </c>
      <c r="D343" s="18" t="s">
        <v>97</v>
      </c>
      <c r="E343" s="18" t="s">
        <v>11</v>
      </c>
      <c r="F343" s="18">
        <v>2</v>
      </c>
      <c r="G343" s="19">
        <v>736932</v>
      </c>
      <c r="H343" s="19">
        <v>732200</v>
      </c>
      <c r="I343" s="18" t="s">
        <v>24</v>
      </c>
      <c r="J343" s="29" t="str">
        <f t="shared" si="30"/>
        <v>Fri</v>
      </c>
      <c r="K343" s="29" t="b">
        <f t="shared" si="31"/>
        <v>0</v>
      </c>
      <c r="L343" s="29" t="b">
        <f t="shared" si="32"/>
        <v>1</v>
      </c>
      <c r="M343" s="29" t="b">
        <f t="shared" si="35"/>
        <v>1</v>
      </c>
      <c r="N343" s="29" cm="1">
        <f t="array" ref="N343">_xlfn.IFS(
  E343="Airlines 1", IF(K343, F343*0.04, 0),
  E343="Airlines 2", P343,
  E343="Airlines 3", IF(L343, 20000*F343, 0),
  E343="Airlines 4", IF(M343, 15000*F343, 0),
  E343="Airlines 5",
    IF(F343&lt;50000000, F343*0.01,
      IF(F343&lt;100000000, F343*0.02,
        IF(F343&lt;200000000, F343*0.03, F343*0.035))),
  TRUE, 0
)</f>
        <v>40000</v>
      </c>
      <c r="O343" s="29">
        <f t="shared" si="33"/>
        <v>0</v>
      </c>
      <c r="P343" s="29">
        <f t="shared" si="34"/>
        <v>0</v>
      </c>
      <c r="Q343" s="30" cm="1">
        <f t="array" ref="Q343">_xlfn.SWITCH(I343, "Method 1", 0, "Method 2", H343*0.03, "Method 3", 4000, "Method 4", 3000, 0)</f>
        <v>21966</v>
      </c>
    </row>
    <row r="344" spans="1:17">
      <c r="A344" s="24">
        <v>53199719</v>
      </c>
      <c r="B344" s="17">
        <v>42289</v>
      </c>
      <c r="C344" s="17">
        <v>42292</v>
      </c>
      <c r="D344" s="18" t="s">
        <v>48</v>
      </c>
      <c r="E344" s="18" t="s">
        <v>11</v>
      </c>
      <c r="F344" s="18">
        <v>2</v>
      </c>
      <c r="G344" s="19">
        <v>1169240</v>
      </c>
      <c r="H344" s="19">
        <v>1162400</v>
      </c>
      <c r="I344" s="18" t="s">
        <v>24</v>
      </c>
      <c r="J344" s="29" t="str">
        <f t="shared" si="30"/>
        <v>Mon</v>
      </c>
      <c r="K344" s="29" t="b">
        <f t="shared" si="31"/>
        <v>0</v>
      </c>
      <c r="L344" s="29" t="b">
        <f t="shared" si="32"/>
        <v>0</v>
      </c>
      <c r="M344" s="29" t="b">
        <f t="shared" si="35"/>
        <v>1</v>
      </c>
      <c r="N344" s="29" cm="1">
        <f t="array" ref="N344">_xlfn.IFS(
  E344="Airlines 1", IF(K344, F344*0.04, 0),
  E344="Airlines 2", P344,
  E344="Airlines 3", IF(L344, 20000*F344, 0),
  E344="Airlines 4", IF(M344, 15000*F344, 0),
  E344="Airlines 5",
    IF(F344&lt;50000000, F344*0.01,
      IF(F344&lt;100000000, F344*0.02,
        IF(F344&lt;200000000, F344*0.03, F344*0.035))),
  TRUE, 0
)</f>
        <v>0</v>
      </c>
      <c r="O344" s="29">
        <f t="shared" si="33"/>
        <v>12</v>
      </c>
      <c r="P344" s="29">
        <f t="shared" si="34"/>
        <v>0</v>
      </c>
      <c r="Q344" s="30" cm="1">
        <f t="array" ref="Q344">_xlfn.SWITCH(I344, "Method 1", 0, "Method 2", H344*0.03, "Method 3", 4000, "Method 4", 3000, 0)</f>
        <v>34872</v>
      </c>
    </row>
    <row r="345" spans="1:17">
      <c r="A345" s="24">
        <v>53199703</v>
      </c>
      <c r="B345" s="17">
        <v>42289</v>
      </c>
      <c r="C345" s="17">
        <v>42292</v>
      </c>
      <c r="D345" s="18" t="s">
        <v>62</v>
      </c>
      <c r="E345" s="18" t="s">
        <v>11</v>
      </c>
      <c r="F345" s="18">
        <v>1</v>
      </c>
      <c r="G345" s="19">
        <v>503337</v>
      </c>
      <c r="H345" s="19">
        <v>500800</v>
      </c>
      <c r="I345" s="18" t="s">
        <v>24</v>
      </c>
      <c r="J345" s="29" t="str">
        <f t="shared" si="30"/>
        <v>Mon</v>
      </c>
      <c r="K345" s="29" t="b">
        <f t="shared" si="31"/>
        <v>0</v>
      </c>
      <c r="L345" s="29" t="b">
        <f t="shared" si="32"/>
        <v>1</v>
      </c>
      <c r="M345" s="29" t="b">
        <f t="shared" si="35"/>
        <v>1</v>
      </c>
      <c r="N345" s="29" cm="1">
        <f t="array" ref="N345">_xlfn.IFS(
  E345="Airlines 1", IF(K345, F345*0.04, 0),
  E345="Airlines 2", P345,
  E345="Airlines 3", IF(L345, 20000*F345, 0),
  E345="Airlines 4", IF(M345, 15000*F345, 0),
  E345="Airlines 5",
    IF(F345&lt;50000000, F345*0.01,
      IF(F345&lt;100000000, F345*0.02,
        IF(F345&lt;200000000, F345*0.03, F345*0.035))),
  TRUE, 0
)</f>
        <v>20000</v>
      </c>
      <c r="O345" s="29">
        <f t="shared" si="33"/>
        <v>12</v>
      </c>
      <c r="P345" s="29">
        <f t="shared" si="34"/>
        <v>0</v>
      </c>
      <c r="Q345" s="30" cm="1">
        <f t="array" ref="Q345">_xlfn.SWITCH(I345, "Method 1", 0, "Method 2", H345*0.03, "Method 3", 4000, "Method 4", 3000, 0)</f>
        <v>15024</v>
      </c>
    </row>
    <row r="346" spans="1:17">
      <c r="A346" s="24">
        <v>53199723</v>
      </c>
      <c r="B346" s="17">
        <v>42289</v>
      </c>
      <c r="C346" s="17">
        <v>42299</v>
      </c>
      <c r="D346" s="18" t="s">
        <v>166</v>
      </c>
      <c r="E346" s="18" t="s">
        <v>11</v>
      </c>
      <c r="F346" s="18">
        <v>1</v>
      </c>
      <c r="G346" s="19">
        <v>1475900</v>
      </c>
      <c r="H346" s="19">
        <v>1467900</v>
      </c>
      <c r="I346" s="18" t="s">
        <v>24</v>
      </c>
      <c r="J346" s="29" t="str">
        <f t="shared" si="30"/>
        <v>Mon</v>
      </c>
      <c r="K346" s="29" t="b">
        <f t="shared" si="31"/>
        <v>0</v>
      </c>
      <c r="L346" s="29" t="b">
        <f t="shared" si="32"/>
        <v>0</v>
      </c>
      <c r="M346" s="29" t="b">
        <f t="shared" si="35"/>
        <v>1</v>
      </c>
      <c r="N346" s="29" cm="1">
        <f t="array" ref="N346">_xlfn.IFS(
  E346="Airlines 1", IF(K346, F346*0.04, 0),
  E346="Airlines 2", P346,
  E346="Airlines 3", IF(L346, 20000*F346, 0),
  E346="Airlines 4", IF(M346, 15000*F346, 0),
  E346="Airlines 5",
    IF(F346&lt;50000000, F346*0.01,
      IF(F346&lt;100000000, F346*0.02,
        IF(F346&lt;200000000, F346*0.03, F346*0.035))),
  TRUE, 0
)</f>
        <v>0</v>
      </c>
      <c r="O346" s="29">
        <f t="shared" si="33"/>
        <v>12</v>
      </c>
      <c r="P346" s="29">
        <f t="shared" si="34"/>
        <v>0</v>
      </c>
      <c r="Q346" s="30" cm="1">
        <f t="array" ref="Q346">_xlfn.SWITCH(I346, "Method 1", 0, "Method 2", H346*0.03, "Method 3", 4000, "Method 4", 3000, 0)</f>
        <v>44037</v>
      </c>
    </row>
    <row r="347" spans="1:17">
      <c r="A347" s="24">
        <v>53199776</v>
      </c>
      <c r="B347" s="17">
        <v>42289</v>
      </c>
      <c r="C347" s="17">
        <v>42293</v>
      </c>
      <c r="D347" s="18" t="s">
        <v>48</v>
      </c>
      <c r="E347" s="18" t="s">
        <v>11</v>
      </c>
      <c r="F347" s="18">
        <v>1</v>
      </c>
      <c r="G347" s="19">
        <v>1343900</v>
      </c>
      <c r="H347" s="19">
        <v>1336600</v>
      </c>
      <c r="I347" s="18" t="s">
        <v>24</v>
      </c>
      <c r="J347" s="29" t="str">
        <f t="shared" si="30"/>
        <v>Mon</v>
      </c>
      <c r="K347" s="29" t="b">
        <f t="shared" si="31"/>
        <v>0</v>
      </c>
      <c r="L347" s="29" t="b">
        <f t="shared" si="32"/>
        <v>0</v>
      </c>
      <c r="M347" s="29" t="b">
        <f t="shared" si="35"/>
        <v>1</v>
      </c>
      <c r="N347" s="29" cm="1">
        <f t="array" ref="N347">_xlfn.IFS(
  E347="Airlines 1", IF(K347, F347*0.04, 0),
  E347="Airlines 2", P347,
  E347="Airlines 3", IF(L347, 20000*F347, 0),
  E347="Airlines 4", IF(M347, 15000*F347, 0),
  E347="Airlines 5",
    IF(F347&lt;50000000, F347*0.01,
      IF(F347&lt;100000000, F347*0.02,
        IF(F347&lt;200000000, F347*0.03, F347*0.035))),
  TRUE, 0
)</f>
        <v>0</v>
      </c>
      <c r="O347" s="29">
        <f t="shared" si="33"/>
        <v>12</v>
      </c>
      <c r="P347" s="29">
        <f t="shared" si="34"/>
        <v>0</v>
      </c>
      <c r="Q347" s="30" cm="1">
        <f t="array" ref="Q347">_xlfn.SWITCH(I347, "Method 1", 0, "Method 2", H347*0.03, "Method 3", 4000, "Method 4", 3000, 0)</f>
        <v>40098</v>
      </c>
    </row>
    <row r="348" spans="1:17">
      <c r="A348" s="24">
        <v>53199665</v>
      </c>
      <c r="B348" s="17">
        <v>42289</v>
      </c>
      <c r="C348" s="17">
        <v>42328</v>
      </c>
      <c r="D348" s="18" t="s">
        <v>179</v>
      </c>
      <c r="E348" s="18" t="s">
        <v>11</v>
      </c>
      <c r="F348" s="18">
        <v>1</v>
      </c>
      <c r="G348" s="19">
        <v>1414604</v>
      </c>
      <c r="H348" s="19">
        <v>1428800</v>
      </c>
      <c r="I348" s="18" t="s">
        <v>24</v>
      </c>
      <c r="J348" s="29" t="str">
        <f t="shared" si="30"/>
        <v>Mon</v>
      </c>
      <c r="K348" s="29" t="b">
        <f t="shared" si="31"/>
        <v>0</v>
      </c>
      <c r="L348" s="29" t="b">
        <f t="shared" si="32"/>
        <v>0</v>
      </c>
      <c r="M348" s="29" t="b">
        <f t="shared" si="35"/>
        <v>1</v>
      </c>
      <c r="N348" s="29" cm="1">
        <f t="array" ref="N348">_xlfn.IFS(
  E348="Airlines 1", IF(K348, F348*0.04, 0),
  E348="Airlines 2", P348,
  E348="Airlines 3", IF(L348, 20000*F348, 0),
  E348="Airlines 4", IF(M348, 15000*F348, 0),
  E348="Airlines 5",
    IF(F348&lt;50000000, F348*0.01,
      IF(F348&lt;100000000, F348*0.02,
        IF(F348&lt;200000000, F348*0.03, F348*0.035))),
  TRUE, 0
)</f>
        <v>0</v>
      </c>
      <c r="O348" s="29">
        <f t="shared" si="33"/>
        <v>12</v>
      </c>
      <c r="P348" s="29">
        <f t="shared" si="34"/>
        <v>0</v>
      </c>
      <c r="Q348" s="30" cm="1">
        <f t="array" ref="Q348">_xlfn.SWITCH(I348, "Method 1", 0, "Method 2", H348*0.03, "Method 3", 4000, "Method 4", 3000, 0)</f>
        <v>42864</v>
      </c>
    </row>
    <row r="349" spans="1:17">
      <c r="A349" s="24">
        <v>53199805</v>
      </c>
      <c r="B349" s="17">
        <v>42289</v>
      </c>
      <c r="C349" s="17">
        <v>42294</v>
      </c>
      <c r="D349" s="18" t="s">
        <v>40</v>
      </c>
      <c r="E349" s="18" t="s">
        <v>11</v>
      </c>
      <c r="F349" s="18">
        <v>1</v>
      </c>
      <c r="G349" s="19">
        <v>406900</v>
      </c>
      <c r="H349" s="19">
        <v>404300</v>
      </c>
      <c r="I349" s="18" t="s">
        <v>24</v>
      </c>
      <c r="J349" s="29" t="str">
        <f t="shared" si="30"/>
        <v>Mon</v>
      </c>
      <c r="K349" s="29" t="b">
        <f t="shared" si="31"/>
        <v>0</v>
      </c>
      <c r="L349" s="29" t="b">
        <f t="shared" si="32"/>
        <v>1</v>
      </c>
      <c r="M349" s="29" t="b">
        <f t="shared" si="35"/>
        <v>1</v>
      </c>
      <c r="N349" s="29" cm="1">
        <f t="array" ref="N349">_xlfn.IFS(
  E349="Airlines 1", IF(K349, F349*0.04, 0),
  E349="Airlines 2", P349,
  E349="Airlines 3", IF(L349, 20000*F349, 0),
  E349="Airlines 4", IF(M349, 15000*F349, 0),
  E349="Airlines 5",
    IF(F349&lt;50000000, F349*0.01,
      IF(F349&lt;100000000, F349*0.02,
        IF(F349&lt;200000000, F349*0.03, F349*0.035))),
  TRUE, 0
)</f>
        <v>20000</v>
      </c>
      <c r="O349" s="29">
        <f t="shared" si="33"/>
        <v>12</v>
      </c>
      <c r="P349" s="29">
        <f t="shared" si="34"/>
        <v>0</v>
      </c>
      <c r="Q349" s="30" cm="1">
        <f t="array" ref="Q349">_xlfn.SWITCH(I349, "Method 1", 0, "Method 2", H349*0.03, "Method 3", 4000, "Method 4", 3000, 0)</f>
        <v>12129</v>
      </c>
    </row>
    <row r="350" spans="1:17">
      <c r="A350" s="24">
        <v>53199814</v>
      </c>
      <c r="B350" s="17">
        <v>42289</v>
      </c>
      <c r="C350" s="17">
        <v>42293</v>
      </c>
      <c r="D350" s="18" t="s">
        <v>180</v>
      </c>
      <c r="E350" s="18" t="s">
        <v>11</v>
      </c>
      <c r="F350" s="18">
        <v>1</v>
      </c>
      <c r="G350" s="19">
        <v>419000</v>
      </c>
      <c r="H350" s="19">
        <v>418900</v>
      </c>
      <c r="I350" s="18" t="s">
        <v>24</v>
      </c>
      <c r="J350" s="29" t="str">
        <f t="shared" si="30"/>
        <v>Mon</v>
      </c>
      <c r="K350" s="29" t="b">
        <f t="shared" si="31"/>
        <v>0</v>
      </c>
      <c r="L350" s="29" t="b">
        <f t="shared" si="32"/>
        <v>0</v>
      </c>
      <c r="M350" s="29" t="b">
        <f t="shared" si="35"/>
        <v>1</v>
      </c>
      <c r="N350" s="29" cm="1">
        <f t="array" ref="N350">_xlfn.IFS(
  E350="Airlines 1", IF(K350, F350*0.04, 0),
  E350="Airlines 2", P350,
  E350="Airlines 3", IF(L350, 20000*F350, 0),
  E350="Airlines 4", IF(M350, 15000*F350, 0),
  E350="Airlines 5",
    IF(F350&lt;50000000, F350*0.01,
      IF(F350&lt;100000000, F350*0.02,
        IF(F350&lt;200000000, F350*0.03, F350*0.035))),
  TRUE, 0
)</f>
        <v>0</v>
      </c>
      <c r="O350" s="29">
        <f t="shared" si="33"/>
        <v>12</v>
      </c>
      <c r="P350" s="29">
        <f t="shared" si="34"/>
        <v>0</v>
      </c>
      <c r="Q350" s="30" cm="1">
        <f t="array" ref="Q350">_xlfn.SWITCH(I350, "Method 1", 0, "Method 2", H350*0.03, "Method 3", 4000, "Method 4", 3000, 0)</f>
        <v>12567</v>
      </c>
    </row>
    <row r="351" spans="1:17">
      <c r="A351" s="24">
        <v>53199806</v>
      </c>
      <c r="B351" s="17">
        <v>42289</v>
      </c>
      <c r="C351" s="17">
        <v>42294</v>
      </c>
      <c r="D351" s="18" t="s">
        <v>74</v>
      </c>
      <c r="E351" s="18" t="s">
        <v>11</v>
      </c>
      <c r="F351" s="18">
        <v>1</v>
      </c>
      <c r="G351" s="19">
        <v>679000</v>
      </c>
      <c r="H351" s="19">
        <v>677900</v>
      </c>
      <c r="I351" s="18" t="s">
        <v>24</v>
      </c>
      <c r="J351" s="29" t="str">
        <f t="shared" si="30"/>
        <v>Mon</v>
      </c>
      <c r="K351" s="29" t="b">
        <f t="shared" si="31"/>
        <v>0</v>
      </c>
      <c r="L351" s="29" t="b">
        <f t="shared" si="32"/>
        <v>0</v>
      </c>
      <c r="M351" s="29" t="b">
        <f t="shared" si="35"/>
        <v>1</v>
      </c>
      <c r="N351" s="29" cm="1">
        <f t="array" ref="N351">_xlfn.IFS(
  E351="Airlines 1", IF(K351, F351*0.04, 0),
  E351="Airlines 2", P351,
  E351="Airlines 3", IF(L351, 20000*F351, 0),
  E351="Airlines 4", IF(M351, 15000*F351, 0),
  E351="Airlines 5",
    IF(F351&lt;50000000, F351*0.01,
      IF(F351&lt;100000000, F351*0.02,
        IF(F351&lt;200000000, F351*0.03, F351*0.035))),
  TRUE, 0
)</f>
        <v>0</v>
      </c>
      <c r="O351" s="29">
        <f t="shared" si="33"/>
        <v>12</v>
      </c>
      <c r="P351" s="29">
        <f t="shared" si="34"/>
        <v>0</v>
      </c>
      <c r="Q351" s="30" cm="1">
        <f t="array" ref="Q351">_xlfn.SWITCH(I351, "Method 1", 0, "Method 2", H351*0.03, "Method 3", 4000, "Method 4", 3000, 0)</f>
        <v>20337</v>
      </c>
    </row>
    <row r="352" spans="1:17">
      <c r="A352" s="24">
        <v>53199811</v>
      </c>
      <c r="B352" s="17">
        <v>42289</v>
      </c>
      <c r="C352" s="17">
        <v>42290</v>
      </c>
      <c r="D352" s="18" t="s">
        <v>40</v>
      </c>
      <c r="E352" s="18" t="s">
        <v>11</v>
      </c>
      <c r="F352" s="18">
        <v>1</v>
      </c>
      <c r="G352" s="19">
        <v>373466</v>
      </c>
      <c r="H352" s="19">
        <v>371000</v>
      </c>
      <c r="I352" s="18" t="s">
        <v>24</v>
      </c>
      <c r="J352" s="29" t="str">
        <f t="shared" si="30"/>
        <v>Mon</v>
      </c>
      <c r="K352" s="29" t="b">
        <f t="shared" si="31"/>
        <v>0</v>
      </c>
      <c r="L352" s="29" t="b">
        <f t="shared" si="32"/>
        <v>1</v>
      </c>
      <c r="M352" s="29" t="b">
        <f t="shared" si="35"/>
        <v>1</v>
      </c>
      <c r="N352" s="29" cm="1">
        <f t="array" ref="N352">_xlfn.IFS(
  E352="Airlines 1", IF(K352, F352*0.04, 0),
  E352="Airlines 2", P352,
  E352="Airlines 3", IF(L352, 20000*F352, 0),
  E352="Airlines 4", IF(M352, 15000*F352, 0),
  E352="Airlines 5",
    IF(F352&lt;50000000, F352*0.01,
      IF(F352&lt;100000000, F352*0.02,
        IF(F352&lt;200000000, F352*0.03, F352*0.035))),
  TRUE, 0
)</f>
        <v>20000</v>
      </c>
      <c r="O352" s="29">
        <f t="shared" si="33"/>
        <v>12</v>
      </c>
      <c r="P352" s="29">
        <f t="shared" si="34"/>
        <v>0</v>
      </c>
      <c r="Q352" s="30" cm="1">
        <f t="array" ref="Q352">_xlfn.SWITCH(I352, "Method 1", 0, "Method 2", H352*0.03, "Method 3", 4000, "Method 4", 3000, 0)</f>
        <v>11130</v>
      </c>
    </row>
    <row r="353" spans="1:17">
      <c r="A353" s="24">
        <v>53199775</v>
      </c>
      <c r="B353" s="17">
        <v>42289</v>
      </c>
      <c r="C353" s="17">
        <v>42296</v>
      </c>
      <c r="D353" s="18" t="s">
        <v>145</v>
      </c>
      <c r="E353" s="18" t="s">
        <v>11</v>
      </c>
      <c r="F353" s="18">
        <v>1</v>
      </c>
      <c r="G353" s="19">
        <v>519094</v>
      </c>
      <c r="H353" s="19">
        <v>515900</v>
      </c>
      <c r="I353" s="18" t="s">
        <v>24</v>
      </c>
      <c r="J353" s="29" t="str">
        <f t="shared" si="30"/>
        <v>Mon</v>
      </c>
      <c r="K353" s="29" t="b">
        <f t="shared" si="31"/>
        <v>0</v>
      </c>
      <c r="L353" s="29" t="b">
        <f t="shared" si="32"/>
        <v>0</v>
      </c>
      <c r="M353" s="29" t="b">
        <f t="shared" si="35"/>
        <v>1</v>
      </c>
      <c r="N353" s="29" cm="1">
        <f t="array" ref="N353">_xlfn.IFS(
  E353="Airlines 1", IF(K353, F353*0.04, 0),
  E353="Airlines 2", P353,
  E353="Airlines 3", IF(L353, 20000*F353, 0),
  E353="Airlines 4", IF(M353, 15000*F353, 0),
  E353="Airlines 5",
    IF(F353&lt;50000000, F353*0.01,
      IF(F353&lt;100000000, F353*0.02,
        IF(F353&lt;200000000, F353*0.03, F353*0.035))),
  TRUE, 0
)</f>
        <v>0</v>
      </c>
      <c r="O353" s="29">
        <f t="shared" si="33"/>
        <v>12</v>
      </c>
      <c r="P353" s="29">
        <f t="shared" si="34"/>
        <v>0</v>
      </c>
      <c r="Q353" s="30" cm="1">
        <f t="array" ref="Q353">_xlfn.SWITCH(I353, "Method 1", 0, "Method 2", H353*0.03, "Method 3", 4000, "Method 4", 3000, 0)</f>
        <v>15477</v>
      </c>
    </row>
    <row r="354" spans="1:17">
      <c r="A354" s="24">
        <v>53199793</v>
      </c>
      <c r="B354" s="17">
        <v>42289</v>
      </c>
      <c r="C354" s="17">
        <v>42290</v>
      </c>
      <c r="D354" s="18" t="s">
        <v>48</v>
      </c>
      <c r="E354" s="18" t="s">
        <v>11</v>
      </c>
      <c r="F354" s="18">
        <v>1</v>
      </c>
      <c r="G354" s="19">
        <v>584620</v>
      </c>
      <c r="H354" s="19">
        <v>581200</v>
      </c>
      <c r="I354" s="18" t="s">
        <v>24</v>
      </c>
      <c r="J354" s="29" t="str">
        <f t="shared" si="30"/>
        <v>Mon</v>
      </c>
      <c r="K354" s="29" t="b">
        <f t="shared" si="31"/>
        <v>0</v>
      </c>
      <c r="L354" s="29" t="b">
        <f t="shared" si="32"/>
        <v>0</v>
      </c>
      <c r="M354" s="29" t="b">
        <f t="shared" si="35"/>
        <v>1</v>
      </c>
      <c r="N354" s="29" cm="1">
        <f t="array" ref="N354">_xlfn.IFS(
  E354="Airlines 1", IF(K354, F354*0.04, 0),
  E354="Airlines 2", P354,
  E354="Airlines 3", IF(L354, 20000*F354, 0),
  E354="Airlines 4", IF(M354, 15000*F354, 0),
  E354="Airlines 5",
    IF(F354&lt;50000000, F354*0.01,
      IF(F354&lt;100000000, F354*0.02,
        IF(F354&lt;200000000, F354*0.03, F354*0.035))),
  TRUE, 0
)</f>
        <v>0</v>
      </c>
      <c r="O354" s="29">
        <f t="shared" si="33"/>
        <v>12</v>
      </c>
      <c r="P354" s="29">
        <f t="shared" si="34"/>
        <v>0</v>
      </c>
      <c r="Q354" s="30" cm="1">
        <f t="array" ref="Q354">_xlfn.SWITCH(I354, "Method 1", 0, "Method 2", H354*0.03, "Method 3", 4000, "Method 4", 3000, 0)</f>
        <v>17436</v>
      </c>
    </row>
    <row r="355" spans="1:17">
      <c r="A355" s="24">
        <v>53199847</v>
      </c>
      <c r="B355" s="17">
        <v>42289</v>
      </c>
      <c r="C355" s="17">
        <v>42296</v>
      </c>
      <c r="D355" s="18" t="s">
        <v>108</v>
      </c>
      <c r="E355" s="18" t="s">
        <v>11</v>
      </c>
      <c r="F355" s="18">
        <v>2</v>
      </c>
      <c r="G355" s="19">
        <v>1333800</v>
      </c>
      <c r="H355" s="19">
        <v>1327000</v>
      </c>
      <c r="I355" s="18" t="s">
        <v>22</v>
      </c>
      <c r="J355" s="29" t="str">
        <f t="shared" si="30"/>
        <v>Mon</v>
      </c>
      <c r="K355" s="29" t="b">
        <f t="shared" si="31"/>
        <v>0</v>
      </c>
      <c r="L355" s="29" t="b">
        <f t="shared" si="32"/>
        <v>0</v>
      </c>
      <c r="M355" s="29" t="b">
        <f t="shared" si="35"/>
        <v>1</v>
      </c>
      <c r="N355" s="29" cm="1">
        <f t="array" ref="N355">_xlfn.IFS(
  E355="Airlines 1", IF(K355, F355*0.04, 0),
  E355="Airlines 2", P355,
  E355="Airlines 3", IF(L355, 20000*F355, 0),
  E355="Airlines 4", IF(M355, 15000*F355, 0),
  E355="Airlines 5",
    IF(F355&lt;50000000, F355*0.01,
      IF(F355&lt;100000000, F355*0.02,
        IF(F355&lt;200000000, F355*0.03, F355*0.035))),
  TRUE, 0
)</f>
        <v>0</v>
      </c>
      <c r="O355" s="29">
        <f t="shared" si="33"/>
        <v>12</v>
      </c>
      <c r="P355" s="29">
        <f t="shared" si="34"/>
        <v>0</v>
      </c>
      <c r="Q355" s="30" cm="1">
        <f t="array" ref="Q355">_xlfn.SWITCH(I355, "Method 1", 0, "Method 2", H355*0.03, "Method 3", 4000, "Method 4", 3000, 0)</f>
        <v>0</v>
      </c>
    </row>
    <row r="356" spans="1:17">
      <c r="A356" s="24">
        <v>53199854</v>
      </c>
      <c r="B356" s="17">
        <v>42289</v>
      </c>
      <c r="C356" s="17">
        <v>42309</v>
      </c>
      <c r="D356" s="18" t="s">
        <v>43</v>
      </c>
      <c r="E356" s="18" t="s">
        <v>11</v>
      </c>
      <c r="F356" s="18">
        <v>1</v>
      </c>
      <c r="G356" s="19">
        <v>538337</v>
      </c>
      <c r="H356" s="19">
        <v>535600</v>
      </c>
      <c r="I356" s="18" t="s">
        <v>22</v>
      </c>
      <c r="J356" s="29" t="str">
        <f t="shared" si="30"/>
        <v>Mon</v>
      </c>
      <c r="K356" s="29" t="b">
        <f t="shared" si="31"/>
        <v>0</v>
      </c>
      <c r="L356" s="29" t="b">
        <f t="shared" si="32"/>
        <v>1</v>
      </c>
      <c r="M356" s="29" t="b">
        <f t="shared" si="35"/>
        <v>1</v>
      </c>
      <c r="N356" s="29" cm="1">
        <f t="array" ref="N356">_xlfn.IFS(
  E356="Airlines 1", IF(K356, F356*0.04, 0),
  E356="Airlines 2", P356,
  E356="Airlines 3", IF(L356, 20000*F356, 0),
  E356="Airlines 4", IF(M356, 15000*F356, 0),
  E356="Airlines 5",
    IF(F356&lt;50000000, F356*0.01,
      IF(F356&lt;100000000, F356*0.02,
        IF(F356&lt;200000000, F356*0.03, F356*0.035))),
  TRUE, 0
)</f>
        <v>20000</v>
      </c>
      <c r="O356" s="29">
        <f t="shared" si="33"/>
        <v>12</v>
      </c>
      <c r="P356" s="29">
        <f t="shared" si="34"/>
        <v>0</v>
      </c>
      <c r="Q356" s="30" cm="1">
        <f t="array" ref="Q356">_xlfn.SWITCH(I356, "Method 1", 0, "Method 2", H356*0.03, "Method 3", 4000, "Method 4", 3000, 0)</f>
        <v>0</v>
      </c>
    </row>
    <row r="357" spans="1:17">
      <c r="A357" s="24">
        <v>53199875</v>
      </c>
      <c r="B357" s="17">
        <v>42293</v>
      </c>
      <c r="C357" s="17">
        <v>42296</v>
      </c>
      <c r="D357" s="18" t="s">
        <v>43</v>
      </c>
      <c r="E357" s="18" t="s">
        <v>11</v>
      </c>
      <c r="F357" s="18">
        <v>1</v>
      </c>
      <c r="G357" s="19">
        <v>538337</v>
      </c>
      <c r="H357" s="19">
        <v>535600</v>
      </c>
      <c r="I357" s="18" t="s">
        <v>22</v>
      </c>
      <c r="J357" s="29" t="str">
        <f t="shared" si="30"/>
        <v>Fri</v>
      </c>
      <c r="K357" s="29" t="b">
        <f t="shared" si="31"/>
        <v>0</v>
      </c>
      <c r="L357" s="29" t="b">
        <f t="shared" si="32"/>
        <v>1</v>
      </c>
      <c r="M357" s="29" t="b">
        <f t="shared" si="35"/>
        <v>0</v>
      </c>
      <c r="N357" s="29" cm="1">
        <f t="array" ref="N357">_xlfn.IFS(
  E357="Airlines 1", IF(K357, F357*0.04, 0),
  E357="Airlines 2", P357,
  E357="Airlines 3", IF(L357, 20000*F357, 0),
  E357="Airlines 4", IF(M357, 15000*F357, 0),
  E357="Airlines 5",
    IF(F357&lt;50000000, F357*0.01,
      IF(F357&lt;100000000, F357*0.02,
        IF(F357&lt;200000000, F357*0.03, F357*0.035))),
  TRUE, 0
)</f>
        <v>20000</v>
      </c>
      <c r="O357" s="29">
        <f t="shared" si="33"/>
        <v>13</v>
      </c>
      <c r="P357" s="29">
        <f t="shared" si="34"/>
        <v>0</v>
      </c>
      <c r="Q357" s="30" cm="1">
        <f t="array" ref="Q357">_xlfn.SWITCH(I357, "Method 1", 0, "Method 2", H357*0.03, "Method 3", 4000, "Method 4", 3000, 0)</f>
        <v>0</v>
      </c>
    </row>
    <row r="358" spans="1:17">
      <c r="A358" s="24">
        <v>53199949</v>
      </c>
      <c r="B358" s="17">
        <v>42293</v>
      </c>
      <c r="C358" s="17">
        <v>42297</v>
      </c>
      <c r="D358" s="18" t="s">
        <v>43</v>
      </c>
      <c r="E358" s="18" t="s">
        <v>11</v>
      </c>
      <c r="F358" s="18">
        <v>1</v>
      </c>
      <c r="G358" s="19">
        <v>584900</v>
      </c>
      <c r="H358" s="19">
        <v>581900</v>
      </c>
      <c r="I358" s="18" t="s">
        <v>24</v>
      </c>
      <c r="J358" s="29" t="str">
        <f t="shared" si="30"/>
        <v>Fri</v>
      </c>
      <c r="K358" s="29" t="b">
        <f t="shared" si="31"/>
        <v>0</v>
      </c>
      <c r="L358" s="29" t="b">
        <f t="shared" si="32"/>
        <v>1</v>
      </c>
      <c r="M358" s="29" t="b">
        <f t="shared" si="35"/>
        <v>0</v>
      </c>
      <c r="N358" s="29" cm="1">
        <f t="array" ref="N358">_xlfn.IFS(
  E358="Airlines 1", IF(K358, F358*0.04, 0),
  E358="Airlines 2", P358,
  E358="Airlines 3", IF(L358, 20000*F358, 0),
  E358="Airlines 4", IF(M358, 15000*F358, 0),
  E358="Airlines 5",
    IF(F358&lt;50000000, F358*0.01,
      IF(F358&lt;100000000, F358*0.02,
        IF(F358&lt;200000000, F358*0.03, F358*0.035))),
  TRUE, 0
)</f>
        <v>20000</v>
      </c>
      <c r="O358" s="29">
        <f t="shared" si="33"/>
        <v>13</v>
      </c>
      <c r="P358" s="29">
        <f t="shared" si="34"/>
        <v>0</v>
      </c>
      <c r="Q358" s="30" cm="1">
        <f t="array" ref="Q358">_xlfn.SWITCH(I358, "Method 1", 0, "Method 2", H358*0.03, "Method 3", 4000, "Method 4", 3000, 0)</f>
        <v>17457</v>
      </c>
    </row>
    <row r="359" spans="1:17">
      <c r="A359" s="24">
        <v>53199930</v>
      </c>
      <c r="B359" s="17">
        <v>42293</v>
      </c>
      <c r="C359" s="17">
        <v>42330</v>
      </c>
      <c r="D359" s="18" t="s">
        <v>153</v>
      </c>
      <c r="E359" s="18" t="s">
        <v>11</v>
      </c>
      <c r="F359" s="18">
        <v>1</v>
      </c>
      <c r="G359" s="19">
        <v>439993</v>
      </c>
      <c r="H359" s="19">
        <v>437200</v>
      </c>
      <c r="I359" s="18" t="s">
        <v>26</v>
      </c>
      <c r="J359" s="29" t="str">
        <f t="shared" si="30"/>
        <v>Fri</v>
      </c>
      <c r="K359" s="29" t="b">
        <f t="shared" si="31"/>
        <v>0</v>
      </c>
      <c r="L359" s="29" t="b">
        <f t="shared" si="32"/>
        <v>0</v>
      </c>
      <c r="M359" s="29" t="b">
        <f t="shared" si="35"/>
        <v>0</v>
      </c>
      <c r="N359" s="29" cm="1">
        <f t="array" ref="N359">_xlfn.IFS(
  E359="Airlines 1", IF(K359, F359*0.04, 0),
  E359="Airlines 2", P359,
  E359="Airlines 3", IF(L359, 20000*F359, 0),
  E359="Airlines 4", IF(M359, 15000*F359, 0),
  E359="Airlines 5",
    IF(F359&lt;50000000, F359*0.01,
      IF(F359&lt;100000000, F359*0.02,
        IF(F359&lt;200000000, F359*0.03, F359*0.035))),
  TRUE, 0
)</f>
        <v>0</v>
      </c>
      <c r="O359" s="29">
        <f t="shared" si="33"/>
        <v>13</v>
      </c>
      <c r="P359" s="29">
        <f t="shared" si="34"/>
        <v>0</v>
      </c>
      <c r="Q359" s="30" cm="1">
        <f t="array" ref="Q359">_xlfn.SWITCH(I359, "Method 1", 0, "Method 2", H359*0.03, "Method 3", 4000, "Method 4", 3000, 0)</f>
        <v>4000</v>
      </c>
    </row>
    <row r="360" spans="1:17">
      <c r="A360" s="24">
        <v>53199699</v>
      </c>
      <c r="B360" s="17">
        <v>42293</v>
      </c>
      <c r="C360" s="17">
        <v>42296</v>
      </c>
      <c r="D360" s="18" t="s">
        <v>74</v>
      </c>
      <c r="E360" s="18" t="s">
        <v>11</v>
      </c>
      <c r="F360" s="18">
        <v>2</v>
      </c>
      <c r="G360" s="19">
        <v>1237686</v>
      </c>
      <c r="H360" s="19">
        <v>1236938</v>
      </c>
      <c r="I360" s="18" t="s">
        <v>24</v>
      </c>
      <c r="J360" s="29" t="str">
        <f t="shared" si="30"/>
        <v>Fri</v>
      </c>
      <c r="K360" s="29" t="b">
        <f t="shared" si="31"/>
        <v>0</v>
      </c>
      <c r="L360" s="29" t="b">
        <f t="shared" si="32"/>
        <v>0</v>
      </c>
      <c r="M360" s="29" t="b">
        <f t="shared" si="35"/>
        <v>0</v>
      </c>
      <c r="N360" s="29" cm="1">
        <f t="array" ref="N360">_xlfn.IFS(
  E360="Airlines 1", IF(K360, F360*0.04, 0),
  E360="Airlines 2", P360,
  E360="Airlines 3", IF(L360, 20000*F360, 0),
  E360="Airlines 4", IF(M360, 15000*F360, 0),
  E360="Airlines 5",
    IF(F360&lt;50000000, F360*0.01,
      IF(F360&lt;100000000, F360*0.02,
        IF(F360&lt;200000000, F360*0.03, F360*0.035))),
  TRUE, 0
)</f>
        <v>0</v>
      </c>
      <c r="O360" s="29">
        <f t="shared" si="33"/>
        <v>13</v>
      </c>
      <c r="P360" s="29">
        <f t="shared" si="34"/>
        <v>0</v>
      </c>
      <c r="Q360" s="30" cm="1">
        <f t="array" ref="Q360">_xlfn.SWITCH(I360, "Method 1", 0, "Method 2", H360*0.03, "Method 3", 4000, "Method 4", 3000, 0)</f>
        <v>37108.14</v>
      </c>
    </row>
    <row r="361" spans="1:17">
      <c r="A361" s="24">
        <v>53199958</v>
      </c>
      <c r="B361" s="17">
        <v>42293</v>
      </c>
      <c r="C361" s="17">
        <v>42309</v>
      </c>
      <c r="D361" s="18" t="s">
        <v>43</v>
      </c>
      <c r="E361" s="18" t="s">
        <v>11</v>
      </c>
      <c r="F361" s="18">
        <v>1</v>
      </c>
      <c r="G361" s="19">
        <v>538337</v>
      </c>
      <c r="H361" s="19">
        <v>535100</v>
      </c>
      <c r="I361" s="18" t="s">
        <v>26</v>
      </c>
      <c r="J361" s="29" t="str">
        <f t="shared" si="30"/>
        <v>Fri</v>
      </c>
      <c r="K361" s="29" t="b">
        <f t="shared" si="31"/>
        <v>0</v>
      </c>
      <c r="L361" s="29" t="b">
        <f t="shared" si="32"/>
        <v>1</v>
      </c>
      <c r="M361" s="29" t="b">
        <f t="shared" si="35"/>
        <v>0</v>
      </c>
      <c r="N361" s="29" cm="1">
        <f t="array" ref="N361">_xlfn.IFS(
  E361="Airlines 1", IF(K361, F361*0.04, 0),
  E361="Airlines 2", P361,
  E361="Airlines 3", IF(L361, 20000*F361, 0),
  E361="Airlines 4", IF(M361, 15000*F361, 0),
  E361="Airlines 5",
    IF(F361&lt;50000000, F361*0.01,
      IF(F361&lt;100000000, F361*0.02,
        IF(F361&lt;200000000, F361*0.03, F361*0.035))),
  TRUE, 0
)</f>
        <v>20000</v>
      </c>
      <c r="O361" s="29">
        <f t="shared" si="33"/>
        <v>13</v>
      </c>
      <c r="P361" s="29">
        <f t="shared" si="34"/>
        <v>0</v>
      </c>
      <c r="Q361" s="30" cm="1">
        <f t="array" ref="Q361">_xlfn.SWITCH(I361, "Method 1", 0, "Method 2", H361*0.03, "Method 3", 4000, "Method 4", 3000, 0)</f>
        <v>4000</v>
      </c>
    </row>
    <row r="362" spans="1:17">
      <c r="A362" s="24">
        <v>53199849</v>
      </c>
      <c r="B362" s="17">
        <v>42293</v>
      </c>
      <c r="C362" s="17">
        <v>42297</v>
      </c>
      <c r="D362" s="18" t="s">
        <v>97</v>
      </c>
      <c r="E362" s="18" t="s">
        <v>11</v>
      </c>
      <c r="F362" s="18">
        <v>1</v>
      </c>
      <c r="G362" s="19">
        <v>368466</v>
      </c>
      <c r="H362" s="19">
        <v>366100</v>
      </c>
      <c r="I362" s="18" t="s">
        <v>24</v>
      </c>
      <c r="J362" s="29" t="str">
        <f t="shared" si="30"/>
        <v>Fri</v>
      </c>
      <c r="K362" s="29" t="b">
        <f t="shared" si="31"/>
        <v>0</v>
      </c>
      <c r="L362" s="29" t="b">
        <f t="shared" si="32"/>
        <v>1</v>
      </c>
      <c r="M362" s="29" t="b">
        <f t="shared" si="35"/>
        <v>0</v>
      </c>
      <c r="N362" s="29" cm="1">
        <f t="array" ref="N362">_xlfn.IFS(
  E362="Airlines 1", IF(K362, F362*0.04, 0),
  E362="Airlines 2", P362,
  E362="Airlines 3", IF(L362, 20000*F362, 0),
  E362="Airlines 4", IF(M362, 15000*F362, 0),
  E362="Airlines 5",
    IF(F362&lt;50000000, F362*0.01,
      IF(F362&lt;100000000, F362*0.02,
        IF(F362&lt;200000000, F362*0.03, F362*0.035))),
  TRUE, 0
)</f>
        <v>20000</v>
      </c>
      <c r="O362" s="29">
        <f t="shared" si="33"/>
        <v>13</v>
      </c>
      <c r="P362" s="29">
        <f t="shared" si="34"/>
        <v>0</v>
      </c>
      <c r="Q362" s="30" cm="1">
        <f t="array" ref="Q362">_xlfn.SWITCH(I362, "Method 1", 0, "Method 2", H362*0.03, "Method 3", 4000, "Method 4", 3000, 0)</f>
        <v>10983</v>
      </c>
    </row>
    <row r="363" spans="1:17">
      <c r="A363" s="24">
        <v>53199505</v>
      </c>
      <c r="B363" s="17">
        <v>42293</v>
      </c>
      <c r="C363" s="17">
        <v>42295</v>
      </c>
      <c r="D363" s="18" t="s">
        <v>41</v>
      </c>
      <c r="E363" s="18" t="s">
        <v>11</v>
      </c>
      <c r="F363" s="18">
        <v>1</v>
      </c>
      <c r="G363" s="19">
        <v>868900</v>
      </c>
      <c r="H363" s="19">
        <v>864500</v>
      </c>
      <c r="I363" s="18" t="s">
        <v>22</v>
      </c>
      <c r="J363" s="29" t="str">
        <f t="shared" si="30"/>
        <v>Fri</v>
      </c>
      <c r="K363" s="29" t="b">
        <f t="shared" si="31"/>
        <v>0</v>
      </c>
      <c r="L363" s="29" t="b">
        <f t="shared" si="32"/>
        <v>0</v>
      </c>
      <c r="M363" s="29" t="b">
        <f t="shared" si="35"/>
        <v>0</v>
      </c>
      <c r="N363" s="29" cm="1">
        <f t="array" ref="N363">_xlfn.IFS(
  E363="Airlines 1", IF(K363, F363*0.04, 0),
  E363="Airlines 2", P363,
  E363="Airlines 3", IF(L363, 20000*F363, 0),
  E363="Airlines 4", IF(M363, 15000*F363, 0),
  E363="Airlines 5",
    IF(F363&lt;50000000, F363*0.01,
      IF(F363&lt;100000000, F363*0.02,
        IF(F363&lt;200000000, F363*0.03, F363*0.035))),
  TRUE, 0
)</f>
        <v>0</v>
      </c>
      <c r="O363" s="29">
        <f t="shared" si="33"/>
        <v>13</v>
      </c>
      <c r="P363" s="29">
        <f t="shared" si="34"/>
        <v>0</v>
      </c>
      <c r="Q363" s="30" cm="1">
        <f t="array" ref="Q363">_xlfn.SWITCH(I363, "Method 1", 0, "Method 2", H363*0.03, "Method 3", 4000, "Method 4", 3000, 0)</f>
        <v>0</v>
      </c>
    </row>
    <row r="364" spans="1:17">
      <c r="A364" s="24">
        <v>53199799</v>
      </c>
      <c r="B364" s="17">
        <v>42293</v>
      </c>
      <c r="C364" s="17">
        <v>42298</v>
      </c>
      <c r="D364" s="18" t="s">
        <v>181</v>
      </c>
      <c r="E364" s="18" t="s">
        <v>11</v>
      </c>
      <c r="F364" s="18">
        <v>1</v>
      </c>
      <c r="G364" s="19">
        <v>314642</v>
      </c>
      <c r="H364" s="19">
        <v>311466</v>
      </c>
      <c r="I364" s="18" t="s">
        <v>26</v>
      </c>
      <c r="J364" s="29" t="str">
        <f t="shared" si="30"/>
        <v>Fri</v>
      </c>
      <c r="K364" s="29" t="b">
        <f t="shared" si="31"/>
        <v>0</v>
      </c>
      <c r="L364" s="29" t="b">
        <f t="shared" si="32"/>
        <v>0</v>
      </c>
      <c r="M364" s="29" t="b">
        <f t="shared" si="35"/>
        <v>0</v>
      </c>
      <c r="N364" s="29" cm="1">
        <f t="array" ref="N364">_xlfn.IFS(
  E364="Airlines 1", IF(K364, F364*0.04, 0),
  E364="Airlines 2", P364,
  E364="Airlines 3", IF(L364, 20000*F364, 0),
  E364="Airlines 4", IF(M364, 15000*F364, 0),
  E364="Airlines 5",
    IF(F364&lt;50000000, F364*0.01,
      IF(F364&lt;100000000, F364*0.02,
        IF(F364&lt;200000000, F364*0.03, F364*0.035))),
  TRUE, 0
)</f>
        <v>0</v>
      </c>
      <c r="O364" s="29">
        <f t="shared" si="33"/>
        <v>13</v>
      </c>
      <c r="P364" s="29">
        <f t="shared" si="34"/>
        <v>0</v>
      </c>
      <c r="Q364" s="30" cm="1">
        <f t="array" ref="Q364">_xlfn.SWITCH(I364, "Method 1", 0, "Method 2", H364*0.03, "Method 3", 4000, "Method 4", 3000, 0)</f>
        <v>4000</v>
      </c>
    </row>
    <row r="365" spans="1:17">
      <c r="A365" s="24">
        <v>53199993</v>
      </c>
      <c r="B365" s="17">
        <v>42293</v>
      </c>
      <c r="C365" s="17">
        <v>42295</v>
      </c>
      <c r="D365" s="18" t="s">
        <v>41</v>
      </c>
      <c r="E365" s="18" t="s">
        <v>11</v>
      </c>
      <c r="F365" s="18">
        <v>2</v>
      </c>
      <c r="G365" s="19">
        <v>1249240</v>
      </c>
      <c r="H365" s="19">
        <v>1242800</v>
      </c>
      <c r="I365" s="18" t="s">
        <v>26</v>
      </c>
      <c r="J365" s="29" t="str">
        <f t="shared" si="30"/>
        <v>Fri</v>
      </c>
      <c r="K365" s="29" t="b">
        <f t="shared" si="31"/>
        <v>0</v>
      </c>
      <c r="L365" s="29" t="b">
        <f t="shared" si="32"/>
        <v>0</v>
      </c>
      <c r="M365" s="29" t="b">
        <f t="shared" si="35"/>
        <v>0</v>
      </c>
      <c r="N365" s="29" cm="1">
        <f t="array" ref="N365">_xlfn.IFS(
  E365="Airlines 1", IF(K365, F365*0.04, 0),
  E365="Airlines 2", P365,
  E365="Airlines 3", IF(L365, 20000*F365, 0),
  E365="Airlines 4", IF(M365, 15000*F365, 0),
  E365="Airlines 5",
    IF(F365&lt;50000000, F365*0.01,
      IF(F365&lt;100000000, F365*0.02,
        IF(F365&lt;200000000, F365*0.03, F365*0.035))),
  TRUE, 0
)</f>
        <v>0</v>
      </c>
      <c r="O365" s="29">
        <f t="shared" si="33"/>
        <v>13</v>
      </c>
      <c r="P365" s="29">
        <f t="shared" si="34"/>
        <v>0</v>
      </c>
      <c r="Q365" s="30" cm="1">
        <f t="array" ref="Q365">_xlfn.SWITCH(I365, "Method 1", 0, "Method 2", H365*0.03, "Method 3", 4000, "Method 4", 3000, 0)</f>
        <v>4000</v>
      </c>
    </row>
    <row r="366" spans="1:17">
      <c r="A366" s="24">
        <v>53199995</v>
      </c>
      <c r="B366" s="17">
        <v>42293</v>
      </c>
      <c r="C366" s="17">
        <v>42294</v>
      </c>
      <c r="D366" s="18" t="s">
        <v>159</v>
      </c>
      <c r="E366" s="18" t="s">
        <v>11</v>
      </c>
      <c r="F366" s="18">
        <v>1</v>
      </c>
      <c r="G366" s="19">
        <v>227524</v>
      </c>
      <c r="H366" s="19">
        <v>227500</v>
      </c>
      <c r="I366" s="18" t="s">
        <v>26</v>
      </c>
      <c r="J366" s="29" t="str">
        <f t="shared" si="30"/>
        <v>Fri</v>
      </c>
      <c r="K366" s="29" t="b">
        <f t="shared" si="31"/>
        <v>0</v>
      </c>
      <c r="L366" s="29" t="b">
        <f t="shared" si="32"/>
        <v>0</v>
      </c>
      <c r="M366" s="29" t="b">
        <f t="shared" si="35"/>
        <v>0</v>
      </c>
      <c r="N366" s="29" cm="1">
        <f t="array" ref="N366">_xlfn.IFS(
  E366="Airlines 1", IF(K366, F366*0.04, 0),
  E366="Airlines 2", P366,
  E366="Airlines 3", IF(L366, 20000*F366, 0),
  E366="Airlines 4", IF(M366, 15000*F366, 0),
  E366="Airlines 5",
    IF(F366&lt;50000000, F366*0.01,
      IF(F366&lt;100000000, F366*0.02,
        IF(F366&lt;200000000, F366*0.03, F366*0.035))),
  TRUE, 0
)</f>
        <v>0</v>
      </c>
      <c r="O366" s="29">
        <f t="shared" si="33"/>
        <v>13</v>
      </c>
      <c r="P366" s="29">
        <f t="shared" si="34"/>
        <v>0</v>
      </c>
      <c r="Q366" s="30" cm="1">
        <f t="array" ref="Q366">_xlfn.SWITCH(I366, "Method 1", 0, "Method 2", H366*0.03, "Method 3", 4000, "Method 4", 3000, 0)</f>
        <v>4000</v>
      </c>
    </row>
    <row r="367" spans="1:17">
      <c r="A367" s="24">
        <v>53199408</v>
      </c>
      <c r="B367" s="17">
        <v>42293</v>
      </c>
      <c r="C367" s="17">
        <v>42310</v>
      </c>
      <c r="D367" s="18" t="s">
        <v>62</v>
      </c>
      <c r="E367" s="18" t="s">
        <v>11</v>
      </c>
      <c r="F367" s="18">
        <v>1</v>
      </c>
      <c r="G367" s="19">
        <v>725900</v>
      </c>
      <c r="H367" s="19">
        <v>721700</v>
      </c>
      <c r="I367" s="18" t="s">
        <v>26</v>
      </c>
      <c r="J367" s="29" t="str">
        <f t="shared" si="30"/>
        <v>Fri</v>
      </c>
      <c r="K367" s="29" t="b">
        <f t="shared" si="31"/>
        <v>0</v>
      </c>
      <c r="L367" s="29" t="b">
        <f t="shared" si="32"/>
        <v>1</v>
      </c>
      <c r="M367" s="29" t="b">
        <f t="shared" si="35"/>
        <v>0</v>
      </c>
      <c r="N367" s="29" cm="1">
        <f t="array" ref="N367">_xlfn.IFS(
  E367="Airlines 1", IF(K367, F367*0.04, 0),
  E367="Airlines 2", P367,
  E367="Airlines 3", IF(L367, 20000*F367, 0),
  E367="Airlines 4", IF(M367, 15000*F367, 0),
  E367="Airlines 5",
    IF(F367&lt;50000000, F367*0.01,
      IF(F367&lt;100000000, F367*0.02,
        IF(F367&lt;200000000, F367*0.03, F367*0.035))),
  TRUE, 0
)</f>
        <v>20000</v>
      </c>
      <c r="O367" s="29">
        <f t="shared" si="33"/>
        <v>13</v>
      </c>
      <c r="P367" s="29">
        <f t="shared" si="34"/>
        <v>0</v>
      </c>
      <c r="Q367" s="30" cm="1">
        <f t="array" ref="Q367">_xlfn.SWITCH(I367, "Method 1", 0, "Method 2", H367*0.03, "Method 3", 4000, "Method 4", 3000, 0)</f>
        <v>4000</v>
      </c>
    </row>
    <row r="368" spans="1:17">
      <c r="A368" s="24">
        <v>53200045</v>
      </c>
      <c r="B368" s="17">
        <v>42293</v>
      </c>
      <c r="C368" s="17">
        <v>42294</v>
      </c>
      <c r="D368" s="18" t="s">
        <v>41</v>
      </c>
      <c r="E368" s="18" t="s">
        <v>11</v>
      </c>
      <c r="F368" s="18">
        <v>1</v>
      </c>
      <c r="G368" s="19">
        <v>549620</v>
      </c>
      <c r="H368" s="19">
        <v>546400</v>
      </c>
      <c r="I368" s="18" t="s">
        <v>26</v>
      </c>
      <c r="J368" s="29" t="str">
        <f t="shared" si="30"/>
        <v>Fri</v>
      </c>
      <c r="K368" s="29" t="b">
        <f t="shared" si="31"/>
        <v>0</v>
      </c>
      <c r="L368" s="29" t="b">
        <f t="shared" si="32"/>
        <v>0</v>
      </c>
      <c r="M368" s="29" t="b">
        <f t="shared" si="35"/>
        <v>0</v>
      </c>
      <c r="N368" s="29" cm="1">
        <f t="array" ref="N368">_xlfn.IFS(
  E368="Airlines 1", IF(K368, F368*0.04, 0),
  E368="Airlines 2", P368,
  E368="Airlines 3", IF(L368, 20000*F368, 0),
  E368="Airlines 4", IF(M368, 15000*F368, 0),
  E368="Airlines 5",
    IF(F368&lt;50000000, F368*0.01,
      IF(F368&lt;100000000, F368*0.02,
        IF(F368&lt;200000000, F368*0.03, F368*0.035))),
  TRUE, 0
)</f>
        <v>0</v>
      </c>
      <c r="O368" s="29">
        <f t="shared" si="33"/>
        <v>13</v>
      </c>
      <c r="P368" s="29">
        <f t="shared" si="34"/>
        <v>0</v>
      </c>
      <c r="Q368" s="30" cm="1">
        <f t="array" ref="Q368">_xlfn.SWITCH(I368, "Method 1", 0, "Method 2", H368*0.03, "Method 3", 4000, "Method 4", 3000, 0)</f>
        <v>4000</v>
      </c>
    </row>
    <row r="369" spans="1:17">
      <c r="A369" s="24">
        <v>53199669</v>
      </c>
      <c r="B369" s="17">
        <v>42293</v>
      </c>
      <c r="C369" s="17">
        <v>42297</v>
      </c>
      <c r="D369" s="18" t="s">
        <v>182</v>
      </c>
      <c r="E369" s="18" t="s">
        <v>11</v>
      </c>
      <c r="F369" s="18">
        <v>1</v>
      </c>
      <c r="G369" s="19">
        <v>699000</v>
      </c>
      <c r="H369" s="19">
        <v>698900</v>
      </c>
      <c r="I369" s="18" t="s">
        <v>26</v>
      </c>
      <c r="J369" s="29" t="str">
        <f t="shared" si="30"/>
        <v>Fri</v>
      </c>
      <c r="K369" s="29" t="b">
        <f t="shared" si="31"/>
        <v>0</v>
      </c>
      <c r="L369" s="29" t="b">
        <f t="shared" si="32"/>
        <v>0</v>
      </c>
      <c r="M369" s="29" t="b">
        <f t="shared" si="35"/>
        <v>0</v>
      </c>
      <c r="N369" s="29" cm="1">
        <f t="array" ref="N369">_xlfn.IFS(
  E369="Airlines 1", IF(K369, F369*0.04, 0),
  E369="Airlines 2", P369,
  E369="Airlines 3", IF(L369, 20000*F369, 0),
  E369="Airlines 4", IF(M369, 15000*F369, 0),
  E369="Airlines 5",
    IF(F369&lt;50000000, F369*0.01,
      IF(F369&lt;100000000, F369*0.02,
        IF(F369&lt;200000000, F369*0.03, F369*0.035))),
  TRUE, 0
)</f>
        <v>0</v>
      </c>
      <c r="O369" s="29">
        <f t="shared" si="33"/>
        <v>13</v>
      </c>
      <c r="P369" s="29">
        <f t="shared" si="34"/>
        <v>0</v>
      </c>
      <c r="Q369" s="30" cm="1">
        <f t="array" ref="Q369">_xlfn.SWITCH(I369, "Method 1", 0, "Method 2", H369*0.03, "Method 3", 4000, "Method 4", 3000, 0)</f>
        <v>4000</v>
      </c>
    </row>
    <row r="370" spans="1:17">
      <c r="A370" s="24">
        <v>53200042</v>
      </c>
      <c r="B370" s="17">
        <v>42295</v>
      </c>
      <c r="C370" s="17">
        <v>42299</v>
      </c>
      <c r="D370" s="18" t="s">
        <v>97</v>
      </c>
      <c r="E370" s="18" t="s">
        <v>11</v>
      </c>
      <c r="F370" s="18">
        <v>1</v>
      </c>
      <c r="G370" s="19">
        <v>368466</v>
      </c>
      <c r="H370" s="19">
        <v>366100</v>
      </c>
      <c r="I370" s="18" t="s">
        <v>26</v>
      </c>
      <c r="J370" s="29" t="str">
        <f t="shared" si="30"/>
        <v>Sun</v>
      </c>
      <c r="K370" s="29" t="b">
        <f t="shared" si="31"/>
        <v>1</v>
      </c>
      <c r="L370" s="29" t="b">
        <f t="shared" si="32"/>
        <v>1</v>
      </c>
      <c r="M370" s="29" t="b">
        <f t="shared" si="35"/>
        <v>0</v>
      </c>
      <c r="N370" s="29" cm="1">
        <f t="array" ref="N370">_xlfn.IFS(
  E370="Airlines 1", IF(K370, F370*0.04, 0),
  E370="Airlines 2", P370,
  E370="Airlines 3", IF(L370, 20000*F370, 0),
  E370="Airlines 4", IF(M370, 15000*F370, 0),
  E370="Airlines 5",
    IF(F370&lt;50000000, F370*0.01,
      IF(F370&lt;100000000, F370*0.02,
        IF(F370&lt;200000000, F370*0.03, F370*0.035))),
  TRUE, 0
)</f>
        <v>20000</v>
      </c>
      <c r="O370" s="29">
        <f t="shared" si="33"/>
        <v>0</v>
      </c>
      <c r="P370" s="29">
        <f t="shared" si="34"/>
        <v>0</v>
      </c>
      <c r="Q370" s="30" cm="1">
        <f t="array" ref="Q370">_xlfn.SWITCH(I370, "Method 1", 0, "Method 2", H370*0.03, "Method 3", 4000, "Method 4", 3000, 0)</f>
        <v>4000</v>
      </c>
    </row>
    <row r="371" spans="1:17">
      <c r="A371" s="24">
        <v>53200063</v>
      </c>
      <c r="B371" s="17">
        <v>42295</v>
      </c>
      <c r="C371" s="17">
        <v>42300</v>
      </c>
      <c r="D371" s="18" t="s">
        <v>40</v>
      </c>
      <c r="E371" s="18" t="s">
        <v>11</v>
      </c>
      <c r="F371" s="18">
        <v>1</v>
      </c>
      <c r="G371" s="19">
        <v>373466</v>
      </c>
      <c r="H371" s="19">
        <v>371500</v>
      </c>
      <c r="I371" s="18" t="s">
        <v>24</v>
      </c>
      <c r="J371" s="29" t="str">
        <f t="shared" si="30"/>
        <v>Sun</v>
      </c>
      <c r="K371" s="29" t="b">
        <f t="shared" si="31"/>
        <v>1</v>
      </c>
      <c r="L371" s="29" t="b">
        <f t="shared" si="32"/>
        <v>1</v>
      </c>
      <c r="M371" s="29" t="b">
        <f t="shared" si="35"/>
        <v>0</v>
      </c>
      <c r="N371" s="29" cm="1">
        <f t="array" ref="N371">_xlfn.IFS(
  E371="Airlines 1", IF(K371, F371*0.04, 0),
  E371="Airlines 2", P371,
  E371="Airlines 3", IF(L371, 20000*F371, 0),
  E371="Airlines 4", IF(M371, 15000*F371, 0),
  E371="Airlines 5",
    IF(F371&lt;50000000, F371*0.01,
      IF(F371&lt;100000000, F371*0.02,
        IF(F371&lt;200000000, F371*0.03, F371*0.035))),
  TRUE, 0
)</f>
        <v>20000</v>
      </c>
      <c r="O371" s="29">
        <f t="shared" si="33"/>
        <v>0</v>
      </c>
      <c r="P371" s="29">
        <f t="shared" si="34"/>
        <v>0</v>
      </c>
      <c r="Q371" s="30" cm="1">
        <f t="array" ref="Q371">_xlfn.SWITCH(I371, "Method 1", 0, "Method 2", H371*0.03, "Method 3", 4000, "Method 4", 3000, 0)</f>
        <v>11145</v>
      </c>
    </row>
    <row r="372" spans="1:17">
      <c r="A372" s="24">
        <v>53200062</v>
      </c>
      <c r="B372" s="17">
        <v>42295</v>
      </c>
      <c r="C372" s="17">
        <v>42296</v>
      </c>
      <c r="D372" s="18" t="s">
        <v>43</v>
      </c>
      <c r="E372" s="18" t="s">
        <v>11</v>
      </c>
      <c r="F372" s="18">
        <v>2</v>
      </c>
      <c r="G372" s="19">
        <v>1076674</v>
      </c>
      <c r="H372" s="19">
        <v>1070200</v>
      </c>
      <c r="I372" s="18" t="s">
        <v>26</v>
      </c>
      <c r="J372" s="29" t="str">
        <f t="shared" si="30"/>
        <v>Sun</v>
      </c>
      <c r="K372" s="29" t="b">
        <f t="shared" si="31"/>
        <v>1</v>
      </c>
      <c r="L372" s="29" t="b">
        <f t="shared" si="32"/>
        <v>1</v>
      </c>
      <c r="M372" s="29" t="b">
        <f t="shared" si="35"/>
        <v>0</v>
      </c>
      <c r="N372" s="29" cm="1">
        <f t="array" ref="N372">_xlfn.IFS(
  E372="Airlines 1", IF(K372, F372*0.04, 0),
  E372="Airlines 2", P372,
  E372="Airlines 3", IF(L372, 20000*F372, 0),
  E372="Airlines 4", IF(M372, 15000*F372, 0),
  E372="Airlines 5",
    IF(F372&lt;50000000, F372*0.01,
      IF(F372&lt;100000000, F372*0.02,
        IF(F372&lt;200000000, F372*0.03, F372*0.035))),
  TRUE, 0
)</f>
        <v>40000</v>
      </c>
      <c r="O372" s="29">
        <f t="shared" si="33"/>
        <v>0</v>
      </c>
      <c r="P372" s="29">
        <f t="shared" si="34"/>
        <v>0</v>
      </c>
      <c r="Q372" s="30" cm="1">
        <f t="array" ref="Q372">_xlfn.SWITCH(I372, "Method 1", 0, "Method 2", H372*0.03, "Method 3", 4000, "Method 4", 3000, 0)</f>
        <v>4000</v>
      </c>
    </row>
    <row r="373" spans="1:17">
      <c r="A373" s="24">
        <v>53200090</v>
      </c>
      <c r="B373" s="17">
        <v>42295</v>
      </c>
      <c r="C373" s="17">
        <v>42296</v>
      </c>
      <c r="D373" s="18" t="s">
        <v>97</v>
      </c>
      <c r="E373" s="18" t="s">
        <v>11</v>
      </c>
      <c r="F373" s="18">
        <v>1</v>
      </c>
      <c r="G373" s="19">
        <v>368466</v>
      </c>
      <c r="H373" s="19">
        <v>366100</v>
      </c>
      <c r="I373" s="18" t="s">
        <v>24</v>
      </c>
      <c r="J373" s="29" t="str">
        <f t="shared" si="30"/>
        <v>Sun</v>
      </c>
      <c r="K373" s="29" t="b">
        <f t="shared" si="31"/>
        <v>1</v>
      </c>
      <c r="L373" s="29" t="b">
        <f t="shared" si="32"/>
        <v>1</v>
      </c>
      <c r="M373" s="29" t="b">
        <f t="shared" si="35"/>
        <v>0</v>
      </c>
      <c r="N373" s="29" cm="1">
        <f t="array" ref="N373">_xlfn.IFS(
  E373="Airlines 1", IF(K373, F373*0.04, 0),
  E373="Airlines 2", P373,
  E373="Airlines 3", IF(L373, 20000*F373, 0),
  E373="Airlines 4", IF(M373, 15000*F373, 0),
  E373="Airlines 5",
    IF(F373&lt;50000000, F373*0.01,
      IF(F373&lt;100000000, F373*0.02,
        IF(F373&lt;200000000, F373*0.03, F373*0.035))),
  TRUE, 0
)</f>
        <v>20000</v>
      </c>
      <c r="O373" s="29">
        <f t="shared" si="33"/>
        <v>0</v>
      </c>
      <c r="P373" s="29">
        <f t="shared" si="34"/>
        <v>0</v>
      </c>
      <c r="Q373" s="30" cm="1">
        <f t="array" ref="Q373">_xlfn.SWITCH(I373, "Method 1", 0, "Method 2", H373*0.03, "Method 3", 4000, "Method 4", 3000, 0)</f>
        <v>10983</v>
      </c>
    </row>
    <row r="374" spans="1:17">
      <c r="A374" s="24">
        <v>53199807</v>
      </c>
      <c r="B374" s="17">
        <v>42295</v>
      </c>
      <c r="C374" s="17">
        <v>42296</v>
      </c>
      <c r="D374" s="18" t="s">
        <v>43</v>
      </c>
      <c r="E374" s="18" t="s">
        <v>11</v>
      </c>
      <c r="F374" s="18">
        <v>2</v>
      </c>
      <c r="G374" s="19">
        <v>1076674</v>
      </c>
      <c r="H374" s="19">
        <v>1070200</v>
      </c>
      <c r="I374" s="18" t="s">
        <v>22</v>
      </c>
      <c r="J374" s="29" t="str">
        <f t="shared" si="30"/>
        <v>Sun</v>
      </c>
      <c r="K374" s="29" t="b">
        <f t="shared" si="31"/>
        <v>1</v>
      </c>
      <c r="L374" s="29" t="b">
        <f t="shared" si="32"/>
        <v>1</v>
      </c>
      <c r="M374" s="29" t="b">
        <f t="shared" si="35"/>
        <v>0</v>
      </c>
      <c r="N374" s="29" cm="1">
        <f t="array" ref="N374">_xlfn.IFS(
  E374="Airlines 1", IF(K374, F374*0.04, 0),
  E374="Airlines 2", P374,
  E374="Airlines 3", IF(L374, 20000*F374, 0),
  E374="Airlines 4", IF(M374, 15000*F374, 0),
  E374="Airlines 5",
    IF(F374&lt;50000000, F374*0.01,
      IF(F374&lt;100000000, F374*0.02,
        IF(F374&lt;200000000, F374*0.03, F374*0.035))),
  TRUE, 0
)</f>
        <v>40000</v>
      </c>
      <c r="O374" s="29">
        <f t="shared" si="33"/>
        <v>0</v>
      </c>
      <c r="P374" s="29">
        <f t="shared" si="34"/>
        <v>0</v>
      </c>
      <c r="Q374" s="30" cm="1">
        <f t="array" ref="Q374">_xlfn.SWITCH(I374, "Method 1", 0, "Method 2", H374*0.03, "Method 3", 4000, "Method 4", 3000, 0)</f>
        <v>0</v>
      </c>
    </row>
    <row r="375" spans="1:17">
      <c r="A375" s="24">
        <v>53200105</v>
      </c>
      <c r="B375" s="17">
        <v>42295</v>
      </c>
      <c r="C375" s="17">
        <v>42301</v>
      </c>
      <c r="D375" s="18" t="s">
        <v>62</v>
      </c>
      <c r="E375" s="18" t="s">
        <v>11</v>
      </c>
      <c r="F375" s="18">
        <v>1</v>
      </c>
      <c r="G375" s="19">
        <v>503337</v>
      </c>
      <c r="H375" s="19">
        <v>500800</v>
      </c>
      <c r="I375" s="18" t="s">
        <v>22</v>
      </c>
      <c r="J375" s="29" t="str">
        <f t="shared" si="30"/>
        <v>Sun</v>
      </c>
      <c r="K375" s="29" t="b">
        <f t="shared" si="31"/>
        <v>1</v>
      </c>
      <c r="L375" s="29" t="b">
        <f t="shared" si="32"/>
        <v>1</v>
      </c>
      <c r="M375" s="29" t="b">
        <f t="shared" si="35"/>
        <v>0</v>
      </c>
      <c r="N375" s="29" cm="1">
        <f t="array" ref="N375">_xlfn.IFS(
  E375="Airlines 1", IF(K375, F375*0.04, 0),
  E375="Airlines 2", P375,
  E375="Airlines 3", IF(L375, 20000*F375, 0),
  E375="Airlines 4", IF(M375, 15000*F375, 0),
  E375="Airlines 5",
    IF(F375&lt;50000000, F375*0.01,
      IF(F375&lt;100000000, F375*0.02,
        IF(F375&lt;200000000, F375*0.03, F375*0.035))),
  TRUE, 0
)</f>
        <v>20000</v>
      </c>
      <c r="O375" s="29">
        <f t="shared" si="33"/>
        <v>0</v>
      </c>
      <c r="P375" s="29">
        <f t="shared" si="34"/>
        <v>0</v>
      </c>
      <c r="Q375" s="30" cm="1">
        <f t="array" ref="Q375">_xlfn.SWITCH(I375, "Method 1", 0, "Method 2", H375*0.03, "Method 3", 4000, "Method 4", 3000, 0)</f>
        <v>0</v>
      </c>
    </row>
    <row r="376" spans="1:17">
      <c r="A376" s="24">
        <v>53200072</v>
      </c>
      <c r="B376" s="17">
        <v>42295</v>
      </c>
      <c r="C376" s="17">
        <v>42298</v>
      </c>
      <c r="D376" s="18" t="s">
        <v>163</v>
      </c>
      <c r="E376" s="18" t="s">
        <v>11</v>
      </c>
      <c r="F376" s="18">
        <v>2</v>
      </c>
      <c r="G376" s="19">
        <v>1118188</v>
      </c>
      <c r="H376" s="19">
        <v>1112400</v>
      </c>
      <c r="I376" s="18" t="s">
        <v>22</v>
      </c>
      <c r="J376" s="29" t="str">
        <f t="shared" si="30"/>
        <v>Sun</v>
      </c>
      <c r="K376" s="29" t="b">
        <f t="shared" si="31"/>
        <v>1</v>
      </c>
      <c r="L376" s="29" t="b">
        <f t="shared" si="32"/>
        <v>0</v>
      </c>
      <c r="M376" s="29" t="b">
        <f t="shared" si="35"/>
        <v>0</v>
      </c>
      <c r="N376" s="29" cm="1">
        <f t="array" ref="N376">_xlfn.IFS(
  E376="Airlines 1", IF(K376, F376*0.04, 0),
  E376="Airlines 2", P376,
  E376="Airlines 3", IF(L376, 20000*F376, 0),
  E376="Airlines 4", IF(M376, 15000*F376, 0),
  E376="Airlines 5",
    IF(F376&lt;50000000, F376*0.01,
      IF(F376&lt;100000000, F376*0.02,
        IF(F376&lt;200000000, F376*0.03, F376*0.035))),
  TRUE, 0
)</f>
        <v>0</v>
      </c>
      <c r="O376" s="29">
        <f t="shared" si="33"/>
        <v>0</v>
      </c>
      <c r="P376" s="29">
        <f t="shared" si="34"/>
        <v>0</v>
      </c>
      <c r="Q376" s="30" cm="1">
        <f t="array" ref="Q376">_xlfn.SWITCH(I376, "Method 1", 0, "Method 2", H376*0.03, "Method 3", 4000, "Method 4", 3000, 0)</f>
        <v>0</v>
      </c>
    </row>
    <row r="377" spans="1:17">
      <c r="A377" s="24">
        <v>53199795</v>
      </c>
      <c r="B377" s="17">
        <v>42295</v>
      </c>
      <c r="C377" s="17">
        <v>42298</v>
      </c>
      <c r="D377" s="18" t="s">
        <v>97</v>
      </c>
      <c r="E377" s="18" t="s">
        <v>11</v>
      </c>
      <c r="F377" s="18">
        <v>2</v>
      </c>
      <c r="G377" s="19">
        <v>736932</v>
      </c>
      <c r="H377" s="19">
        <v>733200</v>
      </c>
      <c r="I377" s="18" t="s">
        <v>22</v>
      </c>
      <c r="J377" s="29" t="str">
        <f t="shared" si="30"/>
        <v>Sun</v>
      </c>
      <c r="K377" s="29" t="b">
        <f t="shared" si="31"/>
        <v>1</v>
      </c>
      <c r="L377" s="29" t="b">
        <f t="shared" si="32"/>
        <v>1</v>
      </c>
      <c r="M377" s="29" t="b">
        <f t="shared" si="35"/>
        <v>0</v>
      </c>
      <c r="N377" s="29" cm="1">
        <f t="array" ref="N377">_xlfn.IFS(
  E377="Airlines 1", IF(K377, F377*0.04, 0),
  E377="Airlines 2", P377,
  E377="Airlines 3", IF(L377, 20000*F377, 0),
  E377="Airlines 4", IF(M377, 15000*F377, 0),
  E377="Airlines 5",
    IF(F377&lt;50000000, F377*0.01,
      IF(F377&lt;100000000, F377*0.02,
        IF(F377&lt;200000000, F377*0.03, F377*0.035))),
  TRUE, 0
)</f>
        <v>40000</v>
      </c>
      <c r="O377" s="29">
        <f t="shared" si="33"/>
        <v>0</v>
      </c>
      <c r="P377" s="29">
        <f t="shared" si="34"/>
        <v>0</v>
      </c>
      <c r="Q377" s="30" cm="1">
        <f t="array" ref="Q377">_xlfn.SWITCH(I377, "Method 1", 0, "Method 2", H377*0.03, "Method 3", 4000, "Method 4", 3000, 0)</f>
        <v>0</v>
      </c>
    </row>
    <row r="378" spans="1:17">
      <c r="A378" s="24">
        <v>53200150</v>
      </c>
      <c r="B378" s="17">
        <v>42296</v>
      </c>
      <c r="C378" s="17">
        <v>42305</v>
      </c>
      <c r="D378" s="18" t="s">
        <v>48</v>
      </c>
      <c r="E378" s="18" t="s">
        <v>11</v>
      </c>
      <c r="F378" s="18">
        <v>6</v>
      </c>
      <c r="G378" s="19">
        <v>3507720</v>
      </c>
      <c r="H378" s="19">
        <v>3490200</v>
      </c>
      <c r="I378" s="18" t="s">
        <v>26</v>
      </c>
      <c r="J378" s="29" t="str">
        <f t="shared" si="30"/>
        <v>Mon</v>
      </c>
      <c r="K378" s="29" t="b">
        <f t="shared" si="31"/>
        <v>0</v>
      </c>
      <c r="L378" s="29" t="b">
        <f t="shared" si="32"/>
        <v>0</v>
      </c>
      <c r="M378" s="29" t="b">
        <f t="shared" si="35"/>
        <v>0</v>
      </c>
      <c r="N378" s="29" cm="1">
        <f t="array" ref="N378">_xlfn.IFS(
  E378="Airlines 1", IF(K378, F378*0.04, 0),
  E378="Airlines 2", P378,
  E378="Airlines 3", IF(L378, 20000*F378, 0),
  E378="Airlines 4", IF(M378, 15000*F378, 0),
  E378="Airlines 5",
    IF(F378&lt;50000000, F378*0.01,
      IF(F378&lt;100000000, F378*0.02,
        IF(F378&lt;200000000, F378*0.03, F378*0.035))),
  TRUE, 0
)</f>
        <v>0</v>
      </c>
      <c r="O378" s="29">
        <f t="shared" si="33"/>
        <v>0</v>
      </c>
      <c r="P378" s="29">
        <f t="shared" si="34"/>
        <v>0</v>
      </c>
      <c r="Q378" s="30" cm="1">
        <f t="array" ref="Q378">_xlfn.SWITCH(I378, "Method 1", 0, "Method 2", H378*0.03, "Method 3", 4000, "Method 4", 3000, 0)</f>
        <v>4000</v>
      </c>
    </row>
    <row r="379" spans="1:17">
      <c r="A379" s="24">
        <v>53200123</v>
      </c>
      <c r="B379" s="17">
        <v>42296</v>
      </c>
      <c r="C379" s="17">
        <v>42320</v>
      </c>
      <c r="D379" s="18" t="s">
        <v>66</v>
      </c>
      <c r="E379" s="18" t="s">
        <v>11</v>
      </c>
      <c r="F379" s="18">
        <v>2</v>
      </c>
      <c r="G379" s="19">
        <v>1178000</v>
      </c>
      <c r="H379" s="19">
        <v>1177800</v>
      </c>
      <c r="I379" s="18" t="s">
        <v>26</v>
      </c>
      <c r="J379" s="29" t="str">
        <f t="shared" si="30"/>
        <v>Mon</v>
      </c>
      <c r="K379" s="29" t="b">
        <f t="shared" si="31"/>
        <v>0</v>
      </c>
      <c r="L379" s="29" t="b">
        <f t="shared" si="32"/>
        <v>0</v>
      </c>
      <c r="M379" s="29" t="b">
        <f t="shared" si="35"/>
        <v>0</v>
      </c>
      <c r="N379" s="29" cm="1">
        <f t="array" ref="N379">_xlfn.IFS(
  E379="Airlines 1", IF(K379, F379*0.04, 0),
  E379="Airlines 2", P379,
  E379="Airlines 3", IF(L379, 20000*F379, 0),
  E379="Airlines 4", IF(M379, 15000*F379, 0),
  E379="Airlines 5",
    IF(F379&lt;50000000, F379*0.01,
      IF(F379&lt;100000000, F379*0.02,
        IF(F379&lt;200000000, F379*0.03, F379*0.035))),
  TRUE, 0
)</f>
        <v>0</v>
      </c>
      <c r="O379" s="29">
        <f t="shared" si="33"/>
        <v>0</v>
      </c>
      <c r="P379" s="29">
        <f t="shared" si="34"/>
        <v>0</v>
      </c>
      <c r="Q379" s="30" cm="1">
        <f t="array" ref="Q379">_xlfn.SWITCH(I379, "Method 1", 0, "Method 2", H379*0.03, "Method 3", 4000, "Method 4", 3000, 0)</f>
        <v>4000</v>
      </c>
    </row>
    <row r="380" spans="1:17">
      <c r="A380" s="24">
        <v>53200126</v>
      </c>
      <c r="B380" s="17">
        <v>42296</v>
      </c>
      <c r="C380" s="17">
        <v>42301</v>
      </c>
      <c r="D380" s="18" t="s">
        <v>169</v>
      </c>
      <c r="E380" s="18" t="s">
        <v>11</v>
      </c>
      <c r="F380" s="18">
        <v>1</v>
      </c>
      <c r="G380" s="19">
        <v>353900</v>
      </c>
      <c r="H380" s="19">
        <v>351500</v>
      </c>
      <c r="I380" s="18" t="s">
        <v>26</v>
      </c>
      <c r="J380" s="29" t="str">
        <f t="shared" si="30"/>
        <v>Mon</v>
      </c>
      <c r="K380" s="29" t="b">
        <f t="shared" si="31"/>
        <v>0</v>
      </c>
      <c r="L380" s="29" t="b">
        <f t="shared" si="32"/>
        <v>0</v>
      </c>
      <c r="M380" s="29" t="b">
        <f t="shared" si="35"/>
        <v>0</v>
      </c>
      <c r="N380" s="29" cm="1">
        <f t="array" ref="N380">_xlfn.IFS(
  E380="Airlines 1", IF(K380, F380*0.04, 0),
  E380="Airlines 2", P380,
  E380="Airlines 3", IF(L380, 20000*F380, 0),
  E380="Airlines 4", IF(M380, 15000*F380, 0),
  E380="Airlines 5",
    IF(F380&lt;50000000, F380*0.01,
      IF(F380&lt;100000000, F380*0.02,
        IF(F380&lt;200000000, F380*0.03, F380*0.035))),
  TRUE, 0
)</f>
        <v>0</v>
      </c>
      <c r="O380" s="29">
        <f t="shared" si="33"/>
        <v>0</v>
      </c>
      <c r="P380" s="29">
        <f t="shared" si="34"/>
        <v>0</v>
      </c>
      <c r="Q380" s="30" cm="1">
        <f t="array" ref="Q380">_xlfn.SWITCH(I380, "Method 1", 0, "Method 2", H380*0.03, "Method 3", 4000, "Method 4", 3000, 0)</f>
        <v>4000</v>
      </c>
    </row>
    <row r="381" spans="1:17">
      <c r="A381" s="24">
        <v>53200195</v>
      </c>
      <c r="B381" s="17">
        <v>42296</v>
      </c>
      <c r="C381" s="17">
        <v>42297</v>
      </c>
      <c r="D381" s="18" t="s">
        <v>62</v>
      </c>
      <c r="E381" s="18" t="s">
        <v>11</v>
      </c>
      <c r="F381" s="18">
        <v>1</v>
      </c>
      <c r="G381" s="19">
        <v>582900</v>
      </c>
      <c r="H381" s="19">
        <v>579400</v>
      </c>
      <c r="I381" s="18" t="s">
        <v>26</v>
      </c>
      <c r="J381" s="29" t="str">
        <f t="shared" si="30"/>
        <v>Mon</v>
      </c>
      <c r="K381" s="29" t="b">
        <f t="shared" si="31"/>
        <v>0</v>
      </c>
      <c r="L381" s="29" t="b">
        <f t="shared" si="32"/>
        <v>1</v>
      </c>
      <c r="M381" s="29" t="b">
        <f t="shared" si="35"/>
        <v>0</v>
      </c>
      <c r="N381" s="29" cm="1">
        <f t="array" ref="N381">_xlfn.IFS(
  E381="Airlines 1", IF(K381, F381*0.04, 0),
  E381="Airlines 2", P381,
  E381="Airlines 3", IF(L381, 20000*F381, 0),
  E381="Airlines 4", IF(M381, 15000*F381, 0),
  E381="Airlines 5",
    IF(F381&lt;50000000, F381*0.01,
      IF(F381&lt;100000000, F381*0.02,
        IF(F381&lt;200000000, F381*0.03, F381*0.035))),
  TRUE, 0
)</f>
        <v>20000</v>
      </c>
      <c r="O381" s="29">
        <f t="shared" si="33"/>
        <v>0</v>
      </c>
      <c r="P381" s="29">
        <f t="shared" si="34"/>
        <v>0</v>
      </c>
      <c r="Q381" s="30" cm="1">
        <f t="array" ref="Q381">_xlfn.SWITCH(I381, "Method 1", 0, "Method 2", H381*0.03, "Method 3", 4000, "Method 4", 3000, 0)</f>
        <v>4000</v>
      </c>
    </row>
    <row r="382" spans="1:17">
      <c r="A382" s="24">
        <v>53200141</v>
      </c>
      <c r="B382" s="17">
        <v>42296</v>
      </c>
      <c r="C382" s="17">
        <v>42303</v>
      </c>
      <c r="D382" s="18" t="s">
        <v>177</v>
      </c>
      <c r="E382" s="18" t="s">
        <v>11</v>
      </c>
      <c r="F382" s="18">
        <v>1</v>
      </c>
      <c r="G382" s="19">
        <v>869000</v>
      </c>
      <c r="H382" s="19">
        <v>868900</v>
      </c>
      <c r="I382" s="18" t="s">
        <v>26</v>
      </c>
      <c r="J382" s="29" t="str">
        <f t="shared" si="30"/>
        <v>Mon</v>
      </c>
      <c r="K382" s="29" t="b">
        <f t="shared" si="31"/>
        <v>0</v>
      </c>
      <c r="L382" s="29" t="b">
        <f t="shared" si="32"/>
        <v>0</v>
      </c>
      <c r="M382" s="29" t="b">
        <f t="shared" si="35"/>
        <v>0</v>
      </c>
      <c r="N382" s="29" cm="1">
        <f t="array" ref="N382">_xlfn.IFS(
  E382="Airlines 1", IF(K382, F382*0.04, 0),
  E382="Airlines 2", P382,
  E382="Airlines 3", IF(L382, 20000*F382, 0),
  E382="Airlines 4", IF(M382, 15000*F382, 0),
  E382="Airlines 5",
    IF(F382&lt;50000000, F382*0.01,
      IF(F382&lt;100000000, F382*0.02,
        IF(F382&lt;200000000, F382*0.03, F382*0.035))),
  TRUE, 0
)</f>
        <v>0</v>
      </c>
      <c r="O382" s="29">
        <f t="shared" si="33"/>
        <v>0</v>
      </c>
      <c r="P382" s="29">
        <f t="shared" si="34"/>
        <v>0</v>
      </c>
      <c r="Q382" s="30" cm="1">
        <f t="array" ref="Q382">_xlfn.SWITCH(I382, "Method 1", 0, "Method 2", H382*0.03, "Method 3", 4000, "Method 4", 3000, 0)</f>
        <v>4000</v>
      </c>
    </row>
    <row r="383" spans="1:17">
      <c r="A383" s="24">
        <v>53200181</v>
      </c>
      <c r="B383" s="17">
        <v>42296</v>
      </c>
      <c r="C383" s="17">
        <v>42298</v>
      </c>
      <c r="D383" s="18" t="s">
        <v>87</v>
      </c>
      <c r="E383" s="18" t="s">
        <v>11</v>
      </c>
      <c r="F383" s="18">
        <v>1</v>
      </c>
      <c r="G383" s="19">
        <v>479993</v>
      </c>
      <c r="H383" s="19">
        <v>477000</v>
      </c>
      <c r="I383" s="18" t="s">
        <v>26</v>
      </c>
      <c r="J383" s="29" t="str">
        <f t="shared" si="30"/>
        <v>Mon</v>
      </c>
      <c r="K383" s="29" t="b">
        <f t="shared" si="31"/>
        <v>0</v>
      </c>
      <c r="L383" s="29" t="b">
        <f t="shared" si="32"/>
        <v>0</v>
      </c>
      <c r="M383" s="29" t="b">
        <f t="shared" si="35"/>
        <v>0</v>
      </c>
      <c r="N383" s="29" cm="1">
        <f t="array" ref="N383">_xlfn.IFS(
  E383="Airlines 1", IF(K383, F383*0.04, 0),
  E383="Airlines 2", P383,
  E383="Airlines 3", IF(L383, 20000*F383, 0),
  E383="Airlines 4", IF(M383, 15000*F383, 0),
  E383="Airlines 5",
    IF(F383&lt;50000000, F383*0.01,
      IF(F383&lt;100000000, F383*0.02,
        IF(F383&lt;200000000, F383*0.03, F383*0.035))),
  TRUE, 0
)</f>
        <v>0</v>
      </c>
      <c r="O383" s="29">
        <f t="shared" si="33"/>
        <v>0</v>
      </c>
      <c r="P383" s="29">
        <f t="shared" si="34"/>
        <v>0</v>
      </c>
      <c r="Q383" s="30" cm="1">
        <f t="array" ref="Q383">_xlfn.SWITCH(I383, "Method 1", 0, "Method 2", H383*0.03, "Method 3", 4000, "Method 4", 3000, 0)</f>
        <v>4000</v>
      </c>
    </row>
    <row r="384" spans="1:17">
      <c r="A384" s="24">
        <v>53200102</v>
      </c>
      <c r="B384" s="17">
        <v>42296</v>
      </c>
      <c r="C384" s="17">
        <v>42300</v>
      </c>
      <c r="D384" s="18" t="s">
        <v>145</v>
      </c>
      <c r="E384" s="18" t="s">
        <v>11</v>
      </c>
      <c r="F384" s="18">
        <v>1</v>
      </c>
      <c r="G384" s="19">
        <v>519094</v>
      </c>
      <c r="H384" s="19">
        <v>515900</v>
      </c>
      <c r="I384" s="18" t="s">
        <v>26</v>
      </c>
      <c r="J384" s="29" t="str">
        <f t="shared" si="30"/>
        <v>Mon</v>
      </c>
      <c r="K384" s="29" t="b">
        <f t="shared" si="31"/>
        <v>0</v>
      </c>
      <c r="L384" s="29" t="b">
        <f t="shared" si="32"/>
        <v>0</v>
      </c>
      <c r="M384" s="29" t="b">
        <f t="shared" si="35"/>
        <v>0</v>
      </c>
      <c r="N384" s="29" cm="1">
        <f t="array" ref="N384">_xlfn.IFS(
  E384="Airlines 1", IF(K384, F384*0.04, 0),
  E384="Airlines 2", P384,
  E384="Airlines 3", IF(L384, 20000*F384, 0),
  E384="Airlines 4", IF(M384, 15000*F384, 0),
  E384="Airlines 5",
    IF(F384&lt;50000000, F384*0.01,
      IF(F384&lt;100000000, F384*0.02,
        IF(F384&lt;200000000, F384*0.03, F384*0.035))),
  TRUE, 0
)</f>
        <v>0</v>
      </c>
      <c r="O384" s="29">
        <f t="shared" si="33"/>
        <v>0</v>
      </c>
      <c r="P384" s="29">
        <f t="shared" si="34"/>
        <v>0</v>
      </c>
      <c r="Q384" s="30" cm="1">
        <f t="array" ref="Q384">_xlfn.SWITCH(I384, "Method 1", 0, "Method 2", H384*0.03, "Method 3", 4000, "Method 4", 3000, 0)</f>
        <v>4000</v>
      </c>
    </row>
    <row r="385" spans="1:17">
      <c r="A385" s="24">
        <v>53200188</v>
      </c>
      <c r="B385" s="17">
        <v>42296</v>
      </c>
      <c r="C385" s="17">
        <v>42400</v>
      </c>
      <c r="D385" s="18" t="s">
        <v>183</v>
      </c>
      <c r="E385" s="18" t="s">
        <v>11</v>
      </c>
      <c r="F385" s="18">
        <v>1</v>
      </c>
      <c r="G385" s="19">
        <v>1727882</v>
      </c>
      <c r="H385" s="19">
        <v>1727838</v>
      </c>
      <c r="I385" s="18" t="s">
        <v>26</v>
      </c>
      <c r="J385" s="29" t="str">
        <f t="shared" si="30"/>
        <v>Mon</v>
      </c>
      <c r="K385" s="29" t="b">
        <f t="shared" si="31"/>
        <v>0</v>
      </c>
      <c r="L385" s="29" t="b">
        <f t="shared" si="32"/>
        <v>0</v>
      </c>
      <c r="M385" s="29" t="b">
        <f t="shared" si="35"/>
        <v>0</v>
      </c>
      <c r="N385" s="29" cm="1">
        <f t="array" ref="N385">_xlfn.IFS(
  E385="Airlines 1", IF(K385, F385*0.04, 0),
  E385="Airlines 2", P385,
  E385="Airlines 3", IF(L385, 20000*F385, 0),
  E385="Airlines 4", IF(M385, 15000*F385, 0),
  E385="Airlines 5",
    IF(F385&lt;50000000, F385*0.01,
      IF(F385&lt;100000000, F385*0.02,
        IF(F385&lt;200000000, F385*0.03, F385*0.035))),
  TRUE, 0
)</f>
        <v>0</v>
      </c>
      <c r="O385" s="29">
        <f t="shared" si="33"/>
        <v>0</v>
      </c>
      <c r="P385" s="29">
        <f t="shared" si="34"/>
        <v>0</v>
      </c>
      <c r="Q385" s="30" cm="1">
        <f t="array" ref="Q385">_xlfn.SWITCH(I385, "Method 1", 0, "Method 2", H385*0.03, "Method 3", 4000, "Method 4", 3000, 0)</f>
        <v>4000</v>
      </c>
    </row>
    <row r="386" spans="1:17">
      <c r="A386" s="24">
        <v>53200288</v>
      </c>
      <c r="B386" s="17">
        <v>42296</v>
      </c>
      <c r="C386" s="17">
        <v>42308</v>
      </c>
      <c r="D386" s="18" t="s">
        <v>40</v>
      </c>
      <c r="E386" s="18" t="s">
        <v>11</v>
      </c>
      <c r="F386" s="18">
        <v>1</v>
      </c>
      <c r="G386" s="19">
        <v>373466</v>
      </c>
      <c r="H386" s="19">
        <v>371500</v>
      </c>
      <c r="I386" s="18" t="s">
        <v>26</v>
      </c>
      <c r="J386" s="29" t="str">
        <f t="shared" si="30"/>
        <v>Mon</v>
      </c>
      <c r="K386" s="29" t="b">
        <f t="shared" si="31"/>
        <v>0</v>
      </c>
      <c r="L386" s="29" t="b">
        <f t="shared" si="32"/>
        <v>1</v>
      </c>
      <c r="M386" s="29" t="b">
        <f t="shared" si="35"/>
        <v>0</v>
      </c>
      <c r="N386" s="29" cm="1">
        <f t="array" ref="N386">_xlfn.IFS(
  E386="Airlines 1", IF(K386, F386*0.04, 0),
  E386="Airlines 2", P386,
  E386="Airlines 3", IF(L386, 20000*F386, 0),
  E386="Airlines 4", IF(M386, 15000*F386, 0),
  E386="Airlines 5",
    IF(F386&lt;50000000, F386*0.01,
      IF(F386&lt;100000000, F386*0.02,
        IF(F386&lt;200000000, F386*0.03, F386*0.035))),
  TRUE, 0
)</f>
        <v>20000</v>
      </c>
      <c r="O386" s="29">
        <f t="shared" si="33"/>
        <v>0</v>
      </c>
      <c r="P386" s="29">
        <f t="shared" si="34"/>
        <v>0</v>
      </c>
      <c r="Q386" s="30" cm="1">
        <f t="array" ref="Q386">_xlfn.SWITCH(I386, "Method 1", 0, "Method 2", H386*0.03, "Method 3", 4000, "Method 4", 3000, 0)</f>
        <v>4000</v>
      </c>
    </row>
    <row r="387" spans="1:17">
      <c r="A387" s="24">
        <v>53200319</v>
      </c>
      <c r="B387" s="17">
        <v>42296</v>
      </c>
      <c r="C387" s="17">
        <v>42300</v>
      </c>
      <c r="D387" s="18" t="s">
        <v>177</v>
      </c>
      <c r="E387" s="18" t="s">
        <v>11</v>
      </c>
      <c r="F387" s="18">
        <v>1</v>
      </c>
      <c r="G387" s="19">
        <v>869000</v>
      </c>
      <c r="H387" s="19">
        <v>868900</v>
      </c>
      <c r="I387" s="18" t="s">
        <v>26</v>
      </c>
      <c r="J387" s="29" t="str">
        <f t="shared" si="30"/>
        <v>Mon</v>
      </c>
      <c r="K387" s="29" t="b">
        <f t="shared" si="31"/>
        <v>0</v>
      </c>
      <c r="L387" s="29" t="b">
        <f t="shared" si="32"/>
        <v>0</v>
      </c>
      <c r="M387" s="29" t="b">
        <f t="shared" si="35"/>
        <v>0</v>
      </c>
      <c r="N387" s="29" cm="1">
        <f t="array" ref="N387">_xlfn.IFS(
  E387="Airlines 1", IF(K387, F387*0.04, 0),
  E387="Airlines 2", P387,
  E387="Airlines 3", IF(L387, 20000*F387, 0),
  E387="Airlines 4", IF(M387, 15000*F387, 0),
  E387="Airlines 5",
    IF(F387&lt;50000000, F387*0.01,
      IF(F387&lt;100000000, F387*0.02,
        IF(F387&lt;200000000, F387*0.03, F387*0.035))),
  TRUE, 0
)</f>
        <v>0</v>
      </c>
      <c r="O387" s="29">
        <f t="shared" si="33"/>
        <v>0</v>
      </c>
      <c r="P387" s="29">
        <f t="shared" si="34"/>
        <v>0</v>
      </c>
      <c r="Q387" s="30" cm="1">
        <f t="array" ref="Q387">_xlfn.SWITCH(I387, "Method 1", 0, "Method 2", H387*0.03, "Method 3", 4000, "Method 4", 3000, 0)</f>
        <v>4000</v>
      </c>
    </row>
    <row r="388" spans="1:17">
      <c r="A388" s="24">
        <v>53200362</v>
      </c>
      <c r="B388" s="17">
        <v>42296</v>
      </c>
      <c r="C388" s="17">
        <v>42306</v>
      </c>
      <c r="D388" s="18" t="s">
        <v>124</v>
      </c>
      <c r="E388" s="18" t="s">
        <v>11</v>
      </c>
      <c r="F388" s="18">
        <v>1</v>
      </c>
      <c r="G388" s="19">
        <v>562900</v>
      </c>
      <c r="H388" s="19">
        <v>559500</v>
      </c>
      <c r="I388" s="18" t="s">
        <v>26</v>
      </c>
      <c r="J388" s="29" t="str">
        <f t="shared" si="30"/>
        <v>Mon</v>
      </c>
      <c r="K388" s="29" t="b">
        <f t="shared" si="31"/>
        <v>0</v>
      </c>
      <c r="L388" s="29" t="b">
        <f t="shared" si="32"/>
        <v>0</v>
      </c>
      <c r="M388" s="29" t="b">
        <f t="shared" si="35"/>
        <v>0</v>
      </c>
      <c r="N388" s="29" cm="1">
        <f t="array" ref="N388">_xlfn.IFS(
  E388="Airlines 1", IF(K388, F388*0.04, 0),
  E388="Airlines 2", P388,
  E388="Airlines 3", IF(L388, 20000*F388, 0),
  E388="Airlines 4", IF(M388, 15000*F388, 0),
  E388="Airlines 5",
    IF(F388&lt;50000000, F388*0.01,
      IF(F388&lt;100000000, F388*0.02,
        IF(F388&lt;200000000, F388*0.03, F388*0.035))),
  TRUE, 0
)</f>
        <v>0</v>
      </c>
      <c r="O388" s="29">
        <f t="shared" si="33"/>
        <v>0</v>
      </c>
      <c r="P388" s="29">
        <f t="shared" si="34"/>
        <v>0</v>
      </c>
      <c r="Q388" s="30" cm="1">
        <f t="array" ref="Q388">_xlfn.SWITCH(I388, "Method 1", 0, "Method 2", H388*0.03, "Method 3", 4000, "Method 4", 3000, 0)</f>
        <v>4000</v>
      </c>
    </row>
    <row r="389" spans="1:17">
      <c r="A389" s="24">
        <v>53200323</v>
      </c>
      <c r="B389" s="17">
        <v>42296</v>
      </c>
      <c r="C389" s="17">
        <v>42400</v>
      </c>
      <c r="D389" s="18" t="s">
        <v>97</v>
      </c>
      <c r="E389" s="18" t="s">
        <v>11</v>
      </c>
      <c r="F389" s="18">
        <v>1</v>
      </c>
      <c r="G389" s="19">
        <v>434900</v>
      </c>
      <c r="H389" s="19">
        <v>432100</v>
      </c>
      <c r="I389" s="18" t="s">
        <v>26</v>
      </c>
      <c r="J389" s="29" t="str">
        <f t="shared" si="30"/>
        <v>Mon</v>
      </c>
      <c r="K389" s="29" t="b">
        <f t="shared" si="31"/>
        <v>0</v>
      </c>
      <c r="L389" s="29" t="b">
        <f t="shared" si="32"/>
        <v>1</v>
      </c>
      <c r="M389" s="29" t="b">
        <f t="shared" si="35"/>
        <v>0</v>
      </c>
      <c r="N389" s="29" cm="1">
        <f t="array" ref="N389">_xlfn.IFS(
  E389="Airlines 1", IF(K389, F389*0.04, 0),
  E389="Airlines 2", P389,
  E389="Airlines 3", IF(L389, 20000*F389, 0),
  E389="Airlines 4", IF(M389, 15000*F389, 0),
  E389="Airlines 5",
    IF(F389&lt;50000000, F389*0.01,
      IF(F389&lt;100000000, F389*0.02,
        IF(F389&lt;200000000, F389*0.03, F389*0.035))),
  TRUE, 0
)</f>
        <v>20000</v>
      </c>
      <c r="O389" s="29">
        <f t="shared" si="33"/>
        <v>0</v>
      </c>
      <c r="P389" s="29">
        <f t="shared" si="34"/>
        <v>0</v>
      </c>
      <c r="Q389" s="30" cm="1">
        <f t="array" ref="Q389">_xlfn.SWITCH(I389, "Method 1", 0, "Method 2", H389*0.03, "Method 3", 4000, "Method 4", 3000, 0)</f>
        <v>4000</v>
      </c>
    </row>
    <row r="390" spans="1:17">
      <c r="A390" s="24">
        <v>53200360</v>
      </c>
      <c r="B390" s="17">
        <v>42296</v>
      </c>
      <c r="C390" s="17">
        <v>42410</v>
      </c>
      <c r="D390" s="18" t="s">
        <v>62</v>
      </c>
      <c r="E390" s="18" t="s">
        <v>11</v>
      </c>
      <c r="F390" s="18">
        <v>1</v>
      </c>
      <c r="G390" s="19">
        <v>725900</v>
      </c>
      <c r="H390" s="19">
        <v>722200</v>
      </c>
      <c r="I390" s="18" t="s">
        <v>22</v>
      </c>
      <c r="J390" s="29" t="str">
        <f t="shared" si="30"/>
        <v>Mon</v>
      </c>
      <c r="K390" s="29" t="b">
        <f t="shared" si="31"/>
        <v>0</v>
      </c>
      <c r="L390" s="29" t="b">
        <f t="shared" si="32"/>
        <v>1</v>
      </c>
      <c r="M390" s="29" t="b">
        <f t="shared" si="35"/>
        <v>0</v>
      </c>
      <c r="N390" s="29" cm="1">
        <f t="array" ref="N390">_xlfn.IFS(
  E390="Airlines 1", IF(K390, F390*0.04, 0),
  E390="Airlines 2", P390,
  E390="Airlines 3", IF(L390, 20000*F390, 0),
  E390="Airlines 4", IF(M390, 15000*F390, 0),
  E390="Airlines 5",
    IF(F390&lt;50000000, F390*0.01,
      IF(F390&lt;100000000, F390*0.02,
        IF(F390&lt;200000000, F390*0.03, F390*0.035))),
  TRUE, 0
)</f>
        <v>20000</v>
      </c>
      <c r="O390" s="29">
        <f t="shared" si="33"/>
        <v>0</v>
      </c>
      <c r="P390" s="29">
        <f t="shared" si="34"/>
        <v>0</v>
      </c>
      <c r="Q390" s="30" cm="1">
        <f t="array" ref="Q390">_xlfn.SWITCH(I390, "Method 1", 0, "Method 2", H390*0.03, "Method 3", 4000, "Method 4", 3000, 0)</f>
        <v>0</v>
      </c>
    </row>
    <row r="391" spans="1:17">
      <c r="A391" s="24">
        <v>53200320</v>
      </c>
      <c r="B391" s="17">
        <v>42296</v>
      </c>
      <c r="C391" s="17">
        <v>42410</v>
      </c>
      <c r="D391" s="18" t="s">
        <v>48</v>
      </c>
      <c r="E391" s="18" t="s">
        <v>11</v>
      </c>
      <c r="F391" s="18">
        <v>3</v>
      </c>
      <c r="G391" s="19">
        <v>3701700</v>
      </c>
      <c r="H391" s="19">
        <v>3682800</v>
      </c>
      <c r="I391" s="18" t="s">
        <v>22</v>
      </c>
      <c r="J391" s="29" t="str">
        <f t="shared" ref="J391:J454" si="36">TEXT(B391,"ddd")</f>
        <v>Mon</v>
      </c>
      <c r="K391" s="29" t="b">
        <f t="shared" ref="K391:K454" si="37">OR(J391="Sat",J391="Sun")</f>
        <v>0</v>
      </c>
      <c r="L391" s="29" t="b">
        <f t="shared" ref="L391:L454" si="38">OR(D391="CGK_SUB", D391="CGK_PKU", D391="CGK_JOG",
    D391="SUB_CGK", D391="PKU_CGK", D391="JOG_CGK")</f>
        <v>0</v>
      </c>
      <c r="M391" s="29" t="b">
        <f t="shared" si="35"/>
        <v>0</v>
      </c>
      <c r="N391" s="29" cm="1">
        <f t="array" ref="N391">_xlfn.IFS(
  E391="Airlines 1", IF(K391, F391*0.04, 0),
  E391="Airlines 2", P391,
  E391="Airlines 3", IF(L391, 20000*F391, 0),
  E391="Airlines 4", IF(M391, 15000*F391, 0),
  E391="Airlines 5",
    IF(F391&lt;50000000, F391*0.01,
      IF(F391&lt;100000000, F391*0.02,
        IF(F391&lt;200000000, F391*0.03, F391*0.035))),
  TRUE, 0
)</f>
        <v>0</v>
      </c>
      <c r="O391" s="29">
        <f t="shared" ref="O391:O454" si="39">SUMIFS($F$6:$F$647, $E$6:$E$647, "Airlines 2", $B$6:$B$647, B391)</f>
        <v>0</v>
      </c>
      <c r="P391" s="29">
        <f t="shared" ref="P391:P454" si="40">IF(AND(E390="Airlines 2", O390&gt;20), F390*0.05, 0)</f>
        <v>0</v>
      </c>
      <c r="Q391" s="30" cm="1">
        <f t="array" ref="Q391">_xlfn.SWITCH(I391, "Method 1", 0, "Method 2", H391*0.03, "Method 3", 4000, "Method 4", 3000, 0)</f>
        <v>0</v>
      </c>
    </row>
    <row r="392" spans="1:17">
      <c r="A392" s="24">
        <v>53200434</v>
      </c>
      <c r="B392" s="17">
        <v>42296</v>
      </c>
      <c r="C392" s="17">
        <v>42297</v>
      </c>
      <c r="D392" s="18" t="s">
        <v>43</v>
      </c>
      <c r="E392" s="18" t="s">
        <v>11</v>
      </c>
      <c r="F392" s="18">
        <v>1</v>
      </c>
      <c r="G392" s="19">
        <v>538337</v>
      </c>
      <c r="H392" s="19">
        <v>535600</v>
      </c>
      <c r="I392" s="18" t="s">
        <v>22</v>
      </c>
      <c r="J392" s="29" t="str">
        <f t="shared" si="36"/>
        <v>Mon</v>
      </c>
      <c r="K392" s="29" t="b">
        <f t="shared" si="37"/>
        <v>0</v>
      </c>
      <c r="L392" s="29" t="b">
        <f t="shared" si="38"/>
        <v>1</v>
      </c>
      <c r="M392" s="29" t="b">
        <f t="shared" ref="M392:M455" si="41">AND(B392&gt;=DATE(2015,10,1),B392&lt;=DATE(2015,10,15))</f>
        <v>0</v>
      </c>
      <c r="N392" s="29" cm="1">
        <f t="array" ref="N392">_xlfn.IFS(
  E392="Airlines 1", IF(K392, F392*0.04, 0),
  E392="Airlines 2", P392,
  E392="Airlines 3", IF(L392, 20000*F392, 0),
  E392="Airlines 4", IF(M392, 15000*F392, 0),
  E392="Airlines 5",
    IF(F392&lt;50000000, F392*0.01,
      IF(F392&lt;100000000, F392*0.02,
        IF(F392&lt;200000000, F392*0.03, F392*0.035))),
  TRUE, 0
)</f>
        <v>20000</v>
      </c>
      <c r="O392" s="29">
        <f t="shared" si="39"/>
        <v>0</v>
      </c>
      <c r="P392" s="29">
        <f t="shared" si="40"/>
        <v>0</v>
      </c>
      <c r="Q392" s="30" cm="1">
        <f t="array" ref="Q392">_xlfn.SWITCH(I392, "Method 1", 0, "Method 2", H392*0.03, "Method 3", 4000, "Method 4", 3000, 0)</f>
        <v>0</v>
      </c>
    </row>
    <row r="393" spans="1:17">
      <c r="A393" s="24">
        <v>53200437</v>
      </c>
      <c r="B393" s="17">
        <v>42296</v>
      </c>
      <c r="C393" s="17">
        <v>42301</v>
      </c>
      <c r="D393" s="18" t="s">
        <v>124</v>
      </c>
      <c r="E393" s="18" t="s">
        <v>11</v>
      </c>
      <c r="F393" s="18">
        <v>1</v>
      </c>
      <c r="G393" s="19">
        <v>661900</v>
      </c>
      <c r="H393" s="19">
        <v>658000</v>
      </c>
      <c r="I393" s="18" t="s">
        <v>22</v>
      </c>
      <c r="J393" s="29" t="str">
        <f t="shared" si="36"/>
        <v>Mon</v>
      </c>
      <c r="K393" s="29" t="b">
        <f t="shared" si="37"/>
        <v>0</v>
      </c>
      <c r="L393" s="29" t="b">
        <f t="shared" si="38"/>
        <v>0</v>
      </c>
      <c r="M393" s="29" t="b">
        <f t="shared" si="41"/>
        <v>0</v>
      </c>
      <c r="N393" s="29" cm="1">
        <f t="array" ref="N393">_xlfn.IFS(
  E393="Airlines 1", IF(K393, F393*0.04, 0),
  E393="Airlines 2", P393,
  E393="Airlines 3", IF(L393, 20000*F393, 0),
  E393="Airlines 4", IF(M393, 15000*F393, 0),
  E393="Airlines 5",
    IF(F393&lt;50000000, F393*0.01,
      IF(F393&lt;100000000, F393*0.02,
        IF(F393&lt;200000000, F393*0.03, F393*0.035))),
  TRUE, 0
)</f>
        <v>0</v>
      </c>
      <c r="O393" s="29">
        <f t="shared" si="39"/>
        <v>0</v>
      </c>
      <c r="P393" s="29">
        <f t="shared" si="40"/>
        <v>0</v>
      </c>
      <c r="Q393" s="30" cm="1">
        <f t="array" ref="Q393">_xlfn.SWITCH(I393, "Method 1", 0, "Method 2", H393*0.03, "Method 3", 4000, "Method 4", 3000, 0)</f>
        <v>0</v>
      </c>
    </row>
    <row r="394" spans="1:17">
      <c r="A394" s="24">
        <v>53200442</v>
      </c>
      <c r="B394" s="17">
        <v>42296</v>
      </c>
      <c r="C394" s="17">
        <v>42308</v>
      </c>
      <c r="D394" s="18" t="s">
        <v>40</v>
      </c>
      <c r="E394" s="18" t="s">
        <v>11</v>
      </c>
      <c r="F394" s="18">
        <v>4</v>
      </c>
      <c r="G394" s="19">
        <v>1493864</v>
      </c>
      <c r="H394" s="19">
        <v>1484000</v>
      </c>
      <c r="I394" s="18" t="s">
        <v>22</v>
      </c>
      <c r="J394" s="29" t="str">
        <f t="shared" si="36"/>
        <v>Mon</v>
      </c>
      <c r="K394" s="29" t="b">
        <f t="shared" si="37"/>
        <v>0</v>
      </c>
      <c r="L394" s="29" t="b">
        <f t="shared" si="38"/>
        <v>1</v>
      </c>
      <c r="M394" s="29" t="b">
        <f t="shared" si="41"/>
        <v>0</v>
      </c>
      <c r="N394" s="29" cm="1">
        <f t="array" ref="N394">_xlfn.IFS(
  E394="Airlines 1", IF(K394, F394*0.04, 0),
  E394="Airlines 2", P394,
  E394="Airlines 3", IF(L394, 20000*F394, 0),
  E394="Airlines 4", IF(M394, 15000*F394, 0),
  E394="Airlines 5",
    IF(F394&lt;50000000, F394*0.01,
      IF(F394&lt;100000000, F394*0.02,
        IF(F394&lt;200000000, F394*0.03, F394*0.035))),
  TRUE, 0
)</f>
        <v>80000</v>
      </c>
      <c r="O394" s="29">
        <f t="shared" si="39"/>
        <v>0</v>
      </c>
      <c r="P394" s="29">
        <f t="shared" si="40"/>
        <v>0</v>
      </c>
      <c r="Q394" s="30" cm="1">
        <f t="array" ref="Q394">_xlfn.SWITCH(I394, "Method 1", 0, "Method 2", H394*0.03, "Method 3", 4000, "Method 4", 3000, 0)</f>
        <v>0</v>
      </c>
    </row>
    <row r="395" spans="1:17">
      <c r="A395" s="24">
        <v>53200428</v>
      </c>
      <c r="B395" s="17">
        <v>42296</v>
      </c>
      <c r="C395" s="17">
        <v>42309</v>
      </c>
      <c r="D395" s="18" t="s">
        <v>62</v>
      </c>
      <c r="E395" s="18" t="s">
        <v>11</v>
      </c>
      <c r="F395" s="18">
        <v>1</v>
      </c>
      <c r="G395" s="19">
        <v>503337</v>
      </c>
      <c r="H395" s="19">
        <v>500300</v>
      </c>
      <c r="I395" s="18" t="s">
        <v>22</v>
      </c>
      <c r="J395" s="29" t="str">
        <f t="shared" si="36"/>
        <v>Mon</v>
      </c>
      <c r="K395" s="29" t="b">
        <f t="shared" si="37"/>
        <v>0</v>
      </c>
      <c r="L395" s="29" t="b">
        <f t="shared" si="38"/>
        <v>1</v>
      </c>
      <c r="M395" s="29" t="b">
        <f t="shared" si="41"/>
        <v>0</v>
      </c>
      <c r="N395" s="29" cm="1">
        <f t="array" ref="N395">_xlfn.IFS(
  E395="Airlines 1", IF(K395, F395*0.04, 0),
  E395="Airlines 2", P395,
  E395="Airlines 3", IF(L395, 20000*F395, 0),
  E395="Airlines 4", IF(M395, 15000*F395, 0),
  E395="Airlines 5",
    IF(F395&lt;50000000, F395*0.01,
      IF(F395&lt;100000000, F395*0.02,
        IF(F395&lt;200000000, F395*0.03, F395*0.035))),
  TRUE, 0
)</f>
        <v>20000</v>
      </c>
      <c r="O395" s="29">
        <f t="shared" si="39"/>
        <v>0</v>
      </c>
      <c r="P395" s="29">
        <f t="shared" si="40"/>
        <v>0</v>
      </c>
      <c r="Q395" s="30" cm="1">
        <f t="array" ref="Q395">_xlfn.SWITCH(I395, "Method 1", 0, "Method 2", H395*0.03, "Method 3", 4000, "Method 4", 3000, 0)</f>
        <v>0</v>
      </c>
    </row>
    <row r="396" spans="1:17">
      <c r="A396" s="24">
        <v>53200386</v>
      </c>
      <c r="B396" s="17">
        <v>42299</v>
      </c>
      <c r="C396" s="17">
        <v>42301</v>
      </c>
      <c r="D396" s="18" t="s">
        <v>164</v>
      </c>
      <c r="E396" s="18" t="s">
        <v>11</v>
      </c>
      <c r="F396" s="18">
        <v>4</v>
      </c>
      <c r="G396" s="19">
        <v>1851600</v>
      </c>
      <c r="H396" s="19">
        <v>1840000</v>
      </c>
      <c r="I396" s="18" t="s">
        <v>22</v>
      </c>
      <c r="J396" s="29" t="str">
        <f t="shared" si="36"/>
        <v>Thu</v>
      </c>
      <c r="K396" s="29" t="b">
        <f t="shared" si="37"/>
        <v>0</v>
      </c>
      <c r="L396" s="29" t="b">
        <f t="shared" si="38"/>
        <v>0</v>
      </c>
      <c r="M396" s="29" t="b">
        <f t="shared" si="41"/>
        <v>0</v>
      </c>
      <c r="N396" s="29" cm="1">
        <f t="array" ref="N396">_xlfn.IFS(
  E396="Airlines 1", IF(K396, F396*0.04, 0),
  E396="Airlines 2", P396,
  E396="Airlines 3", IF(L396, 20000*F396, 0),
  E396="Airlines 4", IF(M396, 15000*F396, 0),
  E396="Airlines 5",
    IF(F396&lt;50000000, F396*0.01,
      IF(F396&lt;100000000, F396*0.02,
        IF(F396&lt;200000000, F396*0.03, F396*0.035))),
  TRUE, 0
)</f>
        <v>0</v>
      </c>
      <c r="O396" s="29">
        <f t="shared" si="39"/>
        <v>0</v>
      </c>
      <c r="P396" s="29">
        <f t="shared" si="40"/>
        <v>0</v>
      </c>
      <c r="Q396" s="30" cm="1">
        <f t="array" ref="Q396">_xlfn.SWITCH(I396, "Method 1", 0, "Method 2", H396*0.03, "Method 3", 4000, "Method 4", 3000, 0)</f>
        <v>0</v>
      </c>
    </row>
    <row r="397" spans="1:17">
      <c r="A397" s="24">
        <v>53200410</v>
      </c>
      <c r="B397" s="17">
        <v>42299</v>
      </c>
      <c r="C397" s="17">
        <v>42300</v>
      </c>
      <c r="D397" s="18" t="s">
        <v>137</v>
      </c>
      <c r="E397" s="18" t="s">
        <v>11</v>
      </c>
      <c r="F397" s="18">
        <v>1</v>
      </c>
      <c r="G397" s="19">
        <v>501240</v>
      </c>
      <c r="H397" s="19">
        <v>498200</v>
      </c>
      <c r="I397" s="18" t="s">
        <v>24</v>
      </c>
      <c r="J397" s="29" t="str">
        <f t="shared" si="36"/>
        <v>Thu</v>
      </c>
      <c r="K397" s="29" t="b">
        <f t="shared" si="37"/>
        <v>0</v>
      </c>
      <c r="L397" s="29" t="b">
        <f t="shared" si="38"/>
        <v>0</v>
      </c>
      <c r="M397" s="29" t="b">
        <f t="shared" si="41"/>
        <v>0</v>
      </c>
      <c r="N397" s="29" cm="1">
        <f t="array" ref="N397">_xlfn.IFS(
  E397="Airlines 1", IF(K397, F397*0.04, 0),
  E397="Airlines 2", P397,
  E397="Airlines 3", IF(L397, 20000*F397, 0),
  E397="Airlines 4", IF(M397, 15000*F397, 0),
  E397="Airlines 5",
    IF(F397&lt;50000000, F397*0.01,
      IF(F397&lt;100000000, F397*0.02,
        IF(F397&lt;200000000, F397*0.03, F397*0.035))),
  TRUE, 0
)</f>
        <v>0</v>
      </c>
      <c r="O397" s="29">
        <f t="shared" si="39"/>
        <v>0</v>
      </c>
      <c r="P397" s="29">
        <f t="shared" si="40"/>
        <v>0</v>
      </c>
      <c r="Q397" s="30" cm="1">
        <f t="array" ref="Q397">_xlfn.SWITCH(I397, "Method 1", 0, "Method 2", H397*0.03, "Method 3", 4000, "Method 4", 3000, 0)</f>
        <v>14946</v>
      </c>
    </row>
    <row r="398" spans="1:17">
      <c r="A398" s="24">
        <v>53200459</v>
      </c>
      <c r="B398" s="17">
        <v>42299</v>
      </c>
      <c r="C398" s="17">
        <v>42299</v>
      </c>
      <c r="D398" s="18" t="s">
        <v>74</v>
      </c>
      <c r="E398" s="18" t="s">
        <v>11</v>
      </c>
      <c r="F398" s="18">
        <v>2</v>
      </c>
      <c r="G398" s="19">
        <v>1508000</v>
      </c>
      <c r="H398" s="19">
        <v>1507800</v>
      </c>
      <c r="I398" s="18" t="s">
        <v>26</v>
      </c>
      <c r="J398" s="29" t="str">
        <f t="shared" si="36"/>
        <v>Thu</v>
      </c>
      <c r="K398" s="29" t="b">
        <f t="shared" si="37"/>
        <v>0</v>
      </c>
      <c r="L398" s="29" t="b">
        <f t="shared" si="38"/>
        <v>0</v>
      </c>
      <c r="M398" s="29" t="b">
        <f t="shared" si="41"/>
        <v>0</v>
      </c>
      <c r="N398" s="29" cm="1">
        <f t="array" ref="N398">_xlfn.IFS(
  E398="Airlines 1", IF(K398, F398*0.04, 0),
  E398="Airlines 2", P398,
  E398="Airlines 3", IF(L398, 20000*F398, 0),
  E398="Airlines 4", IF(M398, 15000*F398, 0),
  E398="Airlines 5",
    IF(F398&lt;50000000, F398*0.01,
      IF(F398&lt;100000000, F398*0.02,
        IF(F398&lt;200000000, F398*0.03, F398*0.035))),
  TRUE, 0
)</f>
        <v>0</v>
      </c>
      <c r="O398" s="29">
        <f t="shared" si="39"/>
        <v>0</v>
      </c>
      <c r="P398" s="29">
        <f t="shared" si="40"/>
        <v>0</v>
      </c>
      <c r="Q398" s="30" cm="1">
        <f t="array" ref="Q398">_xlfn.SWITCH(I398, "Method 1", 0, "Method 2", H398*0.03, "Method 3", 4000, "Method 4", 3000, 0)</f>
        <v>4000</v>
      </c>
    </row>
    <row r="399" spans="1:17">
      <c r="A399" s="24">
        <v>53200019</v>
      </c>
      <c r="B399" s="17">
        <v>42300</v>
      </c>
      <c r="C399" s="17">
        <v>42308</v>
      </c>
      <c r="D399" s="18" t="s">
        <v>43</v>
      </c>
      <c r="E399" s="18" t="s">
        <v>11</v>
      </c>
      <c r="F399" s="18">
        <v>1</v>
      </c>
      <c r="G399" s="19">
        <v>538337</v>
      </c>
      <c r="H399" s="19">
        <v>535100</v>
      </c>
      <c r="I399" s="18" t="s">
        <v>22</v>
      </c>
      <c r="J399" s="29" t="str">
        <f t="shared" si="36"/>
        <v>Fri</v>
      </c>
      <c r="K399" s="29" t="b">
        <f t="shared" si="37"/>
        <v>0</v>
      </c>
      <c r="L399" s="29" t="b">
        <f t="shared" si="38"/>
        <v>1</v>
      </c>
      <c r="M399" s="29" t="b">
        <f t="shared" si="41"/>
        <v>0</v>
      </c>
      <c r="N399" s="29" cm="1">
        <f t="array" ref="N399">_xlfn.IFS(
  E399="Airlines 1", IF(K399, F399*0.04, 0),
  E399="Airlines 2", P399,
  E399="Airlines 3", IF(L399, 20000*F399, 0),
  E399="Airlines 4", IF(M399, 15000*F399, 0),
  E399="Airlines 5",
    IF(F399&lt;50000000, F399*0.01,
      IF(F399&lt;100000000, F399*0.02,
        IF(F399&lt;200000000, F399*0.03, F399*0.035))),
  TRUE, 0
)</f>
        <v>20000</v>
      </c>
      <c r="O399" s="29">
        <f t="shared" si="39"/>
        <v>6</v>
      </c>
      <c r="P399" s="29">
        <f t="shared" si="40"/>
        <v>0</v>
      </c>
      <c r="Q399" s="30" cm="1">
        <f t="array" ref="Q399">_xlfn.SWITCH(I399, "Method 1", 0, "Method 2", H399*0.03, "Method 3", 4000, "Method 4", 3000, 0)</f>
        <v>0</v>
      </c>
    </row>
    <row r="400" spans="1:17">
      <c r="A400" s="24">
        <v>53200493</v>
      </c>
      <c r="B400" s="17">
        <v>42300</v>
      </c>
      <c r="C400" s="17">
        <v>42306</v>
      </c>
      <c r="D400" s="18" t="s">
        <v>184</v>
      </c>
      <c r="E400" s="18" t="s">
        <v>11</v>
      </c>
      <c r="F400" s="18">
        <v>1</v>
      </c>
      <c r="G400" s="19">
        <v>1105435</v>
      </c>
      <c r="H400" s="19">
        <v>1116600</v>
      </c>
      <c r="I400" s="18" t="s">
        <v>22</v>
      </c>
      <c r="J400" s="29" t="str">
        <f t="shared" si="36"/>
        <v>Fri</v>
      </c>
      <c r="K400" s="29" t="b">
        <f t="shared" si="37"/>
        <v>0</v>
      </c>
      <c r="L400" s="29" t="b">
        <f t="shared" si="38"/>
        <v>0</v>
      </c>
      <c r="M400" s="29" t="b">
        <f t="shared" si="41"/>
        <v>0</v>
      </c>
      <c r="N400" s="29" cm="1">
        <f t="array" ref="N400">_xlfn.IFS(
  E400="Airlines 1", IF(K400, F400*0.04, 0),
  E400="Airlines 2", P400,
  E400="Airlines 3", IF(L400, 20000*F400, 0),
  E400="Airlines 4", IF(M400, 15000*F400, 0),
  E400="Airlines 5",
    IF(F400&lt;50000000, F400*0.01,
      IF(F400&lt;100000000, F400*0.02,
        IF(F400&lt;200000000, F400*0.03, F400*0.035))),
  TRUE, 0
)</f>
        <v>0</v>
      </c>
      <c r="O400" s="29">
        <f t="shared" si="39"/>
        <v>6</v>
      </c>
      <c r="P400" s="29">
        <f t="shared" si="40"/>
        <v>0</v>
      </c>
      <c r="Q400" s="30" cm="1">
        <f t="array" ref="Q400">_xlfn.SWITCH(I400, "Method 1", 0, "Method 2", H400*0.03, "Method 3", 4000, "Method 4", 3000, 0)</f>
        <v>0</v>
      </c>
    </row>
    <row r="401" spans="1:17">
      <c r="A401" s="24">
        <v>53200468</v>
      </c>
      <c r="B401" s="17">
        <v>42300</v>
      </c>
      <c r="C401" s="17">
        <v>42303</v>
      </c>
      <c r="D401" s="18" t="s">
        <v>185</v>
      </c>
      <c r="E401" s="18" t="s">
        <v>11</v>
      </c>
      <c r="F401" s="18">
        <v>2</v>
      </c>
      <c r="G401" s="19">
        <v>1971872</v>
      </c>
      <c r="H401" s="19">
        <v>1991800</v>
      </c>
      <c r="I401" s="18" t="s">
        <v>26</v>
      </c>
      <c r="J401" s="29" t="str">
        <f t="shared" si="36"/>
        <v>Fri</v>
      </c>
      <c r="K401" s="29" t="b">
        <f t="shared" si="37"/>
        <v>0</v>
      </c>
      <c r="L401" s="29" t="b">
        <f t="shared" si="38"/>
        <v>0</v>
      </c>
      <c r="M401" s="29" t="b">
        <f t="shared" si="41"/>
        <v>0</v>
      </c>
      <c r="N401" s="29" cm="1">
        <f t="array" ref="N401">_xlfn.IFS(
  E401="Airlines 1", IF(K401, F401*0.04, 0),
  E401="Airlines 2", P401,
  E401="Airlines 3", IF(L401, 20000*F401, 0),
  E401="Airlines 4", IF(M401, 15000*F401, 0),
  E401="Airlines 5",
    IF(F401&lt;50000000, F401*0.01,
      IF(F401&lt;100000000, F401*0.02,
        IF(F401&lt;200000000, F401*0.03, F401*0.035))),
  TRUE, 0
)</f>
        <v>0</v>
      </c>
      <c r="O401" s="29">
        <f t="shared" si="39"/>
        <v>6</v>
      </c>
      <c r="P401" s="29">
        <f t="shared" si="40"/>
        <v>0</v>
      </c>
      <c r="Q401" s="30" cm="1">
        <f t="array" ref="Q401">_xlfn.SWITCH(I401, "Method 1", 0, "Method 2", H401*0.03, "Method 3", 4000, "Method 4", 3000, 0)</f>
        <v>4000</v>
      </c>
    </row>
    <row r="402" spans="1:17">
      <c r="A402" s="24">
        <v>53200314</v>
      </c>
      <c r="B402" s="17">
        <v>42300</v>
      </c>
      <c r="C402" s="17">
        <v>42309</v>
      </c>
      <c r="D402" s="18" t="s">
        <v>43</v>
      </c>
      <c r="E402" s="18" t="s">
        <v>11</v>
      </c>
      <c r="F402" s="18">
        <v>1</v>
      </c>
      <c r="G402" s="19">
        <v>672900</v>
      </c>
      <c r="H402" s="19">
        <v>668900</v>
      </c>
      <c r="I402" s="18" t="s">
        <v>24</v>
      </c>
      <c r="J402" s="29" t="str">
        <f t="shared" si="36"/>
        <v>Fri</v>
      </c>
      <c r="K402" s="29" t="b">
        <f t="shared" si="37"/>
        <v>0</v>
      </c>
      <c r="L402" s="29" t="b">
        <f t="shared" si="38"/>
        <v>1</v>
      </c>
      <c r="M402" s="29" t="b">
        <f t="shared" si="41"/>
        <v>0</v>
      </c>
      <c r="N402" s="29" cm="1">
        <f t="array" ref="N402">_xlfn.IFS(
  E402="Airlines 1", IF(K402, F402*0.04, 0),
  E402="Airlines 2", P402,
  E402="Airlines 3", IF(L402, 20000*F402, 0),
  E402="Airlines 4", IF(M402, 15000*F402, 0),
  E402="Airlines 5",
    IF(F402&lt;50000000, F402*0.01,
      IF(F402&lt;100000000, F402*0.02,
        IF(F402&lt;200000000, F402*0.03, F402*0.035))),
  TRUE, 0
)</f>
        <v>20000</v>
      </c>
      <c r="O402" s="29">
        <f t="shared" si="39"/>
        <v>6</v>
      </c>
      <c r="P402" s="29">
        <f t="shared" si="40"/>
        <v>0</v>
      </c>
      <c r="Q402" s="30" cm="1">
        <f t="array" ref="Q402">_xlfn.SWITCH(I402, "Method 1", 0, "Method 2", H402*0.03, "Method 3", 4000, "Method 4", 3000, 0)</f>
        <v>20067</v>
      </c>
    </row>
    <row r="403" spans="1:17">
      <c r="A403" s="24">
        <v>53200307</v>
      </c>
      <c r="B403" s="17">
        <v>42300</v>
      </c>
      <c r="C403" s="17">
        <v>42303</v>
      </c>
      <c r="D403" s="18" t="s">
        <v>40</v>
      </c>
      <c r="E403" s="18" t="s">
        <v>11</v>
      </c>
      <c r="F403" s="18">
        <v>1</v>
      </c>
      <c r="G403" s="19">
        <v>373466</v>
      </c>
      <c r="H403" s="19">
        <v>371500</v>
      </c>
      <c r="I403" s="18" t="s">
        <v>22</v>
      </c>
      <c r="J403" s="29" t="str">
        <f t="shared" si="36"/>
        <v>Fri</v>
      </c>
      <c r="K403" s="29" t="b">
        <f t="shared" si="37"/>
        <v>0</v>
      </c>
      <c r="L403" s="29" t="b">
        <f t="shared" si="38"/>
        <v>1</v>
      </c>
      <c r="M403" s="29" t="b">
        <f t="shared" si="41"/>
        <v>0</v>
      </c>
      <c r="N403" s="29" cm="1">
        <f t="array" ref="N403">_xlfn.IFS(
  E403="Airlines 1", IF(K403, F403*0.04, 0),
  E403="Airlines 2", P403,
  E403="Airlines 3", IF(L403, 20000*F403, 0),
  E403="Airlines 4", IF(M403, 15000*F403, 0),
  E403="Airlines 5",
    IF(F403&lt;50000000, F403*0.01,
      IF(F403&lt;100000000, F403*0.02,
        IF(F403&lt;200000000, F403*0.03, F403*0.035))),
  TRUE, 0
)</f>
        <v>20000</v>
      </c>
      <c r="O403" s="29">
        <f t="shared" si="39"/>
        <v>6</v>
      </c>
      <c r="P403" s="29">
        <f t="shared" si="40"/>
        <v>0</v>
      </c>
      <c r="Q403" s="30" cm="1">
        <f t="array" ref="Q403">_xlfn.SWITCH(I403, "Method 1", 0, "Method 2", H403*0.03, "Method 3", 4000, "Method 4", 3000, 0)</f>
        <v>0</v>
      </c>
    </row>
    <row r="404" spans="1:17">
      <c r="A404" s="24">
        <v>53200524</v>
      </c>
      <c r="B404" s="17">
        <v>42300</v>
      </c>
      <c r="C404" s="17">
        <v>42301</v>
      </c>
      <c r="D404" s="18" t="s">
        <v>158</v>
      </c>
      <c r="E404" s="18" t="s">
        <v>11</v>
      </c>
      <c r="F404" s="18">
        <v>1</v>
      </c>
      <c r="G404" s="19">
        <v>1609000</v>
      </c>
      <c r="H404" s="19">
        <v>1608900</v>
      </c>
      <c r="I404" s="18" t="s">
        <v>22</v>
      </c>
      <c r="J404" s="29" t="str">
        <f t="shared" si="36"/>
        <v>Fri</v>
      </c>
      <c r="K404" s="29" t="b">
        <f t="shared" si="37"/>
        <v>0</v>
      </c>
      <c r="L404" s="29" t="b">
        <f t="shared" si="38"/>
        <v>0</v>
      </c>
      <c r="M404" s="29" t="b">
        <f t="shared" si="41"/>
        <v>0</v>
      </c>
      <c r="N404" s="29" cm="1">
        <f t="array" ref="N404">_xlfn.IFS(
  E404="Airlines 1", IF(K404, F404*0.04, 0),
  E404="Airlines 2", P404,
  E404="Airlines 3", IF(L404, 20000*F404, 0),
  E404="Airlines 4", IF(M404, 15000*F404, 0),
  E404="Airlines 5",
    IF(F404&lt;50000000, F404*0.01,
      IF(F404&lt;100000000, F404*0.02,
        IF(F404&lt;200000000, F404*0.03, F404*0.035))),
  TRUE, 0
)</f>
        <v>0</v>
      </c>
      <c r="O404" s="29">
        <f t="shared" si="39"/>
        <v>6</v>
      </c>
      <c r="P404" s="29">
        <f t="shared" si="40"/>
        <v>0</v>
      </c>
      <c r="Q404" s="30" cm="1">
        <f t="array" ref="Q404">_xlfn.SWITCH(I404, "Method 1", 0, "Method 2", H404*0.03, "Method 3", 4000, "Method 4", 3000, 0)</f>
        <v>0</v>
      </c>
    </row>
    <row r="405" spans="1:17">
      <c r="A405" s="24">
        <v>53200251</v>
      </c>
      <c r="B405" s="17">
        <v>42300</v>
      </c>
      <c r="C405" s="17">
        <v>42302</v>
      </c>
      <c r="D405" s="18" t="s">
        <v>83</v>
      </c>
      <c r="E405" s="18" t="s">
        <v>11</v>
      </c>
      <c r="F405" s="18">
        <v>4</v>
      </c>
      <c r="G405" s="19">
        <v>2559600</v>
      </c>
      <c r="H405" s="19">
        <v>2546400</v>
      </c>
      <c r="I405" s="18" t="s">
        <v>26</v>
      </c>
      <c r="J405" s="29" t="str">
        <f t="shared" si="36"/>
        <v>Fri</v>
      </c>
      <c r="K405" s="29" t="b">
        <f t="shared" si="37"/>
        <v>0</v>
      </c>
      <c r="L405" s="29" t="b">
        <f t="shared" si="38"/>
        <v>0</v>
      </c>
      <c r="M405" s="29" t="b">
        <f t="shared" si="41"/>
        <v>0</v>
      </c>
      <c r="N405" s="29" cm="1">
        <f t="array" ref="N405">_xlfn.IFS(
  E405="Airlines 1", IF(K405, F405*0.04, 0),
  E405="Airlines 2", P405,
  E405="Airlines 3", IF(L405, 20000*F405, 0),
  E405="Airlines 4", IF(M405, 15000*F405, 0),
  E405="Airlines 5",
    IF(F405&lt;50000000, F405*0.01,
      IF(F405&lt;100000000, F405*0.02,
        IF(F405&lt;200000000, F405*0.03, F405*0.035))),
  TRUE, 0
)</f>
        <v>0</v>
      </c>
      <c r="O405" s="29">
        <f t="shared" si="39"/>
        <v>6</v>
      </c>
      <c r="P405" s="29">
        <f t="shared" si="40"/>
        <v>0</v>
      </c>
      <c r="Q405" s="30" cm="1">
        <f t="array" ref="Q405">_xlfn.SWITCH(I405, "Method 1", 0, "Method 2", H405*0.03, "Method 3", 4000, "Method 4", 3000, 0)</f>
        <v>4000</v>
      </c>
    </row>
    <row r="406" spans="1:17">
      <c r="A406" s="24">
        <v>53200555</v>
      </c>
      <c r="B406" s="17">
        <v>42300</v>
      </c>
      <c r="C406" s="17">
        <v>42307</v>
      </c>
      <c r="D406" s="18" t="s">
        <v>43</v>
      </c>
      <c r="E406" s="18" t="s">
        <v>11</v>
      </c>
      <c r="F406" s="18">
        <v>1</v>
      </c>
      <c r="G406" s="19">
        <v>562900</v>
      </c>
      <c r="H406" s="19">
        <v>559500</v>
      </c>
      <c r="I406" s="18" t="s">
        <v>24</v>
      </c>
      <c r="J406" s="29" t="str">
        <f t="shared" si="36"/>
        <v>Fri</v>
      </c>
      <c r="K406" s="29" t="b">
        <f t="shared" si="37"/>
        <v>0</v>
      </c>
      <c r="L406" s="29" t="b">
        <f t="shared" si="38"/>
        <v>1</v>
      </c>
      <c r="M406" s="29" t="b">
        <f t="shared" si="41"/>
        <v>0</v>
      </c>
      <c r="N406" s="29" cm="1">
        <f t="array" ref="N406">_xlfn.IFS(
  E406="Airlines 1", IF(K406, F406*0.04, 0),
  E406="Airlines 2", P406,
  E406="Airlines 3", IF(L406, 20000*F406, 0),
  E406="Airlines 4", IF(M406, 15000*F406, 0),
  E406="Airlines 5",
    IF(F406&lt;50000000, F406*0.01,
      IF(F406&lt;100000000, F406*0.02,
        IF(F406&lt;200000000, F406*0.03, F406*0.035))),
  TRUE, 0
)</f>
        <v>20000</v>
      </c>
      <c r="O406" s="29">
        <f t="shared" si="39"/>
        <v>6</v>
      </c>
      <c r="P406" s="29">
        <f t="shared" si="40"/>
        <v>0</v>
      </c>
      <c r="Q406" s="30" cm="1">
        <f t="array" ref="Q406">_xlfn.SWITCH(I406, "Method 1", 0, "Method 2", H406*0.03, "Method 3", 4000, "Method 4", 3000, 0)</f>
        <v>16785</v>
      </c>
    </row>
    <row r="407" spans="1:17">
      <c r="A407" s="24">
        <v>53200191</v>
      </c>
      <c r="B407" s="17">
        <v>42300</v>
      </c>
      <c r="C407" s="17">
        <v>42361</v>
      </c>
      <c r="D407" s="18" t="s">
        <v>169</v>
      </c>
      <c r="E407" s="18" t="s">
        <v>11</v>
      </c>
      <c r="F407" s="18">
        <v>1</v>
      </c>
      <c r="G407" s="19">
        <v>333853</v>
      </c>
      <c r="H407" s="19">
        <v>332100</v>
      </c>
      <c r="I407" s="18" t="s">
        <v>22</v>
      </c>
      <c r="J407" s="29" t="str">
        <f t="shared" si="36"/>
        <v>Fri</v>
      </c>
      <c r="K407" s="29" t="b">
        <f t="shared" si="37"/>
        <v>0</v>
      </c>
      <c r="L407" s="29" t="b">
        <f t="shared" si="38"/>
        <v>0</v>
      </c>
      <c r="M407" s="29" t="b">
        <f t="shared" si="41"/>
        <v>0</v>
      </c>
      <c r="N407" s="29" cm="1">
        <f t="array" ref="N407">_xlfn.IFS(
  E407="Airlines 1", IF(K407, F407*0.04, 0),
  E407="Airlines 2", P407,
  E407="Airlines 3", IF(L407, 20000*F407, 0),
  E407="Airlines 4", IF(M407, 15000*F407, 0),
  E407="Airlines 5",
    IF(F407&lt;50000000, F407*0.01,
      IF(F407&lt;100000000, F407*0.02,
        IF(F407&lt;200000000, F407*0.03, F407*0.035))),
  TRUE, 0
)</f>
        <v>0</v>
      </c>
      <c r="O407" s="29">
        <f t="shared" si="39"/>
        <v>6</v>
      </c>
      <c r="P407" s="29">
        <f t="shared" si="40"/>
        <v>0</v>
      </c>
      <c r="Q407" s="30" cm="1">
        <f t="array" ref="Q407">_xlfn.SWITCH(I407, "Method 1", 0, "Method 2", H407*0.03, "Method 3", 4000, "Method 4", 3000, 0)</f>
        <v>0</v>
      </c>
    </row>
    <row r="408" spans="1:17">
      <c r="A408" s="24">
        <v>53200628</v>
      </c>
      <c r="B408" s="17">
        <v>42300</v>
      </c>
      <c r="C408" s="17">
        <v>42301</v>
      </c>
      <c r="D408" s="18" t="s">
        <v>62</v>
      </c>
      <c r="E408" s="18" t="s">
        <v>11</v>
      </c>
      <c r="F408" s="18">
        <v>1</v>
      </c>
      <c r="G408" s="19">
        <v>637900</v>
      </c>
      <c r="H408" s="19">
        <v>634900</v>
      </c>
      <c r="I408" s="18" t="s">
        <v>22</v>
      </c>
      <c r="J408" s="29" t="str">
        <f t="shared" si="36"/>
        <v>Fri</v>
      </c>
      <c r="K408" s="29" t="b">
        <f t="shared" si="37"/>
        <v>0</v>
      </c>
      <c r="L408" s="29" t="b">
        <f t="shared" si="38"/>
        <v>1</v>
      </c>
      <c r="M408" s="29" t="b">
        <f t="shared" si="41"/>
        <v>0</v>
      </c>
      <c r="N408" s="29" cm="1">
        <f t="array" ref="N408">_xlfn.IFS(
  E408="Airlines 1", IF(K408, F408*0.04, 0),
  E408="Airlines 2", P408,
  E408="Airlines 3", IF(L408, 20000*F408, 0),
  E408="Airlines 4", IF(M408, 15000*F408, 0),
  E408="Airlines 5",
    IF(F408&lt;50000000, F408*0.01,
      IF(F408&lt;100000000, F408*0.02,
        IF(F408&lt;200000000, F408*0.03, F408*0.035))),
  TRUE, 0
)</f>
        <v>20000</v>
      </c>
      <c r="O408" s="29">
        <f t="shared" si="39"/>
        <v>6</v>
      </c>
      <c r="P408" s="29">
        <f t="shared" si="40"/>
        <v>0</v>
      </c>
      <c r="Q408" s="30" cm="1">
        <f t="array" ref="Q408">_xlfn.SWITCH(I408, "Method 1", 0, "Method 2", H408*0.03, "Method 3", 4000, "Method 4", 3000, 0)</f>
        <v>0</v>
      </c>
    </row>
    <row r="409" spans="1:17">
      <c r="A409" s="24">
        <v>53200571</v>
      </c>
      <c r="B409" s="17">
        <v>42300</v>
      </c>
      <c r="C409" s="17">
        <v>42302</v>
      </c>
      <c r="D409" s="18" t="s">
        <v>186</v>
      </c>
      <c r="E409" s="18" t="s">
        <v>11</v>
      </c>
      <c r="F409" s="18">
        <v>1</v>
      </c>
      <c r="G409" s="19">
        <v>879000</v>
      </c>
      <c r="H409" s="19">
        <v>878900</v>
      </c>
      <c r="I409" s="18" t="s">
        <v>26</v>
      </c>
      <c r="J409" s="29" t="str">
        <f t="shared" si="36"/>
        <v>Fri</v>
      </c>
      <c r="K409" s="29" t="b">
        <f t="shared" si="37"/>
        <v>0</v>
      </c>
      <c r="L409" s="29" t="b">
        <f t="shared" si="38"/>
        <v>0</v>
      </c>
      <c r="M409" s="29" t="b">
        <f t="shared" si="41"/>
        <v>0</v>
      </c>
      <c r="N409" s="29" cm="1">
        <f t="array" ref="N409">_xlfn.IFS(
  E409="Airlines 1", IF(K409, F409*0.04, 0),
  E409="Airlines 2", P409,
  E409="Airlines 3", IF(L409, 20000*F409, 0),
  E409="Airlines 4", IF(M409, 15000*F409, 0),
  E409="Airlines 5",
    IF(F409&lt;50000000, F409*0.01,
      IF(F409&lt;100000000, F409*0.02,
        IF(F409&lt;200000000, F409*0.03, F409*0.035))),
  TRUE, 0
)</f>
        <v>0</v>
      </c>
      <c r="O409" s="29">
        <f t="shared" si="39"/>
        <v>6</v>
      </c>
      <c r="P409" s="29">
        <f t="shared" si="40"/>
        <v>0</v>
      </c>
      <c r="Q409" s="30" cm="1">
        <f t="array" ref="Q409">_xlfn.SWITCH(I409, "Method 1", 0, "Method 2", H409*0.03, "Method 3", 4000, "Method 4", 3000, 0)</f>
        <v>4000</v>
      </c>
    </row>
    <row r="410" spans="1:17">
      <c r="A410" s="24">
        <v>53200505</v>
      </c>
      <c r="B410" s="17">
        <v>42300</v>
      </c>
      <c r="C410" s="17">
        <v>42301</v>
      </c>
      <c r="D410" s="18" t="s">
        <v>187</v>
      </c>
      <c r="E410" s="18" t="s">
        <v>11</v>
      </c>
      <c r="F410" s="18">
        <v>2</v>
      </c>
      <c r="G410" s="19">
        <v>4741726</v>
      </c>
      <c r="H410" s="19">
        <v>4789200</v>
      </c>
      <c r="I410" s="18" t="s">
        <v>24</v>
      </c>
      <c r="J410" s="29" t="str">
        <f t="shared" si="36"/>
        <v>Fri</v>
      </c>
      <c r="K410" s="29" t="b">
        <f t="shared" si="37"/>
        <v>0</v>
      </c>
      <c r="L410" s="29" t="b">
        <f t="shared" si="38"/>
        <v>0</v>
      </c>
      <c r="M410" s="29" t="b">
        <f t="shared" si="41"/>
        <v>0</v>
      </c>
      <c r="N410" s="29" cm="1">
        <f t="array" ref="N410">_xlfn.IFS(
  E410="Airlines 1", IF(K410, F410*0.04, 0),
  E410="Airlines 2", P410,
  E410="Airlines 3", IF(L410, 20000*F410, 0),
  E410="Airlines 4", IF(M410, 15000*F410, 0),
  E410="Airlines 5",
    IF(F410&lt;50000000, F410*0.01,
      IF(F410&lt;100000000, F410*0.02,
        IF(F410&lt;200000000, F410*0.03, F410*0.035))),
  TRUE, 0
)</f>
        <v>0</v>
      </c>
      <c r="O410" s="29">
        <f t="shared" si="39"/>
        <v>6</v>
      </c>
      <c r="P410" s="29">
        <f t="shared" si="40"/>
        <v>0</v>
      </c>
      <c r="Q410" s="30" cm="1">
        <f t="array" ref="Q410">_xlfn.SWITCH(I410, "Method 1", 0, "Method 2", H410*0.03, "Method 3", 4000, "Method 4", 3000, 0)</f>
        <v>143676</v>
      </c>
    </row>
    <row r="411" spans="1:17">
      <c r="A411" s="24">
        <v>53200633</v>
      </c>
      <c r="B411" s="17">
        <v>42300</v>
      </c>
      <c r="C411" s="17">
        <v>42303</v>
      </c>
      <c r="D411" s="18" t="s">
        <v>174</v>
      </c>
      <c r="E411" s="18" t="s">
        <v>11</v>
      </c>
      <c r="F411" s="18">
        <v>2</v>
      </c>
      <c r="G411" s="19">
        <v>1180486</v>
      </c>
      <c r="H411" s="19">
        <v>1192400</v>
      </c>
      <c r="I411" s="18" t="s">
        <v>22</v>
      </c>
      <c r="J411" s="29" t="str">
        <f t="shared" si="36"/>
        <v>Fri</v>
      </c>
      <c r="K411" s="29" t="b">
        <f t="shared" si="37"/>
        <v>0</v>
      </c>
      <c r="L411" s="29" t="b">
        <f t="shared" si="38"/>
        <v>0</v>
      </c>
      <c r="M411" s="29" t="b">
        <f t="shared" si="41"/>
        <v>0</v>
      </c>
      <c r="N411" s="29" cm="1">
        <f t="array" ref="N411">_xlfn.IFS(
  E411="Airlines 1", IF(K411, F411*0.04, 0),
  E411="Airlines 2", P411,
  E411="Airlines 3", IF(L411, 20000*F411, 0),
  E411="Airlines 4", IF(M411, 15000*F411, 0),
  E411="Airlines 5",
    IF(F411&lt;50000000, F411*0.01,
      IF(F411&lt;100000000, F411*0.02,
        IF(F411&lt;200000000, F411*0.03, F411*0.035))),
  TRUE, 0
)</f>
        <v>0</v>
      </c>
      <c r="O411" s="29">
        <f t="shared" si="39"/>
        <v>6</v>
      </c>
      <c r="P411" s="29">
        <f t="shared" si="40"/>
        <v>0</v>
      </c>
      <c r="Q411" s="30" cm="1">
        <f t="array" ref="Q411">_xlfn.SWITCH(I411, "Method 1", 0, "Method 2", H411*0.03, "Method 3", 4000, "Method 4", 3000, 0)</f>
        <v>0</v>
      </c>
    </row>
    <row r="412" spans="1:17">
      <c r="A412" s="24">
        <v>53200678</v>
      </c>
      <c r="B412" s="17">
        <v>42300</v>
      </c>
      <c r="C412" s="17">
        <v>42303</v>
      </c>
      <c r="D412" s="18" t="s">
        <v>62</v>
      </c>
      <c r="E412" s="18" t="s">
        <v>11</v>
      </c>
      <c r="F412" s="18">
        <v>1</v>
      </c>
      <c r="G412" s="19">
        <v>527900</v>
      </c>
      <c r="H412" s="19">
        <v>524700</v>
      </c>
      <c r="I412" s="18" t="s">
        <v>22</v>
      </c>
      <c r="J412" s="29" t="str">
        <f t="shared" si="36"/>
        <v>Fri</v>
      </c>
      <c r="K412" s="29" t="b">
        <f t="shared" si="37"/>
        <v>0</v>
      </c>
      <c r="L412" s="29" t="b">
        <f t="shared" si="38"/>
        <v>1</v>
      </c>
      <c r="M412" s="29" t="b">
        <f t="shared" si="41"/>
        <v>0</v>
      </c>
      <c r="N412" s="29" cm="1">
        <f t="array" ref="N412">_xlfn.IFS(
  E412="Airlines 1", IF(K412, F412*0.04, 0),
  E412="Airlines 2", P412,
  E412="Airlines 3", IF(L412, 20000*F412, 0),
  E412="Airlines 4", IF(M412, 15000*F412, 0),
  E412="Airlines 5",
    IF(F412&lt;50000000, F412*0.01,
      IF(F412&lt;100000000, F412*0.02,
        IF(F412&lt;200000000, F412*0.03, F412*0.035))),
  TRUE, 0
)</f>
        <v>20000</v>
      </c>
      <c r="O412" s="29">
        <f t="shared" si="39"/>
        <v>6</v>
      </c>
      <c r="P412" s="29">
        <f t="shared" si="40"/>
        <v>0</v>
      </c>
      <c r="Q412" s="30" cm="1">
        <f t="array" ref="Q412">_xlfn.SWITCH(I412, "Method 1", 0, "Method 2", H412*0.03, "Method 3", 4000, "Method 4", 3000, 0)</f>
        <v>0</v>
      </c>
    </row>
    <row r="413" spans="1:17">
      <c r="A413" s="24">
        <v>53200551</v>
      </c>
      <c r="B413" s="17">
        <v>42302</v>
      </c>
      <c r="C413" s="17">
        <v>42303</v>
      </c>
      <c r="D413" s="18" t="s">
        <v>62</v>
      </c>
      <c r="E413" s="18" t="s">
        <v>11</v>
      </c>
      <c r="F413" s="18">
        <v>1</v>
      </c>
      <c r="G413" s="19">
        <v>503337</v>
      </c>
      <c r="H413" s="19">
        <v>500800</v>
      </c>
      <c r="I413" s="18" t="s">
        <v>26</v>
      </c>
      <c r="J413" s="29" t="str">
        <f t="shared" si="36"/>
        <v>Sun</v>
      </c>
      <c r="K413" s="29" t="b">
        <f t="shared" si="37"/>
        <v>1</v>
      </c>
      <c r="L413" s="29" t="b">
        <f t="shared" si="38"/>
        <v>1</v>
      </c>
      <c r="M413" s="29" t="b">
        <f t="shared" si="41"/>
        <v>0</v>
      </c>
      <c r="N413" s="29" cm="1">
        <f t="array" ref="N413">_xlfn.IFS(
  E413="Airlines 1", IF(K413, F413*0.04, 0),
  E413="Airlines 2", P413,
  E413="Airlines 3", IF(L413, 20000*F413, 0),
  E413="Airlines 4", IF(M413, 15000*F413, 0),
  E413="Airlines 5",
    IF(F413&lt;50000000, F413*0.01,
      IF(F413&lt;100000000, F413*0.02,
        IF(F413&lt;200000000, F413*0.03, F413*0.035))),
  TRUE, 0
)</f>
        <v>20000</v>
      </c>
      <c r="O413" s="29">
        <f t="shared" si="39"/>
        <v>0</v>
      </c>
      <c r="P413" s="29">
        <f t="shared" si="40"/>
        <v>0</v>
      </c>
      <c r="Q413" s="30" cm="1">
        <f t="array" ref="Q413">_xlfn.SWITCH(I413, "Method 1", 0, "Method 2", H413*0.03, "Method 3", 4000, "Method 4", 3000, 0)</f>
        <v>4000</v>
      </c>
    </row>
    <row r="414" spans="1:17">
      <c r="A414" s="24">
        <v>53200675</v>
      </c>
      <c r="B414" s="17">
        <v>42302</v>
      </c>
      <c r="C414" s="17">
        <v>42303</v>
      </c>
      <c r="D414" s="18" t="s">
        <v>164</v>
      </c>
      <c r="E414" s="18" t="s">
        <v>11</v>
      </c>
      <c r="F414" s="18">
        <v>1</v>
      </c>
      <c r="G414" s="19">
        <v>462900</v>
      </c>
      <c r="H414" s="19">
        <v>460500</v>
      </c>
      <c r="I414" s="18" t="s">
        <v>22</v>
      </c>
      <c r="J414" s="29" t="str">
        <f t="shared" si="36"/>
        <v>Sun</v>
      </c>
      <c r="K414" s="29" t="b">
        <f t="shared" si="37"/>
        <v>1</v>
      </c>
      <c r="L414" s="29" t="b">
        <f t="shared" si="38"/>
        <v>0</v>
      </c>
      <c r="M414" s="29" t="b">
        <f t="shared" si="41"/>
        <v>0</v>
      </c>
      <c r="N414" s="29" cm="1">
        <f t="array" ref="N414">_xlfn.IFS(
  E414="Airlines 1", IF(K414, F414*0.04, 0),
  E414="Airlines 2", P414,
  E414="Airlines 3", IF(L414, 20000*F414, 0),
  E414="Airlines 4", IF(M414, 15000*F414, 0),
  E414="Airlines 5",
    IF(F414&lt;50000000, F414*0.01,
      IF(F414&lt;100000000, F414*0.02,
        IF(F414&lt;200000000, F414*0.03, F414*0.035))),
  TRUE, 0
)</f>
        <v>0</v>
      </c>
      <c r="O414" s="29">
        <f t="shared" si="39"/>
        <v>0</v>
      </c>
      <c r="P414" s="29">
        <f t="shared" si="40"/>
        <v>0</v>
      </c>
      <c r="Q414" s="30" cm="1">
        <f t="array" ref="Q414">_xlfn.SWITCH(I414, "Method 1", 0, "Method 2", H414*0.03, "Method 3", 4000, "Method 4", 3000, 0)</f>
        <v>0</v>
      </c>
    </row>
    <row r="415" spans="1:17">
      <c r="A415" s="24">
        <v>53200413</v>
      </c>
      <c r="B415" s="17">
        <v>42302</v>
      </c>
      <c r="C415" s="17">
        <v>42314</v>
      </c>
      <c r="D415" s="18" t="s">
        <v>48</v>
      </c>
      <c r="E415" s="18" t="s">
        <v>11</v>
      </c>
      <c r="F415" s="18">
        <v>1</v>
      </c>
      <c r="G415" s="19">
        <v>584620</v>
      </c>
      <c r="H415" s="19">
        <v>581200</v>
      </c>
      <c r="I415" s="18" t="s">
        <v>22</v>
      </c>
      <c r="J415" s="29" t="str">
        <f t="shared" si="36"/>
        <v>Sun</v>
      </c>
      <c r="K415" s="29" t="b">
        <f t="shared" si="37"/>
        <v>1</v>
      </c>
      <c r="L415" s="29" t="b">
        <f t="shared" si="38"/>
        <v>0</v>
      </c>
      <c r="M415" s="29" t="b">
        <f t="shared" si="41"/>
        <v>0</v>
      </c>
      <c r="N415" s="29" cm="1">
        <f t="array" ref="N415">_xlfn.IFS(
  E415="Airlines 1", IF(K415, F415*0.04, 0),
  E415="Airlines 2", P415,
  E415="Airlines 3", IF(L415, 20000*F415, 0),
  E415="Airlines 4", IF(M415, 15000*F415, 0),
  E415="Airlines 5",
    IF(F415&lt;50000000, F415*0.01,
      IF(F415&lt;100000000, F415*0.02,
        IF(F415&lt;200000000, F415*0.03, F415*0.035))),
  TRUE, 0
)</f>
        <v>0</v>
      </c>
      <c r="O415" s="29">
        <f t="shared" si="39"/>
        <v>0</v>
      </c>
      <c r="P415" s="29">
        <f t="shared" si="40"/>
        <v>0</v>
      </c>
      <c r="Q415" s="30" cm="1">
        <f t="array" ref="Q415">_xlfn.SWITCH(I415, "Method 1", 0, "Method 2", H415*0.03, "Method 3", 4000, "Method 4", 3000, 0)</f>
        <v>0</v>
      </c>
    </row>
    <row r="416" spans="1:17">
      <c r="A416" s="24">
        <v>53200693</v>
      </c>
      <c r="B416" s="17">
        <v>42302</v>
      </c>
      <c r="C416" s="17">
        <v>42303</v>
      </c>
      <c r="D416" s="18" t="s">
        <v>83</v>
      </c>
      <c r="E416" s="18" t="s">
        <v>11</v>
      </c>
      <c r="F416" s="18">
        <v>2</v>
      </c>
      <c r="G416" s="19">
        <v>1279800</v>
      </c>
      <c r="H416" s="19">
        <v>1272200</v>
      </c>
      <c r="I416" s="18" t="s">
        <v>22</v>
      </c>
      <c r="J416" s="29" t="str">
        <f t="shared" si="36"/>
        <v>Sun</v>
      </c>
      <c r="K416" s="29" t="b">
        <f t="shared" si="37"/>
        <v>1</v>
      </c>
      <c r="L416" s="29" t="b">
        <f t="shared" si="38"/>
        <v>0</v>
      </c>
      <c r="M416" s="29" t="b">
        <f t="shared" si="41"/>
        <v>0</v>
      </c>
      <c r="N416" s="29" cm="1">
        <f t="array" ref="N416">_xlfn.IFS(
  E416="Airlines 1", IF(K416, F416*0.04, 0),
  E416="Airlines 2", P416,
  E416="Airlines 3", IF(L416, 20000*F416, 0),
  E416="Airlines 4", IF(M416, 15000*F416, 0),
  E416="Airlines 5",
    IF(F416&lt;50000000, F416*0.01,
      IF(F416&lt;100000000, F416*0.02,
        IF(F416&lt;200000000, F416*0.03, F416*0.035))),
  TRUE, 0
)</f>
        <v>0</v>
      </c>
      <c r="O416" s="29">
        <f t="shared" si="39"/>
        <v>0</v>
      </c>
      <c r="P416" s="29">
        <f t="shared" si="40"/>
        <v>0</v>
      </c>
      <c r="Q416" s="30" cm="1">
        <f t="array" ref="Q416">_xlfn.SWITCH(I416, "Method 1", 0, "Method 2", H416*0.03, "Method 3", 4000, "Method 4", 3000, 0)</f>
        <v>0</v>
      </c>
    </row>
    <row r="417" spans="1:17">
      <c r="A417" s="24">
        <v>53200376</v>
      </c>
      <c r="B417" s="17">
        <v>42302</v>
      </c>
      <c r="C417" s="17">
        <v>42304</v>
      </c>
      <c r="D417" s="18" t="s">
        <v>62</v>
      </c>
      <c r="E417" s="18" t="s">
        <v>11</v>
      </c>
      <c r="F417" s="18">
        <v>3</v>
      </c>
      <c r="G417" s="19">
        <v>1510011</v>
      </c>
      <c r="H417" s="19">
        <v>1500900</v>
      </c>
      <c r="I417" s="18" t="s">
        <v>22</v>
      </c>
      <c r="J417" s="29" t="str">
        <f t="shared" si="36"/>
        <v>Sun</v>
      </c>
      <c r="K417" s="29" t="b">
        <f t="shared" si="37"/>
        <v>1</v>
      </c>
      <c r="L417" s="29" t="b">
        <f t="shared" si="38"/>
        <v>1</v>
      </c>
      <c r="M417" s="29" t="b">
        <f t="shared" si="41"/>
        <v>0</v>
      </c>
      <c r="N417" s="29" cm="1">
        <f t="array" ref="N417">_xlfn.IFS(
  E417="Airlines 1", IF(K417, F417*0.04, 0),
  E417="Airlines 2", P417,
  E417="Airlines 3", IF(L417, 20000*F417, 0),
  E417="Airlines 4", IF(M417, 15000*F417, 0),
  E417="Airlines 5",
    IF(F417&lt;50000000, F417*0.01,
      IF(F417&lt;100000000, F417*0.02,
        IF(F417&lt;200000000, F417*0.03, F417*0.035))),
  TRUE, 0
)</f>
        <v>60000</v>
      </c>
      <c r="O417" s="29">
        <f t="shared" si="39"/>
        <v>0</v>
      </c>
      <c r="P417" s="29">
        <f t="shared" si="40"/>
        <v>0</v>
      </c>
      <c r="Q417" s="30" cm="1">
        <f t="array" ref="Q417">_xlfn.SWITCH(I417, "Method 1", 0, "Method 2", H417*0.03, "Method 3", 4000, "Method 4", 3000, 0)</f>
        <v>0</v>
      </c>
    </row>
    <row r="418" spans="1:17">
      <c r="A418" s="24">
        <v>53200701</v>
      </c>
      <c r="B418" s="17">
        <v>42302</v>
      </c>
      <c r="C418" s="17">
        <v>42316</v>
      </c>
      <c r="D418" s="18" t="s">
        <v>43</v>
      </c>
      <c r="E418" s="18" t="s">
        <v>11</v>
      </c>
      <c r="F418" s="18">
        <v>1</v>
      </c>
      <c r="G418" s="19">
        <v>538337</v>
      </c>
      <c r="H418" s="19">
        <v>535100</v>
      </c>
      <c r="I418" s="18" t="s">
        <v>22</v>
      </c>
      <c r="J418" s="29" t="str">
        <f t="shared" si="36"/>
        <v>Sun</v>
      </c>
      <c r="K418" s="29" t="b">
        <f t="shared" si="37"/>
        <v>1</v>
      </c>
      <c r="L418" s="29" t="b">
        <f t="shared" si="38"/>
        <v>1</v>
      </c>
      <c r="M418" s="29" t="b">
        <f t="shared" si="41"/>
        <v>0</v>
      </c>
      <c r="N418" s="29" cm="1">
        <f t="array" ref="N418">_xlfn.IFS(
  E418="Airlines 1", IF(K418, F418*0.04, 0),
  E418="Airlines 2", P418,
  E418="Airlines 3", IF(L418, 20000*F418, 0),
  E418="Airlines 4", IF(M418, 15000*F418, 0),
  E418="Airlines 5",
    IF(F418&lt;50000000, F418*0.01,
      IF(F418&lt;100000000, F418*0.02,
        IF(F418&lt;200000000, F418*0.03, F418*0.035))),
  TRUE, 0
)</f>
        <v>20000</v>
      </c>
      <c r="O418" s="29">
        <f t="shared" si="39"/>
        <v>0</v>
      </c>
      <c r="P418" s="29">
        <f t="shared" si="40"/>
        <v>0</v>
      </c>
      <c r="Q418" s="30" cm="1">
        <f t="array" ref="Q418">_xlfn.SWITCH(I418, "Method 1", 0, "Method 2", H418*0.03, "Method 3", 4000, "Method 4", 3000, 0)</f>
        <v>0</v>
      </c>
    </row>
    <row r="419" spans="1:17">
      <c r="A419" s="24">
        <v>53200736</v>
      </c>
      <c r="B419" s="17">
        <v>42302</v>
      </c>
      <c r="C419" s="17">
        <v>42303</v>
      </c>
      <c r="D419" s="18" t="s">
        <v>62</v>
      </c>
      <c r="E419" s="18" t="s">
        <v>11</v>
      </c>
      <c r="F419" s="18">
        <v>1</v>
      </c>
      <c r="G419" s="19">
        <v>549900</v>
      </c>
      <c r="H419" s="19">
        <v>547100</v>
      </c>
      <c r="I419" s="18" t="s">
        <v>22</v>
      </c>
      <c r="J419" s="29" t="str">
        <f t="shared" si="36"/>
        <v>Sun</v>
      </c>
      <c r="K419" s="29" t="b">
        <f t="shared" si="37"/>
        <v>1</v>
      </c>
      <c r="L419" s="29" t="b">
        <f t="shared" si="38"/>
        <v>1</v>
      </c>
      <c r="M419" s="29" t="b">
        <f t="shared" si="41"/>
        <v>0</v>
      </c>
      <c r="N419" s="29" cm="1">
        <f t="array" ref="N419">_xlfn.IFS(
  E419="Airlines 1", IF(K419, F419*0.04, 0),
  E419="Airlines 2", P419,
  E419="Airlines 3", IF(L419, 20000*F419, 0),
  E419="Airlines 4", IF(M419, 15000*F419, 0),
  E419="Airlines 5",
    IF(F419&lt;50000000, F419*0.01,
      IF(F419&lt;100000000, F419*0.02,
        IF(F419&lt;200000000, F419*0.03, F419*0.035))),
  TRUE, 0
)</f>
        <v>20000</v>
      </c>
      <c r="O419" s="29">
        <f t="shared" si="39"/>
        <v>0</v>
      </c>
      <c r="P419" s="29">
        <f t="shared" si="40"/>
        <v>0</v>
      </c>
      <c r="Q419" s="30" cm="1">
        <f t="array" ref="Q419">_xlfn.SWITCH(I419, "Method 1", 0, "Method 2", H419*0.03, "Method 3", 4000, "Method 4", 3000, 0)</f>
        <v>0</v>
      </c>
    </row>
    <row r="420" spans="1:17">
      <c r="A420" s="24">
        <v>53200786</v>
      </c>
      <c r="B420" s="17">
        <v>42302</v>
      </c>
      <c r="C420" s="17">
        <v>42467</v>
      </c>
      <c r="D420" s="18" t="s">
        <v>124</v>
      </c>
      <c r="E420" s="18" t="s">
        <v>11</v>
      </c>
      <c r="F420" s="18">
        <v>1</v>
      </c>
      <c r="G420" s="19">
        <v>509165</v>
      </c>
      <c r="H420" s="19">
        <v>506100</v>
      </c>
      <c r="I420" s="18" t="s">
        <v>26</v>
      </c>
      <c r="J420" s="29" t="str">
        <f t="shared" si="36"/>
        <v>Sun</v>
      </c>
      <c r="K420" s="29" t="b">
        <f t="shared" si="37"/>
        <v>1</v>
      </c>
      <c r="L420" s="29" t="b">
        <f t="shared" si="38"/>
        <v>0</v>
      </c>
      <c r="M420" s="29" t="b">
        <f t="shared" si="41"/>
        <v>0</v>
      </c>
      <c r="N420" s="29" cm="1">
        <f t="array" ref="N420">_xlfn.IFS(
  E420="Airlines 1", IF(K420, F420*0.04, 0),
  E420="Airlines 2", P420,
  E420="Airlines 3", IF(L420, 20000*F420, 0),
  E420="Airlines 4", IF(M420, 15000*F420, 0),
  E420="Airlines 5",
    IF(F420&lt;50000000, F420*0.01,
      IF(F420&lt;100000000, F420*0.02,
        IF(F420&lt;200000000, F420*0.03, F420*0.035))),
  TRUE, 0
)</f>
        <v>0</v>
      </c>
      <c r="O420" s="29">
        <f t="shared" si="39"/>
        <v>0</v>
      </c>
      <c r="P420" s="29">
        <f t="shared" si="40"/>
        <v>0</v>
      </c>
      <c r="Q420" s="30" cm="1">
        <f t="array" ref="Q420">_xlfn.SWITCH(I420, "Method 1", 0, "Method 2", H420*0.03, "Method 3", 4000, "Method 4", 3000, 0)</f>
        <v>4000</v>
      </c>
    </row>
    <row r="421" spans="1:17">
      <c r="A421" s="24">
        <v>53200822</v>
      </c>
      <c r="B421" s="17">
        <v>42302</v>
      </c>
      <c r="C421" s="17">
        <v>42302</v>
      </c>
      <c r="D421" s="18" t="s">
        <v>43</v>
      </c>
      <c r="E421" s="18" t="s">
        <v>11</v>
      </c>
      <c r="F421" s="18">
        <v>1</v>
      </c>
      <c r="G421" s="19">
        <v>538337</v>
      </c>
      <c r="H421" s="19">
        <v>535100</v>
      </c>
      <c r="I421" s="18" t="s">
        <v>24</v>
      </c>
      <c r="J421" s="29" t="str">
        <f t="shared" si="36"/>
        <v>Sun</v>
      </c>
      <c r="K421" s="29" t="b">
        <f t="shared" si="37"/>
        <v>1</v>
      </c>
      <c r="L421" s="29" t="b">
        <f t="shared" si="38"/>
        <v>1</v>
      </c>
      <c r="M421" s="29" t="b">
        <f t="shared" si="41"/>
        <v>0</v>
      </c>
      <c r="N421" s="29" cm="1">
        <f t="array" ref="N421">_xlfn.IFS(
  E421="Airlines 1", IF(K421, F421*0.04, 0),
  E421="Airlines 2", P421,
  E421="Airlines 3", IF(L421, 20000*F421, 0),
  E421="Airlines 4", IF(M421, 15000*F421, 0),
  E421="Airlines 5",
    IF(F421&lt;50000000, F421*0.01,
      IF(F421&lt;100000000, F421*0.02,
        IF(F421&lt;200000000, F421*0.03, F421*0.035))),
  TRUE, 0
)</f>
        <v>20000</v>
      </c>
      <c r="O421" s="29">
        <f t="shared" si="39"/>
        <v>0</v>
      </c>
      <c r="P421" s="29">
        <f t="shared" si="40"/>
        <v>0</v>
      </c>
      <c r="Q421" s="30" cm="1">
        <f t="array" ref="Q421">_xlfn.SWITCH(I421, "Method 1", 0, "Method 2", H421*0.03, "Method 3", 4000, "Method 4", 3000, 0)</f>
        <v>16053</v>
      </c>
    </row>
    <row r="422" spans="1:17">
      <c r="A422" s="24">
        <v>53200863</v>
      </c>
      <c r="B422" s="17">
        <v>42302</v>
      </c>
      <c r="C422" s="17">
        <v>42308</v>
      </c>
      <c r="D422" s="18" t="s">
        <v>41</v>
      </c>
      <c r="E422" s="18" t="s">
        <v>11</v>
      </c>
      <c r="F422" s="18">
        <v>3</v>
      </c>
      <c r="G422" s="19">
        <v>2045700</v>
      </c>
      <c r="H422" s="19">
        <v>2033700</v>
      </c>
      <c r="I422" s="18" t="s">
        <v>22</v>
      </c>
      <c r="J422" s="29" t="str">
        <f t="shared" si="36"/>
        <v>Sun</v>
      </c>
      <c r="K422" s="29" t="b">
        <f t="shared" si="37"/>
        <v>1</v>
      </c>
      <c r="L422" s="29" t="b">
        <f t="shared" si="38"/>
        <v>0</v>
      </c>
      <c r="M422" s="29" t="b">
        <f t="shared" si="41"/>
        <v>0</v>
      </c>
      <c r="N422" s="29" cm="1">
        <f t="array" ref="N422">_xlfn.IFS(
  E422="Airlines 1", IF(K422, F422*0.04, 0),
  E422="Airlines 2", P422,
  E422="Airlines 3", IF(L422, 20000*F422, 0),
  E422="Airlines 4", IF(M422, 15000*F422, 0),
  E422="Airlines 5",
    IF(F422&lt;50000000, F422*0.01,
      IF(F422&lt;100000000, F422*0.02,
        IF(F422&lt;200000000, F422*0.03, F422*0.035))),
  TRUE, 0
)</f>
        <v>0</v>
      </c>
      <c r="O422" s="29">
        <f t="shared" si="39"/>
        <v>0</v>
      </c>
      <c r="P422" s="29">
        <f t="shared" si="40"/>
        <v>0</v>
      </c>
      <c r="Q422" s="30" cm="1">
        <f t="array" ref="Q422">_xlfn.SWITCH(I422, "Method 1", 0, "Method 2", H422*0.03, "Method 3", 4000, "Method 4", 3000, 0)</f>
        <v>0</v>
      </c>
    </row>
    <row r="423" spans="1:17">
      <c r="A423" s="24">
        <v>53200350</v>
      </c>
      <c r="B423" s="17">
        <v>42302</v>
      </c>
      <c r="C423" s="17">
        <v>42303</v>
      </c>
      <c r="D423" s="18" t="s">
        <v>74</v>
      </c>
      <c r="E423" s="18" t="s">
        <v>11</v>
      </c>
      <c r="F423" s="18">
        <v>2</v>
      </c>
      <c r="G423" s="19">
        <v>1358000</v>
      </c>
      <c r="H423" s="19">
        <v>1355800</v>
      </c>
      <c r="I423" s="18" t="s">
        <v>22</v>
      </c>
      <c r="J423" s="29" t="str">
        <f t="shared" si="36"/>
        <v>Sun</v>
      </c>
      <c r="K423" s="29" t="b">
        <f t="shared" si="37"/>
        <v>1</v>
      </c>
      <c r="L423" s="29" t="b">
        <f t="shared" si="38"/>
        <v>0</v>
      </c>
      <c r="M423" s="29" t="b">
        <f t="shared" si="41"/>
        <v>0</v>
      </c>
      <c r="N423" s="29" cm="1">
        <f t="array" ref="N423">_xlfn.IFS(
  E423="Airlines 1", IF(K423, F423*0.04, 0),
  E423="Airlines 2", P423,
  E423="Airlines 3", IF(L423, 20000*F423, 0),
  E423="Airlines 4", IF(M423, 15000*F423, 0),
  E423="Airlines 5",
    IF(F423&lt;50000000, F423*0.01,
      IF(F423&lt;100000000, F423*0.02,
        IF(F423&lt;200000000, F423*0.03, F423*0.035))),
  TRUE, 0
)</f>
        <v>0</v>
      </c>
      <c r="O423" s="29">
        <f t="shared" si="39"/>
        <v>0</v>
      </c>
      <c r="P423" s="29">
        <f t="shared" si="40"/>
        <v>0</v>
      </c>
      <c r="Q423" s="30" cm="1">
        <f t="array" ref="Q423">_xlfn.SWITCH(I423, "Method 1", 0, "Method 2", H423*0.03, "Method 3", 4000, "Method 4", 3000, 0)</f>
        <v>0</v>
      </c>
    </row>
    <row r="424" spans="1:17">
      <c r="A424" s="24">
        <v>53200800</v>
      </c>
      <c r="B424" s="17">
        <v>42302</v>
      </c>
      <c r="C424" s="17">
        <v>42303</v>
      </c>
      <c r="D424" s="18" t="s">
        <v>66</v>
      </c>
      <c r="E424" s="18" t="s">
        <v>11</v>
      </c>
      <c r="F424" s="18">
        <v>1</v>
      </c>
      <c r="G424" s="19">
        <v>299000</v>
      </c>
      <c r="H424" s="19">
        <v>298900</v>
      </c>
      <c r="I424" s="18" t="s">
        <v>26</v>
      </c>
      <c r="J424" s="29" t="str">
        <f t="shared" si="36"/>
        <v>Sun</v>
      </c>
      <c r="K424" s="29" t="b">
        <f t="shared" si="37"/>
        <v>1</v>
      </c>
      <c r="L424" s="29" t="b">
        <f t="shared" si="38"/>
        <v>0</v>
      </c>
      <c r="M424" s="29" t="b">
        <f t="shared" si="41"/>
        <v>0</v>
      </c>
      <c r="N424" s="29" cm="1">
        <f t="array" ref="N424">_xlfn.IFS(
  E424="Airlines 1", IF(K424, F424*0.04, 0),
  E424="Airlines 2", P424,
  E424="Airlines 3", IF(L424, 20000*F424, 0),
  E424="Airlines 4", IF(M424, 15000*F424, 0),
  E424="Airlines 5",
    IF(F424&lt;50000000, F424*0.01,
      IF(F424&lt;100000000, F424*0.02,
        IF(F424&lt;200000000, F424*0.03, F424*0.035))),
  TRUE, 0
)</f>
        <v>0</v>
      </c>
      <c r="O424" s="29">
        <f t="shared" si="39"/>
        <v>0</v>
      </c>
      <c r="P424" s="29">
        <f t="shared" si="40"/>
        <v>0</v>
      </c>
      <c r="Q424" s="30" cm="1">
        <f t="array" ref="Q424">_xlfn.SWITCH(I424, "Method 1", 0, "Method 2", H424*0.03, "Method 3", 4000, "Method 4", 3000, 0)</f>
        <v>4000</v>
      </c>
    </row>
    <row r="425" spans="1:17">
      <c r="A425" s="24">
        <v>53199951</v>
      </c>
      <c r="B425" s="17">
        <v>42302</v>
      </c>
      <c r="C425" s="17">
        <v>42305</v>
      </c>
      <c r="D425" s="18" t="s">
        <v>41</v>
      </c>
      <c r="E425" s="18" t="s">
        <v>11</v>
      </c>
      <c r="F425" s="18">
        <v>1</v>
      </c>
      <c r="G425" s="19">
        <v>1308900</v>
      </c>
      <c r="H425" s="19">
        <v>1301800</v>
      </c>
      <c r="I425" s="18" t="s">
        <v>24</v>
      </c>
      <c r="J425" s="29" t="str">
        <f t="shared" si="36"/>
        <v>Sun</v>
      </c>
      <c r="K425" s="29" t="b">
        <f t="shared" si="37"/>
        <v>1</v>
      </c>
      <c r="L425" s="29" t="b">
        <f t="shared" si="38"/>
        <v>0</v>
      </c>
      <c r="M425" s="29" t="b">
        <f t="shared" si="41"/>
        <v>0</v>
      </c>
      <c r="N425" s="29" cm="1">
        <f t="array" ref="N425">_xlfn.IFS(
  E425="Airlines 1", IF(K425, F425*0.04, 0),
  E425="Airlines 2", P425,
  E425="Airlines 3", IF(L425, 20000*F425, 0),
  E425="Airlines 4", IF(M425, 15000*F425, 0),
  E425="Airlines 5",
    IF(F425&lt;50000000, F425*0.01,
      IF(F425&lt;100000000, F425*0.02,
        IF(F425&lt;200000000, F425*0.03, F425*0.035))),
  TRUE, 0
)</f>
        <v>0</v>
      </c>
      <c r="O425" s="29">
        <f t="shared" si="39"/>
        <v>0</v>
      </c>
      <c r="P425" s="29">
        <f t="shared" si="40"/>
        <v>0</v>
      </c>
      <c r="Q425" s="30" cm="1">
        <f t="array" ref="Q425">_xlfn.SWITCH(I425, "Method 1", 0, "Method 2", H425*0.03, "Method 3", 4000, "Method 4", 3000, 0)</f>
        <v>39054</v>
      </c>
    </row>
    <row r="426" spans="1:17">
      <c r="A426" s="24">
        <v>53200682</v>
      </c>
      <c r="B426" s="17">
        <v>42302</v>
      </c>
      <c r="C426" s="17">
        <v>42303</v>
      </c>
      <c r="D426" s="18" t="s">
        <v>171</v>
      </c>
      <c r="E426" s="18" t="s">
        <v>11</v>
      </c>
      <c r="F426" s="18">
        <v>1</v>
      </c>
      <c r="G426" s="19">
        <v>333853</v>
      </c>
      <c r="H426" s="19">
        <v>331600</v>
      </c>
      <c r="I426" s="18" t="s">
        <v>24</v>
      </c>
      <c r="J426" s="29" t="str">
        <f t="shared" si="36"/>
        <v>Sun</v>
      </c>
      <c r="K426" s="29" t="b">
        <f t="shared" si="37"/>
        <v>1</v>
      </c>
      <c r="L426" s="29" t="b">
        <f t="shared" si="38"/>
        <v>0</v>
      </c>
      <c r="M426" s="29" t="b">
        <f t="shared" si="41"/>
        <v>0</v>
      </c>
      <c r="N426" s="29" cm="1">
        <f t="array" ref="N426">_xlfn.IFS(
  E426="Airlines 1", IF(K426, F426*0.04, 0),
  E426="Airlines 2", P426,
  E426="Airlines 3", IF(L426, 20000*F426, 0),
  E426="Airlines 4", IF(M426, 15000*F426, 0),
  E426="Airlines 5",
    IF(F426&lt;50000000, F426*0.01,
      IF(F426&lt;100000000, F426*0.02,
        IF(F426&lt;200000000, F426*0.03, F426*0.035))),
  TRUE, 0
)</f>
        <v>0</v>
      </c>
      <c r="O426" s="29">
        <f t="shared" si="39"/>
        <v>0</v>
      </c>
      <c r="P426" s="29">
        <f t="shared" si="40"/>
        <v>0</v>
      </c>
      <c r="Q426" s="30" cm="1">
        <f t="array" ref="Q426">_xlfn.SWITCH(I426, "Method 1", 0, "Method 2", H426*0.03, "Method 3", 4000, "Method 4", 3000, 0)</f>
        <v>9948</v>
      </c>
    </row>
    <row r="427" spans="1:17">
      <c r="A427" s="24">
        <v>53200801</v>
      </c>
      <c r="B427" s="17">
        <v>42302</v>
      </c>
      <c r="C427" s="17">
        <v>42306</v>
      </c>
      <c r="D427" s="18" t="s">
        <v>145</v>
      </c>
      <c r="E427" s="18" t="s">
        <v>11</v>
      </c>
      <c r="F427" s="18">
        <v>4</v>
      </c>
      <c r="G427" s="19">
        <v>4247600</v>
      </c>
      <c r="H427" s="19">
        <v>4224000</v>
      </c>
      <c r="I427" s="18" t="s">
        <v>24</v>
      </c>
      <c r="J427" s="29" t="str">
        <f t="shared" si="36"/>
        <v>Sun</v>
      </c>
      <c r="K427" s="29" t="b">
        <f t="shared" si="37"/>
        <v>1</v>
      </c>
      <c r="L427" s="29" t="b">
        <f t="shared" si="38"/>
        <v>0</v>
      </c>
      <c r="M427" s="29" t="b">
        <f t="shared" si="41"/>
        <v>0</v>
      </c>
      <c r="N427" s="29" cm="1">
        <f t="array" ref="N427">_xlfn.IFS(
  E427="Airlines 1", IF(K427, F427*0.04, 0),
  E427="Airlines 2", P427,
  E427="Airlines 3", IF(L427, 20000*F427, 0),
  E427="Airlines 4", IF(M427, 15000*F427, 0),
  E427="Airlines 5",
    IF(F427&lt;50000000, F427*0.01,
      IF(F427&lt;100000000, F427*0.02,
        IF(F427&lt;200000000, F427*0.03, F427*0.035))),
  TRUE, 0
)</f>
        <v>0</v>
      </c>
      <c r="O427" s="29">
        <f t="shared" si="39"/>
        <v>0</v>
      </c>
      <c r="P427" s="29">
        <f t="shared" si="40"/>
        <v>0</v>
      </c>
      <c r="Q427" s="30" cm="1">
        <f t="array" ref="Q427">_xlfn.SWITCH(I427, "Method 1", 0, "Method 2", H427*0.03, "Method 3", 4000, "Method 4", 3000, 0)</f>
        <v>126720</v>
      </c>
    </row>
    <row r="428" spans="1:17">
      <c r="A428" s="24">
        <v>53200461</v>
      </c>
      <c r="B428" s="17">
        <v>42304</v>
      </c>
      <c r="C428" s="17">
        <v>42305</v>
      </c>
      <c r="D428" s="18" t="s">
        <v>41</v>
      </c>
      <c r="E428" s="18" t="s">
        <v>11</v>
      </c>
      <c r="F428" s="18">
        <v>1</v>
      </c>
      <c r="G428" s="19">
        <v>758900</v>
      </c>
      <c r="H428" s="19">
        <v>754500</v>
      </c>
      <c r="I428" s="18" t="s">
        <v>24</v>
      </c>
      <c r="J428" s="29" t="str">
        <f t="shared" si="36"/>
        <v>Tue</v>
      </c>
      <c r="K428" s="29" t="b">
        <f t="shared" si="37"/>
        <v>0</v>
      </c>
      <c r="L428" s="29" t="b">
        <f t="shared" si="38"/>
        <v>0</v>
      </c>
      <c r="M428" s="29" t="b">
        <f t="shared" si="41"/>
        <v>0</v>
      </c>
      <c r="N428" s="29" cm="1">
        <f t="array" ref="N428">_xlfn.IFS(
  E428="Airlines 1", IF(K428, F428*0.04, 0),
  E428="Airlines 2", P428,
  E428="Airlines 3", IF(L428, 20000*F428, 0),
  E428="Airlines 4", IF(M428, 15000*F428, 0),
  E428="Airlines 5",
    IF(F428&lt;50000000, F428*0.01,
      IF(F428&lt;100000000, F428*0.02,
        IF(F428&lt;200000000, F428*0.03, F428*0.035))),
  TRUE, 0
)</f>
        <v>0</v>
      </c>
      <c r="O428" s="29">
        <f t="shared" si="39"/>
        <v>9</v>
      </c>
      <c r="P428" s="29">
        <f t="shared" si="40"/>
        <v>0</v>
      </c>
      <c r="Q428" s="30" cm="1">
        <f t="array" ref="Q428">_xlfn.SWITCH(I428, "Method 1", 0, "Method 2", H428*0.03, "Method 3", 4000, "Method 4", 3000, 0)</f>
        <v>22635</v>
      </c>
    </row>
    <row r="429" spans="1:17">
      <c r="A429" s="24">
        <v>53200880</v>
      </c>
      <c r="B429" s="17">
        <v>42304</v>
      </c>
      <c r="C429" s="17">
        <v>42309</v>
      </c>
      <c r="D429" s="18" t="s">
        <v>97</v>
      </c>
      <c r="E429" s="18" t="s">
        <v>11</v>
      </c>
      <c r="F429" s="18">
        <v>1</v>
      </c>
      <c r="G429" s="19">
        <v>368466</v>
      </c>
      <c r="H429" s="19">
        <v>366100</v>
      </c>
      <c r="I429" s="18" t="s">
        <v>26</v>
      </c>
      <c r="J429" s="29" t="str">
        <f t="shared" si="36"/>
        <v>Tue</v>
      </c>
      <c r="K429" s="29" t="b">
        <f t="shared" si="37"/>
        <v>0</v>
      </c>
      <c r="L429" s="29" t="b">
        <f t="shared" si="38"/>
        <v>1</v>
      </c>
      <c r="M429" s="29" t="b">
        <f t="shared" si="41"/>
        <v>0</v>
      </c>
      <c r="N429" s="29" cm="1">
        <f t="array" ref="N429">_xlfn.IFS(
  E429="Airlines 1", IF(K429, F429*0.04, 0),
  E429="Airlines 2", P429,
  E429="Airlines 3", IF(L429, 20000*F429, 0),
  E429="Airlines 4", IF(M429, 15000*F429, 0),
  E429="Airlines 5",
    IF(F429&lt;50000000, F429*0.01,
      IF(F429&lt;100000000, F429*0.02,
        IF(F429&lt;200000000, F429*0.03, F429*0.035))),
  TRUE, 0
)</f>
        <v>20000</v>
      </c>
      <c r="O429" s="29">
        <f t="shared" si="39"/>
        <v>9</v>
      </c>
      <c r="P429" s="29">
        <f t="shared" si="40"/>
        <v>0</v>
      </c>
      <c r="Q429" s="30" cm="1">
        <f t="array" ref="Q429">_xlfn.SWITCH(I429, "Method 1", 0, "Method 2", H429*0.03, "Method 3", 4000, "Method 4", 3000, 0)</f>
        <v>4000</v>
      </c>
    </row>
    <row r="430" spans="1:17">
      <c r="A430" s="24">
        <v>53200861</v>
      </c>
      <c r="B430" s="17">
        <v>42304</v>
      </c>
      <c r="C430" s="17">
        <v>42308</v>
      </c>
      <c r="D430" s="18" t="s">
        <v>40</v>
      </c>
      <c r="E430" s="18" t="s">
        <v>11</v>
      </c>
      <c r="F430" s="18">
        <v>1</v>
      </c>
      <c r="G430" s="19">
        <v>439900</v>
      </c>
      <c r="H430" s="19">
        <v>437100</v>
      </c>
      <c r="I430" s="18" t="s">
        <v>24</v>
      </c>
      <c r="J430" s="29" t="str">
        <f t="shared" si="36"/>
        <v>Tue</v>
      </c>
      <c r="K430" s="29" t="b">
        <f t="shared" si="37"/>
        <v>0</v>
      </c>
      <c r="L430" s="29" t="b">
        <f t="shared" si="38"/>
        <v>1</v>
      </c>
      <c r="M430" s="29" t="b">
        <f t="shared" si="41"/>
        <v>0</v>
      </c>
      <c r="N430" s="29" cm="1">
        <f t="array" ref="N430">_xlfn.IFS(
  E430="Airlines 1", IF(K430, F430*0.04, 0),
  E430="Airlines 2", P430,
  E430="Airlines 3", IF(L430, 20000*F430, 0),
  E430="Airlines 4", IF(M430, 15000*F430, 0),
  E430="Airlines 5",
    IF(F430&lt;50000000, F430*0.01,
      IF(F430&lt;100000000, F430*0.02,
        IF(F430&lt;200000000, F430*0.03, F430*0.035))),
  TRUE, 0
)</f>
        <v>20000</v>
      </c>
      <c r="O430" s="29">
        <f t="shared" si="39"/>
        <v>9</v>
      </c>
      <c r="P430" s="29">
        <f t="shared" si="40"/>
        <v>0</v>
      </c>
      <c r="Q430" s="30" cm="1">
        <f t="array" ref="Q430">_xlfn.SWITCH(I430, "Method 1", 0, "Method 2", H430*0.03, "Method 3", 4000, "Method 4", 3000, 0)</f>
        <v>13113</v>
      </c>
    </row>
    <row r="431" spans="1:17">
      <c r="A431" s="24">
        <v>53200921</v>
      </c>
      <c r="B431" s="17">
        <v>42304</v>
      </c>
      <c r="C431" s="17">
        <v>42313</v>
      </c>
      <c r="D431" s="18" t="s">
        <v>48</v>
      </c>
      <c r="E431" s="18" t="s">
        <v>11</v>
      </c>
      <c r="F431" s="18">
        <v>1</v>
      </c>
      <c r="G431" s="19">
        <v>584620</v>
      </c>
      <c r="H431" s="19">
        <v>581700</v>
      </c>
      <c r="I431" s="18" t="s">
        <v>26</v>
      </c>
      <c r="J431" s="29" t="str">
        <f t="shared" si="36"/>
        <v>Tue</v>
      </c>
      <c r="K431" s="29" t="b">
        <f t="shared" si="37"/>
        <v>0</v>
      </c>
      <c r="L431" s="29" t="b">
        <f t="shared" si="38"/>
        <v>0</v>
      </c>
      <c r="M431" s="29" t="b">
        <f t="shared" si="41"/>
        <v>0</v>
      </c>
      <c r="N431" s="29" cm="1">
        <f t="array" ref="N431">_xlfn.IFS(
  E431="Airlines 1", IF(K431, F431*0.04, 0),
  E431="Airlines 2", P431,
  E431="Airlines 3", IF(L431, 20000*F431, 0),
  E431="Airlines 4", IF(M431, 15000*F431, 0),
  E431="Airlines 5",
    IF(F431&lt;50000000, F431*0.01,
      IF(F431&lt;100000000, F431*0.02,
        IF(F431&lt;200000000, F431*0.03, F431*0.035))),
  TRUE, 0
)</f>
        <v>0</v>
      </c>
      <c r="O431" s="29">
        <f t="shared" si="39"/>
        <v>9</v>
      </c>
      <c r="P431" s="29">
        <f t="shared" si="40"/>
        <v>0</v>
      </c>
      <c r="Q431" s="30" cm="1">
        <f t="array" ref="Q431">_xlfn.SWITCH(I431, "Method 1", 0, "Method 2", H431*0.03, "Method 3", 4000, "Method 4", 3000, 0)</f>
        <v>4000</v>
      </c>
    </row>
    <row r="432" spans="1:17">
      <c r="A432" s="24">
        <v>53200901</v>
      </c>
      <c r="B432" s="17">
        <v>42304</v>
      </c>
      <c r="C432" s="17">
        <v>42308</v>
      </c>
      <c r="D432" s="18" t="s">
        <v>160</v>
      </c>
      <c r="E432" s="18" t="s">
        <v>11</v>
      </c>
      <c r="F432" s="18">
        <v>2</v>
      </c>
      <c r="G432" s="19">
        <v>784792</v>
      </c>
      <c r="H432" s="19">
        <v>792600</v>
      </c>
      <c r="I432" s="18" t="s">
        <v>24</v>
      </c>
      <c r="J432" s="29" t="str">
        <f t="shared" si="36"/>
        <v>Tue</v>
      </c>
      <c r="K432" s="29" t="b">
        <f t="shared" si="37"/>
        <v>0</v>
      </c>
      <c r="L432" s="29" t="b">
        <f t="shared" si="38"/>
        <v>0</v>
      </c>
      <c r="M432" s="29" t="b">
        <f t="shared" si="41"/>
        <v>0</v>
      </c>
      <c r="N432" s="29" cm="1">
        <f t="array" ref="N432">_xlfn.IFS(
  E432="Airlines 1", IF(K432, F432*0.04, 0),
  E432="Airlines 2", P432,
  E432="Airlines 3", IF(L432, 20000*F432, 0),
  E432="Airlines 4", IF(M432, 15000*F432, 0),
  E432="Airlines 5",
    IF(F432&lt;50000000, F432*0.01,
      IF(F432&lt;100000000, F432*0.02,
        IF(F432&lt;200000000, F432*0.03, F432*0.035))),
  TRUE, 0
)</f>
        <v>0</v>
      </c>
      <c r="O432" s="29">
        <f t="shared" si="39"/>
        <v>9</v>
      </c>
      <c r="P432" s="29">
        <f t="shared" si="40"/>
        <v>0</v>
      </c>
      <c r="Q432" s="30" cm="1">
        <f t="array" ref="Q432">_xlfn.SWITCH(I432, "Method 1", 0, "Method 2", H432*0.03, "Method 3", 4000, "Method 4", 3000, 0)</f>
        <v>23778</v>
      </c>
    </row>
    <row r="433" spans="1:17">
      <c r="A433" s="24">
        <v>53201036</v>
      </c>
      <c r="B433" s="17">
        <v>42304</v>
      </c>
      <c r="C433" s="17">
        <v>42308</v>
      </c>
      <c r="D433" s="18" t="s">
        <v>66</v>
      </c>
      <c r="E433" s="18" t="s">
        <v>11</v>
      </c>
      <c r="F433" s="18">
        <v>2</v>
      </c>
      <c r="G433" s="19">
        <v>1178000</v>
      </c>
      <c r="H433" s="19">
        <v>1177800</v>
      </c>
      <c r="I433" s="18" t="s">
        <v>24</v>
      </c>
      <c r="J433" s="29" t="str">
        <f t="shared" si="36"/>
        <v>Tue</v>
      </c>
      <c r="K433" s="29" t="b">
        <f t="shared" si="37"/>
        <v>0</v>
      </c>
      <c r="L433" s="29" t="b">
        <f t="shared" si="38"/>
        <v>0</v>
      </c>
      <c r="M433" s="29" t="b">
        <f t="shared" si="41"/>
        <v>0</v>
      </c>
      <c r="N433" s="29" cm="1">
        <f t="array" ref="N433">_xlfn.IFS(
  E433="Airlines 1", IF(K433, F433*0.04, 0),
  E433="Airlines 2", P433,
  E433="Airlines 3", IF(L433, 20000*F433, 0),
  E433="Airlines 4", IF(M433, 15000*F433, 0),
  E433="Airlines 5",
    IF(F433&lt;50000000, F433*0.01,
      IF(F433&lt;100000000, F433*0.02,
        IF(F433&lt;200000000, F433*0.03, F433*0.035))),
  TRUE, 0
)</f>
        <v>0</v>
      </c>
      <c r="O433" s="29">
        <f t="shared" si="39"/>
        <v>9</v>
      </c>
      <c r="P433" s="29">
        <f t="shared" si="40"/>
        <v>0</v>
      </c>
      <c r="Q433" s="30" cm="1">
        <f t="array" ref="Q433">_xlfn.SWITCH(I433, "Method 1", 0, "Method 2", H433*0.03, "Method 3", 4000, "Method 4", 3000, 0)</f>
        <v>35334</v>
      </c>
    </row>
    <row r="434" spans="1:17">
      <c r="A434" s="24">
        <v>53200847</v>
      </c>
      <c r="B434" s="17">
        <v>42304</v>
      </c>
      <c r="C434" s="17">
        <v>42305</v>
      </c>
      <c r="D434" s="18" t="s">
        <v>43</v>
      </c>
      <c r="E434" s="18" t="s">
        <v>11</v>
      </c>
      <c r="F434" s="18">
        <v>1</v>
      </c>
      <c r="G434" s="19">
        <v>538337</v>
      </c>
      <c r="H434" s="19">
        <v>535100</v>
      </c>
      <c r="I434" s="18" t="s">
        <v>22</v>
      </c>
      <c r="J434" s="29" t="str">
        <f t="shared" si="36"/>
        <v>Tue</v>
      </c>
      <c r="K434" s="29" t="b">
        <f t="shared" si="37"/>
        <v>0</v>
      </c>
      <c r="L434" s="29" t="b">
        <f t="shared" si="38"/>
        <v>1</v>
      </c>
      <c r="M434" s="29" t="b">
        <f t="shared" si="41"/>
        <v>0</v>
      </c>
      <c r="N434" s="29" cm="1">
        <f t="array" ref="N434">_xlfn.IFS(
  E434="Airlines 1", IF(K434, F434*0.04, 0),
  E434="Airlines 2", P434,
  E434="Airlines 3", IF(L434, 20000*F434, 0),
  E434="Airlines 4", IF(M434, 15000*F434, 0),
  E434="Airlines 5",
    IF(F434&lt;50000000, F434*0.01,
      IF(F434&lt;100000000, F434*0.02,
        IF(F434&lt;200000000, F434*0.03, F434*0.035))),
  TRUE, 0
)</f>
        <v>20000</v>
      </c>
      <c r="O434" s="29">
        <f t="shared" si="39"/>
        <v>9</v>
      </c>
      <c r="P434" s="29">
        <f t="shared" si="40"/>
        <v>0</v>
      </c>
      <c r="Q434" s="30" cm="1">
        <f t="array" ref="Q434">_xlfn.SWITCH(I434, "Method 1", 0, "Method 2", H434*0.03, "Method 3", 4000, "Method 4", 3000, 0)</f>
        <v>0</v>
      </c>
    </row>
    <row r="435" spans="1:17">
      <c r="A435" s="24">
        <v>53200913</v>
      </c>
      <c r="B435" s="17">
        <v>42304</v>
      </c>
      <c r="C435" s="17">
        <v>42309</v>
      </c>
      <c r="D435" s="18" t="s">
        <v>74</v>
      </c>
      <c r="E435" s="18" t="s">
        <v>11</v>
      </c>
      <c r="F435" s="18">
        <v>1</v>
      </c>
      <c r="G435" s="19">
        <v>439000</v>
      </c>
      <c r="H435" s="19">
        <v>437900</v>
      </c>
      <c r="I435" s="18" t="s">
        <v>22</v>
      </c>
      <c r="J435" s="29" t="str">
        <f t="shared" si="36"/>
        <v>Tue</v>
      </c>
      <c r="K435" s="29" t="b">
        <f t="shared" si="37"/>
        <v>0</v>
      </c>
      <c r="L435" s="29" t="b">
        <f t="shared" si="38"/>
        <v>0</v>
      </c>
      <c r="M435" s="29" t="b">
        <f t="shared" si="41"/>
        <v>0</v>
      </c>
      <c r="N435" s="29" cm="1">
        <f t="array" ref="N435">_xlfn.IFS(
  E435="Airlines 1", IF(K435, F435*0.04, 0),
  E435="Airlines 2", P435,
  E435="Airlines 3", IF(L435, 20000*F435, 0),
  E435="Airlines 4", IF(M435, 15000*F435, 0),
  E435="Airlines 5",
    IF(F435&lt;50000000, F435*0.01,
      IF(F435&lt;100000000, F435*0.02,
        IF(F435&lt;200000000, F435*0.03, F435*0.035))),
  TRUE, 0
)</f>
        <v>0</v>
      </c>
      <c r="O435" s="29">
        <f t="shared" si="39"/>
        <v>9</v>
      </c>
      <c r="P435" s="29">
        <f t="shared" si="40"/>
        <v>0</v>
      </c>
      <c r="Q435" s="30" cm="1">
        <f t="array" ref="Q435">_xlfn.SWITCH(I435, "Method 1", 0, "Method 2", H435*0.03, "Method 3", 4000, "Method 4", 3000, 0)</f>
        <v>0</v>
      </c>
    </row>
    <row r="436" spans="1:17">
      <c r="A436" s="24">
        <v>53200620</v>
      </c>
      <c r="B436" s="17">
        <v>42304</v>
      </c>
      <c r="C436" s="17">
        <v>42347</v>
      </c>
      <c r="D436" s="18" t="s">
        <v>97</v>
      </c>
      <c r="E436" s="18" t="s">
        <v>11</v>
      </c>
      <c r="F436" s="18">
        <v>1</v>
      </c>
      <c r="G436" s="19">
        <v>368466</v>
      </c>
      <c r="H436" s="19">
        <v>366600</v>
      </c>
      <c r="I436" s="18" t="s">
        <v>22</v>
      </c>
      <c r="J436" s="29" t="str">
        <f t="shared" si="36"/>
        <v>Tue</v>
      </c>
      <c r="K436" s="29" t="b">
        <f t="shared" si="37"/>
        <v>0</v>
      </c>
      <c r="L436" s="29" t="b">
        <f t="shared" si="38"/>
        <v>1</v>
      </c>
      <c r="M436" s="29" t="b">
        <f t="shared" si="41"/>
        <v>0</v>
      </c>
      <c r="N436" s="29" cm="1">
        <f t="array" ref="N436">_xlfn.IFS(
  E436="Airlines 1", IF(K436, F436*0.04, 0),
  E436="Airlines 2", P436,
  E436="Airlines 3", IF(L436, 20000*F436, 0),
  E436="Airlines 4", IF(M436, 15000*F436, 0),
  E436="Airlines 5",
    IF(F436&lt;50000000, F436*0.01,
      IF(F436&lt;100000000, F436*0.02,
        IF(F436&lt;200000000, F436*0.03, F436*0.035))),
  TRUE, 0
)</f>
        <v>20000</v>
      </c>
      <c r="O436" s="29">
        <f t="shared" si="39"/>
        <v>9</v>
      </c>
      <c r="P436" s="29">
        <f t="shared" si="40"/>
        <v>0</v>
      </c>
      <c r="Q436" s="30" cm="1">
        <f t="array" ref="Q436">_xlfn.SWITCH(I436, "Method 1", 0, "Method 2", H436*0.03, "Method 3", 4000, "Method 4", 3000, 0)</f>
        <v>0</v>
      </c>
    </row>
    <row r="437" spans="1:17">
      <c r="A437" s="24">
        <v>53200207</v>
      </c>
      <c r="B437" s="17">
        <v>42304</v>
      </c>
      <c r="C437" s="17">
        <v>42307</v>
      </c>
      <c r="D437" s="18" t="s">
        <v>62</v>
      </c>
      <c r="E437" s="18" t="s">
        <v>11</v>
      </c>
      <c r="F437" s="18">
        <v>1</v>
      </c>
      <c r="G437" s="19">
        <v>503337</v>
      </c>
      <c r="H437" s="19">
        <v>500800</v>
      </c>
      <c r="I437" s="18" t="s">
        <v>24</v>
      </c>
      <c r="J437" s="29" t="str">
        <f t="shared" si="36"/>
        <v>Tue</v>
      </c>
      <c r="K437" s="29" t="b">
        <f t="shared" si="37"/>
        <v>0</v>
      </c>
      <c r="L437" s="29" t="b">
        <f t="shared" si="38"/>
        <v>1</v>
      </c>
      <c r="M437" s="29" t="b">
        <f t="shared" si="41"/>
        <v>0</v>
      </c>
      <c r="N437" s="29" cm="1">
        <f t="array" ref="N437">_xlfn.IFS(
  E437="Airlines 1", IF(K437, F437*0.04, 0),
  E437="Airlines 2", P437,
  E437="Airlines 3", IF(L437, 20000*F437, 0),
  E437="Airlines 4", IF(M437, 15000*F437, 0),
  E437="Airlines 5",
    IF(F437&lt;50000000, F437*0.01,
      IF(F437&lt;100000000, F437*0.02,
        IF(F437&lt;200000000, F437*0.03, F437*0.035))),
  TRUE, 0
)</f>
        <v>20000</v>
      </c>
      <c r="O437" s="29">
        <f t="shared" si="39"/>
        <v>9</v>
      </c>
      <c r="P437" s="29">
        <f t="shared" si="40"/>
        <v>0</v>
      </c>
      <c r="Q437" s="30" cm="1">
        <f t="array" ref="Q437">_xlfn.SWITCH(I437, "Method 1", 0, "Method 2", H437*0.03, "Method 3", 4000, "Method 4", 3000, 0)</f>
        <v>15024</v>
      </c>
    </row>
    <row r="438" spans="1:17">
      <c r="A438" s="24">
        <v>53200809</v>
      </c>
      <c r="B438" s="17">
        <v>42304</v>
      </c>
      <c r="C438" s="17">
        <v>42311</v>
      </c>
      <c r="D438" s="18" t="s">
        <v>74</v>
      </c>
      <c r="E438" s="18" t="s">
        <v>11</v>
      </c>
      <c r="F438" s="18">
        <v>1</v>
      </c>
      <c r="G438" s="19">
        <v>679000</v>
      </c>
      <c r="H438" s="19">
        <v>677900</v>
      </c>
      <c r="I438" s="18" t="s">
        <v>26</v>
      </c>
      <c r="J438" s="29" t="str">
        <f t="shared" si="36"/>
        <v>Tue</v>
      </c>
      <c r="K438" s="29" t="b">
        <f t="shared" si="37"/>
        <v>0</v>
      </c>
      <c r="L438" s="29" t="b">
        <f t="shared" si="38"/>
        <v>0</v>
      </c>
      <c r="M438" s="29" t="b">
        <f t="shared" si="41"/>
        <v>0</v>
      </c>
      <c r="N438" s="29" cm="1">
        <f t="array" ref="N438">_xlfn.IFS(
  E438="Airlines 1", IF(K438, F438*0.04, 0),
  E438="Airlines 2", P438,
  E438="Airlines 3", IF(L438, 20000*F438, 0),
  E438="Airlines 4", IF(M438, 15000*F438, 0),
  E438="Airlines 5",
    IF(F438&lt;50000000, F438*0.01,
      IF(F438&lt;100000000, F438*0.02,
        IF(F438&lt;200000000, F438*0.03, F438*0.035))),
  TRUE, 0
)</f>
        <v>0</v>
      </c>
      <c r="O438" s="29">
        <f t="shared" si="39"/>
        <v>9</v>
      </c>
      <c r="P438" s="29">
        <f t="shared" si="40"/>
        <v>0</v>
      </c>
      <c r="Q438" s="30" cm="1">
        <f t="array" ref="Q438">_xlfn.SWITCH(I438, "Method 1", 0, "Method 2", H438*0.03, "Method 3", 4000, "Method 4", 3000, 0)</f>
        <v>4000</v>
      </c>
    </row>
    <row r="439" spans="1:17">
      <c r="A439" s="24">
        <v>53200988</v>
      </c>
      <c r="B439" s="17">
        <v>42304</v>
      </c>
      <c r="C439" s="17">
        <v>42323</v>
      </c>
      <c r="D439" s="18" t="s">
        <v>62</v>
      </c>
      <c r="E439" s="18" t="s">
        <v>11</v>
      </c>
      <c r="F439" s="18">
        <v>1</v>
      </c>
      <c r="G439" s="19">
        <v>503337</v>
      </c>
      <c r="H439" s="19">
        <v>500300</v>
      </c>
      <c r="I439" s="18" t="s">
        <v>24</v>
      </c>
      <c r="J439" s="29" t="str">
        <f t="shared" si="36"/>
        <v>Tue</v>
      </c>
      <c r="K439" s="29" t="b">
        <f t="shared" si="37"/>
        <v>0</v>
      </c>
      <c r="L439" s="29" t="b">
        <f t="shared" si="38"/>
        <v>1</v>
      </c>
      <c r="M439" s="29" t="b">
        <f t="shared" si="41"/>
        <v>0</v>
      </c>
      <c r="N439" s="29" cm="1">
        <f t="array" ref="N439">_xlfn.IFS(
  E439="Airlines 1", IF(K439, F439*0.04, 0),
  E439="Airlines 2", P439,
  E439="Airlines 3", IF(L439, 20000*F439, 0),
  E439="Airlines 4", IF(M439, 15000*F439, 0),
  E439="Airlines 5",
    IF(F439&lt;50000000, F439*0.01,
      IF(F439&lt;100000000, F439*0.02,
        IF(F439&lt;200000000, F439*0.03, F439*0.035))),
  TRUE, 0
)</f>
        <v>20000</v>
      </c>
      <c r="O439" s="29">
        <f t="shared" si="39"/>
        <v>9</v>
      </c>
      <c r="P439" s="29">
        <f t="shared" si="40"/>
        <v>0</v>
      </c>
      <c r="Q439" s="30" cm="1">
        <f t="array" ref="Q439">_xlfn.SWITCH(I439, "Method 1", 0, "Method 2", H439*0.03, "Method 3", 4000, "Method 4", 3000, 0)</f>
        <v>15009</v>
      </c>
    </row>
    <row r="440" spans="1:17">
      <c r="A440" s="24">
        <v>53200769</v>
      </c>
      <c r="B440" s="17">
        <v>42278</v>
      </c>
      <c r="C440" s="17">
        <v>42279</v>
      </c>
      <c r="D440" s="18" t="s">
        <v>51</v>
      </c>
      <c r="E440" s="18" t="s">
        <v>14</v>
      </c>
      <c r="F440" s="18">
        <v>1</v>
      </c>
      <c r="G440" s="19">
        <v>884650</v>
      </c>
      <c r="H440" s="19">
        <v>875800</v>
      </c>
      <c r="I440" s="18" t="s">
        <v>26</v>
      </c>
      <c r="J440" s="29" t="str">
        <f t="shared" si="36"/>
        <v>Thu</v>
      </c>
      <c r="K440" s="29" t="b">
        <f t="shared" si="37"/>
        <v>0</v>
      </c>
      <c r="L440" s="29" t="b">
        <f t="shared" si="38"/>
        <v>0</v>
      </c>
      <c r="M440" s="29" t="b">
        <f t="shared" si="41"/>
        <v>1</v>
      </c>
      <c r="N440" s="29" cm="1">
        <f t="array" ref="N440">_xlfn.IFS(
  E440="Airlines 1", IF(K440, F440*0.04, 0),
  E440="Airlines 2", P440,
  E440="Airlines 3", IF(L440, 20000*F440, 0),
  E440="Airlines 4", IF(M440, 15000*F440, 0),
  E440="Airlines 5",
    IF(F440&lt;50000000, F440*0.01,
      IF(F440&lt;100000000, F440*0.02,
        IF(F440&lt;200000000, F440*0.03, F440*0.035))),
  TRUE, 0
)</f>
        <v>15000</v>
      </c>
      <c r="O440" s="29">
        <f t="shared" si="39"/>
        <v>16</v>
      </c>
      <c r="P440" s="29">
        <f t="shared" si="40"/>
        <v>0</v>
      </c>
      <c r="Q440" s="30" cm="1">
        <f t="array" ref="Q440">_xlfn.SWITCH(I440, "Method 1", 0, "Method 2", H440*0.03, "Method 3", 4000, "Method 4", 3000, 0)</f>
        <v>4000</v>
      </c>
    </row>
    <row r="441" spans="1:17">
      <c r="A441" s="24">
        <v>53201081</v>
      </c>
      <c r="B441" s="17">
        <v>42278</v>
      </c>
      <c r="C441" s="17">
        <v>42278</v>
      </c>
      <c r="D441" s="18" t="s">
        <v>59</v>
      </c>
      <c r="E441" s="18" t="s">
        <v>14</v>
      </c>
      <c r="F441" s="18">
        <v>1</v>
      </c>
      <c r="G441" s="19">
        <v>498750</v>
      </c>
      <c r="H441" s="19">
        <v>490800</v>
      </c>
      <c r="I441" s="18" t="s">
        <v>26</v>
      </c>
      <c r="J441" s="29" t="str">
        <f t="shared" si="36"/>
        <v>Thu</v>
      </c>
      <c r="K441" s="29" t="b">
        <f t="shared" si="37"/>
        <v>0</v>
      </c>
      <c r="L441" s="29" t="b">
        <f t="shared" si="38"/>
        <v>0</v>
      </c>
      <c r="M441" s="29" t="b">
        <f t="shared" si="41"/>
        <v>1</v>
      </c>
      <c r="N441" s="29" cm="1">
        <f t="array" ref="N441">_xlfn.IFS(
  E441="Airlines 1", IF(K441, F441*0.04, 0),
  E441="Airlines 2", P441,
  E441="Airlines 3", IF(L441, 20000*F441, 0),
  E441="Airlines 4", IF(M441, 15000*F441, 0),
  E441="Airlines 5",
    IF(F441&lt;50000000, F441*0.01,
      IF(F441&lt;100000000, F441*0.02,
        IF(F441&lt;200000000, F441*0.03, F441*0.035))),
  TRUE, 0
)</f>
        <v>15000</v>
      </c>
      <c r="O441" s="29">
        <f t="shared" si="39"/>
        <v>16</v>
      </c>
      <c r="P441" s="29">
        <f t="shared" si="40"/>
        <v>0</v>
      </c>
      <c r="Q441" s="30" cm="1">
        <f t="array" ref="Q441">_xlfn.SWITCH(I441, "Method 1", 0, "Method 2", H441*0.03, "Method 3", 4000, "Method 4", 3000, 0)</f>
        <v>4000</v>
      </c>
    </row>
    <row r="442" spans="1:17">
      <c r="A442" s="24">
        <v>53200351</v>
      </c>
      <c r="B442" s="17">
        <v>42278</v>
      </c>
      <c r="C442" s="17">
        <v>42281</v>
      </c>
      <c r="D442" s="18" t="s">
        <v>62</v>
      </c>
      <c r="E442" s="18" t="s">
        <v>14</v>
      </c>
      <c r="F442" s="18">
        <v>1</v>
      </c>
      <c r="G442" s="19">
        <v>542200</v>
      </c>
      <c r="H442" s="19">
        <v>536700</v>
      </c>
      <c r="I442" s="18" t="s">
        <v>26</v>
      </c>
      <c r="J442" s="29" t="str">
        <f t="shared" si="36"/>
        <v>Thu</v>
      </c>
      <c r="K442" s="29" t="b">
        <f t="shared" si="37"/>
        <v>0</v>
      </c>
      <c r="L442" s="29" t="b">
        <f t="shared" si="38"/>
        <v>1</v>
      </c>
      <c r="M442" s="29" t="b">
        <f t="shared" si="41"/>
        <v>1</v>
      </c>
      <c r="N442" s="29" cm="1">
        <f t="array" ref="N442">_xlfn.IFS(
  E442="Airlines 1", IF(K442, F442*0.04, 0),
  E442="Airlines 2", P442,
  E442="Airlines 3", IF(L442, 20000*F442, 0),
  E442="Airlines 4", IF(M442, 15000*F442, 0),
  E442="Airlines 5",
    IF(F442&lt;50000000, F442*0.01,
      IF(F442&lt;100000000, F442*0.02,
        IF(F442&lt;200000000, F442*0.03, F442*0.035))),
  TRUE, 0
)</f>
        <v>15000</v>
      </c>
      <c r="O442" s="29">
        <f t="shared" si="39"/>
        <v>16</v>
      </c>
      <c r="P442" s="29">
        <f t="shared" si="40"/>
        <v>0</v>
      </c>
      <c r="Q442" s="30" cm="1">
        <f t="array" ref="Q442">_xlfn.SWITCH(I442, "Method 1", 0, "Method 2", H442*0.03, "Method 3", 4000, "Method 4", 3000, 0)</f>
        <v>4000</v>
      </c>
    </row>
    <row r="443" spans="1:17">
      <c r="A443" s="24">
        <v>53201058</v>
      </c>
      <c r="B443" s="17">
        <v>42278</v>
      </c>
      <c r="C443" s="17">
        <v>42280</v>
      </c>
      <c r="D443" s="18" t="s">
        <v>51</v>
      </c>
      <c r="E443" s="18" t="s">
        <v>14</v>
      </c>
      <c r="F443" s="18">
        <v>1</v>
      </c>
      <c r="G443" s="19">
        <v>993853</v>
      </c>
      <c r="H443" s="19">
        <v>983900</v>
      </c>
      <c r="I443" s="18" t="s">
        <v>22</v>
      </c>
      <c r="J443" s="29" t="str">
        <f t="shared" si="36"/>
        <v>Thu</v>
      </c>
      <c r="K443" s="29" t="b">
        <f t="shared" si="37"/>
        <v>0</v>
      </c>
      <c r="L443" s="29" t="b">
        <f t="shared" si="38"/>
        <v>0</v>
      </c>
      <c r="M443" s="29" t="b">
        <f t="shared" si="41"/>
        <v>1</v>
      </c>
      <c r="N443" s="29" cm="1">
        <f t="array" ref="N443">_xlfn.IFS(
  E443="Airlines 1", IF(K443, F443*0.04, 0),
  E443="Airlines 2", P443,
  E443="Airlines 3", IF(L443, 20000*F443, 0),
  E443="Airlines 4", IF(M443, 15000*F443, 0),
  E443="Airlines 5",
    IF(F443&lt;50000000, F443*0.01,
      IF(F443&lt;100000000, F443*0.02,
        IF(F443&lt;200000000, F443*0.03, F443*0.035))),
  TRUE, 0
)</f>
        <v>15000</v>
      </c>
      <c r="O443" s="29">
        <f t="shared" si="39"/>
        <v>16</v>
      </c>
      <c r="P443" s="29">
        <f t="shared" si="40"/>
        <v>0</v>
      </c>
      <c r="Q443" s="30" cm="1">
        <f t="array" ref="Q443">_xlfn.SWITCH(I443, "Method 1", 0, "Method 2", H443*0.03, "Method 3", 4000, "Method 4", 3000, 0)</f>
        <v>0</v>
      </c>
    </row>
    <row r="444" spans="1:17">
      <c r="A444" s="24">
        <v>53200839</v>
      </c>
      <c r="B444" s="17">
        <v>42278</v>
      </c>
      <c r="C444" s="17">
        <v>42280</v>
      </c>
      <c r="D444" s="18" t="s">
        <v>189</v>
      </c>
      <c r="E444" s="18" t="s">
        <v>14</v>
      </c>
      <c r="F444" s="18">
        <v>1</v>
      </c>
      <c r="G444" s="19">
        <v>472900</v>
      </c>
      <c r="H444" s="19">
        <v>468100</v>
      </c>
      <c r="I444" s="18" t="s">
        <v>24</v>
      </c>
      <c r="J444" s="29" t="str">
        <f t="shared" si="36"/>
        <v>Thu</v>
      </c>
      <c r="K444" s="29" t="b">
        <f t="shared" si="37"/>
        <v>0</v>
      </c>
      <c r="L444" s="29" t="b">
        <f t="shared" si="38"/>
        <v>0</v>
      </c>
      <c r="M444" s="29" t="b">
        <f t="shared" si="41"/>
        <v>1</v>
      </c>
      <c r="N444" s="29" cm="1">
        <f t="array" ref="N444">_xlfn.IFS(
  E444="Airlines 1", IF(K444, F444*0.04, 0),
  E444="Airlines 2", P444,
  E444="Airlines 3", IF(L444, 20000*F444, 0),
  E444="Airlines 4", IF(M444, 15000*F444, 0),
  E444="Airlines 5",
    IF(F444&lt;50000000, F444*0.01,
      IF(F444&lt;100000000, F444*0.02,
        IF(F444&lt;200000000, F444*0.03, F444*0.035))),
  TRUE, 0
)</f>
        <v>15000</v>
      </c>
      <c r="O444" s="29">
        <f t="shared" si="39"/>
        <v>16</v>
      </c>
      <c r="P444" s="29">
        <f t="shared" si="40"/>
        <v>0</v>
      </c>
      <c r="Q444" s="30" cm="1">
        <f t="array" ref="Q444">_xlfn.SWITCH(I444, "Method 1", 0, "Method 2", H444*0.03, "Method 3", 4000, "Method 4", 3000, 0)</f>
        <v>14043</v>
      </c>
    </row>
    <row r="445" spans="1:17">
      <c r="A445" s="24">
        <v>53200970</v>
      </c>
      <c r="B445" s="17">
        <v>42278</v>
      </c>
      <c r="C445" s="17">
        <v>42279</v>
      </c>
      <c r="D445" s="18" t="s">
        <v>88</v>
      </c>
      <c r="E445" s="18" t="s">
        <v>14</v>
      </c>
      <c r="F445" s="18">
        <v>1</v>
      </c>
      <c r="G445" s="19">
        <v>822500</v>
      </c>
      <c r="H445" s="19">
        <v>814200</v>
      </c>
      <c r="I445" s="18" t="s">
        <v>26</v>
      </c>
      <c r="J445" s="29" t="str">
        <f t="shared" si="36"/>
        <v>Thu</v>
      </c>
      <c r="K445" s="29" t="b">
        <f t="shared" si="37"/>
        <v>0</v>
      </c>
      <c r="L445" s="29" t="b">
        <f t="shared" si="38"/>
        <v>0</v>
      </c>
      <c r="M445" s="29" t="b">
        <f t="shared" si="41"/>
        <v>1</v>
      </c>
      <c r="N445" s="29" cm="1">
        <f t="array" ref="N445">_xlfn.IFS(
  E445="Airlines 1", IF(K445, F445*0.04, 0),
  E445="Airlines 2", P445,
  E445="Airlines 3", IF(L445, 20000*F445, 0),
  E445="Airlines 4", IF(M445, 15000*F445, 0),
  E445="Airlines 5",
    IF(F445&lt;50000000, F445*0.01,
      IF(F445&lt;100000000, F445*0.02,
        IF(F445&lt;200000000, F445*0.03, F445*0.035))),
  TRUE, 0
)</f>
        <v>15000</v>
      </c>
      <c r="O445" s="29">
        <f t="shared" si="39"/>
        <v>16</v>
      </c>
      <c r="P445" s="29">
        <f t="shared" si="40"/>
        <v>0</v>
      </c>
      <c r="Q445" s="30" cm="1">
        <f t="array" ref="Q445">_xlfn.SWITCH(I445, "Method 1", 0, "Method 2", H445*0.03, "Method 3", 4000, "Method 4", 3000, 0)</f>
        <v>4000</v>
      </c>
    </row>
    <row r="446" spans="1:17">
      <c r="A446" s="24">
        <v>53201082</v>
      </c>
      <c r="B446" s="17">
        <v>42278</v>
      </c>
      <c r="C446" s="17">
        <v>42279</v>
      </c>
      <c r="D446" s="18" t="s">
        <v>190</v>
      </c>
      <c r="E446" s="18" t="s">
        <v>14</v>
      </c>
      <c r="F446" s="18">
        <v>1</v>
      </c>
      <c r="G446" s="19">
        <v>468500</v>
      </c>
      <c r="H446" s="19">
        <v>463700</v>
      </c>
      <c r="I446" s="18" t="s">
        <v>24</v>
      </c>
      <c r="J446" s="29" t="str">
        <f t="shared" si="36"/>
        <v>Thu</v>
      </c>
      <c r="K446" s="29" t="b">
        <f t="shared" si="37"/>
        <v>0</v>
      </c>
      <c r="L446" s="29" t="b">
        <f t="shared" si="38"/>
        <v>0</v>
      </c>
      <c r="M446" s="29" t="b">
        <f t="shared" si="41"/>
        <v>1</v>
      </c>
      <c r="N446" s="29" cm="1">
        <f t="array" ref="N446">_xlfn.IFS(
  E446="Airlines 1", IF(K446, F446*0.04, 0),
  E446="Airlines 2", P446,
  E446="Airlines 3", IF(L446, 20000*F446, 0),
  E446="Airlines 4", IF(M446, 15000*F446, 0),
  E446="Airlines 5",
    IF(F446&lt;50000000, F446*0.01,
      IF(F446&lt;100000000, F446*0.02,
        IF(F446&lt;200000000, F446*0.03, F446*0.035))),
  TRUE, 0
)</f>
        <v>15000</v>
      </c>
      <c r="O446" s="29">
        <f t="shared" si="39"/>
        <v>16</v>
      </c>
      <c r="P446" s="29">
        <f t="shared" si="40"/>
        <v>0</v>
      </c>
      <c r="Q446" s="30" cm="1">
        <f t="array" ref="Q446">_xlfn.SWITCH(I446, "Method 1", 0, "Method 2", H446*0.03, "Method 3", 4000, "Method 4", 3000, 0)</f>
        <v>13911</v>
      </c>
    </row>
    <row r="447" spans="1:17">
      <c r="A447" s="24">
        <v>53201158</v>
      </c>
      <c r="B447" s="17">
        <v>42278</v>
      </c>
      <c r="C447" s="17">
        <v>42285</v>
      </c>
      <c r="D447" s="18" t="s">
        <v>191</v>
      </c>
      <c r="E447" s="18" t="s">
        <v>14</v>
      </c>
      <c r="F447" s="18">
        <v>1</v>
      </c>
      <c r="G447" s="19">
        <v>918620</v>
      </c>
      <c r="H447" s="19">
        <v>909400</v>
      </c>
      <c r="I447" s="18" t="s">
        <v>26</v>
      </c>
      <c r="J447" s="29" t="str">
        <f t="shared" si="36"/>
        <v>Thu</v>
      </c>
      <c r="K447" s="29" t="b">
        <f t="shared" si="37"/>
        <v>0</v>
      </c>
      <c r="L447" s="29" t="b">
        <f t="shared" si="38"/>
        <v>0</v>
      </c>
      <c r="M447" s="29" t="b">
        <f t="shared" si="41"/>
        <v>1</v>
      </c>
      <c r="N447" s="29" cm="1">
        <f t="array" ref="N447">_xlfn.IFS(
  E447="Airlines 1", IF(K447, F447*0.04, 0),
  E447="Airlines 2", P447,
  E447="Airlines 3", IF(L447, 20000*F447, 0),
  E447="Airlines 4", IF(M447, 15000*F447, 0),
  E447="Airlines 5",
    IF(F447&lt;50000000, F447*0.01,
      IF(F447&lt;100000000, F447*0.02,
        IF(F447&lt;200000000, F447*0.03, F447*0.035))),
  TRUE, 0
)</f>
        <v>15000</v>
      </c>
      <c r="O447" s="29">
        <f t="shared" si="39"/>
        <v>16</v>
      </c>
      <c r="P447" s="29">
        <f t="shared" si="40"/>
        <v>0</v>
      </c>
      <c r="Q447" s="30" cm="1">
        <f t="array" ref="Q447">_xlfn.SWITCH(I447, "Method 1", 0, "Method 2", H447*0.03, "Method 3", 4000, "Method 4", 3000, 0)</f>
        <v>4000</v>
      </c>
    </row>
    <row r="448" spans="1:17">
      <c r="A448" s="24">
        <v>53201123</v>
      </c>
      <c r="B448" s="17">
        <v>42278</v>
      </c>
      <c r="C448" s="17">
        <v>42278</v>
      </c>
      <c r="D448" s="18" t="s">
        <v>43</v>
      </c>
      <c r="E448" s="18" t="s">
        <v>14</v>
      </c>
      <c r="F448" s="18">
        <v>2</v>
      </c>
      <c r="G448" s="19">
        <v>1350580</v>
      </c>
      <c r="H448" s="19">
        <v>1317600</v>
      </c>
      <c r="I448" s="18" t="s">
        <v>24</v>
      </c>
      <c r="J448" s="29" t="str">
        <f t="shared" si="36"/>
        <v>Thu</v>
      </c>
      <c r="K448" s="29" t="b">
        <f t="shared" si="37"/>
        <v>0</v>
      </c>
      <c r="L448" s="29" t="b">
        <f t="shared" si="38"/>
        <v>1</v>
      </c>
      <c r="M448" s="29" t="b">
        <f t="shared" si="41"/>
        <v>1</v>
      </c>
      <c r="N448" s="29" cm="1">
        <f t="array" ref="N448">_xlfn.IFS(
  E448="Airlines 1", IF(K448, F448*0.04, 0),
  E448="Airlines 2", P448,
  E448="Airlines 3", IF(L448, 20000*F448, 0),
  E448="Airlines 4", IF(M448, 15000*F448, 0),
  E448="Airlines 5",
    IF(F448&lt;50000000, F448*0.01,
      IF(F448&lt;100000000, F448*0.02,
        IF(F448&lt;200000000, F448*0.03, F448*0.035))),
  TRUE, 0
)</f>
        <v>30000</v>
      </c>
      <c r="O448" s="29">
        <f t="shared" si="39"/>
        <v>16</v>
      </c>
      <c r="P448" s="29">
        <f t="shared" si="40"/>
        <v>0</v>
      </c>
      <c r="Q448" s="30" cm="1">
        <f t="array" ref="Q448">_xlfn.SWITCH(I448, "Method 1", 0, "Method 2", H448*0.03, "Method 3", 4000, "Method 4", 3000, 0)</f>
        <v>39528</v>
      </c>
    </row>
    <row r="449" spans="1:17">
      <c r="A449" s="24">
        <v>53201091</v>
      </c>
      <c r="B449" s="17">
        <v>42278</v>
      </c>
      <c r="C449" s="17">
        <v>42281</v>
      </c>
      <c r="D449" s="18" t="s">
        <v>137</v>
      </c>
      <c r="E449" s="18" t="s">
        <v>14</v>
      </c>
      <c r="F449" s="18">
        <v>1</v>
      </c>
      <c r="G449" s="19">
        <v>621993</v>
      </c>
      <c r="H449" s="19">
        <v>615700</v>
      </c>
      <c r="I449" s="18" t="s">
        <v>22</v>
      </c>
      <c r="J449" s="29" t="str">
        <f t="shared" si="36"/>
        <v>Thu</v>
      </c>
      <c r="K449" s="29" t="b">
        <f t="shared" si="37"/>
        <v>0</v>
      </c>
      <c r="L449" s="29" t="b">
        <f t="shared" si="38"/>
        <v>0</v>
      </c>
      <c r="M449" s="29" t="b">
        <f t="shared" si="41"/>
        <v>1</v>
      </c>
      <c r="N449" s="29" cm="1">
        <f t="array" ref="N449">_xlfn.IFS(
  E449="Airlines 1", IF(K449, F449*0.04, 0),
  E449="Airlines 2", P449,
  E449="Airlines 3", IF(L449, 20000*F449, 0),
  E449="Airlines 4", IF(M449, 15000*F449, 0),
  E449="Airlines 5",
    IF(F449&lt;50000000, F449*0.01,
      IF(F449&lt;100000000, F449*0.02,
        IF(F449&lt;200000000, F449*0.03, F449*0.035))),
  TRUE, 0
)</f>
        <v>15000</v>
      </c>
      <c r="O449" s="29">
        <f t="shared" si="39"/>
        <v>16</v>
      </c>
      <c r="P449" s="29">
        <f t="shared" si="40"/>
        <v>0</v>
      </c>
      <c r="Q449" s="30" cm="1">
        <f t="array" ref="Q449">_xlfn.SWITCH(I449, "Method 1", 0, "Method 2", H449*0.03, "Method 3", 4000, "Method 4", 3000, 0)</f>
        <v>0</v>
      </c>
    </row>
    <row r="450" spans="1:17">
      <c r="A450" s="24">
        <v>53201174</v>
      </c>
      <c r="B450" s="17">
        <v>42280</v>
      </c>
      <c r="C450" s="17">
        <v>42281</v>
      </c>
      <c r="D450" s="18" t="s">
        <v>42</v>
      </c>
      <c r="E450" s="18" t="s">
        <v>14</v>
      </c>
      <c r="F450" s="18">
        <v>1</v>
      </c>
      <c r="G450" s="19">
        <v>768800</v>
      </c>
      <c r="H450" s="19">
        <v>761000</v>
      </c>
      <c r="I450" s="18" t="s">
        <v>26</v>
      </c>
      <c r="J450" s="29" t="str">
        <f t="shared" si="36"/>
        <v>Sat</v>
      </c>
      <c r="K450" s="29" t="b">
        <f t="shared" si="37"/>
        <v>1</v>
      </c>
      <c r="L450" s="29" t="b">
        <f t="shared" si="38"/>
        <v>0</v>
      </c>
      <c r="M450" s="29" t="b">
        <f t="shared" si="41"/>
        <v>1</v>
      </c>
      <c r="N450" s="29" cm="1">
        <f t="array" ref="N450">_xlfn.IFS(
  E450="Airlines 1", IF(K450, F450*0.04, 0),
  E450="Airlines 2", P450,
  E450="Airlines 3", IF(L450, 20000*F450, 0),
  E450="Airlines 4", IF(M450, 15000*F450, 0),
  E450="Airlines 5",
    IF(F450&lt;50000000, F450*0.01,
      IF(F450&lt;100000000, F450*0.02,
        IF(F450&lt;200000000, F450*0.03, F450*0.035))),
  TRUE, 0
)</f>
        <v>15000</v>
      </c>
      <c r="O450" s="29">
        <f t="shared" si="39"/>
        <v>12</v>
      </c>
      <c r="P450" s="29">
        <f t="shared" si="40"/>
        <v>0</v>
      </c>
      <c r="Q450" s="30" cm="1">
        <f t="array" ref="Q450">_xlfn.SWITCH(I450, "Method 1", 0, "Method 2", H450*0.03, "Method 3", 4000, "Method 4", 3000, 0)</f>
        <v>4000</v>
      </c>
    </row>
    <row r="451" spans="1:17">
      <c r="A451" s="24">
        <v>53201212</v>
      </c>
      <c r="B451" s="17">
        <v>42280</v>
      </c>
      <c r="C451" s="17">
        <v>42282</v>
      </c>
      <c r="D451" s="18" t="s">
        <v>192</v>
      </c>
      <c r="E451" s="18" t="s">
        <v>14</v>
      </c>
      <c r="F451" s="18">
        <v>1</v>
      </c>
      <c r="G451" s="19">
        <v>989680</v>
      </c>
      <c r="H451" s="19">
        <v>979700</v>
      </c>
      <c r="I451" s="18" t="s">
        <v>26</v>
      </c>
      <c r="J451" s="29" t="str">
        <f t="shared" si="36"/>
        <v>Sat</v>
      </c>
      <c r="K451" s="29" t="b">
        <f t="shared" si="37"/>
        <v>1</v>
      </c>
      <c r="L451" s="29" t="b">
        <f t="shared" si="38"/>
        <v>0</v>
      </c>
      <c r="M451" s="29" t="b">
        <f t="shared" si="41"/>
        <v>1</v>
      </c>
      <c r="N451" s="29" cm="1">
        <f t="array" ref="N451">_xlfn.IFS(
  E451="Airlines 1", IF(K451, F451*0.04, 0),
  E451="Airlines 2", P451,
  E451="Airlines 3", IF(L451, 20000*F451, 0),
  E451="Airlines 4", IF(M451, 15000*F451, 0),
  E451="Airlines 5",
    IF(F451&lt;50000000, F451*0.01,
      IF(F451&lt;100000000, F451*0.02,
        IF(F451&lt;200000000, F451*0.03, F451*0.035))),
  TRUE, 0
)</f>
        <v>15000</v>
      </c>
      <c r="O451" s="29">
        <f t="shared" si="39"/>
        <v>12</v>
      </c>
      <c r="P451" s="29">
        <f t="shared" si="40"/>
        <v>0</v>
      </c>
      <c r="Q451" s="30" cm="1">
        <f t="array" ref="Q451">_xlfn.SWITCH(I451, "Method 1", 0, "Method 2", H451*0.03, "Method 3", 4000, "Method 4", 3000, 0)</f>
        <v>4000</v>
      </c>
    </row>
    <row r="452" spans="1:17">
      <c r="A452" s="24">
        <v>53200753</v>
      </c>
      <c r="B452" s="17">
        <v>42280</v>
      </c>
      <c r="C452" s="17">
        <v>42284</v>
      </c>
      <c r="D452" s="18" t="s">
        <v>98</v>
      </c>
      <c r="E452" s="18" t="s">
        <v>14</v>
      </c>
      <c r="F452" s="18">
        <v>1</v>
      </c>
      <c r="G452" s="19">
        <v>521300</v>
      </c>
      <c r="H452" s="19">
        <v>516000</v>
      </c>
      <c r="I452" s="18" t="s">
        <v>26</v>
      </c>
      <c r="J452" s="29" t="str">
        <f t="shared" si="36"/>
        <v>Sat</v>
      </c>
      <c r="K452" s="29" t="b">
        <f t="shared" si="37"/>
        <v>1</v>
      </c>
      <c r="L452" s="29" t="b">
        <f t="shared" si="38"/>
        <v>0</v>
      </c>
      <c r="M452" s="29" t="b">
        <f t="shared" si="41"/>
        <v>1</v>
      </c>
      <c r="N452" s="29" cm="1">
        <f t="array" ref="N452">_xlfn.IFS(
  E452="Airlines 1", IF(K452, F452*0.04, 0),
  E452="Airlines 2", P452,
  E452="Airlines 3", IF(L452, 20000*F452, 0),
  E452="Airlines 4", IF(M452, 15000*F452, 0),
  E452="Airlines 5",
    IF(F452&lt;50000000, F452*0.01,
      IF(F452&lt;100000000, F452*0.02,
        IF(F452&lt;200000000, F452*0.03, F452*0.035))),
  TRUE, 0
)</f>
        <v>15000</v>
      </c>
      <c r="O452" s="29">
        <f t="shared" si="39"/>
        <v>12</v>
      </c>
      <c r="P452" s="29">
        <f t="shared" si="40"/>
        <v>0</v>
      </c>
      <c r="Q452" s="30" cm="1">
        <f t="array" ref="Q452">_xlfn.SWITCH(I452, "Method 1", 0, "Method 2", H452*0.03, "Method 3", 4000, "Method 4", 3000, 0)</f>
        <v>4000</v>
      </c>
    </row>
    <row r="453" spans="1:17">
      <c r="A453" s="24">
        <v>53201039</v>
      </c>
      <c r="B453" s="17">
        <v>42280</v>
      </c>
      <c r="C453" s="17">
        <v>42323</v>
      </c>
      <c r="D453" s="18" t="s">
        <v>62</v>
      </c>
      <c r="E453" s="18" t="s">
        <v>14</v>
      </c>
      <c r="F453" s="18">
        <v>2</v>
      </c>
      <c r="G453" s="19">
        <v>1262490</v>
      </c>
      <c r="H453" s="19">
        <v>1249800</v>
      </c>
      <c r="I453" s="18" t="s">
        <v>24</v>
      </c>
      <c r="J453" s="29" t="str">
        <f t="shared" si="36"/>
        <v>Sat</v>
      </c>
      <c r="K453" s="29" t="b">
        <f t="shared" si="37"/>
        <v>1</v>
      </c>
      <c r="L453" s="29" t="b">
        <f t="shared" si="38"/>
        <v>1</v>
      </c>
      <c r="M453" s="29" t="b">
        <f t="shared" si="41"/>
        <v>1</v>
      </c>
      <c r="N453" s="29" cm="1">
        <f t="array" ref="N453">_xlfn.IFS(
  E453="Airlines 1", IF(K453, F453*0.04, 0),
  E453="Airlines 2", P453,
  E453="Airlines 3", IF(L453, 20000*F453, 0),
  E453="Airlines 4", IF(M453, 15000*F453, 0),
  E453="Airlines 5",
    IF(F453&lt;50000000, F453*0.01,
      IF(F453&lt;100000000, F453*0.02,
        IF(F453&lt;200000000, F453*0.03, F453*0.035))),
  TRUE, 0
)</f>
        <v>30000</v>
      </c>
      <c r="O453" s="29">
        <f t="shared" si="39"/>
        <v>12</v>
      </c>
      <c r="P453" s="29">
        <f t="shared" si="40"/>
        <v>0</v>
      </c>
      <c r="Q453" s="30" cm="1">
        <f t="array" ref="Q453">_xlfn.SWITCH(I453, "Method 1", 0, "Method 2", H453*0.03, "Method 3", 4000, "Method 4", 3000, 0)</f>
        <v>37494</v>
      </c>
    </row>
    <row r="454" spans="1:17">
      <c r="A454" s="24">
        <v>53201221</v>
      </c>
      <c r="B454" s="17">
        <v>42280</v>
      </c>
      <c r="C454" s="17">
        <v>42283</v>
      </c>
      <c r="D454" s="18" t="s">
        <v>193</v>
      </c>
      <c r="E454" s="18" t="s">
        <v>14</v>
      </c>
      <c r="F454" s="18">
        <v>1</v>
      </c>
      <c r="G454" s="19">
        <v>639000</v>
      </c>
      <c r="H454" s="19">
        <v>632500</v>
      </c>
      <c r="I454" s="18" t="s">
        <v>24</v>
      </c>
      <c r="J454" s="29" t="str">
        <f t="shared" si="36"/>
        <v>Sat</v>
      </c>
      <c r="K454" s="29" t="b">
        <f t="shared" si="37"/>
        <v>1</v>
      </c>
      <c r="L454" s="29" t="b">
        <f t="shared" si="38"/>
        <v>1</v>
      </c>
      <c r="M454" s="29" t="b">
        <f t="shared" si="41"/>
        <v>1</v>
      </c>
      <c r="N454" s="29" cm="1">
        <f t="array" ref="N454">_xlfn.IFS(
  E454="Airlines 1", IF(K454, F454*0.04, 0),
  E454="Airlines 2", P454,
  E454="Airlines 3", IF(L454, 20000*F454, 0),
  E454="Airlines 4", IF(M454, 15000*F454, 0),
  E454="Airlines 5",
    IF(F454&lt;50000000, F454*0.01,
      IF(F454&lt;100000000, F454*0.02,
        IF(F454&lt;200000000, F454*0.03, F454*0.035))),
  TRUE, 0
)</f>
        <v>15000</v>
      </c>
      <c r="O454" s="29">
        <f t="shared" si="39"/>
        <v>12</v>
      </c>
      <c r="P454" s="29">
        <f t="shared" si="40"/>
        <v>0</v>
      </c>
      <c r="Q454" s="30" cm="1">
        <f t="array" ref="Q454">_xlfn.SWITCH(I454, "Method 1", 0, "Method 2", H454*0.03, "Method 3", 4000, "Method 4", 3000, 0)</f>
        <v>18975</v>
      </c>
    </row>
    <row r="455" spans="1:17">
      <c r="A455" s="24">
        <v>53201261</v>
      </c>
      <c r="B455" s="17">
        <v>42281</v>
      </c>
      <c r="C455" s="17">
        <v>42282</v>
      </c>
      <c r="D455" s="18" t="s">
        <v>194</v>
      </c>
      <c r="E455" s="18" t="s">
        <v>14</v>
      </c>
      <c r="F455" s="18">
        <v>1</v>
      </c>
      <c r="G455" s="19">
        <v>633300</v>
      </c>
      <c r="H455" s="19">
        <v>626900</v>
      </c>
      <c r="I455" s="18" t="s">
        <v>24</v>
      </c>
      <c r="J455" s="29" t="str">
        <f t="shared" ref="J455:J518" si="42">TEXT(B455,"ddd")</f>
        <v>Sun</v>
      </c>
      <c r="K455" s="29" t="b">
        <f t="shared" ref="K455:K518" si="43">OR(J455="Sat",J455="Sun")</f>
        <v>1</v>
      </c>
      <c r="L455" s="29" t="b">
        <f t="shared" ref="L455:L518" si="44">OR(D455="CGK_SUB", D455="CGK_PKU", D455="CGK_JOG",
    D455="SUB_CGK", D455="PKU_CGK", D455="JOG_CGK")</f>
        <v>0</v>
      </c>
      <c r="M455" s="29" t="b">
        <f t="shared" si="41"/>
        <v>1</v>
      </c>
      <c r="N455" s="29" cm="1">
        <f t="array" ref="N455">_xlfn.IFS(
  E455="Airlines 1", IF(K455, F455*0.04, 0),
  E455="Airlines 2", P455,
  E455="Airlines 3", IF(L455, 20000*F455, 0),
  E455="Airlines 4", IF(M455, 15000*F455, 0),
  E455="Airlines 5",
    IF(F455&lt;50000000, F455*0.01,
      IF(F455&lt;100000000, F455*0.02,
        IF(F455&lt;200000000, F455*0.03, F455*0.035))),
  TRUE, 0
)</f>
        <v>15000</v>
      </c>
      <c r="O455" s="29">
        <f t="shared" ref="O455:O518" si="45">SUMIFS($F$6:$F$647, $E$6:$E$647, "Airlines 2", $B$6:$B$647, B455)</f>
        <v>0</v>
      </c>
      <c r="P455" s="29">
        <f t="shared" ref="P455:P518" si="46">IF(AND(E454="Airlines 2", O454&gt;20), F454*0.05, 0)</f>
        <v>0</v>
      </c>
      <c r="Q455" s="30" cm="1">
        <f t="array" ref="Q455">_xlfn.SWITCH(I455, "Method 1", 0, "Method 2", H455*0.03, "Method 3", 4000, "Method 4", 3000, 0)</f>
        <v>18807</v>
      </c>
    </row>
    <row r="456" spans="1:17">
      <c r="A456" s="24">
        <v>53200383</v>
      </c>
      <c r="B456" s="17">
        <v>42281</v>
      </c>
      <c r="C456" s="17">
        <v>42285</v>
      </c>
      <c r="D456" s="18" t="s">
        <v>188</v>
      </c>
      <c r="E456" s="18" t="s">
        <v>14</v>
      </c>
      <c r="F456" s="18">
        <v>2</v>
      </c>
      <c r="G456" s="19">
        <v>1057076</v>
      </c>
      <c r="H456" s="19">
        <v>1046400</v>
      </c>
      <c r="I456" s="18" t="s">
        <v>26</v>
      </c>
      <c r="J456" s="29" t="str">
        <f t="shared" si="42"/>
        <v>Sun</v>
      </c>
      <c r="K456" s="29" t="b">
        <f t="shared" si="43"/>
        <v>1</v>
      </c>
      <c r="L456" s="29" t="b">
        <f t="shared" si="44"/>
        <v>0</v>
      </c>
      <c r="M456" s="29" t="b">
        <f t="shared" ref="M456:M519" si="47">AND(B456&gt;=DATE(2015,10,1),B456&lt;=DATE(2015,10,15))</f>
        <v>1</v>
      </c>
      <c r="N456" s="29" cm="1">
        <f t="array" ref="N456">_xlfn.IFS(
  E456="Airlines 1", IF(K456, F456*0.04, 0),
  E456="Airlines 2", P456,
  E456="Airlines 3", IF(L456, 20000*F456, 0),
  E456="Airlines 4", IF(M456, 15000*F456, 0),
  E456="Airlines 5",
    IF(F456&lt;50000000, F456*0.01,
      IF(F456&lt;100000000, F456*0.02,
        IF(F456&lt;200000000, F456*0.03, F456*0.035))),
  TRUE, 0
)</f>
        <v>30000</v>
      </c>
      <c r="O456" s="29">
        <f t="shared" si="45"/>
        <v>0</v>
      </c>
      <c r="P456" s="29">
        <f t="shared" si="46"/>
        <v>0</v>
      </c>
      <c r="Q456" s="30" cm="1">
        <f t="array" ref="Q456">_xlfn.SWITCH(I456, "Method 1", 0, "Method 2", H456*0.03, "Method 3", 4000, "Method 4", 3000, 0)</f>
        <v>4000</v>
      </c>
    </row>
    <row r="457" spans="1:17">
      <c r="A457" s="24">
        <v>53201101</v>
      </c>
      <c r="B457" s="17">
        <v>42281</v>
      </c>
      <c r="C457" s="17">
        <v>42304</v>
      </c>
      <c r="D457" s="18" t="s">
        <v>62</v>
      </c>
      <c r="E457" s="18" t="s">
        <v>14</v>
      </c>
      <c r="F457" s="18">
        <v>1</v>
      </c>
      <c r="G457" s="19">
        <v>677225</v>
      </c>
      <c r="H457" s="19">
        <v>670400</v>
      </c>
      <c r="I457" s="18" t="s">
        <v>24</v>
      </c>
      <c r="J457" s="29" t="str">
        <f t="shared" si="42"/>
        <v>Sun</v>
      </c>
      <c r="K457" s="29" t="b">
        <f t="shared" si="43"/>
        <v>1</v>
      </c>
      <c r="L457" s="29" t="b">
        <f t="shared" si="44"/>
        <v>1</v>
      </c>
      <c r="M457" s="29" t="b">
        <f t="shared" si="47"/>
        <v>1</v>
      </c>
      <c r="N457" s="29" cm="1">
        <f t="array" ref="N457">_xlfn.IFS(
  E457="Airlines 1", IF(K457, F457*0.04, 0),
  E457="Airlines 2", P457,
  E457="Airlines 3", IF(L457, 20000*F457, 0),
  E457="Airlines 4", IF(M457, 15000*F457, 0),
  E457="Airlines 5",
    IF(F457&lt;50000000, F457*0.01,
      IF(F457&lt;100000000, F457*0.02,
        IF(F457&lt;200000000, F457*0.03, F457*0.035))),
  TRUE, 0
)</f>
        <v>15000</v>
      </c>
      <c r="O457" s="29">
        <f t="shared" si="45"/>
        <v>0</v>
      </c>
      <c r="P457" s="29">
        <f t="shared" si="46"/>
        <v>0</v>
      </c>
      <c r="Q457" s="30" cm="1">
        <f t="array" ref="Q457">_xlfn.SWITCH(I457, "Method 1", 0, "Method 2", H457*0.03, "Method 3", 4000, "Method 4", 3000, 0)</f>
        <v>20112</v>
      </c>
    </row>
    <row r="458" spans="1:17">
      <c r="A458" s="24">
        <v>53201280</v>
      </c>
      <c r="B458" s="17">
        <v>42281</v>
      </c>
      <c r="C458" s="17">
        <v>42354</v>
      </c>
      <c r="D458" s="18" t="s">
        <v>171</v>
      </c>
      <c r="E458" s="18" t="s">
        <v>14</v>
      </c>
      <c r="F458" s="18">
        <v>1</v>
      </c>
      <c r="G458" s="19">
        <v>614518</v>
      </c>
      <c r="H458" s="19">
        <v>608400</v>
      </c>
      <c r="I458" s="18" t="s">
        <v>22</v>
      </c>
      <c r="J458" s="29" t="str">
        <f t="shared" si="42"/>
        <v>Sun</v>
      </c>
      <c r="K458" s="29" t="b">
        <f t="shared" si="43"/>
        <v>1</v>
      </c>
      <c r="L458" s="29" t="b">
        <f t="shared" si="44"/>
        <v>0</v>
      </c>
      <c r="M458" s="29" t="b">
        <f t="shared" si="47"/>
        <v>1</v>
      </c>
      <c r="N458" s="29" cm="1">
        <f t="array" ref="N458">_xlfn.IFS(
  E458="Airlines 1", IF(K458, F458*0.04, 0),
  E458="Airlines 2", P458,
  E458="Airlines 3", IF(L458, 20000*F458, 0),
  E458="Airlines 4", IF(M458, 15000*F458, 0),
  E458="Airlines 5",
    IF(F458&lt;50000000, F458*0.01,
      IF(F458&lt;100000000, F458*0.02,
        IF(F458&lt;200000000, F458*0.03, F458*0.035))),
  TRUE, 0
)</f>
        <v>15000</v>
      </c>
      <c r="O458" s="29">
        <f t="shared" si="45"/>
        <v>0</v>
      </c>
      <c r="P458" s="29">
        <f t="shared" si="46"/>
        <v>0</v>
      </c>
      <c r="Q458" s="30" cm="1">
        <f t="array" ref="Q458">_xlfn.SWITCH(I458, "Method 1", 0, "Method 2", H458*0.03, "Method 3", 4000, "Method 4", 3000, 0)</f>
        <v>0</v>
      </c>
    </row>
    <row r="459" spans="1:17">
      <c r="A459" s="24">
        <v>53201063</v>
      </c>
      <c r="B459" s="17">
        <v>42281</v>
      </c>
      <c r="C459" s="17">
        <v>42282</v>
      </c>
      <c r="D459" s="18" t="s">
        <v>51</v>
      </c>
      <c r="E459" s="18" t="s">
        <v>14</v>
      </c>
      <c r="F459" s="18">
        <v>1</v>
      </c>
      <c r="G459" s="19">
        <v>862100</v>
      </c>
      <c r="H459" s="19">
        <v>853400</v>
      </c>
      <c r="I459" s="18" t="s">
        <v>26</v>
      </c>
      <c r="J459" s="29" t="str">
        <f t="shared" si="42"/>
        <v>Sun</v>
      </c>
      <c r="K459" s="29" t="b">
        <f t="shared" si="43"/>
        <v>1</v>
      </c>
      <c r="L459" s="29" t="b">
        <f t="shared" si="44"/>
        <v>0</v>
      </c>
      <c r="M459" s="29" t="b">
        <f t="shared" si="47"/>
        <v>1</v>
      </c>
      <c r="N459" s="29" cm="1">
        <f t="array" ref="N459">_xlfn.IFS(
  E459="Airlines 1", IF(K459, F459*0.04, 0),
  E459="Airlines 2", P459,
  E459="Airlines 3", IF(L459, 20000*F459, 0),
  E459="Airlines 4", IF(M459, 15000*F459, 0),
  E459="Airlines 5",
    IF(F459&lt;50000000, F459*0.01,
      IF(F459&lt;100000000, F459*0.02,
        IF(F459&lt;200000000, F459*0.03, F459*0.035))),
  TRUE, 0
)</f>
        <v>15000</v>
      </c>
      <c r="O459" s="29">
        <f t="shared" si="45"/>
        <v>0</v>
      </c>
      <c r="P459" s="29">
        <f t="shared" si="46"/>
        <v>0</v>
      </c>
      <c r="Q459" s="30" cm="1">
        <f t="array" ref="Q459">_xlfn.SWITCH(I459, "Method 1", 0, "Method 2", H459*0.03, "Method 3", 4000, "Method 4", 3000, 0)</f>
        <v>4000</v>
      </c>
    </row>
    <row r="460" spans="1:17">
      <c r="A460" s="24">
        <v>53201288</v>
      </c>
      <c r="B460" s="17">
        <v>42281</v>
      </c>
      <c r="C460" s="17">
        <v>42287</v>
      </c>
      <c r="D460" s="18" t="s">
        <v>169</v>
      </c>
      <c r="E460" s="18" t="s">
        <v>14</v>
      </c>
      <c r="F460" s="18">
        <v>1</v>
      </c>
      <c r="G460" s="19">
        <v>386900</v>
      </c>
      <c r="H460" s="19">
        <v>382900</v>
      </c>
      <c r="I460" s="18" t="s">
        <v>26</v>
      </c>
      <c r="J460" s="29" t="str">
        <f t="shared" si="42"/>
        <v>Sun</v>
      </c>
      <c r="K460" s="29" t="b">
        <f t="shared" si="43"/>
        <v>1</v>
      </c>
      <c r="L460" s="29" t="b">
        <f t="shared" si="44"/>
        <v>0</v>
      </c>
      <c r="M460" s="29" t="b">
        <f t="shared" si="47"/>
        <v>1</v>
      </c>
      <c r="N460" s="29" cm="1">
        <f t="array" ref="N460">_xlfn.IFS(
  E460="Airlines 1", IF(K460, F460*0.04, 0),
  E460="Airlines 2", P460,
  E460="Airlines 3", IF(L460, 20000*F460, 0),
  E460="Airlines 4", IF(M460, 15000*F460, 0),
  E460="Airlines 5",
    IF(F460&lt;50000000, F460*0.01,
      IF(F460&lt;100000000, F460*0.02,
        IF(F460&lt;200000000, F460*0.03, F460*0.035))),
  TRUE, 0
)</f>
        <v>15000</v>
      </c>
      <c r="O460" s="29">
        <f t="shared" si="45"/>
        <v>0</v>
      </c>
      <c r="P460" s="29">
        <f t="shared" si="46"/>
        <v>0</v>
      </c>
      <c r="Q460" s="30" cm="1">
        <f t="array" ref="Q460">_xlfn.SWITCH(I460, "Method 1", 0, "Method 2", H460*0.03, "Method 3", 4000, "Method 4", 3000, 0)</f>
        <v>4000</v>
      </c>
    </row>
    <row r="461" spans="1:17">
      <c r="A461" s="24">
        <v>53201271</v>
      </c>
      <c r="B461" s="17">
        <v>42281</v>
      </c>
      <c r="C461" s="17">
        <v>42282</v>
      </c>
      <c r="D461" s="18" t="s">
        <v>70</v>
      </c>
      <c r="E461" s="18" t="s">
        <v>14</v>
      </c>
      <c r="F461" s="18">
        <v>1</v>
      </c>
      <c r="G461" s="19">
        <v>602508</v>
      </c>
      <c r="H461" s="19">
        <v>596500</v>
      </c>
      <c r="I461" s="18" t="s">
        <v>26</v>
      </c>
      <c r="J461" s="29" t="str">
        <f t="shared" si="42"/>
        <v>Sun</v>
      </c>
      <c r="K461" s="29" t="b">
        <f t="shared" si="43"/>
        <v>1</v>
      </c>
      <c r="L461" s="29" t="b">
        <f t="shared" si="44"/>
        <v>0</v>
      </c>
      <c r="M461" s="29" t="b">
        <f t="shared" si="47"/>
        <v>1</v>
      </c>
      <c r="N461" s="29" cm="1">
        <f t="array" ref="N461">_xlfn.IFS(
  E461="Airlines 1", IF(K461, F461*0.04, 0),
  E461="Airlines 2", P461,
  E461="Airlines 3", IF(L461, 20000*F461, 0),
  E461="Airlines 4", IF(M461, 15000*F461, 0),
  E461="Airlines 5",
    IF(F461&lt;50000000, F461*0.01,
      IF(F461&lt;100000000, F461*0.02,
        IF(F461&lt;200000000, F461*0.03, F461*0.035))),
  TRUE, 0
)</f>
        <v>15000</v>
      </c>
      <c r="O461" s="29">
        <f t="shared" si="45"/>
        <v>0</v>
      </c>
      <c r="P461" s="29">
        <f t="shared" si="46"/>
        <v>0</v>
      </c>
      <c r="Q461" s="30" cm="1">
        <f t="array" ref="Q461">_xlfn.SWITCH(I461, "Method 1", 0, "Method 2", H461*0.03, "Method 3", 4000, "Method 4", 3000, 0)</f>
        <v>4000</v>
      </c>
    </row>
    <row r="462" spans="1:17">
      <c r="A462" s="24">
        <v>53201263</v>
      </c>
      <c r="B462" s="17">
        <v>42281</v>
      </c>
      <c r="C462" s="17">
        <v>42299</v>
      </c>
      <c r="D462" s="18" t="s">
        <v>195</v>
      </c>
      <c r="E462" s="18" t="s">
        <v>14</v>
      </c>
      <c r="F462" s="18">
        <v>1</v>
      </c>
      <c r="G462" s="19">
        <v>481650</v>
      </c>
      <c r="H462" s="19">
        <v>476800</v>
      </c>
      <c r="I462" s="18" t="s">
        <v>26</v>
      </c>
      <c r="J462" s="29" t="str">
        <f t="shared" si="42"/>
        <v>Sun</v>
      </c>
      <c r="K462" s="29" t="b">
        <f t="shared" si="43"/>
        <v>1</v>
      </c>
      <c r="L462" s="29" t="b">
        <f t="shared" si="44"/>
        <v>0</v>
      </c>
      <c r="M462" s="29" t="b">
        <f t="shared" si="47"/>
        <v>1</v>
      </c>
      <c r="N462" s="29" cm="1">
        <f t="array" ref="N462">_xlfn.IFS(
  E462="Airlines 1", IF(K462, F462*0.04, 0),
  E462="Airlines 2", P462,
  E462="Airlines 3", IF(L462, 20000*F462, 0),
  E462="Airlines 4", IF(M462, 15000*F462, 0),
  E462="Airlines 5",
    IF(F462&lt;50000000, F462*0.01,
      IF(F462&lt;100000000, F462*0.02,
        IF(F462&lt;200000000, F462*0.03, F462*0.035))),
  TRUE, 0
)</f>
        <v>15000</v>
      </c>
      <c r="O462" s="29">
        <f t="shared" si="45"/>
        <v>0</v>
      </c>
      <c r="P462" s="29">
        <f t="shared" si="46"/>
        <v>0</v>
      </c>
      <c r="Q462" s="30" cm="1">
        <f t="array" ref="Q462">_xlfn.SWITCH(I462, "Method 1", 0, "Method 2", H462*0.03, "Method 3", 4000, "Method 4", 3000, 0)</f>
        <v>4000</v>
      </c>
    </row>
    <row r="463" spans="1:17">
      <c r="A463" s="24">
        <v>53201332</v>
      </c>
      <c r="B463" s="17">
        <v>42281</v>
      </c>
      <c r="C463" s="17">
        <v>42288</v>
      </c>
      <c r="D463" s="18" t="s">
        <v>41</v>
      </c>
      <c r="E463" s="18" t="s">
        <v>14</v>
      </c>
      <c r="F463" s="18">
        <v>2</v>
      </c>
      <c r="G463" s="19">
        <v>2308536</v>
      </c>
      <c r="H463" s="19">
        <v>2285400</v>
      </c>
      <c r="I463" s="18" t="s">
        <v>26</v>
      </c>
      <c r="J463" s="29" t="str">
        <f t="shared" si="42"/>
        <v>Sun</v>
      </c>
      <c r="K463" s="29" t="b">
        <f t="shared" si="43"/>
        <v>1</v>
      </c>
      <c r="L463" s="29" t="b">
        <f t="shared" si="44"/>
        <v>0</v>
      </c>
      <c r="M463" s="29" t="b">
        <f t="shared" si="47"/>
        <v>1</v>
      </c>
      <c r="N463" s="29" cm="1">
        <f t="array" ref="N463">_xlfn.IFS(
  E463="Airlines 1", IF(K463, F463*0.04, 0),
  E463="Airlines 2", P463,
  E463="Airlines 3", IF(L463, 20000*F463, 0),
  E463="Airlines 4", IF(M463, 15000*F463, 0),
  E463="Airlines 5",
    IF(F463&lt;50000000, F463*0.01,
      IF(F463&lt;100000000, F463*0.02,
        IF(F463&lt;200000000, F463*0.03, F463*0.035))),
  TRUE, 0
)</f>
        <v>30000</v>
      </c>
      <c r="O463" s="29">
        <f t="shared" si="45"/>
        <v>0</v>
      </c>
      <c r="P463" s="29">
        <f t="shared" si="46"/>
        <v>0</v>
      </c>
      <c r="Q463" s="30" cm="1">
        <f t="array" ref="Q463">_xlfn.SWITCH(I463, "Method 1", 0, "Method 2", H463*0.03, "Method 3", 4000, "Method 4", 3000, 0)</f>
        <v>4000</v>
      </c>
    </row>
    <row r="464" spans="1:17">
      <c r="A464" s="24">
        <v>53201289</v>
      </c>
      <c r="B464" s="17">
        <v>42282</v>
      </c>
      <c r="C464" s="17">
        <v>42283</v>
      </c>
      <c r="D464" s="18" t="s">
        <v>58</v>
      </c>
      <c r="E464" s="18" t="s">
        <v>14</v>
      </c>
      <c r="F464" s="18">
        <v>1</v>
      </c>
      <c r="G464" s="19">
        <v>827100</v>
      </c>
      <c r="H464" s="19">
        <v>818700</v>
      </c>
      <c r="I464" s="18" t="s">
        <v>24</v>
      </c>
      <c r="J464" s="29" t="str">
        <f t="shared" si="42"/>
        <v>Mon</v>
      </c>
      <c r="K464" s="29" t="b">
        <f t="shared" si="43"/>
        <v>0</v>
      </c>
      <c r="L464" s="29" t="b">
        <f t="shared" si="44"/>
        <v>0</v>
      </c>
      <c r="M464" s="29" t="b">
        <f t="shared" si="47"/>
        <v>1</v>
      </c>
      <c r="N464" s="29" cm="1">
        <f t="array" ref="N464">_xlfn.IFS(
  E464="Airlines 1", IF(K464, F464*0.04, 0),
  E464="Airlines 2", P464,
  E464="Airlines 3", IF(L464, 20000*F464, 0),
  E464="Airlines 4", IF(M464, 15000*F464, 0),
  E464="Airlines 5",
    IF(F464&lt;50000000, F464*0.01,
      IF(F464&lt;100000000, F464*0.02,
        IF(F464&lt;200000000, F464*0.03, F464*0.035))),
  TRUE, 0
)</f>
        <v>15000</v>
      </c>
      <c r="O464" s="29">
        <f t="shared" si="45"/>
        <v>12</v>
      </c>
      <c r="P464" s="29">
        <f t="shared" si="46"/>
        <v>0</v>
      </c>
      <c r="Q464" s="30" cm="1">
        <f t="array" ref="Q464">_xlfn.SWITCH(I464, "Method 1", 0, "Method 2", H464*0.03, "Method 3", 4000, "Method 4", 3000, 0)</f>
        <v>24561</v>
      </c>
    </row>
    <row r="465" spans="1:17">
      <c r="A465" s="24">
        <v>53201356</v>
      </c>
      <c r="B465" s="17">
        <v>42282</v>
      </c>
      <c r="C465" s="17">
        <v>42283</v>
      </c>
      <c r="D465" s="18" t="s">
        <v>190</v>
      </c>
      <c r="E465" s="18" t="s">
        <v>14</v>
      </c>
      <c r="F465" s="18">
        <v>1</v>
      </c>
      <c r="G465" s="19">
        <v>468500</v>
      </c>
      <c r="H465" s="19">
        <v>463700</v>
      </c>
      <c r="I465" s="18" t="s">
        <v>24</v>
      </c>
      <c r="J465" s="29" t="str">
        <f t="shared" si="42"/>
        <v>Mon</v>
      </c>
      <c r="K465" s="29" t="b">
        <f t="shared" si="43"/>
        <v>0</v>
      </c>
      <c r="L465" s="29" t="b">
        <f t="shared" si="44"/>
        <v>0</v>
      </c>
      <c r="M465" s="29" t="b">
        <f t="shared" si="47"/>
        <v>1</v>
      </c>
      <c r="N465" s="29" cm="1">
        <f t="array" ref="N465">_xlfn.IFS(
  E465="Airlines 1", IF(K465, F465*0.04, 0),
  E465="Airlines 2", P465,
  E465="Airlines 3", IF(L465, 20000*F465, 0),
  E465="Airlines 4", IF(M465, 15000*F465, 0),
  E465="Airlines 5",
    IF(F465&lt;50000000, F465*0.01,
      IF(F465&lt;100000000, F465*0.02,
        IF(F465&lt;200000000, F465*0.03, F465*0.035))),
  TRUE, 0
)</f>
        <v>15000</v>
      </c>
      <c r="O465" s="29">
        <f t="shared" si="45"/>
        <v>12</v>
      </c>
      <c r="P465" s="29">
        <f t="shared" si="46"/>
        <v>0</v>
      </c>
      <c r="Q465" s="30" cm="1">
        <f t="array" ref="Q465">_xlfn.SWITCH(I465, "Method 1", 0, "Method 2", H465*0.03, "Method 3", 4000, "Method 4", 3000, 0)</f>
        <v>13911</v>
      </c>
    </row>
    <row r="466" spans="1:17">
      <c r="A466" s="24">
        <v>53201297</v>
      </c>
      <c r="B466" s="17">
        <v>42282</v>
      </c>
      <c r="C466" s="17">
        <v>42282</v>
      </c>
      <c r="D466" s="18" t="s">
        <v>188</v>
      </c>
      <c r="E466" s="18" t="s">
        <v>14</v>
      </c>
      <c r="F466" s="18">
        <v>1</v>
      </c>
      <c r="G466" s="19">
        <v>528538</v>
      </c>
      <c r="H466" s="19">
        <v>523200</v>
      </c>
      <c r="I466" s="18" t="s">
        <v>24</v>
      </c>
      <c r="J466" s="29" t="str">
        <f t="shared" si="42"/>
        <v>Mon</v>
      </c>
      <c r="K466" s="29" t="b">
        <f t="shared" si="43"/>
        <v>0</v>
      </c>
      <c r="L466" s="29" t="b">
        <f t="shared" si="44"/>
        <v>0</v>
      </c>
      <c r="M466" s="29" t="b">
        <f t="shared" si="47"/>
        <v>1</v>
      </c>
      <c r="N466" s="29" cm="1">
        <f t="array" ref="N466">_xlfn.IFS(
  E466="Airlines 1", IF(K466, F466*0.04, 0),
  E466="Airlines 2", P466,
  E466="Airlines 3", IF(L466, 20000*F466, 0),
  E466="Airlines 4", IF(M466, 15000*F466, 0),
  E466="Airlines 5",
    IF(F466&lt;50000000, F466*0.01,
      IF(F466&lt;100000000, F466*0.02,
        IF(F466&lt;200000000, F466*0.03, F466*0.035))),
  TRUE, 0
)</f>
        <v>15000</v>
      </c>
      <c r="O466" s="29">
        <f t="shared" si="45"/>
        <v>12</v>
      </c>
      <c r="P466" s="29">
        <f t="shared" si="46"/>
        <v>0</v>
      </c>
      <c r="Q466" s="30" cm="1">
        <f t="array" ref="Q466">_xlfn.SWITCH(I466, "Method 1", 0, "Method 2", H466*0.03, "Method 3", 4000, "Method 4", 3000, 0)</f>
        <v>15696</v>
      </c>
    </row>
    <row r="467" spans="1:17">
      <c r="A467" s="24">
        <v>53201348</v>
      </c>
      <c r="B467" s="17">
        <v>42282</v>
      </c>
      <c r="C467" s="17">
        <v>42283</v>
      </c>
      <c r="D467" s="18" t="s">
        <v>62</v>
      </c>
      <c r="E467" s="18" t="s">
        <v>14</v>
      </c>
      <c r="F467" s="18">
        <v>1</v>
      </c>
      <c r="G467" s="19">
        <v>542200</v>
      </c>
      <c r="H467" s="19">
        <v>536700</v>
      </c>
      <c r="I467" s="18" t="s">
        <v>22</v>
      </c>
      <c r="J467" s="29" t="str">
        <f t="shared" si="42"/>
        <v>Mon</v>
      </c>
      <c r="K467" s="29" t="b">
        <f t="shared" si="43"/>
        <v>0</v>
      </c>
      <c r="L467" s="29" t="b">
        <f t="shared" si="44"/>
        <v>1</v>
      </c>
      <c r="M467" s="29" t="b">
        <f t="shared" si="47"/>
        <v>1</v>
      </c>
      <c r="N467" s="29" cm="1">
        <f t="array" ref="N467">_xlfn.IFS(
  E467="Airlines 1", IF(K467, F467*0.04, 0),
  E467="Airlines 2", P467,
  E467="Airlines 3", IF(L467, 20000*F467, 0),
  E467="Airlines 4", IF(M467, 15000*F467, 0),
  E467="Airlines 5",
    IF(F467&lt;50000000, F467*0.01,
      IF(F467&lt;100000000, F467*0.02,
        IF(F467&lt;200000000, F467*0.03, F467*0.035))),
  TRUE, 0
)</f>
        <v>15000</v>
      </c>
      <c r="O467" s="29">
        <f t="shared" si="45"/>
        <v>12</v>
      </c>
      <c r="P467" s="29">
        <f t="shared" si="46"/>
        <v>0</v>
      </c>
      <c r="Q467" s="30" cm="1">
        <f t="array" ref="Q467">_xlfn.SWITCH(I467, "Method 1", 0, "Method 2", H467*0.03, "Method 3", 4000, "Method 4", 3000, 0)</f>
        <v>0</v>
      </c>
    </row>
    <row r="468" spans="1:17">
      <c r="A468" s="24">
        <v>53201188</v>
      </c>
      <c r="B468" s="17">
        <v>42282</v>
      </c>
      <c r="C468" s="17">
        <v>42283</v>
      </c>
      <c r="D468" s="18" t="s">
        <v>96</v>
      </c>
      <c r="E468" s="18" t="s">
        <v>14</v>
      </c>
      <c r="F468" s="18">
        <v>1</v>
      </c>
      <c r="G468" s="19">
        <v>884650</v>
      </c>
      <c r="H468" s="19">
        <v>875800</v>
      </c>
      <c r="I468" s="18" t="s">
        <v>22</v>
      </c>
      <c r="J468" s="29" t="str">
        <f t="shared" si="42"/>
        <v>Mon</v>
      </c>
      <c r="K468" s="29" t="b">
        <f t="shared" si="43"/>
        <v>0</v>
      </c>
      <c r="L468" s="29" t="b">
        <f t="shared" si="44"/>
        <v>0</v>
      </c>
      <c r="M468" s="29" t="b">
        <f t="shared" si="47"/>
        <v>1</v>
      </c>
      <c r="N468" s="29" cm="1">
        <f t="array" ref="N468">_xlfn.IFS(
  E468="Airlines 1", IF(K468, F468*0.04, 0),
  E468="Airlines 2", P468,
  E468="Airlines 3", IF(L468, 20000*F468, 0),
  E468="Airlines 4", IF(M468, 15000*F468, 0),
  E468="Airlines 5",
    IF(F468&lt;50000000, F468*0.01,
      IF(F468&lt;100000000, F468*0.02,
        IF(F468&lt;200000000, F468*0.03, F468*0.035))),
  TRUE, 0
)</f>
        <v>15000</v>
      </c>
      <c r="O468" s="29">
        <f t="shared" si="45"/>
        <v>12</v>
      </c>
      <c r="P468" s="29">
        <f t="shared" si="46"/>
        <v>0</v>
      </c>
      <c r="Q468" s="30" cm="1">
        <f t="array" ref="Q468">_xlfn.SWITCH(I468, "Method 1", 0, "Method 2", H468*0.03, "Method 3", 4000, "Method 4", 3000, 0)</f>
        <v>0</v>
      </c>
    </row>
    <row r="469" spans="1:17">
      <c r="A469" s="24">
        <v>53200871</v>
      </c>
      <c r="B469" s="17">
        <v>42282</v>
      </c>
      <c r="C469" s="17">
        <v>42282</v>
      </c>
      <c r="D469" s="18" t="s">
        <v>192</v>
      </c>
      <c r="E469" s="18" t="s">
        <v>14</v>
      </c>
      <c r="F469" s="18">
        <v>2</v>
      </c>
      <c r="G469" s="19">
        <v>1205016</v>
      </c>
      <c r="H469" s="19">
        <v>1193000</v>
      </c>
      <c r="I469" s="18" t="s">
        <v>22</v>
      </c>
      <c r="J469" s="29" t="str">
        <f t="shared" si="42"/>
        <v>Mon</v>
      </c>
      <c r="K469" s="29" t="b">
        <f t="shared" si="43"/>
        <v>0</v>
      </c>
      <c r="L469" s="29" t="b">
        <f t="shared" si="44"/>
        <v>0</v>
      </c>
      <c r="M469" s="29" t="b">
        <f t="shared" si="47"/>
        <v>1</v>
      </c>
      <c r="N469" s="29" cm="1">
        <f t="array" ref="N469">_xlfn.IFS(
  E469="Airlines 1", IF(K469, F469*0.04, 0),
  E469="Airlines 2", P469,
  E469="Airlines 3", IF(L469, 20000*F469, 0),
  E469="Airlines 4", IF(M469, 15000*F469, 0),
  E469="Airlines 5",
    IF(F469&lt;50000000, F469*0.01,
      IF(F469&lt;100000000, F469*0.02,
        IF(F469&lt;200000000, F469*0.03, F469*0.035))),
  TRUE, 0
)</f>
        <v>30000</v>
      </c>
      <c r="O469" s="29">
        <f t="shared" si="45"/>
        <v>12</v>
      </c>
      <c r="P469" s="29">
        <f t="shared" si="46"/>
        <v>0</v>
      </c>
      <c r="Q469" s="30" cm="1">
        <f t="array" ref="Q469">_xlfn.SWITCH(I469, "Method 1", 0, "Method 2", H469*0.03, "Method 3", 4000, "Method 4", 3000, 0)</f>
        <v>0</v>
      </c>
    </row>
    <row r="470" spans="1:17">
      <c r="A470" s="24">
        <v>53201386</v>
      </c>
      <c r="B470" s="17">
        <v>42282</v>
      </c>
      <c r="C470" s="17">
        <v>42282</v>
      </c>
      <c r="D470" s="18" t="s">
        <v>58</v>
      </c>
      <c r="E470" s="18" t="s">
        <v>14</v>
      </c>
      <c r="F470" s="18">
        <v>1</v>
      </c>
      <c r="G470" s="19">
        <v>849650</v>
      </c>
      <c r="H470" s="19">
        <v>841100</v>
      </c>
      <c r="I470" s="18" t="s">
        <v>24</v>
      </c>
      <c r="J470" s="29" t="str">
        <f t="shared" si="42"/>
        <v>Mon</v>
      </c>
      <c r="K470" s="29" t="b">
        <f t="shared" si="43"/>
        <v>0</v>
      </c>
      <c r="L470" s="29" t="b">
        <f t="shared" si="44"/>
        <v>0</v>
      </c>
      <c r="M470" s="29" t="b">
        <f t="shared" si="47"/>
        <v>1</v>
      </c>
      <c r="N470" s="29" cm="1">
        <f t="array" ref="N470">_xlfn.IFS(
  E470="Airlines 1", IF(K470, F470*0.04, 0),
  E470="Airlines 2", P470,
  E470="Airlines 3", IF(L470, 20000*F470, 0),
  E470="Airlines 4", IF(M470, 15000*F470, 0),
  E470="Airlines 5",
    IF(F470&lt;50000000, F470*0.01,
      IF(F470&lt;100000000, F470*0.02,
        IF(F470&lt;200000000, F470*0.03, F470*0.035))),
  TRUE, 0
)</f>
        <v>15000</v>
      </c>
      <c r="O470" s="29">
        <f t="shared" si="45"/>
        <v>12</v>
      </c>
      <c r="P470" s="29">
        <f t="shared" si="46"/>
        <v>0</v>
      </c>
      <c r="Q470" s="30" cm="1">
        <f t="array" ref="Q470">_xlfn.SWITCH(I470, "Method 1", 0, "Method 2", H470*0.03, "Method 3", 4000, "Method 4", 3000, 0)</f>
        <v>25233</v>
      </c>
    </row>
    <row r="471" spans="1:17">
      <c r="A471" s="24">
        <v>53201291</v>
      </c>
      <c r="B471" s="17">
        <v>42282</v>
      </c>
      <c r="C471" s="17">
        <v>42282</v>
      </c>
      <c r="D471" s="18" t="s">
        <v>43</v>
      </c>
      <c r="E471" s="18" t="s">
        <v>14</v>
      </c>
      <c r="F471" s="18">
        <v>1</v>
      </c>
      <c r="G471" s="19">
        <v>577200</v>
      </c>
      <c r="H471" s="19">
        <v>571300</v>
      </c>
      <c r="I471" s="18" t="s">
        <v>26</v>
      </c>
      <c r="J471" s="29" t="str">
        <f t="shared" si="42"/>
        <v>Mon</v>
      </c>
      <c r="K471" s="29" t="b">
        <f t="shared" si="43"/>
        <v>0</v>
      </c>
      <c r="L471" s="29" t="b">
        <f t="shared" si="44"/>
        <v>1</v>
      </c>
      <c r="M471" s="29" t="b">
        <f t="shared" si="47"/>
        <v>1</v>
      </c>
      <c r="N471" s="29" cm="1">
        <f t="array" ref="N471">_xlfn.IFS(
  E471="Airlines 1", IF(K471, F471*0.04, 0),
  E471="Airlines 2", P471,
  E471="Airlines 3", IF(L471, 20000*F471, 0),
  E471="Airlines 4", IF(M471, 15000*F471, 0),
  E471="Airlines 5",
    IF(F471&lt;50000000, F471*0.01,
      IF(F471&lt;100000000, F471*0.02,
        IF(F471&lt;200000000, F471*0.03, F471*0.035))),
  TRUE, 0
)</f>
        <v>15000</v>
      </c>
      <c r="O471" s="29">
        <f t="shared" si="45"/>
        <v>12</v>
      </c>
      <c r="P471" s="29">
        <f t="shared" si="46"/>
        <v>0</v>
      </c>
      <c r="Q471" s="30" cm="1">
        <f t="array" ref="Q471">_xlfn.SWITCH(I471, "Method 1", 0, "Method 2", H471*0.03, "Method 3", 4000, "Method 4", 3000, 0)</f>
        <v>4000</v>
      </c>
    </row>
    <row r="472" spans="1:17">
      <c r="A472" s="24">
        <v>53201394</v>
      </c>
      <c r="B472" s="17">
        <v>42285</v>
      </c>
      <c r="C472" s="17">
        <v>42285</v>
      </c>
      <c r="D472" s="18" t="s">
        <v>51</v>
      </c>
      <c r="E472" s="18" t="s">
        <v>14</v>
      </c>
      <c r="F472" s="18">
        <v>1</v>
      </c>
      <c r="G472" s="19">
        <v>993853</v>
      </c>
      <c r="H472" s="19">
        <v>983900</v>
      </c>
      <c r="I472" s="18" t="s">
        <v>26</v>
      </c>
      <c r="J472" s="29" t="str">
        <f t="shared" si="42"/>
        <v>Thu</v>
      </c>
      <c r="K472" s="29" t="b">
        <f t="shared" si="43"/>
        <v>0</v>
      </c>
      <c r="L472" s="29" t="b">
        <f t="shared" si="44"/>
        <v>0</v>
      </c>
      <c r="M472" s="29" t="b">
        <f t="shared" si="47"/>
        <v>1</v>
      </c>
      <c r="N472" s="29" cm="1">
        <f t="array" ref="N472">_xlfn.IFS(
  E472="Airlines 1", IF(K472, F472*0.04, 0),
  E472="Airlines 2", P472,
  E472="Airlines 3", IF(L472, 20000*F472, 0),
  E472="Airlines 4", IF(M472, 15000*F472, 0),
  E472="Airlines 5",
    IF(F472&lt;50000000, F472*0.01,
      IF(F472&lt;100000000, F472*0.02,
        IF(F472&lt;200000000, F472*0.03, F472*0.035))),
  TRUE, 0
)</f>
        <v>15000</v>
      </c>
      <c r="O472" s="29">
        <f t="shared" si="45"/>
        <v>17</v>
      </c>
      <c r="P472" s="29">
        <f t="shared" si="46"/>
        <v>0</v>
      </c>
      <c r="Q472" s="30" cm="1">
        <f t="array" ref="Q472">_xlfn.SWITCH(I472, "Method 1", 0, "Method 2", H472*0.03, "Method 3", 4000, "Method 4", 3000, 0)</f>
        <v>4000</v>
      </c>
    </row>
    <row r="473" spans="1:17">
      <c r="A473" s="24">
        <v>53201278</v>
      </c>
      <c r="B473" s="17">
        <v>42285</v>
      </c>
      <c r="C473" s="17">
        <v>42289</v>
      </c>
      <c r="D473" s="18" t="s">
        <v>171</v>
      </c>
      <c r="E473" s="18" t="s">
        <v>14</v>
      </c>
      <c r="F473" s="18">
        <v>1</v>
      </c>
      <c r="G473" s="19">
        <v>386900</v>
      </c>
      <c r="H473" s="19">
        <v>382900</v>
      </c>
      <c r="I473" s="18" t="s">
        <v>22</v>
      </c>
      <c r="J473" s="29" t="str">
        <f t="shared" si="42"/>
        <v>Thu</v>
      </c>
      <c r="K473" s="29" t="b">
        <f t="shared" si="43"/>
        <v>0</v>
      </c>
      <c r="L473" s="29" t="b">
        <f t="shared" si="44"/>
        <v>0</v>
      </c>
      <c r="M473" s="29" t="b">
        <f t="shared" si="47"/>
        <v>1</v>
      </c>
      <c r="N473" s="29" cm="1">
        <f t="array" ref="N473">_xlfn.IFS(
  E473="Airlines 1", IF(K473, F473*0.04, 0),
  E473="Airlines 2", P473,
  E473="Airlines 3", IF(L473, 20000*F473, 0),
  E473="Airlines 4", IF(M473, 15000*F473, 0),
  E473="Airlines 5",
    IF(F473&lt;50000000, F473*0.01,
      IF(F473&lt;100000000, F473*0.02,
        IF(F473&lt;200000000, F473*0.03, F473*0.035))),
  TRUE, 0
)</f>
        <v>15000</v>
      </c>
      <c r="O473" s="29">
        <f t="shared" si="45"/>
        <v>17</v>
      </c>
      <c r="P473" s="29">
        <f t="shared" si="46"/>
        <v>0</v>
      </c>
      <c r="Q473" s="30" cm="1">
        <f t="array" ref="Q473">_xlfn.SWITCH(I473, "Method 1", 0, "Method 2", H473*0.03, "Method 3", 4000, "Method 4", 3000, 0)</f>
        <v>0</v>
      </c>
    </row>
    <row r="474" spans="1:17">
      <c r="A474" s="24">
        <v>53201412</v>
      </c>
      <c r="B474" s="17">
        <v>42285</v>
      </c>
      <c r="C474" s="17">
        <v>42288</v>
      </c>
      <c r="D474" s="18" t="s">
        <v>169</v>
      </c>
      <c r="E474" s="18" t="s">
        <v>14</v>
      </c>
      <c r="F474" s="18">
        <v>1</v>
      </c>
      <c r="G474" s="19">
        <v>386900</v>
      </c>
      <c r="H474" s="19">
        <v>382900</v>
      </c>
      <c r="I474" s="18" t="s">
        <v>22</v>
      </c>
      <c r="J474" s="29" t="str">
        <f t="shared" si="42"/>
        <v>Thu</v>
      </c>
      <c r="K474" s="29" t="b">
        <f t="shared" si="43"/>
        <v>0</v>
      </c>
      <c r="L474" s="29" t="b">
        <f t="shared" si="44"/>
        <v>0</v>
      </c>
      <c r="M474" s="29" t="b">
        <f t="shared" si="47"/>
        <v>1</v>
      </c>
      <c r="N474" s="29" cm="1">
        <f t="array" ref="N474">_xlfn.IFS(
  E474="Airlines 1", IF(K474, F474*0.04, 0),
  E474="Airlines 2", P474,
  E474="Airlines 3", IF(L474, 20000*F474, 0),
  E474="Airlines 4", IF(M474, 15000*F474, 0),
  E474="Airlines 5",
    IF(F474&lt;50000000, F474*0.01,
      IF(F474&lt;100000000, F474*0.02,
        IF(F474&lt;200000000, F474*0.03, F474*0.035))),
  TRUE, 0
)</f>
        <v>15000</v>
      </c>
      <c r="O474" s="29">
        <f t="shared" si="45"/>
        <v>17</v>
      </c>
      <c r="P474" s="29">
        <f t="shared" si="46"/>
        <v>0</v>
      </c>
      <c r="Q474" s="30" cm="1">
        <f t="array" ref="Q474">_xlfn.SWITCH(I474, "Method 1", 0, "Method 2", H474*0.03, "Method 3", 4000, "Method 4", 3000, 0)</f>
        <v>0</v>
      </c>
    </row>
    <row r="475" spans="1:17">
      <c r="A475" s="24">
        <v>53201384</v>
      </c>
      <c r="B475" s="17">
        <v>42285</v>
      </c>
      <c r="C475" s="17">
        <v>42288</v>
      </c>
      <c r="D475" s="18" t="s">
        <v>146</v>
      </c>
      <c r="E475" s="18" t="s">
        <v>14</v>
      </c>
      <c r="F475" s="18">
        <v>2</v>
      </c>
      <c r="G475" s="19">
        <v>1707390</v>
      </c>
      <c r="H475" s="19">
        <v>1692400</v>
      </c>
      <c r="I475" s="18" t="s">
        <v>22</v>
      </c>
      <c r="J475" s="29" t="str">
        <f t="shared" si="42"/>
        <v>Thu</v>
      </c>
      <c r="K475" s="29" t="b">
        <f t="shared" si="43"/>
        <v>0</v>
      </c>
      <c r="L475" s="29" t="b">
        <f t="shared" si="44"/>
        <v>0</v>
      </c>
      <c r="M475" s="29" t="b">
        <f t="shared" si="47"/>
        <v>1</v>
      </c>
      <c r="N475" s="29" cm="1">
        <f t="array" ref="N475">_xlfn.IFS(
  E475="Airlines 1", IF(K475, F475*0.04, 0),
  E475="Airlines 2", P475,
  E475="Airlines 3", IF(L475, 20000*F475, 0),
  E475="Airlines 4", IF(M475, 15000*F475, 0),
  E475="Airlines 5",
    IF(F475&lt;50000000, F475*0.01,
      IF(F475&lt;100000000, F475*0.02,
        IF(F475&lt;200000000, F475*0.03, F475*0.035))),
  TRUE, 0
)</f>
        <v>30000</v>
      </c>
      <c r="O475" s="29">
        <f t="shared" si="45"/>
        <v>17</v>
      </c>
      <c r="P475" s="29">
        <f t="shared" si="46"/>
        <v>0</v>
      </c>
      <c r="Q475" s="30" cm="1">
        <f t="array" ref="Q475">_xlfn.SWITCH(I475, "Method 1", 0, "Method 2", H475*0.03, "Method 3", 4000, "Method 4", 3000, 0)</f>
        <v>0</v>
      </c>
    </row>
    <row r="476" spans="1:17">
      <c r="A476" s="24">
        <v>53201398</v>
      </c>
      <c r="B476" s="17">
        <v>42285</v>
      </c>
      <c r="C476" s="17">
        <v>42287</v>
      </c>
      <c r="D476" s="18" t="s">
        <v>196</v>
      </c>
      <c r="E476" s="18" t="s">
        <v>14</v>
      </c>
      <c r="F476" s="18">
        <v>2</v>
      </c>
      <c r="G476" s="19">
        <v>1332490</v>
      </c>
      <c r="H476" s="19">
        <v>1319000</v>
      </c>
      <c r="I476" s="18" t="s">
        <v>26</v>
      </c>
      <c r="J476" s="29" t="str">
        <f t="shared" si="42"/>
        <v>Thu</v>
      </c>
      <c r="K476" s="29" t="b">
        <f t="shared" si="43"/>
        <v>0</v>
      </c>
      <c r="L476" s="29" t="b">
        <f t="shared" si="44"/>
        <v>0</v>
      </c>
      <c r="M476" s="29" t="b">
        <f t="shared" si="47"/>
        <v>1</v>
      </c>
      <c r="N476" s="29" cm="1">
        <f t="array" ref="N476">_xlfn.IFS(
  E476="Airlines 1", IF(K476, F476*0.04, 0),
  E476="Airlines 2", P476,
  E476="Airlines 3", IF(L476, 20000*F476, 0),
  E476="Airlines 4", IF(M476, 15000*F476, 0),
  E476="Airlines 5",
    IF(F476&lt;50000000, F476*0.01,
      IF(F476&lt;100000000, F476*0.02,
        IF(F476&lt;200000000, F476*0.03, F476*0.035))),
  TRUE, 0
)</f>
        <v>30000</v>
      </c>
      <c r="O476" s="29">
        <f t="shared" si="45"/>
        <v>17</v>
      </c>
      <c r="P476" s="29">
        <f t="shared" si="46"/>
        <v>0</v>
      </c>
      <c r="Q476" s="30" cm="1">
        <f t="array" ref="Q476">_xlfn.SWITCH(I476, "Method 1", 0, "Method 2", H476*0.03, "Method 3", 4000, "Method 4", 3000, 0)</f>
        <v>4000</v>
      </c>
    </row>
    <row r="477" spans="1:17">
      <c r="A477" s="24">
        <v>53201047</v>
      </c>
      <c r="B477" s="17">
        <v>42285</v>
      </c>
      <c r="C477" s="17">
        <v>42286</v>
      </c>
      <c r="D477" s="18" t="s">
        <v>43</v>
      </c>
      <c r="E477" s="18" t="s">
        <v>14</v>
      </c>
      <c r="F477" s="18">
        <v>1</v>
      </c>
      <c r="G477" s="19">
        <v>577200</v>
      </c>
      <c r="H477" s="19">
        <v>571300</v>
      </c>
      <c r="I477" s="18" t="s">
        <v>24</v>
      </c>
      <c r="J477" s="29" t="str">
        <f t="shared" si="42"/>
        <v>Thu</v>
      </c>
      <c r="K477" s="29" t="b">
        <f t="shared" si="43"/>
        <v>0</v>
      </c>
      <c r="L477" s="29" t="b">
        <f t="shared" si="44"/>
        <v>1</v>
      </c>
      <c r="M477" s="29" t="b">
        <f t="shared" si="47"/>
        <v>1</v>
      </c>
      <c r="N477" s="29" cm="1">
        <f t="array" ref="N477">_xlfn.IFS(
  E477="Airlines 1", IF(K477, F477*0.04, 0),
  E477="Airlines 2", P477,
  E477="Airlines 3", IF(L477, 20000*F477, 0),
  E477="Airlines 4", IF(M477, 15000*F477, 0),
  E477="Airlines 5",
    IF(F477&lt;50000000, F477*0.01,
      IF(F477&lt;100000000, F477*0.02,
        IF(F477&lt;200000000, F477*0.03, F477*0.035))),
  TRUE, 0
)</f>
        <v>15000</v>
      </c>
      <c r="O477" s="29">
        <f t="shared" si="45"/>
        <v>17</v>
      </c>
      <c r="P477" s="29">
        <f t="shared" si="46"/>
        <v>0</v>
      </c>
      <c r="Q477" s="30" cm="1">
        <f t="array" ref="Q477">_xlfn.SWITCH(I477, "Method 1", 0, "Method 2", H477*0.03, "Method 3", 4000, "Method 4", 3000, 0)</f>
        <v>17139</v>
      </c>
    </row>
    <row r="478" spans="1:17">
      <c r="A478" s="24">
        <v>53201113</v>
      </c>
      <c r="B478" s="17">
        <v>42285</v>
      </c>
      <c r="C478" s="17">
        <v>42334</v>
      </c>
      <c r="D478" s="18" t="s">
        <v>190</v>
      </c>
      <c r="E478" s="18" t="s">
        <v>14</v>
      </c>
      <c r="F478" s="18">
        <v>1</v>
      </c>
      <c r="G478" s="19">
        <v>556528</v>
      </c>
      <c r="H478" s="19">
        <v>550900</v>
      </c>
      <c r="I478" s="18" t="s">
        <v>22</v>
      </c>
      <c r="J478" s="29" t="str">
        <f t="shared" si="42"/>
        <v>Thu</v>
      </c>
      <c r="K478" s="29" t="b">
        <f t="shared" si="43"/>
        <v>0</v>
      </c>
      <c r="L478" s="29" t="b">
        <f t="shared" si="44"/>
        <v>0</v>
      </c>
      <c r="M478" s="29" t="b">
        <f t="shared" si="47"/>
        <v>1</v>
      </c>
      <c r="N478" s="29" cm="1">
        <f t="array" ref="N478">_xlfn.IFS(
  E478="Airlines 1", IF(K478, F478*0.04, 0),
  E478="Airlines 2", P478,
  E478="Airlines 3", IF(L478, 20000*F478, 0),
  E478="Airlines 4", IF(M478, 15000*F478, 0),
  E478="Airlines 5",
    IF(F478&lt;50000000, F478*0.01,
      IF(F478&lt;100000000, F478*0.02,
        IF(F478&lt;200000000, F478*0.03, F478*0.035))),
  TRUE, 0
)</f>
        <v>15000</v>
      </c>
      <c r="O478" s="29">
        <f t="shared" si="45"/>
        <v>17</v>
      </c>
      <c r="P478" s="29">
        <f t="shared" si="46"/>
        <v>0</v>
      </c>
      <c r="Q478" s="30" cm="1">
        <f t="array" ref="Q478">_xlfn.SWITCH(I478, "Method 1", 0, "Method 2", H478*0.03, "Method 3", 4000, "Method 4", 3000, 0)</f>
        <v>0</v>
      </c>
    </row>
    <row r="479" spans="1:17">
      <c r="A479" s="24">
        <v>53201366</v>
      </c>
      <c r="B479" s="17">
        <v>42285</v>
      </c>
      <c r="C479" s="17">
        <v>42288</v>
      </c>
      <c r="D479" s="18" t="s">
        <v>62</v>
      </c>
      <c r="E479" s="18" t="s">
        <v>14</v>
      </c>
      <c r="F479" s="18">
        <v>2</v>
      </c>
      <c r="G479" s="19">
        <v>1084400</v>
      </c>
      <c r="H479" s="19">
        <v>1073400</v>
      </c>
      <c r="I479" s="18" t="s">
        <v>22</v>
      </c>
      <c r="J479" s="29" t="str">
        <f t="shared" si="42"/>
        <v>Thu</v>
      </c>
      <c r="K479" s="29" t="b">
        <f t="shared" si="43"/>
        <v>0</v>
      </c>
      <c r="L479" s="29" t="b">
        <f t="shared" si="44"/>
        <v>1</v>
      </c>
      <c r="M479" s="29" t="b">
        <f t="shared" si="47"/>
        <v>1</v>
      </c>
      <c r="N479" s="29" cm="1">
        <f t="array" ref="N479">_xlfn.IFS(
  E479="Airlines 1", IF(K479, F479*0.04, 0),
  E479="Airlines 2", P479,
  E479="Airlines 3", IF(L479, 20000*F479, 0),
  E479="Airlines 4", IF(M479, 15000*F479, 0),
  E479="Airlines 5",
    IF(F479&lt;50000000, F479*0.01,
      IF(F479&lt;100000000, F479*0.02,
        IF(F479&lt;200000000, F479*0.03, F479*0.035))),
  TRUE, 0
)</f>
        <v>30000</v>
      </c>
      <c r="O479" s="29">
        <f t="shared" si="45"/>
        <v>17</v>
      </c>
      <c r="P479" s="29">
        <f t="shared" si="46"/>
        <v>0</v>
      </c>
      <c r="Q479" s="30" cm="1">
        <f t="array" ref="Q479">_xlfn.SWITCH(I479, "Method 1", 0, "Method 2", H479*0.03, "Method 3", 4000, "Method 4", 3000, 0)</f>
        <v>0</v>
      </c>
    </row>
    <row r="480" spans="1:17">
      <c r="A480" s="24">
        <v>53201416</v>
      </c>
      <c r="B480" s="17">
        <v>42286</v>
      </c>
      <c r="C480" s="17">
        <v>42287</v>
      </c>
      <c r="D480" s="18" t="s">
        <v>72</v>
      </c>
      <c r="E480" s="18" t="s">
        <v>14</v>
      </c>
      <c r="F480" s="18">
        <v>1</v>
      </c>
      <c r="G480" s="19">
        <v>579600</v>
      </c>
      <c r="H480" s="19">
        <v>573700</v>
      </c>
      <c r="I480" s="18" t="s">
        <v>22</v>
      </c>
      <c r="J480" s="29" t="str">
        <f t="shared" si="42"/>
        <v>Fri</v>
      </c>
      <c r="K480" s="29" t="b">
        <f t="shared" si="43"/>
        <v>0</v>
      </c>
      <c r="L480" s="29" t="b">
        <f t="shared" si="44"/>
        <v>0</v>
      </c>
      <c r="M480" s="29" t="b">
        <f t="shared" si="47"/>
        <v>1</v>
      </c>
      <c r="N480" s="29" cm="1">
        <f t="array" ref="N480">_xlfn.IFS(
  E480="Airlines 1", IF(K480, F480*0.04, 0),
  E480="Airlines 2", P480,
  E480="Airlines 3", IF(L480, 20000*F480, 0),
  E480="Airlines 4", IF(M480, 15000*F480, 0),
  E480="Airlines 5",
    IF(F480&lt;50000000, F480*0.01,
      IF(F480&lt;100000000, F480*0.02,
        IF(F480&lt;200000000, F480*0.03, F480*0.035))),
  TRUE, 0
)</f>
        <v>15000</v>
      </c>
      <c r="O480" s="29">
        <f t="shared" si="45"/>
        <v>0</v>
      </c>
      <c r="P480" s="29">
        <f t="shared" si="46"/>
        <v>0</v>
      </c>
      <c r="Q480" s="30" cm="1">
        <f t="array" ref="Q480">_xlfn.SWITCH(I480, "Method 1", 0, "Method 2", H480*0.03, "Method 3", 4000, "Method 4", 3000, 0)</f>
        <v>0</v>
      </c>
    </row>
    <row r="481" spans="1:17">
      <c r="A481" s="24">
        <v>53201424</v>
      </c>
      <c r="B481" s="17">
        <v>42286</v>
      </c>
      <c r="C481" s="17">
        <v>42289</v>
      </c>
      <c r="D481" s="18" t="s">
        <v>111</v>
      </c>
      <c r="E481" s="18" t="s">
        <v>14</v>
      </c>
      <c r="F481" s="18">
        <v>1</v>
      </c>
      <c r="G481" s="19">
        <v>588200</v>
      </c>
      <c r="H481" s="19">
        <v>582200</v>
      </c>
      <c r="I481" s="18" t="s">
        <v>22</v>
      </c>
      <c r="J481" s="29" t="str">
        <f t="shared" si="42"/>
        <v>Fri</v>
      </c>
      <c r="K481" s="29" t="b">
        <f t="shared" si="43"/>
        <v>0</v>
      </c>
      <c r="L481" s="29" t="b">
        <f t="shared" si="44"/>
        <v>0</v>
      </c>
      <c r="M481" s="29" t="b">
        <f t="shared" si="47"/>
        <v>1</v>
      </c>
      <c r="N481" s="29" cm="1">
        <f t="array" ref="N481">_xlfn.IFS(
  E481="Airlines 1", IF(K481, F481*0.04, 0),
  E481="Airlines 2", P481,
  E481="Airlines 3", IF(L481, 20000*F481, 0),
  E481="Airlines 4", IF(M481, 15000*F481, 0),
  E481="Airlines 5",
    IF(F481&lt;50000000, F481*0.01,
      IF(F481&lt;100000000, F481*0.02,
        IF(F481&lt;200000000, F481*0.03, F481*0.035))),
  TRUE, 0
)</f>
        <v>15000</v>
      </c>
      <c r="O481" s="29">
        <f t="shared" si="45"/>
        <v>0</v>
      </c>
      <c r="P481" s="29">
        <f t="shared" si="46"/>
        <v>0</v>
      </c>
      <c r="Q481" s="30" cm="1">
        <f t="array" ref="Q481">_xlfn.SWITCH(I481, "Method 1", 0, "Method 2", H481*0.03, "Method 3", 4000, "Method 4", 3000, 0)</f>
        <v>0</v>
      </c>
    </row>
    <row r="482" spans="1:17">
      <c r="A482" s="24">
        <v>53200706</v>
      </c>
      <c r="B482" s="17">
        <v>42286</v>
      </c>
      <c r="C482" s="17">
        <v>42361</v>
      </c>
      <c r="D482" s="18" t="s">
        <v>191</v>
      </c>
      <c r="E482" s="18" t="s">
        <v>14</v>
      </c>
      <c r="F482" s="18">
        <v>1</v>
      </c>
      <c r="G482" s="19">
        <v>625800</v>
      </c>
      <c r="H482" s="19">
        <v>619400</v>
      </c>
      <c r="I482" s="18" t="s">
        <v>24</v>
      </c>
      <c r="J482" s="29" t="str">
        <f t="shared" si="42"/>
        <v>Fri</v>
      </c>
      <c r="K482" s="29" t="b">
        <f t="shared" si="43"/>
        <v>0</v>
      </c>
      <c r="L482" s="29" t="b">
        <f t="shared" si="44"/>
        <v>0</v>
      </c>
      <c r="M482" s="29" t="b">
        <f t="shared" si="47"/>
        <v>1</v>
      </c>
      <c r="N482" s="29" cm="1">
        <f t="array" ref="N482">_xlfn.IFS(
  E482="Airlines 1", IF(K482, F482*0.04, 0),
  E482="Airlines 2", P482,
  E482="Airlines 3", IF(L482, 20000*F482, 0),
  E482="Airlines 4", IF(M482, 15000*F482, 0),
  E482="Airlines 5",
    IF(F482&lt;50000000, F482*0.01,
      IF(F482&lt;100000000, F482*0.02,
        IF(F482&lt;200000000, F482*0.03, F482*0.035))),
  TRUE, 0
)</f>
        <v>15000</v>
      </c>
      <c r="O482" s="29">
        <f t="shared" si="45"/>
        <v>0</v>
      </c>
      <c r="P482" s="29">
        <f t="shared" si="46"/>
        <v>0</v>
      </c>
      <c r="Q482" s="30" cm="1">
        <f t="array" ref="Q482">_xlfn.SWITCH(I482, "Method 1", 0, "Method 2", H482*0.03, "Method 3", 4000, "Method 4", 3000, 0)</f>
        <v>18582</v>
      </c>
    </row>
    <row r="483" spans="1:17">
      <c r="A483" s="24">
        <v>53201482</v>
      </c>
      <c r="B483" s="17">
        <v>42286</v>
      </c>
      <c r="C483" s="17">
        <v>42288</v>
      </c>
      <c r="D483" s="18" t="s">
        <v>188</v>
      </c>
      <c r="E483" s="18" t="s">
        <v>14</v>
      </c>
      <c r="F483" s="18">
        <v>1</v>
      </c>
      <c r="G483" s="19">
        <v>984680</v>
      </c>
      <c r="H483" s="19">
        <v>974800</v>
      </c>
      <c r="I483" s="18" t="s">
        <v>22</v>
      </c>
      <c r="J483" s="29" t="str">
        <f t="shared" si="42"/>
        <v>Fri</v>
      </c>
      <c r="K483" s="29" t="b">
        <f t="shared" si="43"/>
        <v>0</v>
      </c>
      <c r="L483" s="29" t="b">
        <f t="shared" si="44"/>
        <v>0</v>
      </c>
      <c r="M483" s="29" t="b">
        <f t="shared" si="47"/>
        <v>1</v>
      </c>
      <c r="N483" s="29" cm="1">
        <f t="array" ref="N483">_xlfn.IFS(
  E483="Airlines 1", IF(K483, F483*0.04, 0),
  E483="Airlines 2", P483,
  E483="Airlines 3", IF(L483, 20000*F483, 0),
  E483="Airlines 4", IF(M483, 15000*F483, 0),
  E483="Airlines 5",
    IF(F483&lt;50000000, F483*0.01,
      IF(F483&lt;100000000, F483*0.02,
        IF(F483&lt;200000000, F483*0.03, F483*0.035))),
  TRUE, 0
)</f>
        <v>15000</v>
      </c>
      <c r="O483" s="29">
        <f t="shared" si="45"/>
        <v>0</v>
      </c>
      <c r="P483" s="29">
        <f t="shared" si="46"/>
        <v>0</v>
      </c>
      <c r="Q483" s="30" cm="1">
        <f t="array" ref="Q483">_xlfn.SWITCH(I483, "Method 1", 0, "Method 2", H483*0.03, "Method 3", 4000, "Method 4", 3000, 0)</f>
        <v>0</v>
      </c>
    </row>
    <row r="484" spans="1:17">
      <c r="A484" s="24">
        <v>53201086</v>
      </c>
      <c r="B484" s="17">
        <v>42286</v>
      </c>
      <c r="C484" s="17">
        <v>42291</v>
      </c>
      <c r="D484" s="18" t="s">
        <v>70</v>
      </c>
      <c r="E484" s="18" t="s">
        <v>14</v>
      </c>
      <c r="F484" s="18">
        <v>1</v>
      </c>
      <c r="G484" s="19">
        <v>512500</v>
      </c>
      <c r="H484" s="19">
        <v>507300</v>
      </c>
      <c r="I484" s="18" t="s">
        <v>22</v>
      </c>
      <c r="J484" s="29" t="str">
        <f t="shared" si="42"/>
        <v>Fri</v>
      </c>
      <c r="K484" s="29" t="b">
        <f t="shared" si="43"/>
        <v>0</v>
      </c>
      <c r="L484" s="29" t="b">
        <f t="shared" si="44"/>
        <v>0</v>
      </c>
      <c r="M484" s="29" t="b">
        <f t="shared" si="47"/>
        <v>1</v>
      </c>
      <c r="N484" s="29" cm="1">
        <f t="array" ref="N484">_xlfn.IFS(
  E484="Airlines 1", IF(K484, F484*0.04, 0),
  E484="Airlines 2", P484,
  E484="Airlines 3", IF(L484, 20000*F484, 0),
  E484="Airlines 4", IF(M484, 15000*F484, 0),
  E484="Airlines 5",
    IF(F484&lt;50000000, F484*0.01,
      IF(F484&lt;100000000, F484*0.02,
        IF(F484&lt;200000000, F484*0.03, F484*0.035))),
  TRUE, 0
)</f>
        <v>15000</v>
      </c>
      <c r="O484" s="29">
        <f t="shared" si="45"/>
        <v>0</v>
      </c>
      <c r="P484" s="29">
        <f t="shared" si="46"/>
        <v>0</v>
      </c>
      <c r="Q484" s="30" cm="1">
        <f t="array" ref="Q484">_xlfn.SWITCH(I484, "Method 1", 0, "Method 2", H484*0.03, "Method 3", 4000, "Method 4", 3000, 0)</f>
        <v>0</v>
      </c>
    </row>
    <row r="485" spans="1:17">
      <c r="A485" s="24">
        <v>53201406</v>
      </c>
      <c r="B485" s="17">
        <v>42289</v>
      </c>
      <c r="C485" s="17">
        <v>42290</v>
      </c>
      <c r="D485" s="18" t="s">
        <v>197</v>
      </c>
      <c r="E485" s="18" t="s">
        <v>14</v>
      </c>
      <c r="F485" s="18">
        <v>1</v>
      </c>
      <c r="G485" s="19">
        <v>818300</v>
      </c>
      <c r="H485" s="19">
        <v>810000</v>
      </c>
      <c r="I485" s="18" t="s">
        <v>22</v>
      </c>
      <c r="J485" s="29" t="str">
        <f t="shared" si="42"/>
        <v>Mon</v>
      </c>
      <c r="K485" s="29" t="b">
        <f t="shared" si="43"/>
        <v>0</v>
      </c>
      <c r="L485" s="29" t="b">
        <f t="shared" si="44"/>
        <v>0</v>
      </c>
      <c r="M485" s="29" t="b">
        <f t="shared" si="47"/>
        <v>1</v>
      </c>
      <c r="N485" s="29" cm="1">
        <f t="array" ref="N485">_xlfn.IFS(
  E485="Airlines 1", IF(K485, F485*0.04, 0),
  E485="Airlines 2", P485,
  E485="Airlines 3", IF(L485, 20000*F485, 0),
  E485="Airlines 4", IF(M485, 15000*F485, 0),
  E485="Airlines 5",
    IF(F485&lt;50000000, F485*0.01,
      IF(F485&lt;100000000, F485*0.02,
        IF(F485&lt;200000000, F485*0.03, F485*0.035))),
  TRUE, 0
)</f>
        <v>15000</v>
      </c>
      <c r="O485" s="29">
        <f t="shared" si="45"/>
        <v>12</v>
      </c>
      <c r="P485" s="29">
        <f t="shared" si="46"/>
        <v>0</v>
      </c>
      <c r="Q485" s="30" cm="1">
        <f t="array" ref="Q485">_xlfn.SWITCH(I485, "Method 1", 0, "Method 2", H485*0.03, "Method 3", 4000, "Method 4", 3000, 0)</f>
        <v>0</v>
      </c>
    </row>
    <row r="486" spans="1:17">
      <c r="A486" s="24">
        <v>53201199</v>
      </c>
      <c r="B486" s="17">
        <v>42289</v>
      </c>
      <c r="C486" s="17">
        <v>42291</v>
      </c>
      <c r="D486" s="18" t="s">
        <v>194</v>
      </c>
      <c r="E486" s="18" t="s">
        <v>14</v>
      </c>
      <c r="F486" s="18">
        <v>1</v>
      </c>
      <c r="G486" s="19">
        <v>672900</v>
      </c>
      <c r="H486" s="19">
        <v>666100</v>
      </c>
      <c r="I486" s="18" t="s">
        <v>26</v>
      </c>
      <c r="J486" s="29" t="str">
        <f t="shared" si="42"/>
        <v>Mon</v>
      </c>
      <c r="K486" s="29" t="b">
        <f t="shared" si="43"/>
        <v>0</v>
      </c>
      <c r="L486" s="29" t="b">
        <f t="shared" si="44"/>
        <v>0</v>
      </c>
      <c r="M486" s="29" t="b">
        <f t="shared" si="47"/>
        <v>1</v>
      </c>
      <c r="N486" s="29" cm="1">
        <f t="array" ref="N486">_xlfn.IFS(
  E486="Airlines 1", IF(K486, F486*0.04, 0),
  E486="Airlines 2", P486,
  E486="Airlines 3", IF(L486, 20000*F486, 0),
  E486="Airlines 4", IF(M486, 15000*F486, 0),
  E486="Airlines 5",
    IF(F486&lt;50000000, F486*0.01,
      IF(F486&lt;100000000, F486*0.02,
        IF(F486&lt;200000000, F486*0.03, F486*0.035))),
  TRUE, 0
)</f>
        <v>15000</v>
      </c>
      <c r="O486" s="29">
        <f t="shared" si="45"/>
        <v>12</v>
      </c>
      <c r="P486" s="29">
        <f t="shared" si="46"/>
        <v>0</v>
      </c>
      <c r="Q486" s="30" cm="1">
        <f t="array" ref="Q486">_xlfn.SWITCH(I486, "Method 1", 0, "Method 2", H486*0.03, "Method 3", 4000, "Method 4", 3000, 0)</f>
        <v>4000</v>
      </c>
    </row>
    <row r="487" spans="1:17">
      <c r="A487" s="24">
        <v>53201647</v>
      </c>
      <c r="B487" s="17">
        <v>42289</v>
      </c>
      <c r="C487" s="17">
        <v>42290</v>
      </c>
      <c r="D487" s="18" t="s">
        <v>190</v>
      </c>
      <c r="E487" s="18" t="s">
        <v>14</v>
      </c>
      <c r="F487" s="18">
        <v>1</v>
      </c>
      <c r="G487" s="19">
        <v>486650</v>
      </c>
      <c r="H487" s="19">
        <v>481700</v>
      </c>
      <c r="I487" s="18" t="s">
        <v>24</v>
      </c>
      <c r="J487" s="29" t="str">
        <f t="shared" si="42"/>
        <v>Mon</v>
      </c>
      <c r="K487" s="29" t="b">
        <f t="shared" si="43"/>
        <v>0</v>
      </c>
      <c r="L487" s="29" t="b">
        <f t="shared" si="44"/>
        <v>0</v>
      </c>
      <c r="M487" s="29" t="b">
        <f t="shared" si="47"/>
        <v>1</v>
      </c>
      <c r="N487" s="29" cm="1">
        <f t="array" ref="N487">_xlfn.IFS(
  E487="Airlines 1", IF(K487, F487*0.04, 0),
  E487="Airlines 2", P487,
  E487="Airlines 3", IF(L487, 20000*F487, 0),
  E487="Airlines 4", IF(M487, 15000*F487, 0),
  E487="Airlines 5",
    IF(F487&lt;50000000, F487*0.01,
      IF(F487&lt;100000000, F487*0.02,
        IF(F487&lt;200000000, F487*0.03, F487*0.035))),
  TRUE, 0
)</f>
        <v>15000</v>
      </c>
      <c r="O487" s="29">
        <f t="shared" si="45"/>
        <v>12</v>
      </c>
      <c r="P487" s="29">
        <f t="shared" si="46"/>
        <v>0</v>
      </c>
      <c r="Q487" s="30" cm="1">
        <f t="array" ref="Q487">_xlfn.SWITCH(I487, "Method 1", 0, "Method 2", H487*0.03, "Method 3", 4000, "Method 4", 3000, 0)</f>
        <v>14451</v>
      </c>
    </row>
    <row r="488" spans="1:17">
      <c r="A488" s="24">
        <v>53201421</v>
      </c>
      <c r="B488" s="17">
        <v>42289</v>
      </c>
      <c r="C488" s="17">
        <v>42290</v>
      </c>
      <c r="D488" s="18" t="s">
        <v>80</v>
      </c>
      <c r="E488" s="18" t="s">
        <v>14</v>
      </c>
      <c r="F488" s="18">
        <v>1</v>
      </c>
      <c r="G488" s="19">
        <v>778800</v>
      </c>
      <c r="H488" s="19">
        <v>770900</v>
      </c>
      <c r="I488" s="18" t="s">
        <v>22</v>
      </c>
      <c r="J488" s="29" t="str">
        <f t="shared" si="42"/>
        <v>Mon</v>
      </c>
      <c r="K488" s="29" t="b">
        <f t="shared" si="43"/>
        <v>0</v>
      </c>
      <c r="L488" s="29" t="b">
        <f t="shared" si="44"/>
        <v>0</v>
      </c>
      <c r="M488" s="29" t="b">
        <f t="shared" si="47"/>
        <v>1</v>
      </c>
      <c r="N488" s="29" cm="1">
        <f t="array" ref="N488">_xlfn.IFS(
  E488="Airlines 1", IF(K488, F488*0.04, 0),
  E488="Airlines 2", P488,
  E488="Airlines 3", IF(L488, 20000*F488, 0),
  E488="Airlines 4", IF(M488, 15000*F488, 0),
  E488="Airlines 5",
    IF(F488&lt;50000000, F488*0.01,
      IF(F488&lt;100000000, F488*0.02,
        IF(F488&lt;200000000, F488*0.03, F488*0.035))),
  TRUE, 0
)</f>
        <v>15000</v>
      </c>
      <c r="O488" s="29">
        <f t="shared" si="45"/>
        <v>12</v>
      </c>
      <c r="P488" s="29">
        <f t="shared" si="46"/>
        <v>0</v>
      </c>
      <c r="Q488" s="30" cm="1">
        <f t="array" ref="Q488">_xlfn.SWITCH(I488, "Method 1", 0, "Method 2", H488*0.03, "Method 3", 4000, "Method 4", 3000, 0)</f>
        <v>0</v>
      </c>
    </row>
    <row r="489" spans="1:17">
      <c r="A489" s="24">
        <v>53201430</v>
      </c>
      <c r="B489" s="17">
        <v>42289</v>
      </c>
      <c r="C489" s="17">
        <v>42290</v>
      </c>
      <c r="D489" s="18" t="s">
        <v>192</v>
      </c>
      <c r="E489" s="18" t="s">
        <v>14</v>
      </c>
      <c r="F489" s="18">
        <v>1</v>
      </c>
      <c r="G489" s="19">
        <v>533538</v>
      </c>
      <c r="H489" s="19">
        <v>527800</v>
      </c>
      <c r="I489" s="18" t="s">
        <v>22</v>
      </c>
      <c r="J489" s="29" t="str">
        <f t="shared" si="42"/>
        <v>Mon</v>
      </c>
      <c r="K489" s="29" t="b">
        <f t="shared" si="43"/>
        <v>0</v>
      </c>
      <c r="L489" s="29" t="b">
        <f t="shared" si="44"/>
        <v>0</v>
      </c>
      <c r="M489" s="29" t="b">
        <f t="shared" si="47"/>
        <v>1</v>
      </c>
      <c r="N489" s="29" cm="1">
        <f t="array" ref="N489">_xlfn.IFS(
  E489="Airlines 1", IF(K489, F489*0.04, 0),
  E489="Airlines 2", P489,
  E489="Airlines 3", IF(L489, 20000*F489, 0),
  E489="Airlines 4", IF(M489, 15000*F489, 0),
  E489="Airlines 5",
    IF(F489&lt;50000000, F489*0.01,
      IF(F489&lt;100000000, F489*0.02,
        IF(F489&lt;200000000, F489*0.03, F489*0.035))),
  TRUE, 0
)</f>
        <v>15000</v>
      </c>
      <c r="O489" s="29">
        <f t="shared" si="45"/>
        <v>12</v>
      </c>
      <c r="P489" s="29">
        <f t="shared" si="46"/>
        <v>0</v>
      </c>
      <c r="Q489" s="30" cm="1">
        <f t="array" ref="Q489">_xlfn.SWITCH(I489, "Method 1", 0, "Method 2", H489*0.03, "Method 3", 4000, "Method 4", 3000, 0)</f>
        <v>0</v>
      </c>
    </row>
    <row r="490" spans="1:17">
      <c r="A490" s="24">
        <v>53200968</v>
      </c>
      <c r="B490" s="17">
        <v>42289</v>
      </c>
      <c r="C490" s="17">
        <v>42291</v>
      </c>
      <c r="D490" s="18" t="s">
        <v>197</v>
      </c>
      <c r="E490" s="18" t="s">
        <v>14</v>
      </c>
      <c r="F490" s="18">
        <v>1</v>
      </c>
      <c r="G490" s="19">
        <v>818300</v>
      </c>
      <c r="H490" s="19">
        <v>810000</v>
      </c>
      <c r="I490" s="18" t="s">
        <v>26</v>
      </c>
      <c r="J490" s="29" t="str">
        <f t="shared" si="42"/>
        <v>Mon</v>
      </c>
      <c r="K490" s="29" t="b">
        <f t="shared" si="43"/>
        <v>0</v>
      </c>
      <c r="L490" s="29" t="b">
        <f t="shared" si="44"/>
        <v>0</v>
      </c>
      <c r="M490" s="29" t="b">
        <f t="shared" si="47"/>
        <v>1</v>
      </c>
      <c r="N490" s="29" cm="1">
        <f t="array" ref="N490">_xlfn.IFS(
  E490="Airlines 1", IF(K490, F490*0.04, 0),
  E490="Airlines 2", P490,
  E490="Airlines 3", IF(L490, 20000*F490, 0),
  E490="Airlines 4", IF(M490, 15000*F490, 0),
  E490="Airlines 5",
    IF(F490&lt;50000000, F490*0.01,
      IF(F490&lt;100000000, F490*0.02,
        IF(F490&lt;200000000, F490*0.03, F490*0.035))),
  TRUE, 0
)</f>
        <v>15000</v>
      </c>
      <c r="O490" s="29">
        <f t="shared" si="45"/>
        <v>12</v>
      </c>
      <c r="P490" s="29">
        <f t="shared" si="46"/>
        <v>0</v>
      </c>
      <c r="Q490" s="30" cm="1">
        <f t="array" ref="Q490">_xlfn.SWITCH(I490, "Method 1", 0, "Method 2", H490*0.03, "Method 3", 4000, "Method 4", 3000, 0)</f>
        <v>4000</v>
      </c>
    </row>
    <row r="491" spans="1:17">
      <c r="A491" s="24">
        <v>53201672</v>
      </c>
      <c r="B491" s="17">
        <v>42289</v>
      </c>
      <c r="C491" s="17">
        <v>42356</v>
      </c>
      <c r="D491" s="18" t="s">
        <v>93</v>
      </c>
      <c r="E491" s="18" t="s">
        <v>14</v>
      </c>
      <c r="F491" s="18">
        <v>1</v>
      </c>
      <c r="G491" s="19">
        <v>789500</v>
      </c>
      <c r="H491" s="19">
        <v>781500</v>
      </c>
      <c r="I491" s="18" t="s">
        <v>24</v>
      </c>
      <c r="J491" s="29" t="str">
        <f t="shared" si="42"/>
        <v>Mon</v>
      </c>
      <c r="K491" s="29" t="b">
        <f t="shared" si="43"/>
        <v>0</v>
      </c>
      <c r="L491" s="29" t="b">
        <f t="shared" si="44"/>
        <v>0</v>
      </c>
      <c r="M491" s="29" t="b">
        <f t="shared" si="47"/>
        <v>1</v>
      </c>
      <c r="N491" s="29" cm="1">
        <f t="array" ref="N491">_xlfn.IFS(
  E491="Airlines 1", IF(K491, F491*0.04, 0),
  E491="Airlines 2", P491,
  E491="Airlines 3", IF(L491, 20000*F491, 0),
  E491="Airlines 4", IF(M491, 15000*F491, 0),
  E491="Airlines 5",
    IF(F491&lt;50000000, F491*0.01,
      IF(F491&lt;100000000, F491*0.02,
        IF(F491&lt;200000000, F491*0.03, F491*0.035))),
  TRUE, 0
)</f>
        <v>15000</v>
      </c>
      <c r="O491" s="29">
        <f t="shared" si="45"/>
        <v>12</v>
      </c>
      <c r="P491" s="29">
        <f t="shared" si="46"/>
        <v>0</v>
      </c>
      <c r="Q491" s="30" cm="1">
        <f t="array" ref="Q491">_xlfn.SWITCH(I491, "Method 1", 0, "Method 2", H491*0.03, "Method 3", 4000, "Method 4", 3000, 0)</f>
        <v>23445</v>
      </c>
    </row>
    <row r="492" spans="1:17">
      <c r="A492" s="24">
        <v>53201658</v>
      </c>
      <c r="B492" s="17">
        <v>42289</v>
      </c>
      <c r="C492" s="17">
        <v>42291</v>
      </c>
      <c r="D492" s="18" t="s">
        <v>49</v>
      </c>
      <c r="E492" s="18" t="s">
        <v>14</v>
      </c>
      <c r="F492" s="18">
        <v>1</v>
      </c>
      <c r="G492" s="19">
        <v>827100</v>
      </c>
      <c r="H492" s="19">
        <v>818700</v>
      </c>
      <c r="I492" s="18" t="s">
        <v>24</v>
      </c>
      <c r="J492" s="29" t="str">
        <f t="shared" si="42"/>
        <v>Mon</v>
      </c>
      <c r="K492" s="29" t="b">
        <f t="shared" si="43"/>
        <v>0</v>
      </c>
      <c r="L492" s="29" t="b">
        <f t="shared" si="44"/>
        <v>0</v>
      </c>
      <c r="M492" s="29" t="b">
        <f t="shared" si="47"/>
        <v>1</v>
      </c>
      <c r="N492" s="29" cm="1">
        <f t="array" ref="N492">_xlfn.IFS(
  E492="Airlines 1", IF(K492, F492*0.04, 0),
  E492="Airlines 2", P492,
  E492="Airlines 3", IF(L492, 20000*F492, 0),
  E492="Airlines 4", IF(M492, 15000*F492, 0),
  E492="Airlines 5",
    IF(F492&lt;50000000, F492*0.01,
      IF(F492&lt;100000000, F492*0.02,
        IF(F492&lt;200000000, F492*0.03, F492*0.035))),
  TRUE, 0
)</f>
        <v>15000</v>
      </c>
      <c r="O492" s="29">
        <f t="shared" si="45"/>
        <v>12</v>
      </c>
      <c r="P492" s="29">
        <f t="shared" si="46"/>
        <v>0</v>
      </c>
      <c r="Q492" s="30" cm="1">
        <f t="array" ref="Q492">_xlfn.SWITCH(I492, "Method 1", 0, "Method 2", H492*0.03, "Method 3", 4000, "Method 4", 3000, 0)</f>
        <v>24561</v>
      </c>
    </row>
    <row r="493" spans="1:17">
      <c r="A493" s="24">
        <v>53201679</v>
      </c>
      <c r="B493" s="17">
        <v>42290</v>
      </c>
      <c r="C493" s="17">
        <v>42292</v>
      </c>
      <c r="D493" s="18" t="s">
        <v>198</v>
      </c>
      <c r="E493" s="18" t="s">
        <v>14</v>
      </c>
      <c r="F493" s="18">
        <v>1</v>
      </c>
      <c r="G493" s="19">
        <v>926450</v>
      </c>
      <c r="H493" s="19">
        <v>917100</v>
      </c>
      <c r="I493" s="18" t="s">
        <v>24</v>
      </c>
      <c r="J493" s="29" t="str">
        <f t="shared" si="42"/>
        <v>Tue</v>
      </c>
      <c r="K493" s="29" t="b">
        <f t="shared" si="43"/>
        <v>0</v>
      </c>
      <c r="L493" s="29" t="b">
        <f t="shared" si="44"/>
        <v>0</v>
      </c>
      <c r="M493" s="29" t="b">
        <f t="shared" si="47"/>
        <v>1</v>
      </c>
      <c r="N493" s="29" cm="1">
        <f t="array" ref="N493">_xlfn.IFS(
  E493="Airlines 1", IF(K493, F493*0.04, 0),
  E493="Airlines 2", P493,
  E493="Airlines 3", IF(L493, 20000*F493, 0),
  E493="Airlines 4", IF(M493, 15000*F493, 0),
  E493="Airlines 5",
    IF(F493&lt;50000000, F493*0.01,
      IF(F493&lt;100000000, F493*0.02,
        IF(F493&lt;200000000, F493*0.03, F493*0.035))),
  TRUE, 0
)</f>
        <v>15000</v>
      </c>
      <c r="O493" s="29">
        <f t="shared" si="45"/>
        <v>22</v>
      </c>
      <c r="P493" s="29">
        <f t="shared" si="46"/>
        <v>0</v>
      </c>
      <c r="Q493" s="30" cm="1">
        <f t="array" ref="Q493">_xlfn.SWITCH(I493, "Method 1", 0, "Method 2", H493*0.03, "Method 3", 4000, "Method 4", 3000, 0)</f>
        <v>27513</v>
      </c>
    </row>
    <row r="494" spans="1:17">
      <c r="A494" s="24">
        <v>53200078</v>
      </c>
      <c r="B494" s="17">
        <v>42290</v>
      </c>
      <c r="C494" s="17">
        <v>42291</v>
      </c>
      <c r="D494" s="18" t="s">
        <v>43</v>
      </c>
      <c r="E494" s="18" t="s">
        <v>14</v>
      </c>
      <c r="F494" s="18">
        <v>1</v>
      </c>
      <c r="G494" s="19">
        <v>666245</v>
      </c>
      <c r="H494" s="19">
        <v>659500</v>
      </c>
      <c r="I494" s="18" t="s">
        <v>24</v>
      </c>
      <c r="J494" s="29" t="str">
        <f t="shared" si="42"/>
        <v>Tue</v>
      </c>
      <c r="K494" s="29" t="b">
        <f t="shared" si="43"/>
        <v>0</v>
      </c>
      <c r="L494" s="29" t="b">
        <f t="shared" si="44"/>
        <v>1</v>
      </c>
      <c r="M494" s="29" t="b">
        <f t="shared" si="47"/>
        <v>1</v>
      </c>
      <c r="N494" s="29" cm="1">
        <f t="array" ref="N494">_xlfn.IFS(
  E494="Airlines 1", IF(K494, F494*0.04, 0),
  E494="Airlines 2", P494,
  E494="Airlines 3", IF(L494, 20000*F494, 0),
  E494="Airlines 4", IF(M494, 15000*F494, 0),
  E494="Airlines 5",
    IF(F494&lt;50000000, F494*0.01,
      IF(F494&lt;100000000, F494*0.02,
        IF(F494&lt;200000000, F494*0.03, F494*0.035))),
  TRUE, 0
)</f>
        <v>15000</v>
      </c>
      <c r="O494" s="29">
        <f t="shared" si="45"/>
        <v>22</v>
      </c>
      <c r="P494" s="29">
        <f t="shared" si="46"/>
        <v>0</v>
      </c>
      <c r="Q494" s="30" cm="1">
        <f t="array" ref="Q494">_xlfn.SWITCH(I494, "Method 1", 0, "Method 2", H494*0.03, "Method 3", 4000, "Method 4", 3000, 0)</f>
        <v>19785</v>
      </c>
    </row>
    <row r="495" spans="1:17">
      <c r="A495" s="24">
        <v>53201637</v>
      </c>
      <c r="B495" s="17">
        <v>42290</v>
      </c>
      <c r="C495" s="17">
        <v>42293</v>
      </c>
      <c r="D495" s="18" t="s">
        <v>42</v>
      </c>
      <c r="E495" s="18" t="s">
        <v>14</v>
      </c>
      <c r="F495" s="18">
        <v>1</v>
      </c>
      <c r="G495" s="19">
        <v>789150</v>
      </c>
      <c r="H495" s="19">
        <v>781200</v>
      </c>
      <c r="I495" s="18" t="s">
        <v>24</v>
      </c>
      <c r="J495" s="29" t="str">
        <f t="shared" si="42"/>
        <v>Tue</v>
      </c>
      <c r="K495" s="29" t="b">
        <f t="shared" si="43"/>
        <v>0</v>
      </c>
      <c r="L495" s="29" t="b">
        <f t="shared" si="44"/>
        <v>0</v>
      </c>
      <c r="M495" s="29" t="b">
        <f t="shared" si="47"/>
        <v>1</v>
      </c>
      <c r="N495" s="29" cm="1">
        <f t="array" ref="N495">_xlfn.IFS(
  E495="Airlines 1", IF(K495, F495*0.04, 0),
  E495="Airlines 2", P495,
  E495="Airlines 3", IF(L495, 20000*F495, 0),
  E495="Airlines 4", IF(M495, 15000*F495, 0),
  E495="Airlines 5",
    IF(F495&lt;50000000, F495*0.01,
      IF(F495&lt;100000000, F495*0.02,
        IF(F495&lt;200000000, F495*0.03, F495*0.035))),
  TRUE, 0
)</f>
        <v>15000</v>
      </c>
      <c r="O495" s="29">
        <f t="shared" si="45"/>
        <v>22</v>
      </c>
      <c r="P495" s="29">
        <f t="shared" si="46"/>
        <v>0</v>
      </c>
      <c r="Q495" s="30" cm="1">
        <f t="array" ref="Q495">_xlfn.SWITCH(I495, "Method 1", 0, "Method 2", H495*0.03, "Method 3", 4000, "Method 4", 3000, 0)</f>
        <v>23436</v>
      </c>
    </row>
    <row r="496" spans="1:17">
      <c r="A496" s="24">
        <v>53201436</v>
      </c>
      <c r="B496" s="17">
        <v>42290</v>
      </c>
      <c r="C496" s="17">
        <v>42293</v>
      </c>
      <c r="D496" s="18" t="s">
        <v>199</v>
      </c>
      <c r="E496" s="18" t="s">
        <v>14</v>
      </c>
      <c r="F496" s="18">
        <v>2</v>
      </c>
      <c r="G496" s="19">
        <v>939100</v>
      </c>
      <c r="H496" s="19">
        <v>929600</v>
      </c>
      <c r="I496" s="18" t="s">
        <v>22</v>
      </c>
      <c r="J496" s="29" t="str">
        <f t="shared" si="42"/>
        <v>Tue</v>
      </c>
      <c r="K496" s="29" t="b">
        <f t="shared" si="43"/>
        <v>0</v>
      </c>
      <c r="L496" s="29" t="b">
        <f t="shared" si="44"/>
        <v>0</v>
      </c>
      <c r="M496" s="29" t="b">
        <f t="shared" si="47"/>
        <v>1</v>
      </c>
      <c r="N496" s="29" cm="1">
        <f t="array" ref="N496">_xlfn.IFS(
  E496="Airlines 1", IF(K496, F496*0.04, 0),
  E496="Airlines 2", P496,
  E496="Airlines 3", IF(L496, 20000*F496, 0),
  E496="Airlines 4", IF(M496, 15000*F496, 0),
  E496="Airlines 5",
    IF(F496&lt;50000000, F496*0.01,
      IF(F496&lt;100000000, F496*0.02,
        IF(F496&lt;200000000, F496*0.03, F496*0.035))),
  TRUE, 0
)</f>
        <v>30000</v>
      </c>
      <c r="O496" s="29">
        <f t="shared" si="45"/>
        <v>22</v>
      </c>
      <c r="P496" s="29">
        <f t="shared" si="46"/>
        <v>0</v>
      </c>
      <c r="Q496" s="30" cm="1">
        <f t="array" ref="Q496">_xlfn.SWITCH(I496, "Method 1", 0, "Method 2", H496*0.03, "Method 3", 4000, "Method 4", 3000, 0)</f>
        <v>0</v>
      </c>
    </row>
    <row r="497" spans="1:17">
      <c r="A497" s="24">
        <v>53201066</v>
      </c>
      <c r="B497" s="17">
        <v>42290</v>
      </c>
      <c r="C497" s="17">
        <v>42294</v>
      </c>
      <c r="D497" s="18" t="s">
        <v>100</v>
      </c>
      <c r="E497" s="18" t="s">
        <v>14</v>
      </c>
      <c r="F497" s="18">
        <v>1</v>
      </c>
      <c r="G497" s="19">
        <v>659200</v>
      </c>
      <c r="H497" s="19">
        <v>652500</v>
      </c>
      <c r="I497" s="18" t="s">
        <v>22</v>
      </c>
      <c r="J497" s="29" t="str">
        <f t="shared" si="42"/>
        <v>Tue</v>
      </c>
      <c r="K497" s="29" t="b">
        <f t="shared" si="43"/>
        <v>0</v>
      </c>
      <c r="L497" s="29" t="b">
        <f t="shared" si="44"/>
        <v>0</v>
      </c>
      <c r="M497" s="29" t="b">
        <f t="shared" si="47"/>
        <v>1</v>
      </c>
      <c r="N497" s="29" cm="1">
        <f t="array" ref="N497">_xlfn.IFS(
  E497="Airlines 1", IF(K497, F497*0.04, 0),
  E497="Airlines 2", P497,
  E497="Airlines 3", IF(L497, 20000*F497, 0),
  E497="Airlines 4", IF(M497, 15000*F497, 0),
  E497="Airlines 5",
    IF(F497&lt;50000000, F497*0.01,
      IF(F497&lt;100000000, F497*0.02,
        IF(F497&lt;200000000, F497*0.03, F497*0.035))),
  TRUE, 0
)</f>
        <v>15000</v>
      </c>
      <c r="O497" s="29">
        <f t="shared" si="45"/>
        <v>22</v>
      </c>
      <c r="P497" s="29">
        <f t="shared" si="46"/>
        <v>0</v>
      </c>
      <c r="Q497" s="30" cm="1">
        <f t="array" ref="Q497">_xlfn.SWITCH(I497, "Method 1", 0, "Method 2", H497*0.03, "Method 3", 4000, "Method 4", 3000, 0)</f>
        <v>0</v>
      </c>
    </row>
    <row r="498" spans="1:17">
      <c r="A498" s="24">
        <v>53201670</v>
      </c>
      <c r="B498" s="17">
        <v>42290</v>
      </c>
      <c r="C498" s="17">
        <v>42292</v>
      </c>
      <c r="D498" s="18" t="s">
        <v>83</v>
      </c>
      <c r="E498" s="18" t="s">
        <v>14</v>
      </c>
      <c r="F498" s="18">
        <v>2</v>
      </c>
      <c r="G498" s="19">
        <v>1481926</v>
      </c>
      <c r="H498" s="19">
        <v>1467000</v>
      </c>
      <c r="I498" s="18" t="s">
        <v>24</v>
      </c>
      <c r="J498" s="29" t="str">
        <f t="shared" si="42"/>
        <v>Tue</v>
      </c>
      <c r="K498" s="29" t="b">
        <f t="shared" si="43"/>
        <v>0</v>
      </c>
      <c r="L498" s="29" t="b">
        <f t="shared" si="44"/>
        <v>0</v>
      </c>
      <c r="M498" s="29" t="b">
        <f t="shared" si="47"/>
        <v>1</v>
      </c>
      <c r="N498" s="29" cm="1">
        <f t="array" ref="N498">_xlfn.IFS(
  E498="Airlines 1", IF(K498, F498*0.04, 0),
  E498="Airlines 2", P498,
  E498="Airlines 3", IF(L498, 20000*F498, 0),
  E498="Airlines 4", IF(M498, 15000*F498, 0),
  E498="Airlines 5",
    IF(F498&lt;50000000, F498*0.01,
      IF(F498&lt;100000000, F498*0.02,
        IF(F498&lt;200000000, F498*0.03, F498*0.035))),
  TRUE, 0
)</f>
        <v>30000</v>
      </c>
      <c r="O498" s="29">
        <f t="shared" si="45"/>
        <v>22</v>
      </c>
      <c r="P498" s="29">
        <f t="shared" si="46"/>
        <v>0</v>
      </c>
      <c r="Q498" s="30" cm="1">
        <f t="array" ref="Q498">_xlfn.SWITCH(I498, "Method 1", 0, "Method 2", H498*0.03, "Method 3", 4000, "Method 4", 3000, 0)</f>
        <v>44010</v>
      </c>
    </row>
    <row r="499" spans="1:17">
      <c r="A499" s="24">
        <v>53201784</v>
      </c>
      <c r="B499" s="17">
        <v>42290</v>
      </c>
      <c r="C499" s="17">
        <v>42294</v>
      </c>
      <c r="D499" s="18" t="s">
        <v>188</v>
      </c>
      <c r="E499" s="18" t="s">
        <v>14</v>
      </c>
      <c r="F499" s="18">
        <v>1</v>
      </c>
      <c r="G499" s="19">
        <v>563023</v>
      </c>
      <c r="H499" s="19">
        <v>557400</v>
      </c>
      <c r="I499" s="18" t="s">
        <v>26</v>
      </c>
      <c r="J499" s="29" t="str">
        <f t="shared" si="42"/>
        <v>Tue</v>
      </c>
      <c r="K499" s="29" t="b">
        <f t="shared" si="43"/>
        <v>0</v>
      </c>
      <c r="L499" s="29" t="b">
        <f t="shared" si="44"/>
        <v>0</v>
      </c>
      <c r="M499" s="29" t="b">
        <f t="shared" si="47"/>
        <v>1</v>
      </c>
      <c r="N499" s="29" cm="1">
        <f t="array" ref="N499">_xlfn.IFS(
  E499="Airlines 1", IF(K499, F499*0.04, 0),
  E499="Airlines 2", P499,
  E499="Airlines 3", IF(L499, 20000*F499, 0),
  E499="Airlines 4", IF(M499, 15000*F499, 0),
  E499="Airlines 5",
    IF(F499&lt;50000000, F499*0.01,
      IF(F499&lt;100000000, F499*0.02,
        IF(F499&lt;200000000, F499*0.03, F499*0.035))),
  TRUE, 0
)</f>
        <v>15000</v>
      </c>
      <c r="O499" s="29">
        <f t="shared" si="45"/>
        <v>22</v>
      </c>
      <c r="P499" s="29">
        <f t="shared" si="46"/>
        <v>0</v>
      </c>
      <c r="Q499" s="30" cm="1">
        <f t="array" ref="Q499">_xlfn.SWITCH(I499, "Method 1", 0, "Method 2", H499*0.03, "Method 3", 4000, "Method 4", 3000, 0)</f>
        <v>4000</v>
      </c>
    </row>
    <row r="500" spans="1:17">
      <c r="A500" s="24">
        <v>53201790</v>
      </c>
      <c r="B500" s="17">
        <v>42293</v>
      </c>
      <c r="C500" s="17">
        <v>42293</v>
      </c>
      <c r="D500" s="18" t="s">
        <v>43</v>
      </c>
      <c r="E500" s="18" t="s">
        <v>14</v>
      </c>
      <c r="F500" s="18">
        <v>1</v>
      </c>
      <c r="G500" s="19">
        <v>577200</v>
      </c>
      <c r="H500" s="19">
        <v>571300</v>
      </c>
      <c r="I500" s="18" t="s">
        <v>24</v>
      </c>
      <c r="J500" s="29" t="str">
        <f t="shared" si="42"/>
        <v>Fri</v>
      </c>
      <c r="K500" s="29" t="b">
        <f t="shared" si="43"/>
        <v>0</v>
      </c>
      <c r="L500" s="29" t="b">
        <f t="shared" si="44"/>
        <v>1</v>
      </c>
      <c r="M500" s="29" t="b">
        <f t="shared" si="47"/>
        <v>0</v>
      </c>
      <c r="N500" s="29" cm="1">
        <f t="array" ref="N500">_xlfn.IFS(
  E500="Airlines 1", IF(K500, F500*0.04, 0),
  E500="Airlines 2", P500,
  E500="Airlines 3", IF(L500, 20000*F500, 0),
  E500="Airlines 4", IF(M500, 15000*F500, 0),
  E500="Airlines 5",
    IF(F500&lt;50000000, F500*0.01,
      IF(F500&lt;100000000, F500*0.02,
        IF(F500&lt;200000000, F500*0.03, F500*0.035))),
  TRUE, 0
)</f>
        <v>0</v>
      </c>
      <c r="O500" s="29">
        <f t="shared" si="45"/>
        <v>13</v>
      </c>
      <c r="P500" s="29">
        <f t="shared" si="46"/>
        <v>0</v>
      </c>
      <c r="Q500" s="30" cm="1">
        <f t="array" ref="Q500">_xlfn.SWITCH(I500, "Method 1", 0, "Method 2", H500*0.03, "Method 3", 4000, "Method 4", 3000, 0)</f>
        <v>17139</v>
      </c>
    </row>
    <row r="501" spans="1:17">
      <c r="A501" s="24">
        <v>53201344</v>
      </c>
      <c r="B501" s="17">
        <v>42293</v>
      </c>
      <c r="C501" s="17">
        <v>42293</v>
      </c>
      <c r="D501" s="18" t="s">
        <v>58</v>
      </c>
      <c r="E501" s="18" t="s">
        <v>14</v>
      </c>
      <c r="F501" s="18">
        <v>2</v>
      </c>
      <c r="G501" s="19">
        <v>1654200</v>
      </c>
      <c r="H501" s="19">
        <v>1637400</v>
      </c>
      <c r="I501" s="18" t="s">
        <v>26</v>
      </c>
      <c r="J501" s="29" t="str">
        <f t="shared" si="42"/>
        <v>Fri</v>
      </c>
      <c r="K501" s="29" t="b">
        <f t="shared" si="43"/>
        <v>0</v>
      </c>
      <c r="L501" s="29" t="b">
        <f t="shared" si="44"/>
        <v>0</v>
      </c>
      <c r="M501" s="29" t="b">
        <f t="shared" si="47"/>
        <v>0</v>
      </c>
      <c r="N501" s="29" cm="1">
        <f t="array" ref="N501">_xlfn.IFS(
  E501="Airlines 1", IF(K501, F501*0.04, 0),
  E501="Airlines 2", P501,
  E501="Airlines 3", IF(L501, 20000*F501, 0),
  E501="Airlines 4", IF(M501, 15000*F501, 0),
  E501="Airlines 5",
    IF(F501&lt;50000000, F501*0.01,
      IF(F501&lt;100000000, F501*0.02,
        IF(F501&lt;200000000, F501*0.03, F501*0.035))),
  TRUE, 0
)</f>
        <v>0</v>
      </c>
      <c r="O501" s="29">
        <f t="shared" si="45"/>
        <v>13</v>
      </c>
      <c r="P501" s="29">
        <f t="shared" si="46"/>
        <v>0</v>
      </c>
      <c r="Q501" s="30" cm="1">
        <f t="array" ref="Q501">_xlfn.SWITCH(I501, "Method 1", 0, "Method 2", H501*0.03, "Method 3", 4000, "Method 4", 3000, 0)</f>
        <v>4000</v>
      </c>
    </row>
    <row r="502" spans="1:17">
      <c r="A502" s="24">
        <v>53188442</v>
      </c>
      <c r="B502" s="17">
        <v>42293</v>
      </c>
      <c r="C502" s="17">
        <v>42293</v>
      </c>
      <c r="D502" s="18" t="s">
        <v>67</v>
      </c>
      <c r="E502" s="18" t="s">
        <v>14</v>
      </c>
      <c r="F502" s="18">
        <v>2</v>
      </c>
      <c r="G502" s="19">
        <v>1082000</v>
      </c>
      <c r="H502" s="19">
        <v>1071000</v>
      </c>
      <c r="I502" s="18" t="s">
        <v>24</v>
      </c>
      <c r="J502" s="29" t="str">
        <f t="shared" si="42"/>
        <v>Fri</v>
      </c>
      <c r="K502" s="29" t="b">
        <f t="shared" si="43"/>
        <v>0</v>
      </c>
      <c r="L502" s="29" t="b">
        <f t="shared" si="44"/>
        <v>0</v>
      </c>
      <c r="M502" s="29" t="b">
        <f t="shared" si="47"/>
        <v>0</v>
      </c>
      <c r="N502" s="29" cm="1">
        <f t="array" ref="N502">_xlfn.IFS(
  E502="Airlines 1", IF(K502, F502*0.04, 0),
  E502="Airlines 2", P502,
  E502="Airlines 3", IF(L502, 20000*F502, 0),
  E502="Airlines 4", IF(M502, 15000*F502, 0),
  E502="Airlines 5",
    IF(F502&lt;50000000, F502*0.01,
      IF(F502&lt;100000000, F502*0.02,
        IF(F502&lt;200000000, F502*0.03, F502*0.035))),
  TRUE, 0
)</f>
        <v>0</v>
      </c>
      <c r="O502" s="29">
        <f t="shared" si="45"/>
        <v>13</v>
      </c>
      <c r="P502" s="29">
        <f t="shared" si="46"/>
        <v>0</v>
      </c>
      <c r="Q502" s="30" cm="1">
        <f t="array" ref="Q502">_xlfn.SWITCH(I502, "Method 1", 0, "Method 2", H502*0.03, "Method 3", 4000, "Method 4", 3000, 0)</f>
        <v>32130</v>
      </c>
    </row>
    <row r="503" spans="1:17">
      <c r="A503" s="24">
        <v>53201461</v>
      </c>
      <c r="B503" s="17">
        <v>42293</v>
      </c>
      <c r="C503" s="17">
        <v>42295</v>
      </c>
      <c r="D503" s="18" t="s">
        <v>62</v>
      </c>
      <c r="E503" s="18" t="s">
        <v>14</v>
      </c>
      <c r="F503" s="18">
        <v>1</v>
      </c>
      <c r="G503" s="19">
        <v>596760</v>
      </c>
      <c r="H503" s="19">
        <v>590700</v>
      </c>
      <c r="I503" s="18" t="s">
        <v>22</v>
      </c>
      <c r="J503" s="29" t="str">
        <f t="shared" si="42"/>
        <v>Fri</v>
      </c>
      <c r="K503" s="29" t="b">
        <f t="shared" si="43"/>
        <v>0</v>
      </c>
      <c r="L503" s="29" t="b">
        <f t="shared" si="44"/>
        <v>1</v>
      </c>
      <c r="M503" s="29" t="b">
        <f t="shared" si="47"/>
        <v>0</v>
      </c>
      <c r="N503" s="29" cm="1">
        <f t="array" ref="N503">_xlfn.IFS(
  E503="Airlines 1", IF(K503, F503*0.04, 0),
  E503="Airlines 2", P503,
  E503="Airlines 3", IF(L503, 20000*F503, 0),
  E503="Airlines 4", IF(M503, 15000*F503, 0),
  E503="Airlines 5",
    IF(F503&lt;50000000, F503*0.01,
      IF(F503&lt;100000000, F503*0.02,
        IF(F503&lt;200000000, F503*0.03, F503*0.035))),
  TRUE, 0
)</f>
        <v>0</v>
      </c>
      <c r="O503" s="29">
        <f t="shared" si="45"/>
        <v>13</v>
      </c>
      <c r="P503" s="29">
        <f t="shared" si="46"/>
        <v>0</v>
      </c>
      <c r="Q503" s="30" cm="1">
        <f t="array" ref="Q503">_xlfn.SWITCH(I503, "Method 1", 0, "Method 2", H503*0.03, "Method 3", 4000, "Method 4", 3000, 0)</f>
        <v>0</v>
      </c>
    </row>
    <row r="504" spans="1:17">
      <c r="A504" s="24">
        <v>53201484</v>
      </c>
      <c r="B504" s="17">
        <v>42293</v>
      </c>
      <c r="C504" s="17">
        <v>42294</v>
      </c>
      <c r="D504" s="18" t="s">
        <v>193</v>
      </c>
      <c r="E504" s="18" t="s">
        <v>14</v>
      </c>
      <c r="F504" s="18">
        <v>1</v>
      </c>
      <c r="G504" s="19">
        <v>639000</v>
      </c>
      <c r="H504" s="19">
        <v>632500</v>
      </c>
      <c r="I504" s="18" t="s">
        <v>26</v>
      </c>
      <c r="J504" s="29" t="str">
        <f t="shared" si="42"/>
        <v>Fri</v>
      </c>
      <c r="K504" s="29" t="b">
        <f t="shared" si="43"/>
        <v>0</v>
      </c>
      <c r="L504" s="29" t="b">
        <f t="shared" si="44"/>
        <v>1</v>
      </c>
      <c r="M504" s="29" t="b">
        <f t="shared" si="47"/>
        <v>0</v>
      </c>
      <c r="N504" s="29" cm="1">
        <f t="array" ref="N504">_xlfn.IFS(
  E504="Airlines 1", IF(K504, F504*0.04, 0),
  E504="Airlines 2", P504,
  E504="Airlines 3", IF(L504, 20000*F504, 0),
  E504="Airlines 4", IF(M504, 15000*F504, 0),
  E504="Airlines 5",
    IF(F504&lt;50000000, F504*0.01,
      IF(F504&lt;100000000, F504*0.02,
        IF(F504&lt;200000000, F504*0.03, F504*0.035))),
  TRUE, 0
)</f>
        <v>0</v>
      </c>
      <c r="O504" s="29">
        <f t="shared" si="45"/>
        <v>13</v>
      </c>
      <c r="P504" s="29">
        <f t="shared" si="46"/>
        <v>0</v>
      </c>
      <c r="Q504" s="30" cm="1">
        <f t="array" ref="Q504">_xlfn.SWITCH(I504, "Method 1", 0, "Method 2", H504*0.03, "Method 3", 4000, "Method 4", 3000, 0)</f>
        <v>4000</v>
      </c>
    </row>
    <row r="505" spans="1:17">
      <c r="A505" s="24">
        <v>53201810</v>
      </c>
      <c r="B505" s="17">
        <v>42293</v>
      </c>
      <c r="C505" s="17">
        <v>42293</v>
      </c>
      <c r="D505" s="18" t="s">
        <v>200</v>
      </c>
      <c r="E505" s="18" t="s">
        <v>14</v>
      </c>
      <c r="F505" s="18">
        <v>1</v>
      </c>
      <c r="G505" s="19">
        <v>514000</v>
      </c>
      <c r="H505" s="19">
        <v>508800</v>
      </c>
      <c r="I505" s="18" t="s">
        <v>26</v>
      </c>
      <c r="J505" s="29" t="str">
        <f t="shared" si="42"/>
        <v>Fri</v>
      </c>
      <c r="K505" s="29" t="b">
        <f t="shared" si="43"/>
        <v>0</v>
      </c>
      <c r="L505" s="29" t="b">
        <f t="shared" si="44"/>
        <v>0</v>
      </c>
      <c r="M505" s="29" t="b">
        <f t="shared" si="47"/>
        <v>0</v>
      </c>
      <c r="N505" s="29" cm="1">
        <f t="array" ref="N505">_xlfn.IFS(
  E505="Airlines 1", IF(K505, F505*0.04, 0),
  E505="Airlines 2", P505,
  E505="Airlines 3", IF(L505, 20000*F505, 0),
  E505="Airlines 4", IF(M505, 15000*F505, 0),
  E505="Airlines 5",
    IF(F505&lt;50000000, F505*0.01,
      IF(F505&lt;100000000, F505*0.02,
        IF(F505&lt;200000000, F505*0.03, F505*0.035))),
  TRUE, 0
)</f>
        <v>0</v>
      </c>
      <c r="O505" s="29">
        <f t="shared" si="45"/>
        <v>13</v>
      </c>
      <c r="P505" s="29">
        <f t="shared" si="46"/>
        <v>0</v>
      </c>
      <c r="Q505" s="30" cm="1">
        <f t="array" ref="Q505">_xlfn.SWITCH(I505, "Method 1", 0, "Method 2", H505*0.03, "Method 3", 4000, "Method 4", 3000, 0)</f>
        <v>4000</v>
      </c>
    </row>
    <row r="506" spans="1:17">
      <c r="A506" s="24">
        <v>53201665</v>
      </c>
      <c r="B506" s="17">
        <v>42293</v>
      </c>
      <c r="C506" s="17">
        <v>42294</v>
      </c>
      <c r="D506" s="18" t="s">
        <v>194</v>
      </c>
      <c r="E506" s="18" t="s">
        <v>14</v>
      </c>
      <c r="F506" s="18">
        <v>1</v>
      </c>
      <c r="G506" s="19">
        <v>721300</v>
      </c>
      <c r="H506" s="19">
        <v>714000</v>
      </c>
      <c r="I506" s="18" t="s">
        <v>26</v>
      </c>
      <c r="J506" s="29" t="str">
        <f t="shared" si="42"/>
        <v>Fri</v>
      </c>
      <c r="K506" s="29" t="b">
        <f t="shared" si="43"/>
        <v>0</v>
      </c>
      <c r="L506" s="29" t="b">
        <f t="shared" si="44"/>
        <v>0</v>
      </c>
      <c r="M506" s="29" t="b">
        <f t="shared" si="47"/>
        <v>0</v>
      </c>
      <c r="N506" s="29" cm="1">
        <f t="array" ref="N506">_xlfn.IFS(
  E506="Airlines 1", IF(K506, F506*0.04, 0),
  E506="Airlines 2", P506,
  E506="Airlines 3", IF(L506, 20000*F506, 0),
  E506="Airlines 4", IF(M506, 15000*F506, 0),
  E506="Airlines 5",
    IF(F506&lt;50000000, F506*0.01,
      IF(F506&lt;100000000, F506*0.02,
        IF(F506&lt;200000000, F506*0.03, F506*0.035))),
  TRUE, 0
)</f>
        <v>0</v>
      </c>
      <c r="O506" s="29">
        <f t="shared" si="45"/>
        <v>13</v>
      </c>
      <c r="P506" s="29">
        <f t="shared" si="46"/>
        <v>0</v>
      </c>
      <c r="Q506" s="30" cm="1">
        <f t="array" ref="Q506">_xlfn.SWITCH(I506, "Method 1", 0, "Method 2", H506*0.03, "Method 3", 4000, "Method 4", 3000, 0)</f>
        <v>4000</v>
      </c>
    </row>
    <row r="507" spans="1:17">
      <c r="A507" s="24">
        <v>53201729</v>
      </c>
      <c r="B507" s="17">
        <v>42293</v>
      </c>
      <c r="C507" s="17">
        <v>42293</v>
      </c>
      <c r="D507" s="18" t="s">
        <v>169</v>
      </c>
      <c r="E507" s="18" t="s">
        <v>14</v>
      </c>
      <c r="F507" s="18">
        <v>1</v>
      </c>
      <c r="G507" s="19">
        <v>386900</v>
      </c>
      <c r="H507" s="19">
        <v>382900</v>
      </c>
      <c r="I507" s="18" t="s">
        <v>26</v>
      </c>
      <c r="J507" s="29" t="str">
        <f t="shared" si="42"/>
        <v>Fri</v>
      </c>
      <c r="K507" s="29" t="b">
        <f t="shared" si="43"/>
        <v>0</v>
      </c>
      <c r="L507" s="29" t="b">
        <f t="shared" si="44"/>
        <v>0</v>
      </c>
      <c r="M507" s="29" t="b">
        <f t="shared" si="47"/>
        <v>0</v>
      </c>
      <c r="N507" s="29" cm="1">
        <f t="array" ref="N507">_xlfn.IFS(
  E507="Airlines 1", IF(K507, F507*0.04, 0),
  E507="Airlines 2", P507,
  E507="Airlines 3", IF(L507, 20000*F507, 0),
  E507="Airlines 4", IF(M507, 15000*F507, 0),
  E507="Airlines 5",
    IF(F507&lt;50000000, F507*0.01,
      IF(F507&lt;100000000, F507*0.02,
        IF(F507&lt;200000000, F507*0.03, F507*0.035))),
  TRUE, 0
)</f>
        <v>0</v>
      </c>
      <c r="O507" s="29">
        <f t="shared" si="45"/>
        <v>13</v>
      </c>
      <c r="P507" s="29">
        <f t="shared" si="46"/>
        <v>0</v>
      </c>
      <c r="Q507" s="30" cm="1">
        <f t="array" ref="Q507">_xlfn.SWITCH(I507, "Method 1", 0, "Method 2", H507*0.03, "Method 3", 4000, "Method 4", 3000, 0)</f>
        <v>4000</v>
      </c>
    </row>
    <row r="508" spans="1:17">
      <c r="A508" s="24">
        <v>53189774</v>
      </c>
      <c r="B508" s="17">
        <v>42293</v>
      </c>
      <c r="C508" s="17">
        <v>42293</v>
      </c>
      <c r="D508" s="18" t="s">
        <v>191</v>
      </c>
      <c r="E508" s="18" t="s">
        <v>14</v>
      </c>
      <c r="F508" s="18">
        <v>1</v>
      </c>
      <c r="G508" s="19">
        <v>542200</v>
      </c>
      <c r="H508" s="19">
        <v>536700</v>
      </c>
      <c r="I508" s="18" t="s">
        <v>26</v>
      </c>
      <c r="J508" s="29" t="str">
        <f t="shared" si="42"/>
        <v>Fri</v>
      </c>
      <c r="K508" s="29" t="b">
        <f t="shared" si="43"/>
        <v>0</v>
      </c>
      <c r="L508" s="29" t="b">
        <f t="shared" si="44"/>
        <v>0</v>
      </c>
      <c r="M508" s="29" t="b">
        <f t="shared" si="47"/>
        <v>0</v>
      </c>
      <c r="N508" s="29" cm="1">
        <f t="array" ref="N508">_xlfn.IFS(
  E508="Airlines 1", IF(K508, F508*0.04, 0),
  E508="Airlines 2", P508,
  E508="Airlines 3", IF(L508, 20000*F508, 0),
  E508="Airlines 4", IF(M508, 15000*F508, 0),
  E508="Airlines 5",
    IF(F508&lt;50000000, F508*0.01,
      IF(F508&lt;100000000, F508*0.02,
        IF(F508&lt;200000000, F508*0.03, F508*0.035))),
  TRUE, 0
)</f>
        <v>0</v>
      </c>
      <c r="O508" s="29">
        <f t="shared" si="45"/>
        <v>13</v>
      </c>
      <c r="P508" s="29">
        <f t="shared" si="46"/>
        <v>0</v>
      </c>
      <c r="Q508" s="30" cm="1">
        <f t="array" ref="Q508">_xlfn.SWITCH(I508, "Method 1", 0, "Method 2", H508*0.03, "Method 3", 4000, "Method 4", 3000, 0)</f>
        <v>4000</v>
      </c>
    </row>
    <row r="509" spans="1:17">
      <c r="A509" s="24">
        <v>53200448</v>
      </c>
      <c r="B509" s="17">
        <v>42293</v>
      </c>
      <c r="C509" s="17">
        <v>42293</v>
      </c>
      <c r="D509" s="18" t="s">
        <v>72</v>
      </c>
      <c r="E509" s="18" t="s">
        <v>14</v>
      </c>
      <c r="F509" s="18">
        <v>1</v>
      </c>
      <c r="G509" s="19">
        <v>809418</v>
      </c>
      <c r="H509" s="19">
        <v>801300</v>
      </c>
      <c r="I509" s="18" t="s">
        <v>26</v>
      </c>
      <c r="J509" s="29" t="str">
        <f t="shared" si="42"/>
        <v>Fri</v>
      </c>
      <c r="K509" s="29" t="b">
        <f t="shared" si="43"/>
        <v>0</v>
      </c>
      <c r="L509" s="29" t="b">
        <f t="shared" si="44"/>
        <v>0</v>
      </c>
      <c r="M509" s="29" t="b">
        <f t="shared" si="47"/>
        <v>0</v>
      </c>
      <c r="N509" s="29" cm="1">
        <f t="array" ref="N509">_xlfn.IFS(
  E509="Airlines 1", IF(K509, F509*0.04, 0),
  E509="Airlines 2", P509,
  E509="Airlines 3", IF(L509, 20000*F509, 0),
  E509="Airlines 4", IF(M509, 15000*F509, 0),
  E509="Airlines 5",
    IF(F509&lt;50000000, F509*0.01,
      IF(F509&lt;100000000, F509*0.02,
        IF(F509&lt;200000000, F509*0.03, F509*0.035))),
  TRUE, 0
)</f>
        <v>0</v>
      </c>
      <c r="O509" s="29">
        <f t="shared" si="45"/>
        <v>13</v>
      </c>
      <c r="P509" s="29">
        <f t="shared" si="46"/>
        <v>0</v>
      </c>
      <c r="Q509" s="30" cm="1">
        <f t="array" ref="Q509">_xlfn.SWITCH(I509, "Method 1", 0, "Method 2", H509*0.03, "Method 3", 4000, "Method 4", 3000, 0)</f>
        <v>4000</v>
      </c>
    </row>
    <row r="510" spans="1:17">
      <c r="A510" s="24">
        <v>53200196</v>
      </c>
      <c r="B510" s="17">
        <v>42293</v>
      </c>
      <c r="C510" s="17">
        <v>42314</v>
      </c>
      <c r="D510" s="18" t="s">
        <v>201</v>
      </c>
      <c r="E510" s="18" t="s">
        <v>14</v>
      </c>
      <c r="F510" s="18">
        <v>1</v>
      </c>
      <c r="G510" s="19">
        <v>1124783</v>
      </c>
      <c r="H510" s="19">
        <v>1113500</v>
      </c>
      <c r="I510" s="18" t="s">
        <v>26</v>
      </c>
      <c r="J510" s="29" t="str">
        <f t="shared" si="42"/>
        <v>Fri</v>
      </c>
      <c r="K510" s="29" t="b">
        <f t="shared" si="43"/>
        <v>0</v>
      </c>
      <c r="L510" s="29" t="b">
        <f t="shared" si="44"/>
        <v>0</v>
      </c>
      <c r="M510" s="29" t="b">
        <f t="shared" si="47"/>
        <v>0</v>
      </c>
      <c r="N510" s="29" cm="1">
        <f t="array" ref="N510">_xlfn.IFS(
  E510="Airlines 1", IF(K510, F510*0.04, 0),
  E510="Airlines 2", P510,
  E510="Airlines 3", IF(L510, 20000*F510, 0),
  E510="Airlines 4", IF(M510, 15000*F510, 0),
  E510="Airlines 5",
    IF(F510&lt;50000000, F510*0.01,
      IF(F510&lt;100000000, F510*0.02,
        IF(F510&lt;200000000, F510*0.03, F510*0.035))),
  TRUE, 0
)</f>
        <v>0</v>
      </c>
      <c r="O510" s="29">
        <f t="shared" si="45"/>
        <v>13</v>
      </c>
      <c r="P510" s="29">
        <f t="shared" si="46"/>
        <v>0</v>
      </c>
      <c r="Q510" s="30" cm="1">
        <f t="array" ref="Q510">_xlfn.SWITCH(I510, "Method 1", 0, "Method 2", H510*0.03, "Method 3", 4000, "Method 4", 3000, 0)</f>
        <v>4000</v>
      </c>
    </row>
    <row r="511" spans="1:17">
      <c r="A511" s="24">
        <v>53201814</v>
      </c>
      <c r="B511" s="17">
        <v>42293</v>
      </c>
      <c r="C511" s="17">
        <v>42309</v>
      </c>
      <c r="D511" s="18" t="s">
        <v>101</v>
      </c>
      <c r="E511" s="18" t="s">
        <v>14</v>
      </c>
      <c r="F511" s="18">
        <v>1</v>
      </c>
      <c r="G511" s="19">
        <v>787500</v>
      </c>
      <c r="H511" s="19">
        <v>779500</v>
      </c>
      <c r="I511" s="18" t="s">
        <v>26</v>
      </c>
      <c r="J511" s="29" t="str">
        <f t="shared" si="42"/>
        <v>Fri</v>
      </c>
      <c r="K511" s="29" t="b">
        <f t="shared" si="43"/>
        <v>0</v>
      </c>
      <c r="L511" s="29" t="b">
        <f t="shared" si="44"/>
        <v>0</v>
      </c>
      <c r="M511" s="29" t="b">
        <f t="shared" si="47"/>
        <v>0</v>
      </c>
      <c r="N511" s="29" cm="1">
        <f t="array" ref="N511">_xlfn.IFS(
  E511="Airlines 1", IF(K511, F511*0.04, 0),
  E511="Airlines 2", P511,
  E511="Airlines 3", IF(L511, 20000*F511, 0),
  E511="Airlines 4", IF(M511, 15000*F511, 0),
  E511="Airlines 5",
    IF(F511&lt;50000000, F511*0.01,
      IF(F511&lt;100000000, F511*0.02,
        IF(F511&lt;200000000, F511*0.03, F511*0.035))),
  TRUE, 0
)</f>
        <v>0</v>
      </c>
      <c r="O511" s="29">
        <f t="shared" si="45"/>
        <v>13</v>
      </c>
      <c r="P511" s="29">
        <f t="shared" si="46"/>
        <v>0</v>
      </c>
      <c r="Q511" s="30" cm="1">
        <f t="array" ref="Q511">_xlfn.SWITCH(I511, "Method 1", 0, "Method 2", H511*0.03, "Method 3", 4000, "Method 4", 3000, 0)</f>
        <v>4000</v>
      </c>
    </row>
    <row r="512" spans="1:17">
      <c r="A512" s="24">
        <v>53200876</v>
      </c>
      <c r="B512" s="17">
        <v>42293</v>
      </c>
      <c r="C512" s="17">
        <v>42294</v>
      </c>
      <c r="D512" s="18" t="s">
        <v>62</v>
      </c>
      <c r="E512" s="18" t="s">
        <v>14</v>
      </c>
      <c r="F512" s="18">
        <v>1</v>
      </c>
      <c r="G512" s="19">
        <v>542200</v>
      </c>
      <c r="H512" s="19">
        <v>536700</v>
      </c>
      <c r="I512" s="18" t="s">
        <v>24</v>
      </c>
      <c r="J512" s="29" t="str">
        <f t="shared" si="42"/>
        <v>Fri</v>
      </c>
      <c r="K512" s="29" t="b">
        <f t="shared" si="43"/>
        <v>0</v>
      </c>
      <c r="L512" s="29" t="b">
        <f t="shared" si="44"/>
        <v>1</v>
      </c>
      <c r="M512" s="29" t="b">
        <f t="shared" si="47"/>
        <v>0</v>
      </c>
      <c r="N512" s="29" cm="1">
        <f t="array" ref="N512">_xlfn.IFS(
  E512="Airlines 1", IF(K512, F512*0.04, 0),
  E512="Airlines 2", P512,
  E512="Airlines 3", IF(L512, 20000*F512, 0),
  E512="Airlines 4", IF(M512, 15000*F512, 0),
  E512="Airlines 5",
    IF(F512&lt;50000000, F512*0.01,
      IF(F512&lt;100000000, F512*0.02,
        IF(F512&lt;200000000, F512*0.03, F512*0.035))),
  TRUE, 0
)</f>
        <v>0</v>
      </c>
      <c r="O512" s="29">
        <f t="shared" si="45"/>
        <v>13</v>
      </c>
      <c r="P512" s="29">
        <f t="shared" si="46"/>
        <v>0</v>
      </c>
      <c r="Q512" s="30" cm="1">
        <f t="array" ref="Q512">_xlfn.SWITCH(I512, "Method 1", 0, "Method 2", H512*0.03, "Method 3", 4000, "Method 4", 3000, 0)</f>
        <v>16101</v>
      </c>
    </row>
    <row r="513" spans="1:17">
      <c r="A513" s="24">
        <v>53201710</v>
      </c>
      <c r="B513" s="17">
        <v>42293</v>
      </c>
      <c r="C513" s="17">
        <v>42301</v>
      </c>
      <c r="D513" s="18" t="s">
        <v>202</v>
      </c>
      <c r="E513" s="18" t="s">
        <v>14</v>
      </c>
      <c r="F513" s="18">
        <v>1</v>
      </c>
      <c r="G513" s="19">
        <v>623950</v>
      </c>
      <c r="H513" s="19">
        <v>617700</v>
      </c>
      <c r="I513" s="18" t="s">
        <v>26</v>
      </c>
      <c r="J513" s="29" t="str">
        <f t="shared" si="42"/>
        <v>Fri</v>
      </c>
      <c r="K513" s="29" t="b">
        <f t="shared" si="43"/>
        <v>0</v>
      </c>
      <c r="L513" s="29" t="b">
        <f t="shared" si="44"/>
        <v>0</v>
      </c>
      <c r="M513" s="29" t="b">
        <f t="shared" si="47"/>
        <v>0</v>
      </c>
      <c r="N513" s="29" cm="1">
        <f t="array" ref="N513">_xlfn.IFS(
  E513="Airlines 1", IF(K513, F513*0.04, 0),
  E513="Airlines 2", P513,
  E513="Airlines 3", IF(L513, 20000*F513, 0),
  E513="Airlines 4", IF(M513, 15000*F513, 0),
  E513="Airlines 5",
    IF(F513&lt;50000000, F513*0.01,
      IF(F513&lt;100000000, F513*0.02,
        IF(F513&lt;200000000, F513*0.03, F513*0.035))),
  TRUE, 0
)</f>
        <v>0</v>
      </c>
      <c r="O513" s="29">
        <f t="shared" si="45"/>
        <v>13</v>
      </c>
      <c r="P513" s="29">
        <f t="shared" si="46"/>
        <v>0</v>
      </c>
      <c r="Q513" s="30" cm="1">
        <f t="array" ref="Q513">_xlfn.SWITCH(I513, "Method 1", 0, "Method 2", H513*0.03, "Method 3", 4000, "Method 4", 3000, 0)</f>
        <v>4000</v>
      </c>
    </row>
    <row r="514" spans="1:17">
      <c r="A514" s="24">
        <v>53201826</v>
      </c>
      <c r="B514" s="17">
        <v>42293</v>
      </c>
      <c r="C514" s="17">
        <v>42296</v>
      </c>
      <c r="D514" s="18" t="s">
        <v>55</v>
      </c>
      <c r="E514" s="18" t="s">
        <v>14</v>
      </c>
      <c r="F514" s="18">
        <v>1</v>
      </c>
      <c r="G514" s="19">
        <v>1445300</v>
      </c>
      <c r="H514" s="19">
        <v>1430700</v>
      </c>
      <c r="I514" s="18" t="s">
        <v>24</v>
      </c>
      <c r="J514" s="29" t="str">
        <f t="shared" si="42"/>
        <v>Fri</v>
      </c>
      <c r="K514" s="29" t="b">
        <f t="shared" si="43"/>
        <v>0</v>
      </c>
      <c r="L514" s="29" t="b">
        <f t="shared" si="44"/>
        <v>0</v>
      </c>
      <c r="M514" s="29" t="b">
        <f t="shared" si="47"/>
        <v>0</v>
      </c>
      <c r="N514" s="29" cm="1">
        <f t="array" ref="N514">_xlfn.IFS(
  E514="Airlines 1", IF(K514, F514*0.04, 0),
  E514="Airlines 2", P514,
  E514="Airlines 3", IF(L514, 20000*F514, 0),
  E514="Airlines 4", IF(M514, 15000*F514, 0),
  E514="Airlines 5",
    IF(F514&lt;50000000, F514*0.01,
      IF(F514&lt;100000000, F514*0.02,
        IF(F514&lt;200000000, F514*0.03, F514*0.035))),
  TRUE, 0
)</f>
        <v>0</v>
      </c>
      <c r="O514" s="29">
        <f t="shared" si="45"/>
        <v>13</v>
      </c>
      <c r="P514" s="29">
        <f t="shared" si="46"/>
        <v>0</v>
      </c>
      <c r="Q514" s="30" cm="1">
        <f t="array" ref="Q514">_xlfn.SWITCH(I514, "Method 1", 0, "Method 2", H514*0.03, "Method 3", 4000, "Method 4", 3000, 0)</f>
        <v>42921</v>
      </c>
    </row>
    <row r="515" spans="1:17">
      <c r="A515" s="24">
        <v>53201853</v>
      </c>
      <c r="B515" s="17">
        <v>42293</v>
      </c>
      <c r="C515" s="17">
        <v>42297</v>
      </c>
      <c r="D515" s="18" t="s">
        <v>92</v>
      </c>
      <c r="E515" s="18" t="s">
        <v>14</v>
      </c>
      <c r="F515" s="18">
        <v>1</v>
      </c>
      <c r="G515" s="19">
        <v>725700</v>
      </c>
      <c r="H515" s="19">
        <v>718300</v>
      </c>
      <c r="I515" s="18" t="s">
        <v>26</v>
      </c>
      <c r="J515" s="29" t="str">
        <f t="shared" si="42"/>
        <v>Fri</v>
      </c>
      <c r="K515" s="29" t="b">
        <f t="shared" si="43"/>
        <v>0</v>
      </c>
      <c r="L515" s="29" t="b">
        <f t="shared" si="44"/>
        <v>0</v>
      </c>
      <c r="M515" s="29" t="b">
        <f t="shared" si="47"/>
        <v>0</v>
      </c>
      <c r="N515" s="29" cm="1">
        <f t="array" ref="N515">_xlfn.IFS(
  E515="Airlines 1", IF(K515, F515*0.04, 0),
  E515="Airlines 2", P515,
  E515="Airlines 3", IF(L515, 20000*F515, 0),
  E515="Airlines 4", IF(M515, 15000*F515, 0),
  E515="Airlines 5",
    IF(F515&lt;50000000, F515*0.01,
      IF(F515&lt;100000000, F515*0.02,
        IF(F515&lt;200000000, F515*0.03, F515*0.035))),
  TRUE, 0
)</f>
        <v>0</v>
      </c>
      <c r="O515" s="29">
        <f t="shared" si="45"/>
        <v>13</v>
      </c>
      <c r="P515" s="29">
        <f t="shared" si="46"/>
        <v>0</v>
      </c>
      <c r="Q515" s="30" cm="1">
        <f t="array" ref="Q515">_xlfn.SWITCH(I515, "Method 1", 0, "Method 2", H515*0.03, "Method 3", 4000, "Method 4", 3000, 0)</f>
        <v>4000</v>
      </c>
    </row>
    <row r="516" spans="1:17">
      <c r="A516" s="24">
        <v>53201730</v>
      </c>
      <c r="B516" s="17">
        <v>42293</v>
      </c>
      <c r="C516" s="17">
        <v>42293</v>
      </c>
      <c r="D516" s="18" t="s">
        <v>101</v>
      </c>
      <c r="E516" s="18" t="s">
        <v>14</v>
      </c>
      <c r="F516" s="18">
        <v>1</v>
      </c>
      <c r="G516" s="19">
        <v>787500</v>
      </c>
      <c r="H516" s="19">
        <v>779500</v>
      </c>
      <c r="I516" s="18" t="s">
        <v>24</v>
      </c>
      <c r="J516" s="29" t="str">
        <f t="shared" si="42"/>
        <v>Fri</v>
      </c>
      <c r="K516" s="29" t="b">
        <f t="shared" si="43"/>
        <v>0</v>
      </c>
      <c r="L516" s="29" t="b">
        <f t="shared" si="44"/>
        <v>0</v>
      </c>
      <c r="M516" s="29" t="b">
        <f t="shared" si="47"/>
        <v>0</v>
      </c>
      <c r="N516" s="29" cm="1">
        <f t="array" ref="N516">_xlfn.IFS(
  E516="Airlines 1", IF(K516, F516*0.04, 0),
  E516="Airlines 2", P516,
  E516="Airlines 3", IF(L516, 20000*F516, 0),
  E516="Airlines 4", IF(M516, 15000*F516, 0),
  E516="Airlines 5",
    IF(F516&lt;50000000, F516*0.01,
      IF(F516&lt;100000000, F516*0.02,
        IF(F516&lt;200000000, F516*0.03, F516*0.035))),
  TRUE, 0
)</f>
        <v>0</v>
      </c>
      <c r="O516" s="29">
        <f t="shared" si="45"/>
        <v>13</v>
      </c>
      <c r="P516" s="29">
        <f t="shared" si="46"/>
        <v>0</v>
      </c>
      <c r="Q516" s="30" cm="1">
        <f t="array" ref="Q516">_xlfn.SWITCH(I516, "Method 1", 0, "Method 2", H516*0.03, "Method 3", 4000, "Method 4", 3000, 0)</f>
        <v>23385</v>
      </c>
    </row>
    <row r="517" spans="1:17">
      <c r="A517" s="24">
        <v>53201688</v>
      </c>
      <c r="B517" s="17">
        <v>42295</v>
      </c>
      <c r="C517" s="17">
        <v>42296</v>
      </c>
      <c r="D517" s="18" t="s">
        <v>203</v>
      </c>
      <c r="E517" s="18" t="s">
        <v>14</v>
      </c>
      <c r="F517" s="18">
        <v>1</v>
      </c>
      <c r="G517" s="19">
        <v>391000</v>
      </c>
      <c r="H517" s="19">
        <v>387000</v>
      </c>
      <c r="I517" s="18" t="s">
        <v>22</v>
      </c>
      <c r="J517" s="29" t="str">
        <f t="shared" si="42"/>
        <v>Sun</v>
      </c>
      <c r="K517" s="29" t="b">
        <f t="shared" si="43"/>
        <v>1</v>
      </c>
      <c r="L517" s="29" t="b">
        <f t="shared" si="44"/>
        <v>0</v>
      </c>
      <c r="M517" s="29" t="b">
        <f t="shared" si="47"/>
        <v>0</v>
      </c>
      <c r="N517" s="29" cm="1">
        <f t="array" ref="N517">_xlfn.IFS(
  E517="Airlines 1", IF(K517, F517*0.04, 0),
  E517="Airlines 2", P517,
  E517="Airlines 3", IF(L517, 20000*F517, 0),
  E517="Airlines 4", IF(M517, 15000*F517, 0),
  E517="Airlines 5",
    IF(F517&lt;50000000, F517*0.01,
      IF(F517&lt;100000000, F517*0.02,
        IF(F517&lt;200000000, F517*0.03, F517*0.035))),
  TRUE, 0
)</f>
        <v>0</v>
      </c>
      <c r="O517" s="29">
        <f t="shared" si="45"/>
        <v>0</v>
      </c>
      <c r="P517" s="29">
        <f t="shared" si="46"/>
        <v>0</v>
      </c>
      <c r="Q517" s="30" cm="1">
        <f t="array" ref="Q517">_xlfn.SWITCH(I517, "Method 1", 0, "Method 2", H517*0.03, "Method 3", 4000, "Method 4", 3000, 0)</f>
        <v>0</v>
      </c>
    </row>
    <row r="518" spans="1:17">
      <c r="A518" s="24">
        <v>53201748</v>
      </c>
      <c r="B518" s="17">
        <v>42295</v>
      </c>
      <c r="C518" s="17">
        <v>42298</v>
      </c>
      <c r="D518" s="18" t="s">
        <v>193</v>
      </c>
      <c r="E518" s="18" t="s">
        <v>14</v>
      </c>
      <c r="F518" s="18">
        <v>1</v>
      </c>
      <c r="G518" s="19">
        <v>639000</v>
      </c>
      <c r="H518" s="19">
        <v>632500</v>
      </c>
      <c r="I518" s="18" t="s">
        <v>26</v>
      </c>
      <c r="J518" s="29" t="str">
        <f t="shared" si="42"/>
        <v>Sun</v>
      </c>
      <c r="K518" s="29" t="b">
        <f t="shared" si="43"/>
        <v>1</v>
      </c>
      <c r="L518" s="29" t="b">
        <f t="shared" si="44"/>
        <v>1</v>
      </c>
      <c r="M518" s="29" t="b">
        <f t="shared" si="47"/>
        <v>0</v>
      </c>
      <c r="N518" s="29" cm="1">
        <f t="array" ref="N518">_xlfn.IFS(
  E518="Airlines 1", IF(K518, F518*0.04, 0),
  E518="Airlines 2", P518,
  E518="Airlines 3", IF(L518, 20000*F518, 0),
  E518="Airlines 4", IF(M518, 15000*F518, 0),
  E518="Airlines 5",
    IF(F518&lt;50000000, F518*0.01,
      IF(F518&lt;100000000, F518*0.02,
        IF(F518&lt;200000000, F518*0.03, F518*0.035))),
  TRUE, 0
)</f>
        <v>0</v>
      </c>
      <c r="O518" s="29">
        <f t="shared" si="45"/>
        <v>0</v>
      </c>
      <c r="P518" s="29">
        <f t="shared" si="46"/>
        <v>0</v>
      </c>
      <c r="Q518" s="30" cm="1">
        <f t="array" ref="Q518">_xlfn.SWITCH(I518, "Method 1", 0, "Method 2", H518*0.03, "Method 3", 4000, "Method 4", 3000, 0)</f>
        <v>4000</v>
      </c>
    </row>
    <row r="519" spans="1:17">
      <c r="A519" s="24">
        <v>53201871</v>
      </c>
      <c r="B519" s="17">
        <v>42295</v>
      </c>
      <c r="C519" s="17">
        <v>42296</v>
      </c>
      <c r="D519" s="18" t="s">
        <v>169</v>
      </c>
      <c r="E519" s="18" t="s">
        <v>14</v>
      </c>
      <c r="F519" s="18">
        <v>1</v>
      </c>
      <c r="G519" s="19">
        <v>386900</v>
      </c>
      <c r="H519" s="19">
        <v>382900</v>
      </c>
      <c r="I519" s="18" t="s">
        <v>26</v>
      </c>
      <c r="J519" s="29" t="str">
        <f t="shared" ref="J519:J582" si="48">TEXT(B519,"ddd")</f>
        <v>Sun</v>
      </c>
      <c r="K519" s="29" t="b">
        <f t="shared" ref="K519:K582" si="49">OR(J519="Sat",J519="Sun")</f>
        <v>1</v>
      </c>
      <c r="L519" s="29" t="b">
        <f t="shared" ref="L519:L582" si="50">OR(D519="CGK_SUB", D519="CGK_PKU", D519="CGK_JOG",
    D519="SUB_CGK", D519="PKU_CGK", D519="JOG_CGK")</f>
        <v>0</v>
      </c>
      <c r="M519" s="29" t="b">
        <f t="shared" si="47"/>
        <v>0</v>
      </c>
      <c r="N519" s="29" cm="1">
        <f t="array" ref="N519">_xlfn.IFS(
  E519="Airlines 1", IF(K519, F519*0.04, 0),
  E519="Airlines 2", P519,
  E519="Airlines 3", IF(L519, 20000*F519, 0),
  E519="Airlines 4", IF(M519, 15000*F519, 0),
  E519="Airlines 5",
    IF(F519&lt;50000000, F519*0.01,
      IF(F519&lt;100000000, F519*0.02,
        IF(F519&lt;200000000, F519*0.03, F519*0.035))),
  TRUE, 0
)</f>
        <v>0</v>
      </c>
      <c r="O519" s="29">
        <f t="shared" ref="O519:O582" si="51">SUMIFS($F$6:$F$647, $E$6:$E$647, "Airlines 2", $B$6:$B$647, B519)</f>
        <v>0</v>
      </c>
      <c r="P519" s="29">
        <f t="shared" ref="P519:P582" si="52">IF(AND(E518="Airlines 2", O518&gt;20), F518*0.05, 0)</f>
        <v>0</v>
      </c>
      <c r="Q519" s="30" cm="1">
        <f t="array" ref="Q519">_xlfn.SWITCH(I519, "Method 1", 0, "Method 2", H519*0.03, "Method 3", 4000, "Method 4", 3000, 0)</f>
        <v>4000</v>
      </c>
    </row>
    <row r="520" spans="1:17">
      <c r="A520" s="24">
        <v>53201864</v>
      </c>
      <c r="B520" s="17">
        <v>42295</v>
      </c>
      <c r="C520" s="17">
        <v>42297</v>
      </c>
      <c r="D520" s="18" t="s">
        <v>42</v>
      </c>
      <c r="E520" s="18" t="s">
        <v>14</v>
      </c>
      <c r="F520" s="18">
        <v>1</v>
      </c>
      <c r="G520" s="19">
        <v>789150</v>
      </c>
      <c r="H520" s="19">
        <v>781200</v>
      </c>
      <c r="I520" s="18" t="s">
        <v>26</v>
      </c>
      <c r="J520" s="29" t="str">
        <f t="shared" si="48"/>
        <v>Sun</v>
      </c>
      <c r="K520" s="29" t="b">
        <f t="shared" si="49"/>
        <v>1</v>
      </c>
      <c r="L520" s="29" t="b">
        <f t="shared" si="50"/>
        <v>0</v>
      </c>
      <c r="M520" s="29" t="b">
        <f t="shared" ref="M520:M583" si="53">AND(B520&gt;=DATE(2015,10,1),B520&lt;=DATE(2015,10,15))</f>
        <v>0</v>
      </c>
      <c r="N520" s="29" cm="1">
        <f t="array" ref="N520">_xlfn.IFS(
  E520="Airlines 1", IF(K520, F520*0.04, 0),
  E520="Airlines 2", P520,
  E520="Airlines 3", IF(L520, 20000*F520, 0),
  E520="Airlines 4", IF(M520, 15000*F520, 0),
  E520="Airlines 5",
    IF(F520&lt;50000000, F520*0.01,
      IF(F520&lt;100000000, F520*0.02,
        IF(F520&lt;200000000, F520*0.03, F520*0.035))),
  TRUE, 0
)</f>
        <v>0</v>
      </c>
      <c r="O520" s="29">
        <f t="shared" si="51"/>
        <v>0</v>
      </c>
      <c r="P520" s="29">
        <f t="shared" si="52"/>
        <v>0</v>
      </c>
      <c r="Q520" s="30" cm="1">
        <f t="array" ref="Q520">_xlfn.SWITCH(I520, "Method 1", 0, "Method 2", H520*0.03, "Method 3", 4000, "Method 4", 3000, 0)</f>
        <v>4000</v>
      </c>
    </row>
    <row r="521" spans="1:17">
      <c r="A521" s="24">
        <v>53201913</v>
      </c>
      <c r="B521" s="17">
        <v>42295</v>
      </c>
      <c r="C521" s="17">
        <v>42297</v>
      </c>
      <c r="D521" s="18" t="s">
        <v>62</v>
      </c>
      <c r="E521" s="18" t="s">
        <v>14</v>
      </c>
      <c r="F521" s="18">
        <v>1</v>
      </c>
      <c r="G521" s="19">
        <v>631245</v>
      </c>
      <c r="H521" s="19">
        <v>624900</v>
      </c>
      <c r="I521" s="18" t="s">
        <v>26</v>
      </c>
      <c r="J521" s="29" t="str">
        <f t="shared" si="48"/>
        <v>Sun</v>
      </c>
      <c r="K521" s="29" t="b">
        <f t="shared" si="49"/>
        <v>1</v>
      </c>
      <c r="L521" s="29" t="b">
        <f t="shared" si="50"/>
        <v>1</v>
      </c>
      <c r="M521" s="29" t="b">
        <f t="shared" si="53"/>
        <v>0</v>
      </c>
      <c r="N521" s="29" cm="1">
        <f t="array" ref="N521">_xlfn.IFS(
  E521="Airlines 1", IF(K521, F521*0.04, 0),
  E521="Airlines 2", P521,
  E521="Airlines 3", IF(L521, 20000*F521, 0),
  E521="Airlines 4", IF(M521, 15000*F521, 0),
  E521="Airlines 5",
    IF(F521&lt;50000000, F521*0.01,
      IF(F521&lt;100000000, F521*0.02,
        IF(F521&lt;200000000, F521*0.03, F521*0.035))),
  TRUE, 0
)</f>
        <v>0</v>
      </c>
      <c r="O521" s="29">
        <f t="shared" si="51"/>
        <v>0</v>
      </c>
      <c r="P521" s="29">
        <f t="shared" si="52"/>
        <v>0</v>
      </c>
      <c r="Q521" s="30" cm="1">
        <f t="array" ref="Q521">_xlfn.SWITCH(I521, "Method 1", 0, "Method 2", H521*0.03, "Method 3", 4000, "Method 4", 3000, 0)</f>
        <v>4000</v>
      </c>
    </row>
    <row r="522" spans="1:17">
      <c r="A522" s="24">
        <v>53201706</v>
      </c>
      <c r="B522" s="17">
        <v>42295</v>
      </c>
      <c r="C522" s="17">
        <v>42296</v>
      </c>
      <c r="D522" s="18" t="s">
        <v>204</v>
      </c>
      <c r="E522" s="18" t="s">
        <v>14</v>
      </c>
      <c r="F522" s="18">
        <v>1</v>
      </c>
      <c r="G522" s="19">
        <v>546528</v>
      </c>
      <c r="H522" s="19">
        <v>541000</v>
      </c>
      <c r="I522" s="18" t="s">
        <v>26</v>
      </c>
      <c r="J522" s="29" t="str">
        <f t="shared" si="48"/>
        <v>Sun</v>
      </c>
      <c r="K522" s="29" t="b">
        <f t="shared" si="49"/>
        <v>1</v>
      </c>
      <c r="L522" s="29" t="b">
        <f t="shared" si="50"/>
        <v>0</v>
      </c>
      <c r="M522" s="29" t="b">
        <f t="shared" si="53"/>
        <v>0</v>
      </c>
      <c r="N522" s="29" cm="1">
        <f t="array" ref="N522">_xlfn.IFS(
  E522="Airlines 1", IF(K522, F522*0.04, 0),
  E522="Airlines 2", P522,
  E522="Airlines 3", IF(L522, 20000*F522, 0),
  E522="Airlines 4", IF(M522, 15000*F522, 0),
  E522="Airlines 5",
    IF(F522&lt;50000000, F522*0.01,
      IF(F522&lt;100000000, F522*0.02,
        IF(F522&lt;200000000, F522*0.03, F522*0.035))),
  TRUE, 0
)</f>
        <v>0</v>
      </c>
      <c r="O522" s="29">
        <f t="shared" si="51"/>
        <v>0</v>
      </c>
      <c r="P522" s="29">
        <f t="shared" si="52"/>
        <v>0</v>
      </c>
      <c r="Q522" s="30" cm="1">
        <f t="array" ref="Q522">_xlfn.SWITCH(I522, "Method 1", 0, "Method 2", H522*0.03, "Method 3", 4000, "Method 4", 3000, 0)</f>
        <v>4000</v>
      </c>
    </row>
    <row r="523" spans="1:17">
      <c r="A523" s="24">
        <v>53201753</v>
      </c>
      <c r="B523" s="17">
        <v>42295</v>
      </c>
      <c r="C523" s="17">
        <v>42296</v>
      </c>
      <c r="D523" s="18" t="s">
        <v>89</v>
      </c>
      <c r="E523" s="18" t="s">
        <v>14</v>
      </c>
      <c r="F523" s="18">
        <v>1</v>
      </c>
      <c r="G523" s="19">
        <v>483700</v>
      </c>
      <c r="H523" s="19">
        <v>478800</v>
      </c>
      <c r="I523" s="18" t="s">
        <v>26</v>
      </c>
      <c r="J523" s="29" t="str">
        <f t="shared" si="48"/>
        <v>Sun</v>
      </c>
      <c r="K523" s="29" t="b">
        <f t="shared" si="49"/>
        <v>1</v>
      </c>
      <c r="L523" s="29" t="b">
        <f t="shared" si="50"/>
        <v>0</v>
      </c>
      <c r="M523" s="29" t="b">
        <f t="shared" si="53"/>
        <v>0</v>
      </c>
      <c r="N523" s="29" cm="1">
        <f t="array" ref="N523">_xlfn.IFS(
  E523="Airlines 1", IF(K523, F523*0.04, 0),
  E523="Airlines 2", P523,
  E523="Airlines 3", IF(L523, 20000*F523, 0),
  E523="Airlines 4", IF(M523, 15000*F523, 0),
  E523="Airlines 5",
    IF(F523&lt;50000000, F523*0.01,
      IF(F523&lt;100000000, F523*0.02,
        IF(F523&lt;200000000, F523*0.03, F523*0.035))),
  TRUE, 0
)</f>
        <v>0</v>
      </c>
      <c r="O523" s="29">
        <f t="shared" si="51"/>
        <v>0</v>
      </c>
      <c r="P523" s="29">
        <f t="shared" si="52"/>
        <v>0</v>
      </c>
      <c r="Q523" s="30" cm="1">
        <f t="array" ref="Q523">_xlfn.SWITCH(I523, "Method 1", 0, "Method 2", H523*0.03, "Method 3", 4000, "Method 4", 3000, 0)</f>
        <v>4000</v>
      </c>
    </row>
    <row r="524" spans="1:17">
      <c r="A524" s="24">
        <v>53200134</v>
      </c>
      <c r="B524" s="17">
        <v>42295</v>
      </c>
      <c r="C524" s="17">
        <v>42342</v>
      </c>
      <c r="D524" s="18" t="s">
        <v>51</v>
      </c>
      <c r="E524" s="18" t="s">
        <v>14</v>
      </c>
      <c r="F524" s="18">
        <v>1</v>
      </c>
      <c r="G524" s="19">
        <v>981450</v>
      </c>
      <c r="H524" s="19">
        <v>971600</v>
      </c>
      <c r="I524" s="18" t="s">
        <v>26</v>
      </c>
      <c r="J524" s="29" t="str">
        <f t="shared" si="48"/>
        <v>Sun</v>
      </c>
      <c r="K524" s="29" t="b">
        <f t="shared" si="49"/>
        <v>1</v>
      </c>
      <c r="L524" s="29" t="b">
        <f t="shared" si="50"/>
        <v>0</v>
      </c>
      <c r="M524" s="29" t="b">
        <f t="shared" si="53"/>
        <v>0</v>
      </c>
      <c r="N524" s="29" cm="1">
        <f t="array" ref="N524">_xlfn.IFS(
  E524="Airlines 1", IF(K524, F524*0.04, 0),
  E524="Airlines 2", P524,
  E524="Airlines 3", IF(L524, 20000*F524, 0),
  E524="Airlines 4", IF(M524, 15000*F524, 0),
  E524="Airlines 5",
    IF(F524&lt;50000000, F524*0.01,
      IF(F524&lt;100000000, F524*0.02,
        IF(F524&lt;200000000, F524*0.03, F524*0.035))),
  TRUE, 0
)</f>
        <v>0</v>
      </c>
      <c r="O524" s="29">
        <f t="shared" si="51"/>
        <v>0</v>
      </c>
      <c r="P524" s="29">
        <f t="shared" si="52"/>
        <v>0</v>
      </c>
      <c r="Q524" s="30" cm="1">
        <f t="array" ref="Q524">_xlfn.SWITCH(I524, "Method 1", 0, "Method 2", H524*0.03, "Method 3", 4000, "Method 4", 3000, 0)</f>
        <v>4000</v>
      </c>
    </row>
    <row r="525" spans="1:17">
      <c r="A525" s="24">
        <v>53201879</v>
      </c>
      <c r="B525" s="17">
        <v>42300</v>
      </c>
      <c r="C525" s="17">
        <v>42301</v>
      </c>
      <c r="D525" s="18" t="s">
        <v>89</v>
      </c>
      <c r="E525" s="18" t="s">
        <v>14</v>
      </c>
      <c r="F525" s="18">
        <v>2</v>
      </c>
      <c r="G525" s="19">
        <v>967400</v>
      </c>
      <c r="H525" s="19">
        <v>957600</v>
      </c>
      <c r="I525" s="18" t="s">
        <v>26</v>
      </c>
      <c r="J525" s="29" t="str">
        <f t="shared" si="48"/>
        <v>Fri</v>
      </c>
      <c r="K525" s="29" t="b">
        <f t="shared" si="49"/>
        <v>0</v>
      </c>
      <c r="L525" s="29" t="b">
        <f t="shared" si="50"/>
        <v>0</v>
      </c>
      <c r="M525" s="29" t="b">
        <f t="shared" si="53"/>
        <v>0</v>
      </c>
      <c r="N525" s="29" cm="1">
        <f t="array" ref="N525">_xlfn.IFS(
  E525="Airlines 1", IF(K525, F525*0.04, 0),
  E525="Airlines 2", P525,
  E525="Airlines 3", IF(L525, 20000*F525, 0),
  E525="Airlines 4", IF(M525, 15000*F525, 0),
  E525="Airlines 5",
    IF(F525&lt;50000000, F525*0.01,
      IF(F525&lt;100000000, F525*0.02,
        IF(F525&lt;200000000, F525*0.03, F525*0.035))),
  TRUE, 0
)</f>
        <v>0</v>
      </c>
      <c r="O525" s="29">
        <f t="shared" si="51"/>
        <v>6</v>
      </c>
      <c r="P525" s="29">
        <f t="shared" si="52"/>
        <v>0</v>
      </c>
      <c r="Q525" s="30" cm="1">
        <f t="array" ref="Q525">_xlfn.SWITCH(I525, "Method 1", 0, "Method 2", H525*0.03, "Method 3", 4000, "Method 4", 3000, 0)</f>
        <v>4000</v>
      </c>
    </row>
    <row r="526" spans="1:17">
      <c r="A526" s="24">
        <v>53201891</v>
      </c>
      <c r="B526" s="17">
        <v>42300</v>
      </c>
      <c r="C526" s="17">
        <v>42317</v>
      </c>
      <c r="D526" s="18" t="s">
        <v>205</v>
      </c>
      <c r="E526" s="18" t="s">
        <v>14</v>
      </c>
      <c r="F526" s="18">
        <v>1</v>
      </c>
      <c r="G526" s="19">
        <v>389850</v>
      </c>
      <c r="H526" s="19">
        <v>385900</v>
      </c>
      <c r="I526" s="18" t="s">
        <v>24</v>
      </c>
      <c r="J526" s="29" t="str">
        <f t="shared" si="48"/>
        <v>Fri</v>
      </c>
      <c r="K526" s="29" t="b">
        <f t="shared" si="49"/>
        <v>0</v>
      </c>
      <c r="L526" s="29" t="b">
        <f t="shared" si="50"/>
        <v>0</v>
      </c>
      <c r="M526" s="29" t="b">
        <f t="shared" si="53"/>
        <v>0</v>
      </c>
      <c r="N526" s="29" cm="1">
        <f t="array" ref="N526">_xlfn.IFS(
  E526="Airlines 1", IF(K526, F526*0.04, 0),
  E526="Airlines 2", P526,
  E526="Airlines 3", IF(L526, 20000*F526, 0),
  E526="Airlines 4", IF(M526, 15000*F526, 0),
  E526="Airlines 5",
    IF(F526&lt;50000000, F526*0.01,
      IF(F526&lt;100000000, F526*0.02,
        IF(F526&lt;200000000, F526*0.03, F526*0.035))),
  TRUE, 0
)</f>
        <v>0</v>
      </c>
      <c r="O526" s="29">
        <f t="shared" si="51"/>
        <v>6</v>
      </c>
      <c r="P526" s="29">
        <f t="shared" si="52"/>
        <v>0</v>
      </c>
      <c r="Q526" s="30" cm="1">
        <f t="array" ref="Q526">_xlfn.SWITCH(I526, "Method 1", 0, "Method 2", H526*0.03, "Method 3", 4000, "Method 4", 3000, 0)</f>
        <v>11577</v>
      </c>
    </row>
    <row r="527" spans="1:17">
      <c r="A527" s="24">
        <v>53201996</v>
      </c>
      <c r="B527" s="17">
        <v>42300</v>
      </c>
      <c r="C527" s="17">
        <v>42302</v>
      </c>
      <c r="D527" s="18" t="s">
        <v>45</v>
      </c>
      <c r="E527" s="18" t="s">
        <v>14</v>
      </c>
      <c r="F527" s="18">
        <v>1</v>
      </c>
      <c r="G527" s="19">
        <v>747850</v>
      </c>
      <c r="H527" s="19">
        <v>740300</v>
      </c>
      <c r="I527" s="18" t="s">
        <v>26</v>
      </c>
      <c r="J527" s="29" t="str">
        <f t="shared" si="48"/>
        <v>Fri</v>
      </c>
      <c r="K527" s="29" t="b">
        <f t="shared" si="49"/>
        <v>0</v>
      </c>
      <c r="L527" s="29" t="b">
        <f t="shared" si="50"/>
        <v>0</v>
      </c>
      <c r="M527" s="29" t="b">
        <f t="shared" si="53"/>
        <v>0</v>
      </c>
      <c r="N527" s="29" cm="1">
        <f t="array" ref="N527">_xlfn.IFS(
  E527="Airlines 1", IF(K527, F527*0.04, 0),
  E527="Airlines 2", P527,
  E527="Airlines 3", IF(L527, 20000*F527, 0),
  E527="Airlines 4", IF(M527, 15000*F527, 0),
  E527="Airlines 5",
    IF(F527&lt;50000000, F527*0.01,
      IF(F527&lt;100000000, F527*0.02,
        IF(F527&lt;200000000, F527*0.03, F527*0.035))),
  TRUE, 0
)</f>
        <v>0</v>
      </c>
      <c r="O527" s="29">
        <f t="shared" si="51"/>
        <v>6</v>
      </c>
      <c r="P527" s="29">
        <f t="shared" si="52"/>
        <v>0</v>
      </c>
      <c r="Q527" s="30" cm="1">
        <f t="array" ref="Q527">_xlfn.SWITCH(I527, "Method 1", 0, "Method 2", H527*0.03, "Method 3", 4000, "Method 4", 3000, 0)</f>
        <v>4000</v>
      </c>
    </row>
    <row r="528" spans="1:17">
      <c r="A528" s="24">
        <v>53201807</v>
      </c>
      <c r="B528" s="17">
        <v>42300</v>
      </c>
      <c r="C528" s="17">
        <v>42307</v>
      </c>
      <c r="D528" s="18" t="s">
        <v>198</v>
      </c>
      <c r="E528" s="18" t="s">
        <v>14</v>
      </c>
      <c r="F528" s="18">
        <v>1</v>
      </c>
      <c r="G528" s="19">
        <v>989150</v>
      </c>
      <c r="H528" s="19">
        <v>979200</v>
      </c>
      <c r="I528" s="18" t="s">
        <v>24</v>
      </c>
      <c r="J528" s="29" t="str">
        <f t="shared" si="48"/>
        <v>Fri</v>
      </c>
      <c r="K528" s="29" t="b">
        <f t="shared" si="49"/>
        <v>0</v>
      </c>
      <c r="L528" s="29" t="b">
        <f t="shared" si="50"/>
        <v>0</v>
      </c>
      <c r="M528" s="29" t="b">
        <f t="shared" si="53"/>
        <v>0</v>
      </c>
      <c r="N528" s="29" cm="1">
        <f t="array" ref="N528">_xlfn.IFS(
  E528="Airlines 1", IF(K528, F528*0.04, 0),
  E528="Airlines 2", P528,
  E528="Airlines 3", IF(L528, 20000*F528, 0),
  E528="Airlines 4", IF(M528, 15000*F528, 0),
  E528="Airlines 5",
    IF(F528&lt;50000000, F528*0.01,
      IF(F528&lt;100000000, F528*0.02,
        IF(F528&lt;200000000, F528*0.03, F528*0.035))),
  TRUE, 0
)</f>
        <v>0</v>
      </c>
      <c r="O528" s="29">
        <f t="shared" si="51"/>
        <v>6</v>
      </c>
      <c r="P528" s="29">
        <f t="shared" si="52"/>
        <v>0</v>
      </c>
      <c r="Q528" s="30" cm="1">
        <f t="array" ref="Q528">_xlfn.SWITCH(I528, "Method 1", 0, "Method 2", H528*0.03, "Method 3", 4000, "Method 4", 3000, 0)</f>
        <v>29376</v>
      </c>
    </row>
    <row r="529" spans="1:17">
      <c r="A529" s="24">
        <v>53201867</v>
      </c>
      <c r="B529" s="17">
        <v>42300</v>
      </c>
      <c r="C529" s="17">
        <v>42302</v>
      </c>
      <c r="D529" s="18" t="s">
        <v>194</v>
      </c>
      <c r="E529" s="18" t="s">
        <v>14</v>
      </c>
      <c r="F529" s="18">
        <v>1</v>
      </c>
      <c r="G529" s="19">
        <v>672900</v>
      </c>
      <c r="H529" s="19">
        <v>666100</v>
      </c>
      <c r="I529" s="18" t="s">
        <v>26</v>
      </c>
      <c r="J529" s="29" t="str">
        <f t="shared" si="48"/>
        <v>Fri</v>
      </c>
      <c r="K529" s="29" t="b">
        <f t="shared" si="49"/>
        <v>0</v>
      </c>
      <c r="L529" s="29" t="b">
        <f t="shared" si="50"/>
        <v>0</v>
      </c>
      <c r="M529" s="29" t="b">
        <f t="shared" si="53"/>
        <v>0</v>
      </c>
      <c r="N529" s="29" cm="1">
        <f t="array" ref="N529">_xlfn.IFS(
  E529="Airlines 1", IF(K529, F529*0.04, 0),
  E529="Airlines 2", P529,
  E529="Airlines 3", IF(L529, 20000*F529, 0),
  E529="Airlines 4", IF(M529, 15000*F529, 0),
  E529="Airlines 5",
    IF(F529&lt;50000000, F529*0.01,
      IF(F529&lt;100000000, F529*0.02,
        IF(F529&lt;200000000, F529*0.03, F529*0.035))),
  TRUE, 0
)</f>
        <v>0</v>
      </c>
      <c r="O529" s="29">
        <f t="shared" si="51"/>
        <v>6</v>
      </c>
      <c r="P529" s="29">
        <f t="shared" si="52"/>
        <v>0</v>
      </c>
      <c r="Q529" s="30" cm="1">
        <f t="array" ref="Q529">_xlfn.SWITCH(I529, "Method 1", 0, "Method 2", H529*0.03, "Method 3", 4000, "Method 4", 3000, 0)</f>
        <v>4000</v>
      </c>
    </row>
    <row r="530" spans="1:17">
      <c r="A530" s="24">
        <v>53201876</v>
      </c>
      <c r="B530" s="17">
        <v>42303</v>
      </c>
      <c r="C530" s="17">
        <v>42304</v>
      </c>
      <c r="D530" s="18" t="s">
        <v>99</v>
      </c>
      <c r="E530" s="18" t="s">
        <v>14</v>
      </c>
      <c r="F530" s="18">
        <v>1</v>
      </c>
      <c r="G530" s="19">
        <v>626900</v>
      </c>
      <c r="H530" s="19">
        <v>620500</v>
      </c>
      <c r="I530" s="18" t="s">
        <v>24</v>
      </c>
      <c r="J530" s="29" t="str">
        <f t="shared" si="48"/>
        <v>Mon</v>
      </c>
      <c r="K530" s="29" t="b">
        <f t="shared" si="49"/>
        <v>0</v>
      </c>
      <c r="L530" s="29" t="b">
        <f t="shared" si="50"/>
        <v>0</v>
      </c>
      <c r="M530" s="29" t="b">
        <f t="shared" si="53"/>
        <v>0</v>
      </c>
      <c r="N530" s="29" cm="1">
        <f t="array" ref="N530">_xlfn.IFS(
  E530="Airlines 1", IF(K530, F530*0.04, 0),
  E530="Airlines 2", P530,
  E530="Airlines 3", IF(L530, 20000*F530, 0),
  E530="Airlines 4", IF(M530, 15000*F530, 0),
  E530="Airlines 5",
    IF(F530&lt;50000000, F530*0.01,
      IF(F530&lt;100000000, F530*0.02,
        IF(F530&lt;200000000, F530*0.03, F530*0.035))),
  TRUE, 0
)</f>
        <v>0</v>
      </c>
      <c r="O530" s="29">
        <f t="shared" si="51"/>
        <v>11</v>
      </c>
      <c r="P530" s="29">
        <f t="shared" si="52"/>
        <v>0</v>
      </c>
      <c r="Q530" s="30" cm="1">
        <f t="array" ref="Q530">_xlfn.SWITCH(I530, "Method 1", 0, "Method 2", H530*0.03, "Method 3", 4000, "Method 4", 3000, 0)</f>
        <v>18615</v>
      </c>
    </row>
    <row r="531" spans="1:17">
      <c r="A531" s="24">
        <v>53201675</v>
      </c>
      <c r="B531" s="17">
        <v>42304</v>
      </c>
      <c r="C531" s="17">
        <v>42307</v>
      </c>
      <c r="D531" s="18" t="s">
        <v>51</v>
      </c>
      <c r="E531" s="18" t="s">
        <v>14</v>
      </c>
      <c r="F531" s="18">
        <v>1</v>
      </c>
      <c r="G531" s="19">
        <v>862100</v>
      </c>
      <c r="H531" s="19">
        <v>853400</v>
      </c>
      <c r="I531" s="18" t="s">
        <v>26</v>
      </c>
      <c r="J531" s="29" t="str">
        <f t="shared" si="48"/>
        <v>Tue</v>
      </c>
      <c r="K531" s="29" t="b">
        <f t="shared" si="49"/>
        <v>0</v>
      </c>
      <c r="L531" s="29" t="b">
        <f t="shared" si="50"/>
        <v>0</v>
      </c>
      <c r="M531" s="29" t="b">
        <f t="shared" si="53"/>
        <v>0</v>
      </c>
      <c r="N531" s="29" cm="1">
        <f t="array" ref="N531">_xlfn.IFS(
  E531="Airlines 1", IF(K531, F531*0.04, 0),
  E531="Airlines 2", P531,
  E531="Airlines 3", IF(L531, 20000*F531, 0),
  E531="Airlines 4", IF(M531, 15000*F531, 0),
  E531="Airlines 5",
    IF(F531&lt;50000000, F531*0.01,
      IF(F531&lt;100000000, F531*0.02,
        IF(F531&lt;200000000, F531*0.03, F531*0.035))),
  TRUE, 0
)</f>
        <v>0</v>
      </c>
      <c r="O531" s="29">
        <f t="shared" si="51"/>
        <v>9</v>
      </c>
      <c r="P531" s="29">
        <f t="shared" si="52"/>
        <v>0</v>
      </c>
      <c r="Q531" s="30" cm="1">
        <f t="array" ref="Q531">_xlfn.SWITCH(I531, "Method 1", 0, "Method 2", H531*0.03, "Method 3", 4000, "Method 4", 3000, 0)</f>
        <v>4000</v>
      </c>
    </row>
    <row r="532" spans="1:17">
      <c r="A532" s="24">
        <v>53200259</v>
      </c>
      <c r="B532" s="17">
        <v>42304</v>
      </c>
      <c r="C532" s="17">
        <v>42308</v>
      </c>
      <c r="D532" s="18" t="s">
        <v>43</v>
      </c>
      <c r="E532" s="18" t="s">
        <v>14</v>
      </c>
      <c r="F532" s="18">
        <v>1</v>
      </c>
      <c r="G532" s="19">
        <v>631760</v>
      </c>
      <c r="H532" s="19">
        <v>625400</v>
      </c>
      <c r="I532" s="18" t="s">
        <v>24</v>
      </c>
      <c r="J532" s="29" t="str">
        <f t="shared" si="48"/>
        <v>Tue</v>
      </c>
      <c r="K532" s="29" t="b">
        <f t="shared" si="49"/>
        <v>0</v>
      </c>
      <c r="L532" s="29" t="b">
        <f t="shared" si="50"/>
        <v>1</v>
      </c>
      <c r="M532" s="29" t="b">
        <f t="shared" si="53"/>
        <v>0</v>
      </c>
      <c r="N532" s="29" cm="1">
        <f t="array" ref="N532">_xlfn.IFS(
  E532="Airlines 1", IF(K532, F532*0.04, 0),
  E532="Airlines 2", P532,
  E532="Airlines 3", IF(L532, 20000*F532, 0),
  E532="Airlines 4", IF(M532, 15000*F532, 0),
  E532="Airlines 5",
    IF(F532&lt;50000000, F532*0.01,
      IF(F532&lt;100000000, F532*0.02,
        IF(F532&lt;200000000, F532*0.03, F532*0.035))),
  TRUE, 0
)</f>
        <v>0</v>
      </c>
      <c r="O532" s="29">
        <f t="shared" si="51"/>
        <v>9</v>
      </c>
      <c r="P532" s="29">
        <f t="shared" si="52"/>
        <v>0</v>
      </c>
      <c r="Q532" s="30" cm="1">
        <f t="array" ref="Q532">_xlfn.SWITCH(I532, "Method 1", 0, "Method 2", H532*0.03, "Method 3", 4000, "Method 4", 3000, 0)</f>
        <v>18762</v>
      </c>
    </row>
    <row r="533" spans="1:17">
      <c r="A533" s="24">
        <v>53201924</v>
      </c>
      <c r="B533" s="17">
        <v>42304</v>
      </c>
      <c r="C533" s="17">
        <v>42314</v>
      </c>
      <c r="D533" s="18" t="s">
        <v>51</v>
      </c>
      <c r="E533" s="18" t="s">
        <v>14</v>
      </c>
      <c r="F533" s="18">
        <v>1</v>
      </c>
      <c r="G533" s="19">
        <v>862100</v>
      </c>
      <c r="H533" s="19">
        <v>853400</v>
      </c>
      <c r="I533" s="18" t="s">
        <v>22</v>
      </c>
      <c r="J533" s="29" t="str">
        <f t="shared" si="48"/>
        <v>Tue</v>
      </c>
      <c r="K533" s="29" t="b">
        <f t="shared" si="49"/>
        <v>0</v>
      </c>
      <c r="L533" s="29" t="b">
        <f t="shared" si="50"/>
        <v>0</v>
      </c>
      <c r="M533" s="29" t="b">
        <f t="shared" si="53"/>
        <v>0</v>
      </c>
      <c r="N533" s="29" cm="1">
        <f t="array" ref="N533">_xlfn.IFS(
  E533="Airlines 1", IF(K533, F533*0.04, 0),
  E533="Airlines 2", P533,
  E533="Airlines 3", IF(L533, 20000*F533, 0),
  E533="Airlines 4", IF(M533, 15000*F533, 0),
  E533="Airlines 5",
    IF(F533&lt;50000000, F533*0.01,
      IF(F533&lt;100000000, F533*0.02,
        IF(F533&lt;200000000, F533*0.03, F533*0.035))),
  TRUE, 0
)</f>
        <v>0</v>
      </c>
      <c r="O533" s="29">
        <f t="shared" si="51"/>
        <v>9</v>
      </c>
      <c r="P533" s="29">
        <f t="shared" si="52"/>
        <v>0</v>
      </c>
      <c r="Q533" s="30" cm="1">
        <f t="array" ref="Q533">_xlfn.SWITCH(I533, "Method 1", 0, "Method 2", H533*0.03, "Method 3", 4000, "Method 4", 3000, 0)</f>
        <v>0</v>
      </c>
    </row>
    <row r="534" spans="1:17">
      <c r="A534" s="24">
        <v>53201835</v>
      </c>
      <c r="B534" s="17">
        <v>42304</v>
      </c>
      <c r="C534" s="17">
        <v>42305</v>
      </c>
      <c r="D534" s="18" t="s">
        <v>124</v>
      </c>
      <c r="E534" s="18" t="s">
        <v>14</v>
      </c>
      <c r="F534" s="18">
        <v>1</v>
      </c>
      <c r="G534" s="19">
        <v>608000</v>
      </c>
      <c r="H534" s="19">
        <v>601800</v>
      </c>
      <c r="I534" s="18" t="s">
        <v>26</v>
      </c>
      <c r="J534" s="29" t="str">
        <f t="shared" si="48"/>
        <v>Tue</v>
      </c>
      <c r="K534" s="29" t="b">
        <f t="shared" si="49"/>
        <v>0</v>
      </c>
      <c r="L534" s="29" t="b">
        <f t="shared" si="50"/>
        <v>0</v>
      </c>
      <c r="M534" s="29" t="b">
        <f t="shared" si="53"/>
        <v>0</v>
      </c>
      <c r="N534" s="29" cm="1">
        <f t="array" ref="N534">_xlfn.IFS(
  E534="Airlines 1", IF(K534, F534*0.04, 0),
  E534="Airlines 2", P534,
  E534="Airlines 3", IF(L534, 20000*F534, 0),
  E534="Airlines 4", IF(M534, 15000*F534, 0),
  E534="Airlines 5",
    IF(F534&lt;50000000, F534*0.01,
      IF(F534&lt;100000000, F534*0.02,
        IF(F534&lt;200000000, F534*0.03, F534*0.035))),
  TRUE, 0
)</f>
        <v>0</v>
      </c>
      <c r="O534" s="29">
        <f t="shared" si="51"/>
        <v>9</v>
      </c>
      <c r="P534" s="29">
        <f t="shared" si="52"/>
        <v>0</v>
      </c>
      <c r="Q534" s="30" cm="1">
        <f t="array" ref="Q534">_xlfn.SWITCH(I534, "Method 1", 0, "Method 2", H534*0.03, "Method 3", 4000, "Method 4", 3000, 0)</f>
        <v>4000</v>
      </c>
    </row>
    <row r="535" spans="1:17">
      <c r="A535" s="24">
        <v>53200724</v>
      </c>
      <c r="B535" s="17">
        <v>42304</v>
      </c>
      <c r="C535" s="17">
        <v>42309</v>
      </c>
      <c r="D535" s="18" t="s">
        <v>91</v>
      </c>
      <c r="E535" s="18" t="s">
        <v>14</v>
      </c>
      <c r="F535" s="18">
        <v>2</v>
      </c>
      <c r="G535" s="19">
        <v>879800</v>
      </c>
      <c r="H535" s="19">
        <v>870800</v>
      </c>
      <c r="I535" s="18" t="s">
        <v>26</v>
      </c>
      <c r="J535" s="29" t="str">
        <f t="shared" si="48"/>
        <v>Tue</v>
      </c>
      <c r="K535" s="29" t="b">
        <f t="shared" si="49"/>
        <v>0</v>
      </c>
      <c r="L535" s="29" t="b">
        <f t="shared" si="50"/>
        <v>0</v>
      </c>
      <c r="M535" s="29" t="b">
        <f t="shared" si="53"/>
        <v>0</v>
      </c>
      <c r="N535" s="29" cm="1">
        <f t="array" ref="N535">_xlfn.IFS(
  E535="Airlines 1", IF(K535, F535*0.04, 0),
  E535="Airlines 2", P535,
  E535="Airlines 3", IF(L535, 20000*F535, 0),
  E535="Airlines 4", IF(M535, 15000*F535, 0),
  E535="Airlines 5",
    IF(F535&lt;50000000, F535*0.01,
      IF(F535&lt;100000000, F535*0.02,
        IF(F535&lt;200000000, F535*0.03, F535*0.035))),
  TRUE, 0
)</f>
        <v>0</v>
      </c>
      <c r="O535" s="29">
        <f t="shared" si="51"/>
        <v>9</v>
      </c>
      <c r="P535" s="29">
        <f t="shared" si="52"/>
        <v>0</v>
      </c>
      <c r="Q535" s="30" cm="1">
        <f t="array" ref="Q535">_xlfn.SWITCH(I535, "Method 1", 0, "Method 2", H535*0.03, "Method 3", 4000, "Method 4", 3000, 0)</f>
        <v>4000</v>
      </c>
    </row>
    <row r="536" spans="1:17">
      <c r="A536" s="24">
        <v>53201986</v>
      </c>
      <c r="B536" s="17">
        <v>42304</v>
      </c>
      <c r="C536" s="17">
        <v>42306</v>
      </c>
      <c r="D536" s="18" t="s">
        <v>188</v>
      </c>
      <c r="E536" s="18" t="s">
        <v>14</v>
      </c>
      <c r="F536" s="18">
        <v>1</v>
      </c>
      <c r="G536" s="19">
        <v>475600</v>
      </c>
      <c r="H536" s="19">
        <v>470700</v>
      </c>
      <c r="I536" s="18" t="s">
        <v>26</v>
      </c>
      <c r="J536" s="29" t="str">
        <f t="shared" si="48"/>
        <v>Tue</v>
      </c>
      <c r="K536" s="29" t="b">
        <f t="shared" si="49"/>
        <v>0</v>
      </c>
      <c r="L536" s="29" t="b">
        <f t="shared" si="50"/>
        <v>0</v>
      </c>
      <c r="M536" s="29" t="b">
        <f t="shared" si="53"/>
        <v>0</v>
      </c>
      <c r="N536" s="29" cm="1">
        <f t="array" ref="N536">_xlfn.IFS(
  E536="Airlines 1", IF(K536, F536*0.04, 0),
  E536="Airlines 2", P536,
  E536="Airlines 3", IF(L536, 20000*F536, 0),
  E536="Airlines 4", IF(M536, 15000*F536, 0),
  E536="Airlines 5",
    IF(F536&lt;50000000, F536*0.01,
      IF(F536&lt;100000000, F536*0.02,
        IF(F536&lt;200000000, F536*0.03, F536*0.035))),
  TRUE, 0
)</f>
        <v>0</v>
      </c>
      <c r="O536" s="29">
        <f t="shared" si="51"/>
        <v>9</v>
      </c>
      <c r="P536" s="29">
        <f t="shared" si="52"/>
        <v>0</v>
      </c>
      <c r="Q536" s="30" cm="1">
        <f t="array" ref="Q536">_xlfn.SWITCH(I536, "Method 1", 0, "Method 2", H536*0.03, "Method 3", 4000, "Method 4", 3000, 0)</f>
        <v>4000</v>
      </c>
    </row>
    <row r="537" spans="1:17">
      <c r="A537" s="24">
        <v>53201873</v>
      </c>
      <c r="B537" s="17">
        <v>42304</v>
      </c>
      <c r="C537" s="17">
        <v>42305</v>
      </c>
      <c r="D537" s="18" t="s">
        <v>62</v>
      </c>
      <c r="E537" s="18" t="s">
        <v>14</v>
      </c>
      <c r="F537" s="18">
        <v>1</v>
      </c>
      <c r="G537" s="19">
        <v>596760</v>
      </c>
      <c r="H537" s="19">
        <v>590700</v>
      </c>
      <c r="I537" s="18" t="s">
        <v>26</v>
      </c>
      <c r="J537" s="29" t="str">
        <f t="shared" si="48"/>
        <v>Tue</v>
      </c>
      <c r="K537" s="29" t="b">
        <f t="shared" si="49"/>
        <v>0</v>
      </c>
      <c r="L537" s="29" t="b">
        <f t="shared" si="50"/>
        <v>1</v>
      </c>
      <c r="M537" s="29" t="b">
        <f t="shared" si="53"/>
        <v>0</v>
      </c>
      <c r="N537" s="29" cm="1">
        <f t="array" ref="N537">_xlfn.IFS(
  E537="Airlines 1", IF(K537, F537*0.04, 0),
  E537="Airlines 2", P537,
  E537="Airlines 3", IF(L537, 20000*F537, 0),
  E537="Airlines 4", IF(M537, 15000*F537, 0),
  E537="Airlines 5",
    IF(F537&lt;50000000, F537*0.01,
      IF(F537&lt;100000000, F537*0.02,
        IF(F537&lt;200000000, F537*0.03, F537*0.035))),
  TRUE, 0
)</f>
        <v>0</v>
      </c>
      <c r="O537" s="29">
        <f t="shared" si="51"/>
        <v>9</v>
      </c>
      <c r="P537" s="29">
        <f t="shared" si="52"/>
        <v>0</v>
      </c>
      <c r="Q537" s="30" cm="1">
        <f t="array" ref="Q537">_xlfn.SWITCH(I537, "Method 1", 0, "Method 2", H537*0.03, "Method 3", 4000, "Method 4", 3000, 0)</f>
        <v>4000</v>
      </c>
    </row>
    <row r="538" spans="1:17">
      <c r="A538" s="24">
        <v>53201740</v>
      </c>
      <c r="B538" s="17">
        <v>42306</v>
      </c>
      <c r="C538" s="17">
        <v>42310</v>
      </c>
      <c r="D538" s="18" t="s">
        <v>171</v>
      </c>
      <c r="E538" s="18" t="s">
        <v>14</v>
      </c>
      <c r="F538" s="18">
        <v>1</v>
      </c>
      <c r="G538" s="19">
        <v>485350</v>
      </c>
      <c r="H538" s="19">
        <v>480400</v>
      </c>
      <c r="I538" s="18" t="s">
        <v>26</v>
      </c>
      <c r="J538" s="29" t="str">
        <f t="shared" si="48"/>
        <v>Thu</v>
      </c>
      <c r="K538" s="29" t="b">
        <f t="shared" si="49"/>
        <v>0</v>
      </c>
      <c r="L538" s="29" t="b">
        <f t="shared" si="50"/>
        <v>0</v>
      </c>
      <c r="M538" s="29" t="b">
        <f t="shared" si="53"/>
        <v>0</v>
      </c>
      <c r="N538" s="29" cm="1">
        <f t="array" ref="N538">_xlfn.IFS(
  E538="Airlines 1", IF(K538, F538*0.04, 0),
  E538="Airlines 2", P538,
  E538="Airlines 3", IF(L538, 20000*F538, 0),
  E538="Airlines 4", IF(M538, 15000*F538, 0),
  E538="Airlines 5",
    IF(F538&lt;50000000, F538*0.01,
      IF(F538&lt;100000000, F538*0.02,
        IF(F538&lt;200000000, F538*0.03, F538*0.035))),
  TRUE, 0
)</f>
        <v>0</v>
      </c>
      <c r="O538" s="29">
        <f t="shared" si="51"/>
        <v>0</v>
      </c>
      <c r="P538" s="29">
        <f t="shared" si="52"/>
        <v>0</v>
      </c>
      <c r="Q538" s="30" cm="1">
        <f t="array" ref="Q538">_xlfn.SWITCH(I538, "Method 1", 0, "Method 2", H538*0.03, "Method 3", 4000, "Method 4", 3000, 0)</f>
        <v>4000</v>
      </c>
    </row>
    <row r="539" spans="1:17">
      <c r="A539" s="24">
        <v>53201884</v>
      </c>
      <c r="B539" s="17">
        <v>42306</v>
      </c>
      <c r="C539" s="17">
        <v>42310</v>
      </c>
      <c r="D539" s="18" t="s">
        <v>43</v>
      </c>
      <c r="E539" s="18" t="s">
        <v>14</v>
      </c>
      <c r="F539" s="18">
        <v>2</v>
      </c>
      <c r="G539" s="19">
        <v>1154400</v>
      </c>
      <c r="H539" s="19">
        <v>1141600</v>
      </c>
      <c r="I539" s="18" t="s">
        <v>24</v>
      </c>
      <c r="J539" s="29" t="str">
        <f t="shared" si="48"/>
        <v>Thu</v>
      </c>
      <c r="K539" s="29" t="b">
        <f t="shared" si="49"/>
        <v>0</v>
      </c>
      <c r="L539" s="29" t="b">
        <f t="shared" si="50"/>
        <v>1</v>
      </c>
      <c r="M539" s="29" t="b">
        <f t="shared" si="53"/>
        <v>0</v>
      </c>
      <c r="N539" s="29" cm="1">
        <f t="array" ref="N539">_xlfn.IFS(
  E539="Airlines 1", IF(K539, F539*0.04, 0),
  E539="Airlines 2", P539,
  E539="Airlines 3", IF(L539, 20000*F539, 0),
  E539="Airlines 4", IF(M539, 15000*F539, 0),
  E539="Airlines 5",
    IF(F539&lt;50000000, F539*0.01,
      IF(F539&lt;100000000, F539*0.02,
        IF(F539&lt;200000000, F539*0.03, F539*0.035))),
  TRUE, 0
)</f>
        <v>0</v>
      </c>
      <c r="O539" s="29">
        <f t="shared" si="51"/>
        <v>0</v>
      </c>
      <c r="P539" s="29">
        <f t="shared" si="52"/>
        <v>0</v>
      </c>
      <c r="Q539" s="30" cm="1">
        <f t="array" ref="Q539">_xlfn.SWITCH(I539, "Method 1", 0, "Method 2", H539*0.03, "Method 3", 4000, "Method 4", 3000, 0)</f>
        <v>34248</v>
      </c>
    </row>
    <row r="540" spans="1:17">
      <c r="A540" s="24">
        <v>53201754</v>
      </c>
      <c r="B540" s="17">
        <v>42306</v>
      </c>
      <c r="C540" s="17">
        <v>42307</v>
      </c>
      <c r="D540" s="18" t="s">
        <v>197</v>
      </c>
      <c r="E540" s="18" t="s">
        <v>14</v>
      </c>
      <c r="F540" s="18">
        <v>4</v>
      </c>
      <c r="G540" s="19">
        <v>3740578</v>
      </c>
      <c r="H540" s="19">
        <v>3616200</v>
      </c>
      <c r="I540" s="18" t="s">
        <v>24</v>
      </c>
      <c r="J540" s="29" t="str">
        <f t="shared" si="48"/>
        <v>Thu</v>
      </c>
      <c r="K540" s="29" t="b">
        <f t="shared" si="49"/>
        <v>0</v>
      </c>
      <c r="L540" s="29" t="b">
        <f t="shared" si="50"/>
        <v>0</v>
      </c>
      <c r="M540" s="29" t="b">
        <f t="shared" si="53"/>
        <v>0</v>
      </c>
      <c r="N540" s="29" cm="1">
        <f t="array" ref="N540">_xlfn.IFS(
  E540="Airlines 1", IF(K540, F540*0.04, 0),
  E540="Airlines 2", P540,
  E540="Airlines 3", IF(L540, 20000*F540, 0),
  E540="Airlines 4", IF(M540, 15000*F540, 0),
  E540="Airlines 5",
    IF(F540&lt;50000000, F540*0.01,
      IF(F540&lt;100000000, F540*0.02,
        IF(F540&lt;200000000, F540*0.03, F540*0.035))),
  TRUE, 0
)</f>
        <v>0</v>
      </c>
      <c r="O540" s="29">
        <f t="shared" si="51"/>
        <v>0</v>
      </c>
      <c r="P540" s="29">
        <f t="shared" si="52"/>
        <v>0</v>
      </c>
      <c r="Q540" s="30" cm="1">
        <f t="array" ref="Q540">_xlfn.SWITCH(I540, "Method 1", 0, "Method 2", H540*0.03, "Method 3", 4000, "Method 4", 3000, 0)</f>
        <v>108486</v>
      </c>
    </row>
    <row r="541" spans="1:17">
      <c r="A541" s="24">
        <v>53201435</v>
      </c>
      <c r="B541" s="17">
        <v>42306</v>
      </c>
      <c r="C541" s="17">
        <v>42307</v>
      </c>
      <c r="D541" s="18" t="s">
        <v>51</v>
      </c>
      <c r="E541" s="18" t="s">
        <v>14</v>
      </c>
      <c r="F541" s="18">
        <v>1</v>
      </c>
      <c r="G541" s="19">
        <v>993853</v>
      </c>
      <c r="H541" s="19">
        <v>983900</v>
      </c>
      <c r="I541" s="18" t="s">
        <v>24</v>
      </c>
      <c r="J541" s="29" t="str">
        <f t="shared" si="48"/>
        <v>Thu</v>
      </c>
      <c r="K541" s="29" t="b">
        <f t="shared" si="49"/>
        <v>0</v>
      </c>
      <c r="L541" s="29" t="b">
        <f t="shared" si="50"/>
        <v>0</v>
      </c>
      <c r="M541" s="29" t="b">
        <f t="shared" si="53"/>
        <v>0</v>
      </c>
      <c r="N541" s="29" cm="1">
        <f t="array" ref="N541">_xlfn.IFS(
  E541="Airlines 1", IF(K541, F541*0.04, 0),
  E541="Airlines 2", P541,
  E541="Airlines 3", IF(L541, 20000*F541, 0),
  E541="Airlines 4", IF(M541, 15000*F541, 0),
  E541="Airlines 5",
    IF(F541&lt;50000000, F541*0.01,
      IF(F541&lt;100000000, F541*0.02,
        IF(F541&lt;200000000, F541*0.03, F541*0.035))),
  TRUE, 0
)</f>
        <v>0</v>
      </c>
      <c r="O541" s="29">
        <f t="shared" si="51"/>
        <v>0</v>
      </c>
      <c r="P541" s="29">
        <f t="shared" si="52"/>
        <v>0</v>
      </c>
      <c r="Q541" s="30" cm="1">
        <f t="array" ref="Q541">_xlfn.SWITCH(I541, "Method 1", 0, "Method 2", H541*0.03, "Method 3", 4000, "Method 4", 3000, 0)</f>
        <v>29517</v>
      </c>
    </row>
    <row r="542" spans="1:17">
      <c r="A542" s="24">
        <v>53202190</v>
      </c>
      <c r="B542" s="17">
        <v>42306</v>
      </c>
      <c r="C542" s="17">
        <v>42307</v>
      </c>
      <c r="D542" s="18" t="s">
        <v>43</v>
      </c>
      <c r="E542" s="18" t="s">
        <v>14</v>
      </c>
      <c r="F542" s="18">
        <v>1</v>
      </c>
      <c r="G542" s="19">
        <v>1145587</v>
      </c>
      <c r="H542" s="19">
        <v>1134000</v>
      </c>
      <c r="I542" s="18" t="s">
        <v>24</v>
      </c>
      <c r="J542" s="29" t="str">
        <f t="shared" si="48"/>
        <v>Thu</v>
      </c>
      <c r="K542" s="29" t="b">
        <f t="shared" si="49"/>
        <v>0</v>
      </c>
      <c r="L542" s="29" t="b">
        <f t="shared" si="50"/>
        <v>1</v>
      </c>
      <c r="M542" s="29" t="b">
        <f t="shared" si="53"/>
        <v>0</v>
      </c>
      <c r="N542" s="29" cm="1">
        <f t="array" ref="N542">_xlfn.IFS(
  E542="Airlines 1", IF(K542, F542*0.04, 0),
  E542="Airlines 2", P542,
  E542="Airlines 3", IF(L542, 20000*F542, 0),
  E542="Airlines 4", IF(M542, 15000*F542, 0),
  E542="Airlines 5",
    IF(F542&lt;50000000, F542*0.01,
      IF(F542&lt;100000000, F542*0.02,
        IF(F542&lt;200000000, F542*0.03, F542*0.035))),
  TRUE, 0
)</f>
        <v>0</v>
      </c>
      <c r="O542" s="29">
        <f t="shared" si="51"/>
        <v>0</v>
      </c>
      <c r="P542" s="29">
        <f t="shared" si="52"/>
        <v>0</v>
      </c>
      <c r="Q542" s="30" cm="1">
        <f t="array" ref="Q542">_xlfn.SWITCH(I542, "Method 1", 0, "Method 2", H542*0.03, "Method 3", 4000, "Method 4", 3000, 0)</f>
        <v>34020</v>
      </c>
    </row>
    <row r="543" spans="1:17">
      <c r="A543" s="24">
        <v>53202172</v>
      </c>
      <c r="B543" s="17">
        <v>42306</v>
      </c>
      <c r="C543" s="17">
        <v>42308</v>
      </c>
      <c r="D543" s="18" t="s">
        <v>42</v>
      </c>
      <c r="E543" s="18" t="s">
        <v>14</v>
      </c>
      <c r="F543" s="18">
        <v>1</v>
      </c>
      <c r="G543" s="19">
        <v>837550</v>
      </c>
      <c r="H543" s="19">
        <v>829600</v>
      </c>
      <c r="I543" s="18" t="s">
        <v>24</v>
      </c>
      <c r="J543" s="29" t="str">
        <f t="shared" si="48"/>
        <v>Thu</v>
      </c>
      <c r="K543" s="29" t="b">
        <f t="shared" si="49"/>
        <v>0</v>
      </c>
      <c r="L543" s="29" t="b">
        <f t="shared" si="50"/>
        <v>0</v>
      </c>
      <c r="M543" s="29" t="b">
        <f t="shared" si="53"/>
        <v>0</v>
      </c>
      <c r="N543" s="29" cm="1">
        <f t="array" ref="N543">_xlfn.IFS(
  E543="Airlines 1", IF(K543, F543*0.04, 0),
  E543="Airlines 2", P543,
  E543="Airlines 3", IF(L543, 20000*F543, 0),
  E543="Airlines 4", IF(M543, 15000*F543, 0),
  E543="Airlines 5",
    IF(F543&lt;50000000, F543*0.01,
      IF(F543&lt;100000000, F543*0.02,
        IF(F543&lt;200000000, F543*0.03, F543*0.035))),
  TRUE, 0
)</f>
        <v>0</v>
      </c>
      <c r="O543" s="29">
        <f t="shared" si="51"/>
        <v>0</v>
      </c>
      <c r="P543" s="29">
        <f t="shared" si="52"/>
        <v>0</v>
      </c>
      <c r="Q543" s="30" cm="1">
        <f t="array" ref="Q543">_xlfn.SWITCH(I543, "Method 1", 0, "Method 2", H543*0.03, "Method 3", 4000, "Method 4", 3000, 0)</f>
        <v>24888</v>
      </c>
    </row>
    <row r="544" spans="1:17">
      <c r="A544" s="24">
        <v>53201153</v>
      </c>
      <c r="B544" s="17">
        <v>42306</v>
      </c>
      <c r="C544" s="17">
        <v>42370</v>
      </c>
      <c r="D544" s="18" t="s">
        <v>192</v>
      </c>
      <c r="E544" s="18" t="s">
        <v>14</v>
      </c>
      <c r="F544" s="18">
        <v>1</v>
      </c>
      <c r="G544" s="19">
        <v>705963</v>
      </c>
      <c r="H544" s="19">
        <v>698800</v>
      </c>
      <c r="I544" s="18" t="s">
        <v>22</v>
      </c>
      <c r="J544" s="29" t="str">
        <f t="shared" si="48"/>
        <v>Thu</v>
      </c>
      <c r="K544" s="29" t="b">
        <f t="shared" si="49"/>
        <v>0</v>
      </c>
      <c r="L544" s="29" t="b">
        <f t="shared" si="50"/>
        <v>0</v>
      </c>
      <c r="M544" s="29" t="b">
        <f t="shared" si="53"/>
        <v>0</v>
      </c>
      <c r="N544" s="29" cm="1">
        <f t="array" ref="N544">_xlfn.IFS(
  E544="Airlines 1", IF(K544, F544*0.04, 0),
  E544="Airlines 2", P544,
  E544="Airlines 3", IF(L544, 20000*F544, 0),
  E544="Airlines 4", IF(M544, 15000*F544, 0),
  E544="Airlines 5",
    IF(F544&lt;50000000, F544*0.01,
      IF(F544&lt;100000000, F544*0.02,
        IF(F544&lt;200000000, F544*0.03, F544*0.035))),
  TRUE, 0
)</f>
        <v>0</v>
      </c>
      <c r="O544" s="29">
        <f t="shared" si="51"/>
        <v>0</v>
      </c>
      <c r="P544" s="29">
        <f t="shared" si="52"/>
        <v>0</v>
      </c>
      <c r="Q544" s="30" cm="1">
        <f t="array" ref="Q544">_xlfn.SWITCH(I544, "Method 1", 0, "Method 2", H544*0.03, "Method 3", 4000, "Method 4", 3000, 0)</f>
        <v>0</v>
      </c>
    </row>
    <row r="545" spans="1:17">
      <c r="A545" s="24">
        <v>53201878</v>
      </c>
      <c r="B545" s="17">
        <v>42278</v>
      </c>
      <c r="C545" s="17">
        <v>42278</v>
      </c>
      <c r="D545" s="18" t="s">
        <v>39</v>
      </c>
      <c r="E545" s="18" t="s">
        <v>17</v>
      </c>
      <c r="F545" s="18">
        <v>1</v>
      </c>
      <c r="G545" s="19">
        <v>459000</v>
      </c>
      <c r="H545" s="19">
        <v>454400</v>
      </c>
      <c r="I545" s="18" t="s">
        <v>22</v>
      </c>
      <c r="J545" s="29" t="str">
        <f t="shared" si="48"/>
        <v>Thu</v>
      </c>
      <c r="K545" s="29" t="b">
        <f t="shared" si="49"/>
        <v>0</v>
      </c>
      <c r="L545" s="29" t="b">
        <f t="shared" si="50"/>
        <v>0</v>
      </c>
      <c r="M545" s="29" t="b">
        <f t="shared" si="53"/>
        <v>1</v>
      </c>
      <c r="N545" s="29" cm="1">
        <f t="array" ref="N545">_xlfn.IFS(
  E545="Airlines 1", IF(K545, F545*0.04, 0),
  E545="Airlines 2", P545,
  E545="Airlines 3", IF(L545, 20000*F545, 0),
  E545="Airlines 4", IF(M545, 15000*F545, 0),
  E545="Airlines 5",
    IF(F545&lt;50000000, F545*0.01,
      IF(F545&lt;100000000, F545*0.02,
        IF(F545&lt;200000000, F545*0.03, F545*0.035))),
  TRUE, 0
)</f>
        <v>0.01</v>
      </c>
      <c r="O545" s="29">
        <f t="shared" si="51"/>
        <v>16</v>
      </c>
      <c r="P545" s="29">
        <f t="shared" si="52"/>
        <v>0</v>
      </c>
      <c r="Q545" s="30" cm="1">
        <f t="array" ref="Q545">_xlfn.SWITCH(I545, "Method 1", 0, "Method 2", H545*0.03, "Method 3", 4000, "Method 4", 3000, 0)</f>
        <v>0</v>
      </c>
    </row>
    <row r="546" spans="1:17">
      <c r="A546" s="24">
        <v>53200943</v>
      </c>
      <c r="B546" s="17">
        <v>42278</v>
      </c>
      <c r="C546" s="17">
        <v>42283</v>
      </c>
      <c r="D546" s="18" t="s">
        <v>45</v>
      </c>
      <c r="E546" s="18" t="s">
        <v>17</v>
      </c>
      <c r="F546" s="18">
        <v>1</v>
      </c>
      <c r="G546" s="19">
        <v>667000</v>
      </c>
      <c r="H546" s="19">
        <v>660300</v>
      </c>
      <c r="I546" s="18" t="s">
        <v>26</v>
      </c>
      <c r="J546" s="29" t="str">
        <f t="shared" si="48"/>
        <v>Thu</v>
      </c>
      <c r="K546" s="29" t="b">
        <f t="shared" si="49"/>
        <v>0</v>
      </c>
      <c r="L546" s="29" t="b">
        <f t="shared" si="50"/>
        <v>0</v>
      </c>
      <c r="M546" s="29" t="b">
        <f t="shared" si="53"/>
        <v>1</v>
      </c>
      <c r="N546" s="29" cm="1">
        <f t="array" ref="N546">_xlfn.IFS(
  E546="Airlines 1", IF(K546, F546*0.04, 0),
  E546="Airlines 2", P546,
  E546="Airlines 3", IF(L546, 20000*F546, 0),
  E546="Airlines 4", IF(M546, 15000*F546, 0),
  E546="Airlines 5",
    IF(F546&lt;50000000, F546*0.01,
      IF(F546&lt;100000000, F546*0.02,
        IF(F546&lt;200000000, F546*0.03, F546*0.035))),
  TRUE, 0
)</f>
        <v>0.01</v>
      </c>
      <c r="O546" s="29">
        <f t="shared" si="51"/>
        <v>16</v>
      </c>
      <c r="P546" s="29">
        <f t="shared" si="52"/>
        <v>0</v>
      </c>
      <c r="Q546" s="30" cm="1">
        <f t="array" ref="Q546">_xlfn.SWITCH(I546, "Method 1", 0, "Method 2", H546*0.03, "Method 3", 4000, "Method 4", 3000, 0)</f>
        <v>4000</v>
      </c>
    </row>
    <row r="547" spans="1:17">
      <c r="A547" s="24">
        <v>53201715</v>
      </c>
      <c r="B547" s="17">
        <v>42278</v>
      </c>
      <c r="C547" s="17">
        <v>42278</v>
      </c>
      <c r="D547" s="18" t="s">
        <v>95</v>
      </c>
      <c r="E547" s="18" t="s">
        <v>17</v>
      </c>
      <c r="F547" s="18">
        <v>1</v>
      </c>
      <c r="G547" s="19">
        <v>619000</v>
      </c>
      <c r="H547" s="19">
        <v>612800</v>
      </c>
      <c r="I547" s="18" t="s">
        <v>26</v>
      </c>
      <c r="J547" s="29" t="str">
        <f t="shared" si="48"/>
        <v>Thu</v>
      </c>
      <c r="K547" s="29" t="b">
        <f t="shared" si="49"/>
        <v>0</v>
      </c>
      <c r="L547" s="29" t="b">
        <f t="shared" si="50"/>
        <v>0</v>
      </c>
      <c r="M547" s="29" t="b">
        <f t="shared" si="53"/>
        <v>1</v>
      </c>
      <c r="N547" s="29" cm="1">
        <f t="array" ref="N547">_xlfn.IFS(
  E547="Airlines 1", IF(K547, F547*0.04, 0),
  E547="Airlines 2", P547,
  E547="Airlines 3", IF(L547, 20000*F547, 0),
  E547="Airlines 4", IF(M547, 15000*F547, 0),
  E547="Airlines 5",
    IF(F547&lt;50000000, F547*0.01,
      IF(F547&lt;100000000, F547*0.02,
        IF(F547&lt;200000000, F547*0.03, F547*0.035))),
  TRUE, 0
)</f>
        <v>0.01</v>
      </c>
      <c r="O547" s="29">
        <f t="shared" si="51"/>
        <v>16</v>
      </c>
      <c r="P547" s="29">
        <f t="shared" si="52"/>
        <v>0</v>
      </c>
      <c r="Q547" s="30" cm="1">
        <f t="array" ref="Q547">_xlfn.SWITCH(I547, "Method 1", 0, "Method 2", H547*0.03, "Method 3", 4000, "Method 4", 3000, 0)</f>
        <v>4000</v>
      </c>
    </row>
    <row r="548" spans="1:17">
      <c r="A548" s="24">
        <v>53202248</v>
      </c>
      <c r="B548" s="17">
        <v>42278</v>
      </c>
      <c r="C548" s="17">
        <v>42278</v>
      </c>
      <c r="D548" s="18" t="s">
        <v>206</v>
      </c>
      <c r="E548" s="18" t="s">
        <v>17</v>
      </c>
      <c r="F548" s="18">
        <v>4</v>
      </c>
      <c r="G548" s="19">
        <v>2487200</v>
      </c>
      <c r="H548" s="19">
        <v>2462400</v>
      </c>
      <c r="I548" s="18" t="s">
        <v>26</v>
      </c>
      <c r="J548" s="29" t="str">
        <f t="shared" si="48"/>
        <v>Thu</v>
      </c>
      <c r="K548" s="29" t="b">
        <f t="shared" si="49"/>
        <v>0</v>
      </c>
      <c r="L548" s="29" t="b">
        <f t="shared" si="50"/>
        <v>0</v>
      </c>
      <c r="M548" s="29" t="b">
        <f t="shared" si="53"/>
        <v>1</v>
      </c>
      <c r="N548" s="29" cm="1">
        <f t="array" ref="N548">_xlfn.IFS(
  E548="Airlines 1", IF(K548, F548*0.04, 0),
  E548="Airlines 2", P548,
  E548="Airlines 3", IF(L548, 20000*F548, 0),
  E548="Airlines 4", IF(M548, 15000*F548, 0),
  E548="Airlines 5",
    IF(F548&lt;50000000, F548*0.01,
      IF(F548&lt;100000000, F548*0.02,
        IF(F548&lt;200000000, F548*0.03, F548*0.035))),
  TRUE, 0
)</f>
        <v>0.04</v>
      </c>
      <c r="O548" s="29">
        <f t="shared" si="51"/>
        <v>16</v>
      </c>
      <c r="P548" s="29">
        <f t="shared" si="52"/>
        <v>0</v>
      </c>
      <c r="Q548" s="30" cm="1">
        <f t="array" ref="Q548">_xlfn.SWITCH(I548, "Method 1", 0, "Method 2", H548*0.03, "Method 3", 4000, "Method 4", 3000, 0)</f>
        <v>4000</v>
      </c>
    </row>
    <row r="549" spans="1:17">
      <c r="A549" s="24">
        <v>53201725</v>
      </c>
      <c r="B549" s="17">
        <v>42278</v>
      </c>
      <c r="C549" s="17">
        <v>42279</v>
      </c>
      <c r="D549" s="18" t="s">
        <v>62</v>
      </c>
      <c r="E549" s="18" t="s">
        <v>17</v>
      </c>
      <c r="F549" s="18">
        <v>1</v>
      </c>
      <c r="G549" s="19">
        <v>639000</v>
      </c>
      <c r="H549" s="19">
        <v>632600</v>
      </c>
      <c r="I549" s="18" t="s">
        <v>26</v>
      </c>
      <c r="J549" s="29" t="str">
        <f t="shared" si="48"/>
        <v>Thu</v>
      </c>
      <c r="K549" s="29" t="b">
        <f t="shared" si="49"/>
        <v>0</v>
      </c>
      <c r="L549" s="29" t="b">
        <f t="shared" si="50"/>
        <v>1</v>
      </c>
      <c r="M549" s="29" t="b">
        <f t="shared" si="53"/>
        <v>1</v>
      </c>
      <c r="N549" s="29" cm="1">
        <f t="array" ref="N549">_xlfn.IFS(
  E549="Airlines 1", IF(K549, F549*0.04, 0),
  E549="Airlines 2", P549,
  E549="Airlines 3", IF(L549, 20000*F549, 0),
  E549="Airlines 4", IF(M549, 15000*F549, 0),
  E549="Airlines 5",
    IF(F549&lt;50000000, F549*0.01,
      IF(F549&lt;100000000, F549*0.02,
        IF(F549&lt;200000000, F549*0.03, F549*0.035))),
  TRUE, 0
)</f>
        <v>0.01</v>
      </c>
      <c r="O549" s="29">
        <f t="shared" si="51"/>
        <v>16</v>
      </c>
      <c r="P549" s="29">
        <f t="shared" si="52"/>
        <v>0</v>
      </c>
      <c r="Q549" s="30" cm="1">
        <f t="array" ref="Q549">_xlfn.SWITCH(I549, "Method 1", 0, "Method 2", H549*0.03, "Method 3", 4000, "Method 4", 3000, 0)</f>
        <v>4000</v>
      </c>
    </row>
    <row r="550" spans="1:17">
      <c r="A550" s="24">
        <v>53202207</v>
      </c>
      <c r="B550" s="17">
        <v>42278</v>
      </c>
      <c r="C550" s="17">
        <v>42278</v>
      </c>
      <c r="D550" s="18" t="s">
        <v>207</v>
      </c>
      <c r="E550" s="18" t="s">
        <v>17</v>
      </c>
      <c r="F550" s="18">
        <v>1</v>
      </c>
      <c r="G550" s="19">
        <v>568000</v>
      </c>
      <c r="H550" s="19">
        <v>562900</v>
      </c>
      <c r="I550" s="18" t="s">
        <v>26</v>
      </c>
      <c r="J550" s="29" t="str">
        <f t="shared" si="48"/>
        <v>Thu</v>
      </c>
      <c r="K550" s="29" t="b">
        <f t="shared" si="49"/>
        <v>0</v>
      </c>
      <c r="L550" s="29" t="b">
        <f t="shared" si="50"/>
        <v>0</v>
      </c>
      <c r="M550" s="29" t="b">
        <f t="shared" si="53"/>
        <v>1</v>
      </c>
      <c r="N550" s="29" cm="1">
        <f t="array" ref="N550">_xlfn.IFS(
  E550="Airlines 1", IF(K550, F550*0.04, 0),
  E550="Airlines 2", P550,
  E550="Airlines 3", IF(L550, 20000*F550, 0),
  E550="Airlines 4", IF(M550, 15000*F550, 0),
  E550="Airlines 5",
    IF(F550&lt;50000000, F550*0.01,
      IF(F550&lt;100000000, F550*0.02,
        IF(F550&lt;200000000, F550*0.03, F550*0.035))),
  TRUE, 0
)</f>
        <v>0.01</v>
      </c>
      <c r="O550" s="29">
        <f t="shared" si="51"/>
        <v>16</v>
      </c>
      <c r="P550" s="29">
        <f t="shared" si="52"/>
        <v>0</v>
      </c>
      <c r="Q550" s="30" cm="1">
        <f t="array" ref="Q550">_xlfn.SWITCH(I550, "Method 1", 0, "Method 2", H550*0.03, "Method 3", 4000, "Method 4", 3000, 0)</f>
        <v>4000</v>
      </c>
    </row>
    <row r="551" spans="1:17">
      <c r="A551" s="24">
        <v>53201914</v>
      </c>
      <c r="B551" s="17">
        <v>42278</v>
      </c>
      <c r="C551" s="17">
        <v>42279</v>
      </c>
      <c r="D551" s="18" t="s">
        <v>55</v>
      </c>
      <c r="E551" s="18" t="s">
        <v>17</v>
      </c>
      <c r="F551" s="18">
        <v>1</v>
      </c>
      <c r="G551" s="19">
        <v>760000</v>
      </c>
      <c r="H551" s="19">
        <v>752400</v>
      </c>
      <c r="I551" s="18" t="s">
        <v>26</v>
      </c>
      <c r="J551" s="29" t="str">
        <f t="shared" si="48"/>
        <v>Thu</v>
      </c>
      <c r="K551" s="29" t="b">
        <f t="shared" si="49"/>
        <v>0</v>
      </c>
      <c r="L551" s="29" t="b">
        <f t="shared" si="50"/>
        <v>0</v>
      </c>
      <c r="M551" s="29" t="b">
        <f t="shared" si="53"/>
        <v>1</v>
      </c>
      <c r="N551" s="29" cm="1">
        <f t="array" ref="N551">_xlfn.IFS(
  E551="Airlines 1", IF(K551, F551*0.04, 0),
  E551="Airlines 2", P551,
  E551="Airlines 3", IF(L551, 20000*F551, 0),
  E551="Airlines 4", IF(M551, 15000*F551, 0),
  E551="Airlines 5",
    IF(F551&lt;50000000, F551*0.01,
      IF(F551&lt;100000000, F551*0.02,
        IF(F551&lt;200000000, F551*0.03, F551*0.035))),
  TRUE, 0
)</f>
        <v>0.01</v>
      </c>
      <c r="O551" s="29">
        <f t="shared" si="51"/>
        <v>16</v>
      </c>
      <c r="P551" s="29">
        <f t="shared" si="52"/>
        <v>0</v>
      </c>
      <c r="Q551" s="30" cm="1">
        <f t="array" ref="Q551">_xlfn.SWITCH(I551, "Method 1", 0, "Method 2", H551*0.03, "Method 3", 4000, "Method 4", 3000, 0)</f>
        <v>4000</v>
      </c>
    </row>
    <row r="552" spans="1:17">
      <c r="A552" s="24">
        <v>53201898</v>
      </c>
      <c r="B552" s="17">
        <v>42278</v>
      </c>
      <c r="C552" s="17">
        <v>42278</v>
      </c>
      <c r="D552" s="18" t="s">
        <v>118</v>
      </c>
      <c r="E552" s="18" t="s">
        <v>17</v>
      </c>
      <c r="F552" s="18">
        <v>1</v>
      </c>
      <c r="G552" s="19">
        <v>514000</v>
      </c>
      <c r="H552" s="19">
        <v>508900</v>
      </c>
      <c r="I552" s="18" t="s">
        <v>26</v>
      </c>
      <c r="J552" s="29" t="str">
        <f t="shared" si="48"/>
        <v>Thu</v>
      </c>
      <c r="K552" s="29" t="b">
        <f t="shared" si="49"/>
        <v>0</v>
      </c>
      <c r="L552" s="29" t="b">
        <f t="shared" si="50"/>
        <v>0</v>
      </c>
      <c r="M552" s="29" t="b">
        <f t="shared" si="53"/>
        <v>1</v>
      </c>
      <c r="N552" s="29" cm="1">
        <f t="array" ref="N552">_xlfn.IFS(
  E552="Airlines 1", IF(K552, F552*0.04, 0),
  E552="Airlines 2", P552,
  E552="Airlines 3", IF(L552, 20000*F552, 0),
  E552="Airlines 4", IF(M552, 15000*F552, 0),
  E552="Airlines 5",
    IF(F552&lt;50000000, F552*0.01,
      IF(F552&lt;100000000, F552*0.02,
        IF(F552&lt;200000000, F552*0.03, F552*0.035))),
  TRUE, 0
)</f>
        <v>0.01</v>
      </c>
      <c r="O552" s="29">
        <f t="shared" si="51"/>
        <v>16</v>
      </c>
      <c r="P552" s="29">
        <f t="shared" si="52"/>
        <v>0</v>
      </c>
      <c r="Q552" s="30" cm="1">
        <f t="array" ref="Q552">_xlfn.SWITCH(I552, "Method 1", 0, "Method 2", H552*0.03, "Method 3", 4000, "Method 4", 3000, 0)</f>
        <v>4000</v>
      </c>
    </row>
    <row r="553" spans="1:17">
      <c r="A553" s="24">
        <v>53201908</v>
      </c>
      <c r="B553" s="17">
        <v>42279</v>
      </c>
      <c r="C553" s="17">
        <v>42281</v>
      </c>
      <c r="D553" s="18" t="s">
        <v>118</v>
      </c>
      <c r="E553" s="18" t="s">
        <v>17</v>
      </c>
      <c r="F553" s="18">
        <v>2</v>
      </c>
      <c r="G553" s="19">
        <v>544000</v>
      </c>
      <c r="H553" s="19">
        <v>538600</v>
      </c>
      <c r="I553" s="18" t="s">
        <v>26</v>
      </c>
      <c r="J553" s="29" t="str">
        <f t="shared" si="48"/>
        <v>Fri</v>
      </c>
      <c r="K553" s="29" t="b">
        <f t="shared" si="49"/>
        <v>0</v>
      </c>
      <c r="L553" s="29" t="b">
        <f t="shared" si="50"/>
        <v>0</v>
      </c>
      <c r="M553" s="29" t="b">
        <f t="shared" si="53"/>
        <v>1</v>
      </c>
      <c r="N553" s="29" cm="1">
        <f t="array" ref="N553">_xlfn.IFS(
  E553="Airlines 1", IF(K553, F553*0.04, 0),
  E553="Airlines 2", P553,
  E553="Airlines 3", IF(L553, 20000*F553, 0),
  E553="Airlines 4", IF(M553, 15000*F553, 0),
  E553="Airlines 5",
    IF(F553&lt;50000000, F553*0.01,
      IF(F553&lt;100000000, F553*0.02,
        IF(F553&lt;200000000, F553*0.03, F553*0.035))),
  TRUE, 0
)</f>
        <v>0.02</v>
      </c>
      <c r="O553" s="29">
        <f t="shared" si="51"/>
        <v>0</v>
      </c>
      <c r="P553" s="29">
        <f t="shared" si="52"/>
        <v>0</v>
      </c>
      <c r="Q553" s="30" cm="1">
        <f t="array" ref="Q553">_xlfn.SWITCH(I553, "Method 1", 0, "Method 2", H553*0.03, "Method 3", 4000, "Method 4", 3000, 0)</f>
        <v>4000</v>
      </c>
    </row>
    <row r="554" spans="1:17">
      <c r="A554" s="24">
        <v>53202210</v>
      </c>
      <c r="B554" s="17">
        <v>42279</v>
      </c>
      <c r="C554" s="17">
        <v>42282</v>
      </c>
      <c r="D554" s="18" t="s">
        <v>68</v>
      </c>
      <c r="E554" s="18" t="s">
        <v>17</v>
      </c>
      <c r="F554" s="18">
        <v>1</v>
      </c>
      <c r="G554" s="19">
        <v>287000</v>
      </c>
      <c r="H554" s="19">
        <v>284100</v>
      </c>
      <c r="I554" s="18" t="s">
        <v>24</v>
      </c>
      <c r="J554" s="29" t="str">
        <f t="shared" si="48"/>
        <v>Fri</v>
      </c>
      <c r="K554" s="29" t="b">
        <f t="shared" si="49"/>
        <v>0</v>
      </c>
      <c r="L554" s="29" t="b">
        <f t="shared" si="50"/>
        <v>0</v>
      </c>
      <c r="M554" s="29" t="b">
        <f t="shared" si="53"/>
        <v>1</v>
      </c>
      <c r="N554" s="29" cm="1">
        <f t="array" ref="N554">_xlfn.IFS(
  E554="Airlines 1", IF(K554, F554*0.04, 0),
  E554="Airlines 2", P554,
  E554="Airlines 3", IF(L554, 20000*F554, 0),
  E554="Airlines 4", IF(M554, 15000*F554, 0),
  E554="Airlines 5",
    IF(F554&lt;50000000, F554*0.01,
      IF(F554&lt;100000000, F554*0.02,
        IF(F554&lt;200000000, F554*0.03, F554*0.035))),
  TRUE, 0
)</f>
        <v>0.01</v>
      </c>
      <c r="O554" s="29">
        <f t="shared" si="51"/>
        <v>0</v>
      </c>
      <c r="P554" s="29">
        <f t="shared" si="52"/>
        <v>0</v>
      </c>
      <c r="Q554" s="30" cm="1">
        <f t="array" ref="Q554">_xlfn.SWITCH(I554, "Method 1", 0, "Method 2", H554*0.03, "Method 3", 4000, "Method 4", 3000, 0)</f>
        <v>8523</v>
      </c>
    </row>
    <row r="555" spans="1:17">
      <c r="A555" s="24">
        <v>53202315</v>
      </c>
      <c r="B555" s="17">
        <v>42279</v>
      </c>
      <c r="C555" s="17">
        <v>42285</v>
      </c>
      <c r="D555" s="18" t="s">
        <v>42</v>
      </c>
      <c r="E555" s="18" t="s">
        <v>17</v>
      </c>
      <c r="F555" s="18">
        <v>4</v>
      </c>
      <c r="G555" s="19">
        <v>2908000</v>
      </c>
      <c r="H555" s="19">
        <v>2878800</v>
      </c>
      <c r="I555" s="18" t="s">
        <v>26</v>
      </c>
      <c r="J555" s="29" t="str">
        <f t="shared" si="48"/>
        <v>Fri</v>
      </c>
      <c r="K555" s="29" t="b">
        <f t="shared" si="49"/>
        <v>0</v>
      </c>
      <c r="L555" s="29" t="b">
        <f t="shared" si="50"/>
        <v>0</v>
      </c>
      <c r="M555" s="29" t="b">
        <f t="shared" si="53"/>
        <v>1</v>
      </c>
      <c r="N555" s="29" cm="1">
        <f t="array" ref="N555">_xlfn.IFS(
  E555="Airlines 1", IF(K555, F555*0.04, 0),
  E555="Airlines 2", P555,
  E555="Airlines 3", IF(L555, 20000*F555, 0),
  E555="Airlines 4", IF(M555, 15000*F555, 0),
  E555="Airlines 5",
    IF(F555&lt;50000000, F555*0.01,
      IF(F555&lt;100000000, F555*0.02,
        IF(F555&lt;200000000, F555*0.03, F555*0.035))),
  TRUE, 0
)</f>
        <v>0.04</v>
      </c>
      <c r="O555" s="29">
        <f t="shared" si="51"/>
        <v>0</v>
      </c>
      <c r="P555" s="29">
        <f t="shared" si="52"/>
        <v>0</v>
      </c>
      <c r="Q555" s="30" cm="1">
        <f t="array" ref="Q555">_xlfn.SWITCH(I555, "Method 1", 0, "Method 2", H555*0.03, "Method 3", 4000, "Method 4", 3000, 0)</f>
        <v>4000</v>
      </c>
    </row>
    <row r="556" spans="1:17">
      <c r="A556" s="24">
        <v>53202299</v>
      </c>
      <c r="B556" s="17">
        <v>42279</v>
      </c>
      <c r="C556" s="17">
        <v>42280</v>
      </c>
      <c r="D556" s="18" t="s">
        <v>43</v>
      </c>
      <c r="E556" s="18" t="s">
        <v>17</v>
      </c>
      <c r="F556" s="18">
        <v>1</v>
      </c>
      <c r="G556" s="19">
        <v>564000</v>
      </c>
      <c r="H556" s="19">
        <v>558400</v>
      </c>
      <c r="I556" s="18" t="s">
        <v>24</v>
      </c>
      <c r="J556" s="29" t="str">
        <f t="shared" si="48"/>
        <v>Fri</v>
      </c>
      <c r="K556" s="29" t="b">
        <f t="shared" si="49"/>
        <v>0</v>
      </c>
      <c r="L556" s="29" t="b">
        <f t="shared" si="50"/>
        <v>1</v>
      </c>
      <c r="M556" s="29" t="b">
        <f t="shared" si="53"/>
        <v>1</v>
      </c>
      <c r="N556" s="29" cm="1">
        <f t="array" ref="N556">_xlfn.IFS(
  E556="Airlines 1", IF(K556, F556*0.04, 0),
  E556="Airlines 2", P556,
  E556="Airlines 3", IF(L556, 20000*F556, 0),
  E556="Airlines 4", IF(M556, 15000*F556, 0),
  E556="Airlines 5",
    IF(F556&lt;50000000, F556*0.01,
      IF(F556&lt;100000000, F556*0.02,
        IF(F556&lt;200000000, F556*0.03, F556*0.035))),
  TRUE, 0
)</f>
        <v>0.01</v>
      </c>
      <c r="O556" s="29">
        <f t="shared" si="51"/>
        <v>0</v>
      </c>
      <c r="P556" s="29">
        <f t="shared" si="52"/>
        <v>0</v>
      </c>
      <c r="Q556" s="30" cm="1">
        <f t="array" ref="Q556">_xlfn.SWITCH(I556, "Method 1", 0, "Method 2", H556*0.03, "Method 3", 4000, "Method 4", 3000, 0)</f>
        <v>16752</v>
      </c>
    </row>
    <row r="557" spans="1:17">
      <c r="A557" s="24">
        <v>53202314</v>
      </c>
      <c r="B557" s="17">
        <v>42279</v>
      </c>
      <c r="C557" s="17">
        <v>42371</v>
      </c>
      <c r="D557" s="18" t="s">
        <v>68</v>
      </c>
      <c r="E557" s="18" t="s">
        <v>17</v>
      </c>
      <c r="F557" s="18">
        <v>1</v>
      </c>
      <c r="G557" s="19">
        <v>287000</v>
      </c>
      <c r="H557" s="19">
        <v>284100</v>
      </c>
      <c r="I557" s="18" t="s">
        <v>26</v>
      </c>
      <c r="J557" s="29" t="str">
        <f t="shared" si="48"/>
        <v>Fri</v>
      </c>
      <c r="K557" s="29" t="b">
        <f t="shared" si="49"/>
        <v>0</v>
      </c>
      <c r="L557" s="29" t="b">
        <f t="shared" si="50"/>
        <v>0</v>
      </c>
      <c r="M557" s="29" t="b">
        <f t="shared" si="53"/>
        <v>1</v>
      </c>
      <c r="N557" s="29" cm="1">
        <f t="array" ref="N557">_xlfn.IFS(
  E557="Airlines 1", IF(K557, F557*0.04, 0),
  E557="Airlines 2", P557,
  E557="Airlines 3", IF(L557, 20000*F557, 0),
  E557="Airlines 4", IF(M557, 15000*F557, 0),
  E557="Airlines 5",
    IF(F557&lt;50000000, F557*0.01,
      IF(F557&lt;100000000, F557*0.02,
        IF(F557&lt;200000000, F557*0.03, F557*0.035))),
  TRUE, 0
)</f>
        <v>0.01</v>
      </c>
      <c r="O557" s="29">
        <f t="shared" si="51"/>
        <v>0</v>
      </c>
      <c r="P557" s="29">
        <f t="shared" si="52"/>
        <v>0</v>
      </c>
      <c r="Q557" s="30" cm="1">
        <f t="array" ref="Q557">_xlfn.SWITCH(I557, "Method 1", 0, "Method 2", H557*0.03, "Method 3", 4000, "Method 4", 3000, 0)</f>
        <v>4000</v>
      </c>
    </row>
    <row r="558" spans="1:17">
      <c r="A558" s="24">
        <v>53202348</v>
      </c>
      <c r="B558" s="17">
        <v>42279</v>
      </c>
      <c r="C558" s="17">
        <v>42289</v>
      </c>
      <c r="D558" s="18" t="s">
        <v>207</v>
      </c>
      <c r="E558" s="18" t="s">
        <v>17</v>
      </c>
      <c r="F558" s="18">
        <v>1</v>
      </c>
      <c r="G558" s="19">
        <v>513000</v>
      </c>
      <c r="H558" s="19">
        <v>507900</v>
      </c>
      <c r="I558" s="18" t="s">
        <v>24</v>
      </c>
      <c r="J558" s="29" t="str">
        <f t="shared" si="48"/>
        <v>Fri</v>
      </c>
      <c r="K558" s="29" t="b">
        <f t="shared" si="49"/>
        <v>0</v>
      </c>
      <c r="L558" s="29" t="b">
        <f t="shared" si="50"/>
        <v>0</v>
      </c>
      <c r="M558" s="29" t="b">
        <f t="shared" si="53"/>
        <v>1</v>
      </c>
      <c r="N558" s="29" cm="1">
        <f t="array" ref="N558">_xlfn.IFS(
  E558="Airlines 1", IF(K558, F558*0.04, 0),
  E558="Airlines 2", P558,
  E558="Airlines 3", IF(L558, 20000*F558, 0),
  E558="Airlines 4", IF(M558, 15000*F558, 0),
  E558="Airlines 5",
    IF(F558&lt;50000000, F558*0.01,
      IF(F558&lt;100000000, F558*0.02,
        IF(F558&lt;200000000, F558*0.03, F558*0.035))),
  TRUE, 0
)</f>
        <v>0.01</v>
      </c>
      <c r="O558" s="29">
        <f t="shared" si="51"/>
        <v>0</v>
      </c>
      <c r="P558" s="29">
        <f t="shared" si="52"/>
        <v>0</v>
      </c>
      <c r="Q558" s="30" cm="1">
        <f t="array" ref="Q558">_xlfn.SWITCH(I558, "Method 1", 0, "Method 2", H558*0.03, "Method 3", 4000, "Method 4", 3000, 0)</f>
        <v>15237</v>
      </c>
    </row>
    <row r="559" spans="1:17">
      <c r="A559" s="24">
        <v>53202205</v>
      </c>
      <c r="B559" s="17">
        <v>42279</v>
      </c>
      <c r="C559" s="17">
        <v>42280</v>
      </c>
      <c r="D559" s="18" t="s">
        <v>208</v>
      </c>
      <c r="E559" s="18" t="s">
        <v>17</v>
      </c>
      <c r="F559" s="18">
        <v>1</v>
      </c>
      <c r="G559" s="19">
        <v>344000</v>
      </c>
      <c r="H559" s="19">
        <v>340600</v>
      </c>
      <c r="I559" s="18" t="s">
        <v>22</v>
      </c>
      <c r="J559" s="29" t="str">
        <f t="shared" si="48"/>
        <v>Fri</v>
      </c>
      <c r="K559" s="29" t="b">
        <f t="shared" si="49"/>
        <v>0</v>
      </c>
      <c r="L559" s="29" t="b">
        <f t="shared" si="50"/>
        <v>0</v>
      </c>
      <c r="M559" s="29" t="b">
        <f t="shared" si="53"/>
        <v>1</v>
      </c>
      <c r="N559" s="29" cm="1">
        <f t="array" ref="N559">_xlfn.IFS(
  E559="Airlines 1", IF(K559, F559*0.04, 0),
  E559="Airlines 2", P559,
  E559="Airlines 3", IF(L559, 20000*F559, 0),
  E559="Airlines 4", IF(M559, 15000*F559, 0),
  E559="Airlines 5",
    IF(F559&lt;50000000, F559*0.01,
      IF(F559&lt;100000000, F559*0.02,
        IF(F559&lt;200000000, F559*0.03, F559*0.035))),
  TRUE, 0
)</f>
        <v>0.01</v>
      </c>
      <c r="O559" s="29">
        <f t="shared" si="51"/>
        <v>0</v>
      </c>
      <c r="P559" s="29">
        <f t="shared" si="52"/>
        <v>0</v>
      </c>
      <c r="Q559" s="30" cm="1">
        <f t="array" ref="Q559">_xlfn.SWITCH(I559, "Method 1", 0, "Method 2", H559*0.03, "Method 3", 4000, "Method 4", 3000, 0)</f>
        <v>0</v>
      </c>
    </row>
    <row r="560" spans="1:17">
      <c r="A560" s="24">
        <v>53201755</v>
      </c>
      <c r="B560" s="17">
        <v>42279</v>
      </c>
      <c r="C560" s="17">
        <v>42281</v>
      </c>
      <c r="D560" s="18" t="s">
        <v>118</v>
      </c>
      <c r="E560" s="18" t="s">
        <v>17</v>
      </c>
      <c r="F560" s="18">
        <v>2</v>
      </c>
      <c r="G560" s="19">
        <v>610000</v>
      </c>
      <c r="H560" s="19">
        <v>604000</v>
      </c>
      <c r="I560" s="18" t="s">
        <v>26</v>
      </c>
      <c r="J560" s="29" t="str">
        <f t="shared" si="48"/>
        <v>Fri</v>
      </c>
      <c r="K560" s="29" t="b">
        <f t="shared" si="49"/>
        <v>0</v>
      </c>
      <c r="L560" s="29" t="b">
        <f t="shared" si="50"/>
        <v>0</v>
      </c>
      <c r="M560" s="29" t="b">
        <f t="shared" si="53"/>
        <v>1</v>
      </c>
      <c r="N560" s="29" cm="1">
        <f t="array" ref="N560">_xlfn.IFS(
  E560="Airlines 1", IF(K560, F560*0.04, 0),
  E560="Airlines 2", P560,
  E560="Airlines 3", IF(L560, 20000*F560, 0),
  E560="Airlines 4", IF(M560, 15000*F560, 0),
  E560="Airlines 5",
    IF(F560&lt;50000000, F560*0.01,
      IF(F560&lt;100000000, F560*0.02,
        IF(F560&lt;200000000, F560*0.03, F560*0.035))),
  TRUE, 0
)</f>
        <v>0.02</v>
      </c>
      <c r="O560" s="29">
        <f t="shared" si="51"/>
        <v>0</v>
      </c>
      <c r="P560" s="29">
        <f t="shared" si="52"/>
        <v>0</v>
      </c>
      <c r="Q560" s="30" cm="1">
        <f t="array" ref="Q560">_xlfn.SWITCH(I560, "Method 1", 0, "Method 2", H560*0.03, "Method 3", 4000, "Method 4", 3000, 0)</f>
        <v>4000</v>
      </c>
    </row>
    <row r="561" spans="1:17">
      <c r="A561" s="24">
        <v>53202177</v>
      </c>
      <c r="B561" s="17">
        <v>42281</v>
      </c>
      <c r="C561" s="17">
        <v>42281</v>
      </c>
      <c r="D561" s="18" t="s">
        <v>70</v>
      </c>
      <c r="E561" s="18" t="s">
        <v>17</v>
      </c>
      <c r="F561" s="18">
        <v>3</v>
      </c>
      <c r="G561" s="19">
        <v>1365900</v>
      </c>
      <c r="H561" s="19">
        <v>1352100</v>
      </c>
      <c r="I561" s="18" t="s">
        <v>24</v>
      </c>
      <c r="J561" s="29" t="str">
        <f t="shared" si="48"/>
        <v>Sun</v>
      </c>
      <c r="K561" s="29" t="b">
        <f t="shared" si="49"/>
        <v>1</v>
      </c>
      <c r="L561" s="29" t="b">
        <f t="shared" si="50"/>
        <v>0</v>
      </c>
      <c r="M561" s="29" t="b">
        <f t="shared" si="53"/>
        <v>1</v>
      </c>
      <c r="N561" s="29" cm="1">
        <f t="array" ref="N561">_xlfn.IFS(
  E561="Airlines 1", IF(K561, F561*0.04, 0),
  E561="Airlines 2", P561,
  E561="Airlines 3", IF(L561, 20000*F561, 0),
  E561="Airlines 4", IF(M561, 15000*F561, 0),
  E561="Airlines 5",
    IF(F561&lt;50000000, F561*0.01,
      IF(F561&lt;100000000, F561*0.02,
        IF(F561&lt;200000000, F561*0.03, F561*0.035))),
  TRUE, 0
)</f>
        <v>0.03</v>
      </c>
      <c r="O561" s="29">
        <f t="shared" si="51"/>
        <v>0</v>
      </c>
      <c r="P561" s="29">
        <f t="shared" si="52"/>
        <v>0</v>
      </c>
      <c r="Q561" s="30" cm="1">
        <f t="array" ref="Q561">_xlfn.SWITCH(I561, "Method 1", 0, "Method 2", H561*0.03, "Method 3", 4000, "Method 4", 3000, 0)</f>
        <v>40563</v>
      </c>
    </row>
    <row r="562" spans="1:17">
      <c r="A562" s="24">
        <v>53202359</v>
      </c>
      <c r="B562" s="17">
        <v>42281</v>
      </c>
      <c r="C562" s="17">
        <v>42281</v>
      </c>
      <c r="D562" s="18" t="s">
        <v>211</v>
      </c>
      <c r="E562" s="18" t="s">
        <v>17</v>
      </c>
      <c r="F562" s="18">
        <v>1</v>
      </c>
      <c r="G562" s="19">
        <v>641000</v>
      </c>
      <c r="H562" s="19">
        <v>634600</v>
      </c>
      <c r="I562" s="18" t="s">
        <v>26</v>
      </c>
      <c r="J562" s="29" t="str">
        <f t="shared" si="48"/>
        <v>Sun</v>
      </c>
      <c r="K562" s="29" t="b">
        <f t="shared" si="49"/>
        <v>1</v>
      </c>
      <c r="L562" s="29" t="b">
        <f t="shared" si="50"/>
        <v>0</v>
      </c>
      <c r="M562" s="29" t="b">
        <f t="shared" si="53"/>
        <v>1</v>
      </c>
      <c r="N562" s="29" cm="1">
        <f t="array" ref="N562">_xlfn.IFS(
  E562="Airlines 1", IF(K562, F562*0.04, 0),
  E562="Airlines 2", P562,
  E562="Airlines 3", IF(L562, 20000*F562, 0),
  E562="Airlines 4", IF(M562, 15000*F562, 0),
  E562="Airlines 5",
    IF(F562&lt;50000000, F562*0.01,
      IF(F562&lt;100000000, F562*0.02,
        IF(F562&lt;200000000, F562*0.03, F562*0.035))),
  TRUE, 0
)</f>
        <v>0.01</v>
      </c>
      <c r="O562" s="29">
        <f t="shared" si="51"/>
        <v>0</v>
      </c>
      <c r="P562" s="29">
        <f t="shared" si="52"/>
        <v>0</v>
      </c>
      <c r="Q562" s="30" cm="1">
        <f t="array" ref="Q562">_xlfn.SWITCH(I562, "Method 1", 0, "Method 2", H562*0.03, "Method 3", 4000, "Method 4", 3000, 0)</f>
        <v>4000</v>
      </c>
    </row>
    <row r="563" spans="1:17">
      <c r="A563" s="24">
        <v>53202259</v>
      </c>
      <c r="B563" s="17">
        <v>42281</v>
      </c>
      <c r="C563" s="17">
        <v>42282</v>
      </c>
      <c r="D563" s="18" t="s">
        <v>43</v>
      </c>
      <c r="E563" s="18" t="s">
        <v>17</v>
      </c>
      <c r="F563" s="18">
        <v>1</v>
      </c>
      <c r="G563" s="19">
        <v>564000</v>
      </c>
      <c r="H563" s="19">
        <v>558400</v>
      </c>
      <c r="I563" s="18" t="s">
        <v>24</v>
      </c>
      <c r="J563" s="29" t="str">
        <f t="shared" si="48"/>
        <v>Sun</v>
      </c>
      <c r="K563" s="29" t="b">
        <f t="shared" si="49"/>
        <v>1</v>
      </c>
      <c r="L563" s="29" t="b">
        <f t="shared" si="50"/>
        <v>1</v>
      </c>
      <c r="M563" s="29" t="b">
        <f t="shared" si="53"/>
        <v>1</v>
      </c>
      <c r="N563" s="29" cm="1">
        <f t="array" ref="N563">_xlfn.IFS(
  E563="Airlines 1", IF(K563, F563*0.04, 0),
  E563="Airlines 2", P563,
  E563="Airlines 3", IF(L563, 20000*F563, 0),
  E563="Airlines 4", IF(M563, 15000*F563, 0),
  E563="Airlines 5",
    IF(F563&lt;50000000, F563*0.01,
      IF(F563&lt;100000000, F563*0.02,
        IF(F563&lt;200000000, F563*0.03, F563*0.035))),
  TRUE, 0
)</f>
        <v>0.01</v>
      </c>
      <c r="O563" s="29">
        <f t="shared" si="51"/>
        <v>0</v>
      </c>
      <c r="P563" s="29">
        <f t="shared" si="52"/>
        <v>0</v>
      </c>
      <c r="Q563" s="30" cm="1">
        <f t="array" ref="Q563">_xlfn.SWITCH(I563, "Method 1", 0, "Method 2", H563*0.03, "Method 3", 4000, "Method 4", 3000, 0)</f>
        <v>16752</v>
      </c>
    </row>
    <row r="564" spans="1:17">
      <c r="A564" s="24">
        <v>53202372</v>
      </c>
      <c r="B564" s="17">
        <v>42281</v>
      </c>
      <c r="C564" s="17">
        <v>42282</v>
      </c>
      <c r="D564" s="18" t="s">
        <v>51</v>
      </c>
      <c r="E564" s="18" t="s">
        <v>17</v>
      </c>
      <c r="F564" s="18">
        <v>1</v>
      </c>
      <c r="G564" s="19">
        <v>762000</v>
      </c>
      <c r="H564" s="19">
        <v>754400</v>
      </c>
      <c r="I564" s="18" t="s">
        <v>26</v>
      </c>
      <c r="J564" s="29" t="str">
        <f t="shared" si="48"/>
        <v>Sun</v>
      </c>
      <c r="K564" s="29" t="b">
        <f t="shared" si="49"/>
        <v>1</v>
      </c>
      <c r="L564" s="29" t="b">
        <f t="shared" si="50"/>
        <v>0</v>
      </c>
      <c r="M564" s="29" t="b">
        <f t="shared" si="53"/>
        <v>1</v>
      </c>
      <c r="N564" s="29" cm="1">
        <f t="array" ref="N564">_xlfn.IFS(
  E564="Airlines 1", IF(K564, F564*0.04, 0),
  E564="Airlines 2", P564,
  E564="Airlines 3", IF(L564, 20000*F564, 0),
  E564="Airlines 4", IF(M564, 15000*F564, 0),
  E564="Airlines 5",
    IF(F564&lt;50000000, F564*0.01,
      IF(F564&lt;100000000, F564*0.02,
        IF(F564&lt;200000000, F564*0.03, F564*0.035))),
  TRUE, 0
)</f>
        <v>0.01</v>
      </c>
      <c r="O564" s="29">
        <f t="shared" si="51"/>
        <v>0</v>
      </c>
      <c r="P564" s="29">
        <f t="shared" si="52"/>
        <v>0</v>
      </c>
      <c r="Q564" s="30" cm="1">
        <f t="array" ref="Q564">_xlfn.SWITCH(I564, "Method 1", 0, "Method 2", H564*0.03, "Method 3", 4000, "Method 4", 3000, 0)</f>
        <v>4000</v>
      </c>
    </row>
    <row r="565" spans="1:17">
      <c r="A565" s="24">
        <v>53202426</v>
      </c>
      <c r="B565" s="17">
        <v>42282</v>
      </c>
      <c r="C565" s="17">
        <v>42284</v>
      </c>
      <c r="D565" s="18" t="s">
        <v>122</v>
      </c>
      <c r="E565" s="18" t="s">
        <v>17</v>
      </c>
      <c r="F565" s="18">
        <v>1</v>
      </c>
      <c r="G565" s="19">
        <v>548800</v>
      </c>
      <c r="H565" s="19">
        <v>543300</v>
      </c>
      <c r="I565" s="18" t="s">
        <v>24</v>
      </c>
      <c r="J565" s="29" t="str">
        <f t="shared" si="48"/>
        <v>Mon</v>
      </c>
      <c r="K565" s="29" t="b">
        <f t="shared" si="49"/>
        <v>0</v>
      </c>
      <c r="L565" s="29" t="b">
        <f t="shared" si="50"/>
        <v>0</v>
      </c>
      <c r="M565" s="29" t="b">
        <f t="shared" si="53"/>
        <v>1</v>
      </c>
      <c r="N565" s="29" cm="1">
        <f t="array" ref="N565">_xlfn.IFS(
  E565="Airlines 1", IF(K565, F565*0.04, 0),
  E565="Airlines 2", P565,
  E565="Airlines 3", IF(L565, 20000*F565, 0),
  E565="Airlines 4", IF(M565, 15000*F565, 0),
  E565="Airlines 5",
    IF(F565&lt;50000000, F565*0.01,
      IF(F565&lt;100000000, F565*0.02,
        IF(F565&lt;200000000, F565*0.03, F565*0.035))),
  TRUE, 0
)</f>
        <v>0.01</v>
      </c>
      <c r="O565" s="29">
        <f t="shared" si="51"/>
        <v>12</v>
      </c>
      <c r="P565" s="29">
        <f t="shared" si="52"/>
        <v>0</v>
      </c>
      <c r="Q565" s="30" cm="1">
        <f t="array" ref="Q565">_xlfn.SWITCH(I565, "Method 1", 0, "Method 2", H565*0.03, "Method 3", 4000, "Method 4", 3000, 0)</f>
        <v>16299</v>
      </c>
    </row>
    <row r="566" spans="1:17">
      <c r="A566" s="24">
        <v>53202398</v>
      </c>
      <c r="B566" s="17">
        <v>42282</v>
      </c>
      <c r="C566" s="17">
        <v>42286</v>
      </c>
      <c r="D566" s="18" t="s">
        <v>62</v>
      </c>
      <c r="E566" s="18" t="s">
        <v>17</v>
      </c>
      <c r="F566" s="18">
        <v>1</v>
      </c>
      <c r="G566" s="19">
        <v>529000</v>
      </c>
      <c r="H566" s="19">
        <v>523700</v>
      </c>
      <c r="I566" s="18" t="s">
        <v>22</v>
      </c>
      <c r="J566" s="29" t="str">
        <f t="shared" si="48"/>
        <v>Mon</v>
      </c>
      <c r="K566" s="29" t="b">
        <f t="shared" si="49"/>
        <v>0</v>
      </c>
      <c r="L566" s="29" t="b">
        <f t="shared" si="50"/>
        <v>1</v>
      </c>
      <c r="M566" s="29" t="b">
        <f t="shared" si="53"/>
        <v>1</v>
      </c>
      <c r="N566" s="29" cm="1">
        <f t="array" ref="N566">_xlfn.IFS(
  E566="Airlines 1", IF(K566, F566*0.04, 0),
  E566="Airlines 2", P566,
  E566="Airlines 3", IF(L566, 20000*F566, 0),
  E566="Airlines 4", IF(M566, 15000*F566, 0),
  E566="Airlines 5",
    IF(F566&lt;50000000, F566*0.01,
      IF(F566&lt;100000000, F566*0.02,
        IF(F566&lt;200000000, F566*0.03, F566*0.035))),
  TRUE, 0
)</f>
        <v>0.01</v>
      </c>
      <c r="O566" s="29">
        <f t="shared" si="51"/>
        <v>12</v>
      </c>
      <c r="P566" s="29">
        <f t="shared" si="52"/>
        <v>0</v>
      </c>
      <c r="Q566" s="30" cm="1">
        <f t="array" ref="Q566">_xlfn.SWITCH(I566, "Method 1", 0, "Method 2", H566*0.03, "Method 3", 4000, "Method 4", 3000, 0)</f>
        <v>0</v>
      </c>
    </row>
    <row r="567" spans="1:17">
      <c r="A567" s="24">
        <v>53202341</v>
      </c>
      <c r="B567" s="17">
        <v>42282</v>
      </c>
      <c r="C567" s="17">
        <v>42284</v>
      </c>
      <c r="D567" s="18" t="s">
        <v>48</v>
      </c>
      <c r="E567" s="18" t="s">
        <v>17</v>
      </c>
      <c r="F567" s="18">
        <v>1</v>
      </c>
      <c r="G567" s="19">
        <v>762000</v>
      </c>
      <c r="H567" s="19">
        <v>754400</v>
      </c>
      <c r="I567" s="18" t="s">
        <v>26</v>
      </c>
      <c r="J567" s="29" t="str">
        <f t="shared" si="48"/>
        <v>Mon</v>
      </c>
      <c r="K567" s="29" t="b">
        <f t="shared" si="49"/>
        <v>0</v>
      </c>
      <c r="L567" s="29" t="b">
        <f t="shared" si="50"/>
        <v>0</v>
      </c>
      <c r="M567" s="29" t="b">
        <f t="shared" si="53"/>
        <v>1</v>
      </c>
      <c r="N567" s="29" cm="1">
        <f t="array" ref="N567">_xlfn.IFS(
  E567="Airlines 1", IF(K567, F567*0.04, 0),
  E567="Airlines 2", P567,
  E567="Airlines 3", IF(L567, 20000*F567, 0),
  E567="Airlines 4", IF(M567, 15000*F567, 0),
  E567="Airlines 5",
    IF(F567&lt;50000000, F567*0.01,
      IF(F567&lt;100000000, F567*0.02,
        IF(F567&lt;200000000, F567*0.03, F567*0.035))),
  TRUE, 0
)</f>
        <v>0.01</v>
      </c>
      <c r="O567" s="29">
        <f t="shared" si="51"/>
        <v>12</v>
      </c>
      <c r="P567" s="29">
        <f t="shared" si="52"/>
        <v>0</v>
      </c>
      <c r="Q567" s="30" cm="1">
        <f t="array" ref="Q567">_xlfn.SWITCH(I567, "Method 1", 0, "Method 2", H567*0.03, "Method 3", 4000, "Method 4", 3000, 0)</f>
        <v>4000</v>
      </c>
    </row>
    <row r="568" spans="1:17">
      <c r="A568" s="24">
        <v>53201841</v>
      </c>
      <c r="B568" s="17">
        <v>42282</v>
      </c>
      <c r="C568" s="17">
        <v>42293</v>
      </c>
      <c r="D568" s="18" t="s">
        <v>109</v>
      </c>
      <c r="E568" s="18" t="s">
        <v>17</v>
      </c>
      <c r="F568" s="18">
        <v>1</v>
      </c>
      <c r="G568" s="19">
        <v>392000</v>
      </c>
      <c r="H568" s="19">
        <v>388100</v>
      </c>
      <c r="I568" s="18" t="s">
        <v>26</v>
      </c>
      <c r="J568" s="29" t="str">
        <f t="shared" si="48"/>
        <v>Mon</v>
      </c>
      <c r="K568" s="29" t="b">
        <f t="shared" si="49"/>
        <v>0</v>
      </c>
      <c r="L568" s="29" t="b">
        <f t="shared" si="50"/>
        <v>0</v>
      </c>
      <c r="M568" s="29" t="b">
        <f t="shared" si="53"/>
        <v>1</v>
      </c>
      <c r="N568" s="29" cm="1">
        <f t="array" ref="N568">_xlfn.IFS(
  E568="Airlines 1", IF(K568, F568*0.04, 0),
  E568="Airlines 2", P568,
  E568="Airlines 3", IF(L568, 20000*F568, 0),
  E568="Airlines 4", IF(M568, 15000*F568, 0),
  E568="Airlines 5",
    IF(F568&lt;50000000, F568*0.01,
      IF(F568&lt;100000000, F568*0.02,
        IF(F568&lt;200000000, F568*0.03, F568*0.035))),
  TRUE, 0
)</f>
        <v>0.01</v>
      </c>
      <c r="O568" s="29">
        <f t="shared" si="51"/>
        <v>12</v>
      </c>
      <c r="P568" s="29">
        <f t="shared" si="52"/>
        <v>0</v>
      </c>
      <c r="Q568" s="30" cm="1">
        <f t="array" ref="Q568">_xlfn.SWITCH(I568, "Method 1", 0, "Method 2", H568*0.03, "Method 3", 4000, "Method 4", 3000, 0)</f>
        <v>4000</v>
      </c>
    </row>
    <row r="569" spans="1:17">
      <c r="A569" s="24">
        <v>53202333</v>
      </c>
      <c r="B569" s="17">
        <v>42282</v>
      </c>
      <c r="C569" s="17">
        <v>42288</v>
      </c>
      <c r="D569" s="18" t="s">
        <v>212</v>
      </c>
      <c r="E569" s="18" t="s">
        <v>17</v>
      </c>
      <c r="F569" s="18">
        <v>1</v>
      </c>
      <c r="G569" s="19">
        <v>553000</v>
      </c>
      <c r="H569" s="19">
        <v>547500</v>
      </c>
      <c r="I569" s="18" t="s">
        <v>26</v>
      </c>
      <c r="J569" s="29" t="str">
        <f t="shared" si="48"/>
        <v>Mon</v>
      </c>
      <c r="K569" s="29" t="b">
        <f t="shared" si="49"/>
        <v>0</v>
      </c>
      <c r="L569" s="29" t="b">
        <f t="shared" si="50"/>
        <v>0</v>
      </c>
      <c r="M569" s="29" t="b">
        <f t="shared" si="53"/>
        <v>1</v>
      </c>
      <c r="N569" s="29" cm="1">
        <f t="array" ref="N569">_xlfn.IFS(
  E569="Airlines 1", IF(K569, F569*0.04, 0),
  E569="Airlines 2", P569,
  E569="Airlines 3", IF(L569, 20000*F569, 0),
  E569="Airlines 4", IF(M569, 15000*F569, 0),
  E569="Airlines 5",
    IF(F569&lt;50000000, F569*0.01,
      IF(F569&lt;100000000, F569*0.02,
        IF(F569&lt;200000000, F569*0.03, F569*0.035))),
  TRUE, 0
)</f>
        <v>0.01</v>
      </c>
      <c r="O569" s="29">
        <f t="shared" si="51"/>
        <v>12</v>
      </c>
      <c r="P569" s="29">
        <f t="shared" si="52"/>
        <v>0</v>
      </c>
      <c r="Q569" s="30" cm="1">
        <f t="array" ref="Q569">_xlfn.SWITCH(I569, "Method 1", 0, "Method 2", H569*0.03, "Method 3", 4000, "Method 4", 3000, 0)</f>
        <v>4000</v>
      </c>
    </row>
    <row r="570" spans="1:17">
      <c r="A570" s="24">
        <v>53202175</v>
      </c>
      <c r="B570" s="17">
        <v>42282</v>
      </c>
      <c r="C570" s="17">
        <v>42287</v>
      </c>
      <c r="D570" s="18" t="s">
        <v>207</v>
      </c>
      <c r="E570" s="18" t="s">
        <v>17</v>
      </c>
      <c r="F570" s="18">
        <v>2</v>
      </c>
      <c r="G570" s="19">
        <v>669600</v>
      </c>
      <c r="H570" s="19">
        <v>663000</v>
      </c>
      <c r="I570" s="18" t="s">
        <v>26</v>
      </c>
      <c r="J570" s="29" t="str">
        <f t="shared" si="48"/>
        <v>Mon</v>
      </c>
      <c r="K570" s="29" t="b">
        <f t="shared" si="49"/>
        <v>0</v>
      </c>
      <c r="L570" s="29" t="b">
        <f t="shared" si="50"/>
        <v>0</v>
      </c>
      <c r="M570" s="29" t="b">
        <f t="shared" si="53"/>
        <v>1</v>
      </c>
      <c r="N570" s="29" cm="1">
        <f t="array" ref="N570">_xlfn.IFS(
  E570="Airlines 1", IF(K570, F570*0.04, 0),
  E570="Airlines 2", P570,
  E570="Airlines 3", IF(L570, 20000*F570, 0),
  E570="Airlines 4", IF(M570, 15000*F570, 0),
  E570="Airlines 5",
    IF(F570&lt;50000000, F570*0.01,
      IF(F570&lt;100000000, F570*0.02,
        IF(F570&lt;200000000, F570*0.03, F570*0.035))),
  TRUE, 0
)</f>
        <v>0.02</v>
      </c>
      <c r="O570" s="29">
        <f t="shared" si="51"/>
        <v>12</v>
      </c>
      <c r="P570" s="29">
        <f t="shared" si="52"/>
        <v>0</v>
      </c>
      <c r="Q570" s="30" cm="1">
        <f t="array" ref="Q570">_xlfn.SWITCH(I570, "Method 1", 0, "Method 2", H570*0.03, "Method 3", 4000, "Method 4", 3000, 0)</f>
        <v>4000</v>
      </c>
    </row>
    <row r="571" spans="1:17">
      <c r="A571" s="24">
        <v>53202338</v>
      </c>
      <c r="B571" s="17">
        <v>42283</v>
      </c>
      <c r="C571" s="17">
        <v>42284</v>
      </c>
      <c r="D571" s="18" t="s">
        <v>65</v>
      </c>
      <c r="E571" s="18" t="s">
        <v>17</v>
      </c>
      <c r="F571" s="18">
        <v>1</v>
      </c>
      <c r="G571" s="19">
        <v>398000</v>
      </c>
      <c r="H571" s="19">
        <v>394000</v>
      </c>
      <c r="I571" s="18" t="s">
        <v>26</v>
      </c>
      <c r="J571" s="29" t="str">
        <f t="shared" si="48"/>
        <v>Tue</v>
      </c>
      <c r="K571" s="29" t="b">
        <f t="shared" si="49"/>
        <v>0</v>
      </c>
      <c r="L571" s="29" t="b">
        <f t="shared" si="50"/>
        <v>0</v>
      </c>
      <c r="M571" s="29" t="b">
        <f t="shared" si="53"/>
        <v>1</v>
      </c>
      <c r="N571" s="29" cm="1">
        <f t="array" ref="N571">_xlfn.IFS(
  E571="Airlines 1", IF(K571, F571*0.04, 0),
  E571="Airlines 2", P571,
  E571="Airlines 3", IF(L571, 20000*F571, 0),
  E571="Airlines 4", IF(M571, 15000*F571, 0),
  E571="Airlines 5",
    IF(F571&lt;50000000, F571*0.01,
      IF(F571&lt;100000000, F571*0.02,
        IF(F571&lt;200000000, F571*0.03, F571*0.035))),
  TRUE, 0
)</f>
        <v>0.01</v>
      </c>
      <c r="O571" s="29">
        <f t="shared" si="51"/>
        <v>0</v>
      </c>
      <c r="P571" s="29">
        <f t="shared" si="52"/>
        <v>0</v>
      </c>
      <c r="Q571" s="30" cm="1">
        <f t="array" ref="Q571">_xlfn.SWITCH(I571, "Method 1", 0, "Method 2", H571*0.03, "Method 3", 4000, "Method 4", 3000, 0)</f>
        <v>4000</v>
      </c>
    </row>
    <row r="572" spans="1:17">
      <c r="A572" s="24">
        <v>53201935</v>
      </c>
      <c r="B572" s="17">
        <v>42283</v>
      </c>
      <c r="C572" s="17">
        <v>42287</v>
      </c>
      <c r="D572" s="18" t="s">
        <v>213</v>
      </c>
      <c r="E572" s="18" t="s">
        <v>17</v>
      </c>
      <c r="F572" s="18">
        <v>1</v>
      </c>
      <c r="G572" s="19">
        <v>430000</v>
      </c>
      <c r="H572" s="19">
        <v>425700</v>
      </c>
      <c r="I572" s="18" t="s">
        <v>26</v>
      </c>
      <c r="J572" s="29" t="str">
        <f t="shared" si="48"/>
        <v>Tue</v>
      </c>
      <c r="K572" s="29" t="b">
        <f t="shared" si="49"/>
        <v>0</v>
      </c>
      <c r="L572" s="29" t="b">
        <f t="shared" si="50"/>
        <v>0</v>
      </c>
      <c r="M572" s="29" t="b">
        <f t="shared" si="53"/>
        <v>1</v>
      </c>
      <c r="N572" s="29" cm="1">
        <f t="array" ref="N572">_xlfn.IFS(
  E572="Airlines 1", IF(K572, F572*0.04, 0),
  E572="Airlines 2", P572,
  E572="Airlines 3", IF(L572, 20000*F572, 0),
  E572="Airlines 4", IF(M572, 15000*F572, 0),
  E572="Airlines 5",
    IF(F572&lt;50000000, F572*0.01,
      IF(F572&lt;100000000, F572*0.02,
        IF(F572&lt;200000000, F572*0.03, F572*0.035))),
  TRUE, 0
)</f>
        <v>0.01</v>
      </c>
      <c r="O572" s="29">
        <f t="shared" si="51"/>
        <v>0</v>
      </c>
      <c r="P572" s="29">
        <f t="shared" si="52"/>
        <v>0</v>
      </c>
      <c r="Q572" s="30" cm="1">
        <f t="array" ref="Q572">_xlfn.SWITCH(I572, "Method 1", 0, "Method 2", H572*0.03, "Method 3", 4000, "Method 4", 3000, 0)</f>
        <v>4000</v>
      </c>
    </row>
    <row r="573" spans="1:17">
      <c r="A573" s="24">
        <v>53202191</v>
      </c>
      <c r="B573" s="17">
        <v>42283</v>
      </c>
      <c r="C573" s="17">
        <v>42289</v>
      </c>
      <c r="D573" s="18" t="s">
        <v>214</v>
      </c>
      <c r="E573" s="18" t="s">
        <v>17</v>
      </c>
      <c r="F573" s="18">
        <v>1</v>
      </c>
      <c r="G573" s="19">
        <v>1184000</v>
      </c>
      <c r="H573" s="19">
        <v>1172200</v>
      </c>
      <c r="I573" s="18" t="s">
        <v>26</v>
      </c>
      <c r="J573" s="29" t="str">
        <f t="shared" si="48"/>
        <v>Tue</v>
      </c>
      <c r="K573" s="29" t="b">
        <f t="shared" si="49"/>
        <v>0</v>
      </c>
      <c r="L573" s="29" t="b">
        <f t="shared" si="50"/>
        <v>0</v>
      </c>
      <c r="M573" s="29" t="b">
        <f t="shared" si="53"/>
        <v>1</v>
      </c>
      <c r="N573" s="29" cm="1">
        <f t="array" ref="N573">_xlfn.IFS(
  E573="Airlines 1", IF(K573, F573*0.04, 0),
  E573="Airlines 2", P573,
  E573="Airlines 3", IF(L573, 20000*F573, 0),
  E573="Airlines 4", IF(M573, 15000*F573, 0),
  E573="Airlines 5",
    IF(F573&lt;50000000, F573*0.01,
      IF(F573&lt;100000000, F573*0.02,
        IF(F573&lt;200000000, F573*0.03, F573*0.035))),
  TRUE, 0
)</f>
        <v>0.01</v>
      </c>
      <c r="O573" s="29">
        <f t="shared" si="51"/>
        <v>0</v>
      </c>
      <c r="P573" s="29">
        <f t="shared" si="52"/>
        <v>0</v>
      </c>
      <c r="Q573" s="30" cm="1">
        <f t="array" ref="Q573">_xlfn.SWITCH(I573, "Method 1", 0, "Method 2", H573*0.03, "Method 3", 4000, "Method 4", 3000, 0)</f>
        <v>4000</v>
      </c>
    </row>
    <row r="574" spans="1:17">
      <c r="A574" s="24">
        <v>53202024</v>
      </c>
      <c r="B574" s="17">
        <v>42283</v>
      </c>
      <c r="C574" s="17">
        <v>42289</v>
      </c>
      <c r="D574" s="18" t="s">
        <v>58</v>
      </c>
      <c r="E574" s="18" t="s">
        <v>17</v>
      </c>
      <c r="F574" s="18">
        <v>1</v>
      </c>
      <c r="G574" s="19">
        <v>727000</v>
      </c>
      <c r="H574" s="19">
        <v>719700</v>
      </c>
      <c r="I574" s="18" t="s">
        <v>26</v>
      </c>
      <c r="J574" s="29" t="str">
        <f t="shared" si="48"/>
        <v>Tue</v>
      </c>
      <c r="K574" s="29" t="b">
        <f t="shared" si="49"/>
        <v>0</v>
      </c>
      <c r="L574" s="29" t="b">
        <f t="shared" si="50"/>
        <v>0</v>
      </c>
      <c r="M574" s="29" t="b">
        <f t="shared" si="53"/>
        <v>1</v>
      </c>
      <c r="N574" s="29" cm="1">
        <f t="array" ref="N574">_xlfn.IFS(
  E574="Airlines 1", IF(K574, F574*0.04, 0),
  E574="Airlines 2", P574,
  E574="Airlines 3", IF(L574, 20000*F574, 0),
  E574="Airlines 4", IF(M574, 15000*F574, 0),
  E574="Airlines 5",
    IF(F574&lt;50000000, F574*0.01,
      IF(F574&lt;100000000, F574*0.02,
        IF(F574&lt;200000000, F574*0.03, F574*0.035))),
  TRUE, 0
)</f>
        <v>0.01</v>
      </c>
      <c r="O574" s="29">
        <f t="shared" si="51"/>
        <v>0</v>
      </c>
      <c r="P574" s="29">
        <f t="shared" si="52"/>
        <v>0</v>
      </c>
      <c r="Q574" s="30" cm="1">
        <f t="array" ref="Q574">_xlfn.SWITCH(I574, "Method 1", 0, "Method 2", H574*0.03, "Method 3", 4000, "Method 4", 3000, 0)</f>
        <v>4000</v>
      </c>
    </row>
    <row r="575" spans="1:17">
      <c r="A575" s="24">
        <v>53202539</v>
      </c>
      <c r="B575" s="17">
        <v>42283</v>
      </c>
      <c r="C575" s="17">
        <v>42372</v>
      </c>
      <c r="D575" s="18" t="s">
        <v>117</v>
      </c>
      <c r="E575" s="18" t="s">
        <v>17</v>
      </c>
      <c r="F575" s="18">
        <v>5</v>
      </c>
      <c r="G575" s="19">
        <v>4745000</v>
      </c>
      <c r="H575" s="19">
        <v>4697500</v>
      </c>
      <c r="I575" s="18" t="s">
        <v>24</v>
      </c>
      <c r="J575" s="29" t="str">
        <f t="shared" si="48"/>
        <v>Tue</v>
      </c>
      <c r="K575" s="29" t="b">
        <f t="shared" si="49"/>
        <v>0</v>
      </c>
      <c r="L575" s="29" t="b">
        <f t="shared" si="50"/>
        <v>0</v>
      </c>
      <c r="M575" s="29" t="b">
        <f t="shared" si="53"/>
        <v>1</v>
      </c>
      <c r="N575" s="29" cm="1">
        <f t="array" ref="N575">_xlfn.IFS(
  E575="Airlines 1", IF(K575, F575*0.04, 0),
  E575="Airlines 2", P575,
  E575="Airlines 3", IF(L575, 20000*F575, 0),
  E575="Airlines 4", IF(M575, 15000*F575, 0),
  E575="Airlines 5",
    IF(F575&lt;50000000, F575*0.01,
      IF(F575&lt;100000000, F575*0.02,
        IF(F575&lt;200000000, F575*0.03, F575*0.035))),
  TRUE, 0
)</f>
        <v>0.05</v>
      </c>
      <c r="O575" s="29">
        <f t="shared" si="51"/>
        <v>0</v>
      </c>
      <c r="P575" s="29">
        <f t="shared" si="52"/>
        <v>0</v>
      </c>
      <c r="Q575" s="30" cm="1">
        <f t="array" ref="Q575">_xlfn.SWITCH(I575, "Method 1", 0, "Method 2", H575*0.03, "Method 3", 4000, "Method 4", 3000, 0)</f>
        <v>140925</v>
      </c>
    </row>
    <row r="576" spans="1:17">
      <c r="A576" s="24">
        <v>53201977</v>
      </c>
      <c r="B576" s="17">
        <v>42283</v>
      </c>
      <c r="C576" s="17">
        <v>42291</v>
      </c>
      <c r="D576" s="18" t="s">
        <v>51</v>
      </c>
      <c r="E576" s="18" t="s">
        <v>17</v>
      </c>
      <c r="F576" s="18">
        <v>3</v>
      </c>
      <c r="G576" s="19">
        <v>2517000</v>
      </c>
      <c r="H576" s="19">
        <v>2491800</v>
      </c>
      <c r="I576" s="18" t="s">
        <v>26</v>
      </c>
      <c r="J576" s="29" t="str">
        <f t="shared" si="48"/>
        <v>Tue</v>
      </c>
      <c r="K576" s="29" t="b">
        <f t="shared" si="49"/>
        <v>0</v>
      </c>
      <c r="L576" s="29" t="b">
        <f t="shared" si="50"/>
        <v>0</v>
      </c>
      <c r="M576" s="29" t="b">
        <f t="shared" si="53"/>
        <v>1</v>
      </c>
      <c r="N576" s="29" cm="1">
        <f t="array" ref="N576">_xlfn.IFS(
  E576="Airlines 1", IF(K576, F576*0.04, 0),
  E576="Airlines 2", P576,
  E576="Airlines 3", IF(L576, 20000*F576, 0),
  E576="Airlines 4", IF(M576, 15000*F576, 0),
  E576="Airlines 5",
    IF(F576&lt;50000000, F576*0.01,
      IF(F576&lt;100000000, F576*0.02,
        IF(F576&lt;200000000, F576*0.03, F576*0.035))),
  TRUE, 0
)</f>
        <v>0.03</v>
      </c>
      <c r="O576" s="29">
        <f t="shared" si="51"/>
        <v>0</v>
      </c>
      <c r="P576" s="29">
        <f t="shared" si="52"/>
        <v>0</v>
      </c>
      <c r="Q576" s="30" cm="1">
        <f t="array" ref="Q576">_xlfn.SWITCH(I576, "Method 1", 0, "Method 2", H576*0.03, "Method 3", 4000, "Method 4", 3000, 0)</f>
        <v>4000</v>
      </c>
    </row>
    <row r="577" spans="1:17">
      <c r="A577" s="24">
        <v>53201731</v>
      </c>
      <c r="B577" s="17">
        <v>42283</v>
      </c>
      <c r="C577" s="17">
        <v>42286</v>
      </c>
      <c r="D577" s="18" t="s">
        <v>40</v>
      </c>
      <c r="E577" s="18" t="s">
        <v>17</v>
      </c>
      <c r="F577" s="18">
        <v>1</v>
      </c>
      <c r="G577" s="19">
        <v>705000</v>
      </c>
      <c r="H577" s="19">
        <v>698000</v>
      </c>
      <c r="I577" s="18" t="s">
        <v>24</v>
      </c>
      <c r="J577" s="29" t="str">
        <f t="shared" si="48"/>
        <v>Tue</v>
      </c>
      <c r="K577" s="29" t="b">
        <f t="shared" si="49"/>
        <v>0</v>
      </c>
      <c r="L577" s="29" t="b">
        <f t="shared" si="50"/>
        <v>1</v>
      </c>
      <c r="M577" s="29" t="b">
        <f t="shared" si="53"/>
        <v>1</v>
      </c>
      <c r="N577" s="29" cm="1">
        <f t="array" ref="N577">_xlfn.IFS(
  E577="Airlines 1", IF(K577, F577*0.04, 0),
  E577="Airlines 2", P577,
  E577="Airlines 3", IF(L577, 20000*F577, 0),
  E577="Airlines 4", IF(M577, 15000*F577, 0),
  E577="Airlines 5",
    IF(F577&lt;50000000, F577*0.01,
      IF(F577&lt;100000000, F577*0.02,
        IF(F577&lt;200000000, F577*0.03, F577*0.035))),
  TRUE, 0
)</f>
        <v>0.01</v>
      </c>
      <c r="O577" s="29">
        <f t="shared" si="51"/>
        <v>0</v>
      </c>
      <c r="P577" s="29">
        <f t="shared" si="52"/>
        <v>0</v>
      </c>
      <c r="Q577" s="30" cm="1">
        <f t="array" ref="Q577">_xlfn.SWITCH(I577, "Method 1", 0, "Method 2", H577*0.03, "Method 3", 4000, "Method 4", 3000, 0)</f>
        <v>20940</v>
      </c>
    </row>
    <row r="578" spans="1:17">
      <c r="A578" s="24">
        <v>53202349</v>
      </c>
      <c r="B578" s="17">
        <v>42283</v>
      </c>
      <c r="C578" s="17">
        <v>42286</v>
      </c>
      <c r="D578" s="18" t="s">
        <v>68</v>
      </c>
      <c r="E578" s="18" t="s">
        <v>17</v>
      </c>
      <c r="F578" s="18">
        <v>1</v>
      </c>
      <c r="G578" s="19">
        <v>254000</v>
      </c>
      <c r="H578" s="19">
        <v>251100</v>
      </c>
      <c r="I578" s="18" t="s">
        <v>26</v>
      </c>
      <c r="J578" s="29" t="str">
        <f t="shared" si="48"/>
        <v>Tue</v>
      </c>
      <c r="K578" s="29" t="b">
        <f t="shared" si="49"/>
        <v>0</v>
      </c>
      <c r="L578" s="29" t="b">
        <f t="shared" si="50"/>
        <v>0</v>
      </c>
      <c r="M578" s="29" t="b">
        <f t="shared" si="53"/>
        <v>1</v>
      </c>
      <c r="N578" s="29" cm="1">
        <f t="array" ref="N578">_xlfn.IFS(
  E578="Airlines 1", IF(K578, F578*0.04, 0),
  E578="Airlines 2", P578,
  E578="Airlines 3", IF(L578, 20000*F578, 0),
  E578="Airlines 4", IF(M578, 15000*F578, 0),
  E578="Airlines 5",
    IF(F578&lt;50000000, F578*0.01,
      IF(F578&lt;100000000, F578*0.02,
        IF(F578&lt;200000000, F578*0.03, F578*0.035))),
  TRUE, 0
)</f>
        <v>0.01</v>
      </c>
      <c r="O578" s="29">
        <f t="shared" si="51"/>
        <v>0</v>
      </c>
      <c r="P578" s="29">
        <f t="shared" si="52"/>
        <v>0</v>
      </c>
      <c r="Q578" s="30" cm="1">
        <f t="array" ref="Q578">_xlfn.SWITCH(I578, "Method 1", 0, "Method 2", H578*0.03, "Method 3", 4000, "Method 4", 3000, 0)</f>
        <v>4000</v>
      </c>
    </row>
    <row r="579" spans="1:17">
      <c r="A579" s="24">
        <v>53202234</v>
      </c>
      <c r="B579" s="17">
        <v>42283</v>
      </c>
      <c r="C579" s="17">
        <v>42286</v>
      </c>
      <c r="D579" s="18" t="s">
        <v>109</v>
      </c>
      <c r="E579" s="18" t="s">
        <v>17</v>
      </c>
      <c r="F579" s="18">
        <v>2</v>
      </c>
      <c r="G579" s="19">
        <v>2632000</v>
      </c>
      <c r="H579" s="19">
        <v>2605600</v>
      </c>
      <c r="I579" s="18" t="s">
        <v>24</v>
      </c>
      <c r="J579" s="29" t="str">
        <f t="shared" si="48"/>
        <v>Tue</v>
      </c>
      <c r="K579" s="29" t="b">
        <f t="shared" si="49"/>
        <v>0</v>
      </c>
      <c r="L579" s="29" t="b">
        <f t="shared" si="50"/>
        <v>0</v>
      </c>
      <c r="M579" s="29" t="b">
        <f t="shared" si="53"/>
        <v>1</v>
      </c>
      <c r="N579" s="29" cm="1">
        <f t="array" ref="N579">_xlfn.IFS(
  E579="Airlines 1", IF(K579, F579*0.04, 0),
  E579="Airlines 2", P579,
  E579="Airlines 3", IF(L579, 20000*F579, 0),
  E579="Airlines 4", IF(M579, 15000*F579, 0),
  E579="Airlines 5",
    IF(F579&lt;50000000, F579*0.01,
      IF(F579&lt;100000000, F579*0.02,
        IF(F579&lt;200000000, F579*0.03, F579*0.035))),
  TRUE, 0
)</f>
        <v>0.02</v>
      </c>
      <c r="O579" s="29">
        <f t="shared" si="51"/>
        <v>0</v>
      </c>
      <c r="P579" s="29">
        <f t="shared" si="52"/>
        <v>0</v>
      </c>
      <c r="Q579" s="30" cm="1">
        <f t="array" ref="Q579">_xlfn.SWITCH(I579, "Method 1", 0, "Method 2", H579*0.03, "Method 3", 4000, "Method 4", 3000, 0)</f>
        <v>78168</v>
      </c>
    </row>
    <row r="580" spans="1:17">
      <c r="A580" s="24">
        <v>53201815</v>
      </c>
      <c r="B580" s="17">
        <v>42284</v>
      </c>
      <c r="C580" s="17">
        <v>42284</v>
      </c>
      <c r="D580" s="18" t="s">
        <v>121</v>
      </c>
      <c r="E580" s="18" t="s">
        <v>17</v>
      </c>
      <c r="F580" s="18">
        <v>1</v>
      </c>
      <c r="G580" s="19">
        <v>759000</v>
      </c>
      <c r="H580" s="19">
        <v>751400</v>
      </c>
      <c r="I580" s="18" t="s">
        <v>22</v>
      </c>
      <c r="J580" s="29" t="str">
        <f t="shared" si="48"/>
        <v>Wed</v>
      </c>
      <c r="K580" s="29" t="b">
        <f t="shared" si="49"/>
        <v>0</v>
      </c>
      <c r="L580" s="29" t="b">
        <f t="shared" si="50"/>
        <v>0</v>
      </c>
      <c r="M580" s="29" t="b">
        <f t="shared" si="53"/>
        <v>1</v>
      </c>
      <c r="N580" s="29" cm="1">
        <f t="array" ref="N580">_xlfn.IFS(
  E580="Airlines 1", IF(K580, F580*0.04, 0),
  E580="Airlines 2", P580,
  E580="Airlines 3", IF(L580, 20000*F580, 0),
  E580="Airlines 4", IF(M580, 15000*F580, 0),
  E580="Airlines 5",
    IF(F580&lt;50000000, F580*0.01,
      IF(F580&lt;100000000, F580*0.02,
        IF(F580&lt;200000000, F580*0.03, F580*0.035))),
  TRUE, 0
)</f>
        <v>0.01</v>
      </c>
      <c r="O580" s="29">
        <f t="shared" si="51"/>
        <v>0</v>
      </c>
      <c r="P580" s="29">
        <f t="shared" si="52"/>
        <v>0</v>
      </c>
      <c r="Q580" s="30" cm="1">
        <f t="array" ref="Q580">_xlfn.SWITCH(I580, "Method 1", 0, "Method 2", H580*0.03, "Method 3", 4000, "Method 4", 3000, 0)</f>
        <v>0</v>
      </c>
    </row>
    <row r="581" spans="1:17">
      <c r="A581" s="24">
        <v>53202455</v>
      </c>
      <c r="B581" s="17">
        <v>42284</v>
      </c>
      <c r="C581" s="17">
        <v>42287</v>
      </c>
      <c r="D581" s="18" t="s">
        <v>58</v>
      </c>
      <c r="E581" s="18" t="s">
        <v>17</v>
      </c>
      <c r="F581" s="18">
        <v>1</v>
      </c>
      <c r="G581" s="19">
        <v>727000</v>
      </c>
      <c r="H581" s="19">
        <v>719700</v>
      </c>
      <c r="I581" s="18" t="s">
        <v>26</v>
      </c>
      <c r="J581" s="29" t="str">
        <f t="shared" si="48"/>
        <v>Wed</v>
      </c>
      <c r="K581" s="29" t="b">
        <f t="shared" si="49"/>
        <v>0</v>
      </c>
      <c r="L581" s="29" t="b">
        <f t="shared" si="50"/>
        <v>0</v>
      </c>
      <c r="M581" s="29" t="b">
        <f t="shared" si="53"/>
        <v>1</v>
      </c>
      <c r="N581" s="29" cm="1">
        <f t="array" ref="N581">_xlfn.IFS(
  E581="Airlines 1", IF(K581, F581*0.04, 0),
  E581="Airlines 2", P581,
  E581="Airlines 3", IF(L581, 20000*F581, 0),
  E581="Airlines 4", IF(M581, 15000*F581, 0),
  E581="Airlines 5",
    IF(F581&lt;50000000, F581*0.01,
      IF(F581&lt;100000000, F581*0.02,
        IF(F581&lt;200000000, F581*0.03, F581*0.035))),
  TRUE, 0
)</f>
        <v>0.01</v>
      </c>
      <c r="O581" s="29">
        <f t="shared" si="51"/>
        <v>0</v>
      </c>
      <c r="P581" s="29">
        <f t="shared" si="52"/>
        <v>0</v>
      </c>
      <c r="Q581" s="30" cm="1">
        <f t="array" ref="Q581">_xlfn.SWITCH(I581, "Method 1", 0, "Method 2", H581*0.03, "Method 3", 4000, "Method 4", 3000, 0)</f>
        <v>4000</v>
      </c>
    </row>
    <row r="582" spans="1:17">
      <c r="A582" s="24">
        <v>53202477</v>
      </c>
      <c r="B582" s="17">
        <v>42284</v>
      </c>
      <c r="C582" s="17">
        <v>42287</v>
      </c>
      <c r="D582" s="18" t="s">
        <v>58</v>
      </c>
      <c r="E582" s="18" t="s">
        <v>17</v>
      </c>
      <c r="F582" s="18">
        <v>1</v>
      </c>
      <c r="G582" s="19">
        <v>727000</v>
      </c>
      <c r="H582" s="19">
        <v>719700</v>
      </c>
      <c r="I582" s="18" t="s">
        <v>26</v>
      </c>
      <c r="J582" s="29" t="str">
        <f t="shared" si="48"/>
        <v>Wed</v>
      </c>
      <c r="K582" s="29" t="b">
        <f t="shared" si="49"/>
        <v>0</v>
      </c>
      <c r="L582" s="29" t="b">
        <f t="shared" si="50"/>
        <v>0</v>
      </c>
      <c r="M582" s="29" t="b">
        <f t="shared" si="53"/>
        <v>1</v>
      </c>
      <c r="N582" s="29" cm="1">
        <f t="array" ref="N582">_xlfn.IFS(
  E582="Airlines 1", IF(K582, F582*0.04, 0),
  E582="Airlines 2", P582,
  E582="Airlines 3", IF(L582, 20000*F582, 0),
  E582="Airlines 4", IF(M582, 15000*F582, 0),
  E582="Airlines 5",
    IF(F582&lt;50000000, F582*0.01,
      IF(F582&lt;100000000, F582*0.02,
        IF(F582&lt;200000000, F582*0.03, F582*0.035))),
  TRUE, 0
)</f>
        <v>0.01</v>
      </c>
      <c r="O582" s="29">
        <f t="shared" si="51"/>
        <v>0</v>
      </c>
      <c r="P582" s="29">
        <f t="shared" si="52"/>
        <v>0</v>
      </c>
      <c r="Q582" s="30" cm="1">
        <f t="array" ref="Q582">_xlfn.SWITCH(I582, "Method 1", 0, "Method 2", H582*0.03, "Method 3", 4000, "Method 4", 3000, 0)</f>
        <v>4000</v>
      </c>
    </row>
    <row r="583" spans="1:17">
      <c r="A583" s="24">
        <v>53202499</v>
      </c>
      <c r="B583" s="17">
        <v>42284</v>
      </c>
      <c r="C583" s="17">
        <v>42290</v>
      </c>
      <c r="D583" s="18" t="s">
        <v>51</v>
      </c>
      <c r="E583" s="18" t="s">
        <v>17</v>
      </c>
      <c r="F583" s="18">
        <v>1</v>
      </c>
      <c r="G583" s="19">
        <v>762000</v>
      </c>
      <c r="H583" s="19">
        <v>754400</v>
      </c>
      <c r="I583" s="18" t="s">
        <v>26</v>
      </c>
      <c r="J583" s="29" t="str">
        <f t="shared" ref="J583:J646" si="54">TEXT(B583,"ddd")</f>
        <v>Wed</v>
      </c>
      <c r="K583" s="29" t="b">
        <f t="shared" ref="K583:K646" si="55">OR(J583="Sat",J583="Sun")</f>
        <v>0</v>
      </c>
      <c r="L583" s="29" t="b">
        <f t="shared" ref="L583:L646" si="56">OR(D583="CGK_SUB", D583="CGK_PKU", D583="CGK_JOG",
    D583="SUB_CGK", D583="PKU_CGK", D583="JOG_CGK")</f>
        <v>0</v>
      </c>
      <c r="M583" s="29" t="b">
        <f t="shared" si="53"/>
        <v>1</v>
      </c>
      <c r="N583" s="29" cm="1">
        <f t="array" ref="N583">_xlfn.IFS(
  E583="Airlines 1", IF(K583, F583*0.04, 0),
  E583="Airlines 2", P583,
  E583="Airlines 3", IF(L583, 20000*F583, 0),
  E583="Airlines 4", IF(M583, 15000*F583, 0),
  E583="Airlines 5",
    IF(F583&lt;50000000, F583*0.01,
      IF(F583&lt;100000000, F583*0.02,
        IF(F583&lt;200000000, F583*0.03, F583*0.035))),
  TRUE, 0
)</f>
        <v>0.01</v>
      </c>
      <c r="O583" s="29">
        <f t="shared" ref="O583:O646" si="57">SUMIFS($F$6:$F$647, $E$6:$E$647, "Airlines 2", $B$6:$B$647, B583)</f>
        <v>0</v>
      </c>
      <c r="P583" s="29">
        <f t="shared" ref="P583:P646" si="58">IF(AND(E582="Airlines 2", O582&gt;20), F582*0.05, 0)</f>
        <v>0</v>
      </c>
      <c r="Q583" s="30" cm="1">
        <f t="array" ref="Q583">_xlfn.SWITCH(I583, "Method 1", 0, "Method 2", H583*0.03, "Method 3", 4000, "Method 4", 3000, 0)</f>
        <v>4000</v>
      </c>
    </row>
    <row r="584" spans="1:17">
      <c r="A584" s="24">
        <v>53202231</v>
      </c>
      <c r="B584" s="17">
        <v>42284</v>
      </c>
      <c r="C584" s="17">
        <v>42292</v>
      </c>
      <c r="D584" s="18" t="s">
        <v>68</v>
      </c>
      <c r="E584" s="18" t="s">
        <v>17</v>
      </c>
      <c r="F584" s="18">
        <v>3</v>
      </c>
      <c r="G584" s="19">
        <v>762000</v>
      </c>
      <c r="H584" s="19">
        <v>754500</v>
      </c>
      <c r="I584" s="18" t="s">
        <v>26</v>
      </c>
      <c r="J584" s="29" t="str">
        <f t="shared" si="54"/>
        <v>Wed</v>
      </c>
      <c r="K584" s="29" t="b">
        <f t="shared" si="55"/>
        <v>0</v>
      </c>
      <c r="L584" s="29" t="b">
        <f t="shared" si="56"/>
        <v>0</v>
      </c>
      <c r="M584" s="29" t="b">
        <f t="shared" ref="M584:M647" si="59">AND(B584&gt;=DATE(2015,10,1),B584&lt;=DATE(2015,10,15))</f>
        <v>1</v>
      </c>
      <c r="N584" s="29" cm="1">
        <f t="array" ref="N584">_xlfn.IFS(
  E584="Airlines 1", IF(K584, F584*0.04, 0),
  E584="Airlines 2", P584,
  E584="Airlines 3", IF(L584, 20000*F584, 0),
  E584="Airlines 4", IF(M584, 15000*F584, 0),
  E584="Airlines 5",
    IF(F584&lt;50000000, F584*0.01,
      IF(F584&lt;100000000, F584*0.02,
        IF(F584&lt;200000000, F584*0.03, F584*0.035))),
  TRUE, 0
)</f>
        <v>0.03</v>
      </c>
      <c r="O584" s="29">
        <f t="shared" si="57"/>
        <v>0</v>
      </c>
      <c r="P584" s="29">
        <f t="shared" si="58"/>
        <v>0</v>
      </c>
      <c r="Q584" s="30" cm="1">
        <f t="array" ref="Q584">_xlfn.SWITCH(I584, "Method 1", 0, "Method 2", H584*0.03, "Method 3", 4000, "Method 4", 3000, 0)</f>
        <v>4000</v>
      </c>
    </row>
    <row r="585" spans="1:17">
      <c r="A585" s="24">
        <v>53202334</v>
      </c>
      <c r="B585" s="17">
        <v>42284</v>
      </c>
      <c r="C585" s="17">
        <v>42286</v>
      </c>
      <c r="D585" s="18" t="s">
        <v>73</v>
      </c>
      <c r="E585" s="18" t="s">
        <v>17</v>
      </c>
      <c r="F585" s="18">
        <v>1</v>
      </c>
      <c r="G585" s="19">
        <v>1333000</v>
      </c>
      <c r="H585" s="19">
        <v>1319700</v>
      </c>
      <c r="I585" s="18" t="s">
        <v>26</v>
      </c>
      <c r="J585" s="29" t="str">
        <f t="shared" si="54"/>
        <v>Wed</v>
      </c>
      <c r="K585" s="29" t="b">
        <f t="shared" si="55"/>
        <v>0</v>
      </c>
      <c r="L585" s="29" t="b">
        <f t="shared" si="56"/>
        <v>0</v>
      </c>
      <c r="M585" s="29" t="b">
        <f t="shared" si="59"/>
        <v>1</v>
      </c>
      <c r="N585" s="29" cm="1">
        <f t="array" ref="N585">_xlfn.IFS(
  E585="Airlines 1", IF(K585, F585*0.04, 0),
  E585="Airlines 2", P585,
  E585="Airlines 3", IF(L585, 20000*F585, 0),
  E585="Airlines 4", IF(M585, 15000*F585, 0),
  E585="Airlines 5",
    IF(F585&lt;50000000, F585*0.01,
      IF(F585&lt;100000000, F585*0.02,
        IF(F585&lt;200000000, F585*0.03, F585*0.035))),
  TRUE, 0
)</f>
        <v>0.01</v>
      </c>
      <c r="O585" s="29">
        <f t="shared" si="57"/>
        <v>0</v>
      </c>
      <c r="P585" s="29">
        <f t="shared" si="58"/>
        <v>0</v>
      </c>
      <c r="Q585" s="30" cm="1">
        <f t="array" ref="Q585">_xlfn.SWITCH(I585, "Method 1", 0, "Method 2", H585*0.03, "Method 3", 4000, "Method 4", 3000, 0)</f>
        <v>4000</v>
      </c>
    </row>
    <row r="586" spans="1:17">
      <c r="A586" s="24">
        <v>53201971</v>
      </c>
      <c r="B586" s="17">
        <v>42284</v>
      </c>
      <c r="C586" s="17">
        <v>42292</v>
      </c>
      <c r="D586" s="18" t="s">
        <v>65</v>
      </c>
      <c r="E586" s="18" t="s">
        <v>17</v>
      </c>
      <c r="F586" s="18">
        <v>1</v>
      </c>
      <c r="G586" s="19">
        <v>431000</v>
      </c>
      <c r="H586" s="19">
        <v>426700</v>
      </c>
      <c r="I586" s="18" t="s">
        <v>26</v>
      </c>
      <c r="J586" s="29" t="str">
        <f t="shared" si="54"/>
        <v>Wed</v>
      </c>
      <c r="K586" s="29" t="b">
        <f t="shared" si="55"/>
        <v>0</v>
      </c>
      <c r="L586" s="29" t="b">
        <f t="shared" si="56"/>
        <v>0</v>
      </c>
      <c r="M586" s="29" t="b">
        <f t="shared" si="59"/>
        <v>1</v>
      </c>
      <c r="N586" s="29" cm="1">
        <f t="array" ref="N586">_xlfn.IFS(
  E586="Airlines 1", IF(K586, F586*0.04, 0),
  E586="Airlines 2", P586,
  E586="Airlines 3", IF(L586, 20000*F586, 0),
  E586="Airlines 4", IF(M586, 15000*F586, 0),
  E586="Airlines 5",
    IF(F586&lt;50000000, F586*0.01,
      IF(F586&lt;100000000, F586*0.02,
        IF(F586&lt;200000000, F586*0.03, F586*0.035))),
  TRUE, 0
)</f>
        <v>0.01</v>
      </c>
      <c r="O586" s="29">
        <f t="shared" si="57"/>
        <v>0</v>
      </c>
      <c r="P586" s="29">
        <f t="shared" si="58"/>
        <v>0</v>
      </c>
      <c r="Q586" s="30" cm="1">
        <f t="array" ref="Q586">_xlfn.SWITCH(I586, "Method 1", 0, "Method 2", H586*0.03, "Method 3", 4000, "Method 4", 3000, 0)</f>
        <v>4000</v>
      </c>
    </row>
    <row r="587" spans="1:17">
      <c r="A587" s="24">
        <v>53202371</v>
      </c>
      <c r="B587" s="17">
        <v>42284</v>
      </c>
      <c r="C587" s="17">
        <v>42284</v>
      </c>
      <c r="D587" s="18" t="s">
        <v>118</v>
      </c>
      <c r="E587" s="18" t="s">
        <v>17</v>
      </c>
      <c r="F587" s="18">
        <v>1</v>
      </c>
      <c r="G587" s="19">
        <v>338000</v>
      </c>
      <c r="H587" s="19">
        <v>334600</v>
      </c>
      <c r="I587" s="18" t="s">
        <v>26</v>
      </c>
      <c r="J587" s="29" t="str">
        <f t="shared" si="54"/>
        <v>Wed</v>
      </c>
      <c r="K587" s="29" t="b">
        <f t="shared" si="55"/>
        <v>0</v>
      </c>
      <c r="L587" s="29" t="b">
        <f t="shared" si="56"/>
        <v>0</v>
      </c>
      <c r="M587" s="29" t="b">
        <f t="shared" si="59"/>
        <v>1</v>
      </c>
      <c r="N587" s="29" cm="1">
        <f t="array" ref="N587">_xlfn.IFS(
  E587="Airlines 1", IF(K587, F587*0.04, 0),
  E587="Airlines 2", P587,
  E587="Airlines 3", IF(L587, 20000*F587, 0),
  E587="Airlines 4", IF(M587, 15000*F587, 0),
  E587="Airlines 5",
    IF(F587&lt;50000000, F587*0.01,
      IF(F587&lt;100000000, F587*0.02,
        IF(F587&lt;200000000, F587*0.03, F587*0.035))),
  TRUE, 0
)</f>
        <v>0.01</v>
      </c>
      <c r="O587" s="29">
        <f t="shared" si="57"/>
        <v>0</v>
      </c>
      <c r="P587" s="29">
        <f t="shared" si="58"/>
        <v>0</v>
      </c>
      <c r="Q587" s="30" cm="1">
        <f t="array" ref="Q587">_xlfn.SWITCH(I587, "Method 1", 0, "Method 2", H587*0.03, "Method 3", 4000, "Method 4", 3000, 0)</f>
        <v>4000</v>
      </c>
    </row>
    <row r="588" spans="1:17">
      <c r="A588" s="24">
        <v>53202545</v>
      </c>
      <c r="B588" s="17">
        <v>42285</v>
      </c>
      <c r="C588" s="17">
        <v>42286</v>
      </c>
      <c r="D588" s="18" t="s">
        <v>214</v>
      </c>
      <c r="E588" s="18" t="s">
        <v>17</v>
      </c>
      <c r="F588" s="18">
        <v>2</v>
      </c>
      <c r="G588" s="19">
        <v>1598000</v>
      </c>
      <c r="H588" s="19">
        <v>1582000</v>
      </c>
      <c r="I588" s="18" t="s">
        <v>26</v>
      </c>
      <c r="J588" s="29" t="str">
        <f t="shared" si="54"/>
        <v>Thu</v>
      </c>
      <c r="K588" s="29" t="b">
        <f t="shared" si="55"/>
        <v>0</v>
      </c>
      <c r="L588" s="29" t="b">
        <f t="shared" si="56"/>
        <v>0</v>
      </c>
      <c r="M588" s="29" t="b">
        <f t="shared" si="59"/>
        <v>1</v>
      </c>
      <c r="N588" s="29" cm="1">
        <f t="array" ref="N588">_xlfn.IFS(
  E588="Airlines 1", IF(K588, F588*0.04, 0),
  E588="Airlines 2", P588,
  E588="Airlines 3", IF(L588, 20000*F588, 0),
  E588="Airlines 4", IF(M588, 15000*F588, 0),
  E588="Airlines 5",
    IF(F588&lt;50000000, F588*0.01,
      IF(F588&lt;100000000, F588*0.02,
        IF(F588&lt;200000000, F588*0.03, F588*0.035))),
  TRUE, 0
)</f>
        <v>0.02</v>
      </c>
      <c r="O588" s="29">
        <f t="shared" si="57"/>
        <v>17</v>
      </c>
      <c r="P588" s="29">
        <f t="shared" si="58"/>
        <v>0</v>
      </c>
      <c r="Q588" s="30" cm="1">
        <f t="array" ref="Q588">_xlfn.SWITCH(I588, "Method 1", 0, "Method 2", H588*0.03, "Method 3", 4000, "Method 4", 3000, 0)</f>
        <v>4000</v>
      </c>
    </row>
    <row r="589" spans="1:17">
      <c r="A589" s="24">
        <v>53202570</v>
      </c>
      <c r="B589" s="17">
        <v>42285</v>
      </c>
      <c r="C589" s="17">
        <v>42286</v>
      </c>
      <c r="D589" s="18" t="s">
        <v>62</v>
      </c>
      <c r="E589" s="18" t="s">
        <v>17</v>
      </c>
      <c r="F589" s="18">
        <v>1</v>
      </c>
      <c r="G589" s="19">
        <v>529000</v>
      </c>
      <c r="H589" s="19">
        <v>523700</v>
      </c>
      <c r="I589" s="18" t="s">
        <v>24</v>
      </c>
      <c r="J589" s="29" t="str">
        <f t="shared" si="54"/>
        <v>Thu</v>
      </c>
      <c r="K589" s="29" t="b">
        <f t="shared" si="55"/>
        <v>0</v>
      </c>
      <c r="L589" s="29" t="b">
        <f t="shared" si="56"/>
        <v>1</v>
      </c>
      <c r="M589" s="29" t="b">
        <f t="shared" si="59"/>
        <v>1</v>
      </c>
      <c r="N589" s="29" cm="1">
        <f t="array" ref="N589">_xlfn.IFS(
  E589="Airlines 1", IF(K589, F589*0.04, 0),
  E589="Airlines 2", P589,
  E589="Airlines 3", IF(L589, 20000*F589, 0),
  E589="Airlines 4", IF(M589, 15000*F589, 0),
  E589="Airlines 5",
    IF(F589&lt;50000000, F589*0.01,
      IF(F589&lt;100000000, F589*0.02,
        IF(F589&lt;200000000, F589*0.03, F589*0.035))),
  TRUE, 0
)</f>
        <v>0.01</v>
      </c>
      <c r="O589" s="29">
        <f t="shared" si="57"/>
        <v>17</v>
      </c>
      <c r="P589" s="29">
        <f t="shared" si="58"/>
        <v>0</v>
      </c>
      <c r="Q589" s="30" cm="1">
        <f t="array" ref="Q589">_xlfn.SWITCH(I589, "Method 1", 0, "Method 2", H589*0.03, "Method 3", 4000, "Method 4", 3000, 0)</f>
        <v>15711</v>
      </c>
    </row>
    <row r="590" spans="1:17">
      <c r="A590" s="24">
        <v>53202595</v>
      </c>
      <c r="B590" s="17">
        <v>42285</v>
      </c>
      <c r="C590" s="17">
        <v>42291</v>
      </c>
      <c r="D590" s="18" t="s">
        <v>81</v>
      </c>
      <c r="E590" s="18" t="s">
        <v>17</v>
      </c>
      <c r="F590" s="18">
        <v>2</v>
      </c>
      <c r="G590" s="19">
        <v>803800</v>
      </c>
      <c r="H590" s="19">
        <v>795000</v>
      </c>
      <c r="I590" s="18" t="s">
        <v>26</v>
      </c>
      <c r="J590" s="29" t="str">
        <f t="shared" si="54"/>
        <v>Thu</v>
      </c>
      <c r="K590" s="29" t="b">
        <f t="shared" si="55"/>
        <v>0</v>
      </c>
      <c r="L590" s="29" t="b">
        <f t="shared" si="56"/>
        <v>0</v>
      </c>
      <c r="M590" s="29" t="b">
        <f t="shared" si="59"/>
        <v>1</v>
      </c>
      <c r="N590" s="29" cm="1">
        <f t="array" ref="N590">_xlfn.IFS(
  E590="Airlines 1", IF(K590, F590*0.04, 0),
  E590="Airlines 2", P590,
  E590="Airlines 3", IF(L590, 20000*F590, 0),
  E590="Airlines 4", IF(M590, 15000*F590, 0),
  E590="Airlines 5",
    IF(F590&lt;50000000, F590*0.01,
      IF(F590&lt;100000000, F590*0.02,
        IF(F590&lt;200000000, F590*0.03, F590*0.035))),
  TRUE, 0
)</f>
        <v>0.02</v>
      </c>
      <c r="O590" s="29">
        <f t="shared" si="57"/>
        <v>17</v>
      </c>
      <c r="P590" s="29">
        <f t="shared" si="58"/>
        <v>0</v>
      </c>
      <c r="Q590" s="30" cm="1">
        <f t="array" ref="Q590">_xlfn.SWITCH(I590, "Method 1", 0, "Method 2", H590*0.03, "Method 3", 4000, "Method 4", 3000, 0)</f>
        <v>4000</v>
      </c>
    </row>
    <row r="591" spans="1:17">
      <c r="A591" s="24">
        <v>53202414</v>
      </c>
      <c r="B591" s="17">
        <v>42285</v>
      </c>
      <c r="C591" s="17">
        <v>42288</v>
      </c>
      <c r="D591" s="18" t="s">
        <v>146</v>
      </c>
      <c r="E591" s="18" t="s">
        <v>17</v>
      </c>
      <c r="F591" s="18">
        <v>1</v>
      </c>
      <c r="G591" s="19">
        <v>1734000</v>
      </c>
      <c r="H591" s="19">
        <v>1716700</v>
      </c>
      <c r="I591" s="18" t="s">
        <v>24</v>
      </c>
      <c r="J591" s="29" t="str">
        <f t="shared" si="54"/>
        <v>Thu</v>
      </c>
      <c r="K591" s="29" t="b">
        <f t="shared" si="55"/>
        <v>0</v>
      </c>
      <c r="L591" s="29" t="b">
        <f t="shared" si="56"/>
        <v>0</v>
      </c>
      <c r="M591" s="29" t="b">
        <f t="shared" si="59"/>
        <v>1</v>
      </c>
      <c r="N591" s="29" cm="1">
        <f t="array" ref="N591">_xlfn.IFS(
  E591="Airlines 1", IF(K591, F591*0.04, 0),
  E591="Airlines 2", P591,
  E591="Airlines 3", IF(L591, 20000*F591, 0),
  E591="Airlines 4", IF(M591, 15000*F591, 0),
  E591="Airlines 5",
    IF(F591&lt;50000000, F591*0.01,
      IF(F591&lt;100000000, F591*0.02,
        IF(F591&lt;200000000, F591*0.03, F591*0.035))),
  TRUE, 0
)</f>
        <v>0.01</v>
      </c>
      <c r="O591" s="29">
        <f t="shared" si="57"/>
        <v>17</v>
      </c>
      <c r="P591" s="29">
        <f t="shared" si="58"/>
        <v>0</v>
      </c>
      <c r="Q591" s="30" cm="1">
        <f t="array" ref="Q591">_xlfn.SWITCH(I591, "Method 1", 0, "Method 2", H591*0.03, "Method 3", 4000, "Method 4", 3000, 0)</f>
        <v>51501</v>
      </c>
    </row>
    <row r="592" spans="1:17">
      <c r="A592" s="24">
        <v>53202358</v>
      </c>
      <c r="B592" s="17">
        <v>42285</v>
      </c>
      <c r="C592" s="17">
        <v>42293</v>
      </c>
      <c r="D592" s="18" t="s">
        <v>42</v>
      </c>
      <c r="E592" s="18" t="s">
        <v>17</v>
      </c>
      <c r="F592" s="18">
        <v>1</v>
      </c>
      <c r="G592" s="19">
        <v>727000</v>
      </c>
      <c r="H592" s="19">
        <v>719700</v>
      </c>
      <c r="I592" s="18" t="s">
        <v>26</v>
      </c>
      <c r="J592" s="29" t="str">
        <f t="shared" si="54"/>
        <v>Thu</v>
      </c>
      <c r="K592" s="29" t="b">
        <f t="shared" si="55"/>
        <v>0</v>
      </c>
      <c r="L592" s="29" t="b">
        <f t="shared" si="56"/>
        <v>0</v>
      </c>
      <c r="M592" s="29" t="b">
        <f t="shared" si="59"/>
        <v>1</v>
      </c>
      <c r="N592" s="29" cm="1">
        <f t="array" ref="N592">_xlfn.IFS(
  E592="Airlines 1", IF(K592, F592*0.04, 0),
  E592="Airlines 2", P592,
  E592="Airlines 3", IF(L592, 20000*F592, 0),
  E592="Airlines 4", IF(M592, 15000*F592, 0),
  E592="Airlines 5",
    IF(F592&lt;50000000, F592*0.01,
      IF(F592&lt;100000000, F592*0.02,
        IF(F592&lt;200000000, F592*0.03, F592*0.035))),
  TRUE, 0
)</f>
        <v>0.01</v>
      </c>
      <c r="O592" s="29">
        <f t="shared" si="57"/>
        <v>17</v>
      </c>
      <c r="P592" s="29">
        <f t="shared" si="58"/>
        <v>0</v>
      </c>
      <c r="Q592" s="30" cm="1">
        <f t="array" ref="Q592">_xlfn.SWITCH(I592, "Method 1", 0, "Method 2", H592*0.03, "Method 3", 4000, "Method 4", 3000, 0)</f>
        <v>4000</v>
      </c>
    </row>
    <row r="593" spans="1:17">
      <c r="A593" s="24">
        <v>53202370</v>
      </c>
      <c r="B593" s="17">
        <v>42285</v>
      </c>
      <c r="C593" s="17">
        <v>42288</v>
      </c>
      <c r="D593" s="18" t="s">
        <v>62</v>
      </c>
      <c r="E593" s="18" t="s">
        <v>17</v>
      </c>
      <c r="F593" s="18">
        <v>3</v>
      </c>
      <c r="G593" s="19">
        <v>1587000</v>
      </c>
      <c r="H593" s="19">
        <v>1571100</v>
      </c>
      <c r="I593" s="18" t="s">
        <v>24</v>
      </c>
      <c r="J593" s="29" t="str">
        <f t="shared" si="54"/>
        <v>Thu</v>
      </c>
      <c r="K593" s="29" t="b">
        <f t="shared" si="55"/>
        <v>0</v>
      </c>
      <c r="L593" s="29" t="b">
        <f t="shared" si="56"/>
        <v>1</v>
      </c>
      <c r="M593" s="29" t="b">
        <f t="shared" si="59"/>
        <v>1</v>
      </c>
      <c r="N593" s="29" cm="1">
        <f t="array" ref="N593">_xlfn.IFS(
  E593="Airlines 1", IF(K593, F593*0.04, 0),
  E593="Airlines 2", P593,
  E593="Airlines 3", IF(L593, 20000*F593, 0),
  E593="Airlines 4", IF(M593, 15000*F593, 0),
  E593="Airlines 5",
    IF(F593&lt;50000000, F593*0.01,
      IF(F593&lt;100000000, F593*0.02,
        IF(F593&lt;200000000, F593*0.03, F593*0.035))),
  TRUE, 0
)</f>
        <v>0.03</v>
      </c>
      <c r="O593" s="29">
        <f t="shared" si="57"/>
        <v>17</v>
      </c>
      <c r="P593" s="29">
        <f t="shared" si="58"/>
        <v>0</v>
      </c>
      <c r="Q593" s="30" cm="1">
        <f t="array" ref="Q593">_xlfn.SWITCH(I593, "Method 1", 0, "Method 2", H593*0.03, "Method 3", 4000, "Method 4", 3000, 0)</f>
        <v>47133</v>
      </c>
    </row>
    <row r="594" spans="1:17">
      <c r="A594" s="24">
        <v>53202559</v>
      </c>
      <c r="B594" s="17">
        <v>42285</v>
      </c>
      <c r="C594" s="17">
        <v>42286</v>
      </c>
      <c r="D594" s="18" t="s">
        <v>109</v>
      </c>
      <c r="E594" s="18" t="s">
        <v>17</v>
      </c>
      <c r="F594" s="18">
        <v>2</v>
      </c>
      <c r="G594" s="19">
        <v>893500</v>
      </c>
      <c r="H594" s="19">
        <v>885100</v>
      </c>
      <c r="I594" s="18" t="s">
        <v>22</v>
      </c>
      <c r="J594" s="29" t="str">
        <f t="shared" si="54"/>
        <v>Thu</v>
      </c>
      <c r="K594" s="29" t="b">
        <f t="shared" si="55"/>
        <v>0</v>
      </c>
      <c r="L594" s="29" t="b">
        <f t="shared" si="56"/>
        <v>0</v>
      </c>
      <c r="M594" s="29" t="b">
        <f t="shared" si="59"/>
        <v>1</v>
      </c>
      <c r="N594" s="29" cm="1">
        <f t="array" ref="N594">_xlfn.IFS(
  E594="Airlines 1", IF(K594, F594*0.04, 0),
  E594="Airlines 2", P594,
  E594="Airlines 3", IF(L594, 20000*F594, 0),
  E594="Airlines 4", IF(M594, 15000*F594, 0),
  E594="Airlines 5",
    IF(F594&lt;50000000, F594*0.01,
      IF(F594&lt;100000000, F594*0.02,
        IF(F594&lt;200000000, F594*0.03, F594*0.035))),
  TRUE, 0
)</f>
        <v>0.02</v>
      </c>
      <c r="O594" s="29">
        <f t="shared" si="57"/>
        <v>17</v>
      </c>
      <c r="P594" s="29">
        <f t="shared" si="58"/>
        <v>0</v>
      </c>
      <c r="Q594" s="30" cm="1">
        <f t="array" ref="Q594">_xlfn.SWITCH(I594, "Method 1", 0, "Method 2", H594*0.03, "Method 3", 4000, "Method 4", 3000, 0)</f>
        <v>0</v>
      </c>
    </row>
    <row r="595" spans="1:17">
      <c r="A595" s="24">
        <v>53202630</v>
      </c>
      <c r="B595" s="17">
        <v>42285</v>
      </c>
      <c r="C595" s="17">
        <v>42287</v>
      </c>
      <c r="D595" s="18" t="s">
        <v>42</v>
      </c>
      <c r="E595" s="18" t="s">
        <v>17</v>
      </c>
      <c r="F595" s="18">
        <v>2</v>
      </c>
      <c r="G595" s="19">
        <v>1454000</v>
      </c>
      <c r="H595" s="19">
        <v>1439400</v>
      </c>
      <c r="I595" s="18" t="s">
        <v>26</v>
      </c>
      <c r="J595" s="29" t="str">
        <f t="shared" si="54"/>
        <v>Thu</v>
      </c>
      <c r="K595" s="29" t="b">
        <f t="shared" si="55"/>
        <v>0</v>
      </c>
      <c r="L595" s="29" t="b">
        <f t="shared" si="56"/>
        <v>0</v>
      </c>
      <c r="M595" s="29" t="b">
        <f t="shared" si="59"/>
        <v>1</v>
      </c>
      <c r="N595" s="29" cm="1">
        <f t="array" ref="N595">_xlfn.IFS(
  E595="Airlines 1", IF(K595, F595*0.04, 0),
  E595="Airlines 2", P595,
  E595="Airlines 3", IF(L595, 20000*F595, 0),
  E595="Airlines 4", IF(M595, 15000*F595, 0),
  E595="Airlines 5",
    IF(F595&lt;50000000, F595*0.01,
      IF(F595&lt;100000000, F595*0.02,
        IF(F595&lt;200000000, F595*0.03, F595*0.035))),
  TRUE, 0
)</f>
        <v>0.02</v>
      </c>
      <c r="O595" s="29">
        <f t="shared" si="57"/>
        <v>17</v>
      </c>
      <c r="P595" s="29">
        <f t="shared" si="58"/>
        <v>0</v>
      </c>
      <c r="Q595" s="30" cm="1">
        <f t="array" ref="Q595">_xlfn.SWITCH(I595, "Method 1", 0, "Method 2", H595*0.03, "Method 3", 4000, "Method 4", 3000, 0)</f>
        <v>4000</v>
      </c>
    </row>
    <row r="596" spans="1:17">
      <c r="A596" s="24">
        <v>53202508</v>
      </c>
      <c r="B596" s="17">
        <v>42285</v>
      </c>
      <c r="C596" s="17">
        <v>42287</v>
      </c>
      <c r="D596" s="18" t="s">
        <v>91</v>
      </c>
      <c r="E596" s="18" t="s">
        <v>17</v>
      </c>
      <c r="F596" s="18">
        <v>1</v>
      </c>
      <c r="G596" s="19">
        <v>430000</v>
      </c>
      <c r="H596" s="19">
        <v>425700</v>
      </c>
      <c r="I596" s="18" t="s">
        <v>26</v>
      </c>
      <c r="J596" s="29" t="str">
        <f t="shared" si="54"/>
        <v>Thu</v>
      </c>
      <c r="K596" s="29" t="b">
        <f t="shared" si="55"/>
        <v>0</v>
      </c>
      <c r="L596" s="29" t="b">
        <f t="shared" si="56"/>
        <v>0</v>
      </c>
      <c r="M596" s="29" t="b">
        <f t="shared" si="59"/>
        <v>1</v>
      </c>
      <c r="N596" s="29" cm="1">
        <f t="array" ref="N596">_xlfn.IFS(
  E596="Airlines 1", IF(K596, F596*0.04, 0),
  E596="Airlines 2", P596,
  E596="Airlines 3", IF(L596, 20000*F596, 0),
  E596="Airlines 4", IF(M596, 15000*F596, 0),
  E596="Airlines 5",
    IF(F596&lt;50000000, F596*0.01,
      IF(F596&lt;100000000, F596*0.02,
        IF(F596&lt;200000000, F596*0.03, F596*0.035))),
  TRUE, 0
)</f>
        <v>0.01</v>
      </c>
      <c r="O596" s="29">
        <f t="shared" si="57"/>
        <v>17</v>
      </c>
      <c r="P596" s="29">
        <f t="shared" si="58"/>
        <v>0</v>
      </c>
      <c r="Q596" s="30" cm="1">
        <f t="array" ref="Q596">_xlfn.SWITCH(I596, "Method 1", 0, "Method 2", H596*0.03, "Method 3", 4000, "Method 4", 3000, 0)</f>
        <v>4000</v>
      </c>
    </row>
    <row r="597" spans="1:17">
      <c r="A597" s="24">
        <v>53202473</v>
      </c>
      <c r="B597" s="17">
        <v>42288</v>
      </c>
      <c r="C597" s="17">
        <v>42296</v>
      </c>
      <c r="D597" s="18" t="s">
        <v>95</v>
      </c>
      <c r="E597" s="18" t="s">
        <v>17</v>
      </c>
      <c r="F597" s="18">
        <v>1</v>
      </c>
      <c r="G597" s="19">
        <v>619000</v>
      </c>
      <c r="H597" s="19">
        <v>612800</v>
      </c>
      <c r="I597" s="18" t="s">
        <v>26</v>
      </c>
      <c r="J597" s="29" t="str">
        <f t="shared" si="54"/>
        <v>Sun</v>
      </c>
      <c r="K597" s="29" t="b">
        <f t="shared" si="55"/>
        <v>1</v>
      </c>
      <c r="L597" s="29" t="b">
        <f t="shared" si="56"/>
        <v>0</v>
      </c>
      <c r="M597" s="29" t="b">
        <f t="shared" si="59"/>
        <v>1</v>
      </c>
      <c r="N597" s="29" cm="1">
        <f t="array" ref="N597">_xlfn.IFS(
  E597="Airlines 1", IF(K597, F597*0.04, 0),
  E597="Airlines 2", P597,
  E597="Airlines 3", IF(L597, 20000*F597, 0),
  E597="Airlines 4", IF(M597, 15000*F597, 0),
  E597="Airlines 5",
    IF(F597&lt;50000000, F597*0.01,
      IF(F597&lt;100000000, F597*0.02,
        IF(F597&lt;200000000, F597*0.03, F597*0.035))),
  TRUE, 0
)</f>
        <v>0.01</v>
      </c>
      <c r="O597" s="29">
        <f t="shared" si="57"/>
        <v>0</v>
      </c>
      <c r="P597" s="29">
        <f t="shared" si="58"/>
        <v>0</v>
      </c>
      <c r="Q597" s="30" cm="1">
        <f t="array" ref="Q597">_xlfn.SWITCH(I597, "Method 1", 0, "Method 2", H597*0.03, "Method 3", 4000, "Method 4", 3000, 0)</f>
        <v>4000</v>
      </c>
    </row>
    <row r="598" spans="1:17">
      <c r="A598" s="24">
        <v>53202531</v>
      </c>
      <c r="B598" s="17">
        <v>42288</v>
      </c>
      <c r="C598" s="17">
        <v>42376</v>
      </c>
      <c r="D598" s="18" t="s">
        <v>208</v>
      </c>
      <c r="E598" s="18" t="s">
        <v>17</v>
      </c>
      <c r="F598" s="18">
        <v>1</v>
      </c>
      <c r="G598" s="19">
        <v>443000</v>
      </c>
      <c r="H598" s="19">
        <v>438600</v>
      </c>
      <c r="I598" s="18" t="s">
        <v>24</v>
      </c>
      <c r="J598" s="29" t="str">
        <f t="shared" si="54"/>
        <v>Sun</v>
      </c>
      <c r="K598" s="29" t="b">
        <f t="shared" si="55"/>
        <v>1</v>
      </c>
      <c r="L598" s="29" t="b">
        <f t="shared" si="56"/>
        <v>0</v>
      </c>
      <c r="M598" s="29" t="b">
        <f t="shared" si="59"/>
        <v>1</v>
      </c>
      <c r="N598" s="29" cm="1">
        <f t="array" ref="N598">_xlfn.IFS(
  E598="Airlines 1", IF(K598, F598*0.04, 0),
  E598="Airlines 2", P598,
  E598="Airlines 3", IF(L598, 20000*F598, 0),
  E598="Airlines 4", IF(M598, 15000*F598, 0),
  E598="Airlines 5",
    IF(F598&lt;50000000, F598*0.01,
      IF(F598&lt;100000000, F598*0.02,
        IF(F598&lt;200000000, F598*0.03, F598*0.035))),
  TRUE, 0
)</f>
        <v>0.01</v>
      </c>
      <c r="O598" s="29">
        <f t="shared" si="57"/>
        <v>0</v>
      </c>
      <c r="P598" s="29">
        <f t="shared" si="58"/>
        <v>0</v>
      </c>
      <c r="Q598" s="30" cm="1">
        <f t="array" ref="Q598">_xlfn.SWITCH(I598, "Method 1", 0, "Method 2", H598*0.03, "Method 3", 4000, "Method 4", 3000, 0)</f>
        <v>13158</v>
      </c>
    </row>
    <row r="599" spans="1:17">
      <c r="A599" s="24">
        <v>53202195</v>
      </c>
      <c r="B599" s="17">
        <v>42288</v>
      </c>
      <c r="C599" s="17">
        <v>42289</v>
      </c>
      <c r="D599" s="18" t="s">
        <v>101</v>
      </c>
      <c r="E599" s="18" t="s">
        <v>17</v>
      </c>
      <c r="F599" s="18">
        <v>1</v>
      </c>
      <c r="G599" s="19">
        <v>694000</v>
      </c>
      <c r="H599" s="19">
        <v>687100</v>
      </c>
      <c r="I599" s="18" t="s">
        <v>26</v>
      </c>
      <c r="J599" s="29" t="str">
        <f t="shared" si="54"/>
        <v>Sun</v>
      </c>
      <c r="K599" s="29" t="b">
        <f t="shared" si="55"/>
        <v>1</v>
      </c>
      <c r="L599" s="29" t="b">
        <f t="shared" si="56"/>
        <v>0</v>
      </c>
      <c r="M599" s="29" t="b">
        <f t="shared" si="59"/>
        <v>1</v>
      </c>
      <c r="N599" s="29" cm="1">
        <f t="array" ref="N599">_xlfn.IFS(
  E599="Airlines 1", IF(K599, F599*0.04, 0),
  E599="Airlines 2", P599,
  E599="Airlines 3", IF(L599, 20000*F599, 0),
  E599="Airlines 4", IF(M599, 15000*F599, 0),
  E599="Airlines 5",
    IF(F599&lt;50000000, F599*0.01,
      IF(F599&lt;100000000, F599*0.02,
        IF(F599&lt;200000000, F599*0.03, F599*0.035))),
  TRUE, 0
)</f>
        <v>0.01</v>
      </c>
      <c r="O599" s="29">
        <f t="shared" si="57"/>
        <v>0</v>
      </c>
      <c r="P599" s="29">
        <f t="shared" si="58"/>
        <v>0</v>
      </c>
      <c r="Q599" s="30" cm="1">
        <f t="array" ref="Q599">_xlfn.SWITCH(I599, "Method 1", 0, "Method 2", H599*0.03, "Method 3", 4000, "Method 4", 3000, 0)</f>
        <v>4000</v>
      </c>
    </row>
    <row r="600" spans="1:17">
      <c r="A600" s="24">
        <v>53202608</v>
      </c>
      <c r="B600" s="17">
        <v>42288</v>
      </c>
      <c r="C600" s="17">
        <v>42292</v>
      </c>
      <c r="D600" s="18" t="s">
        <v>42</v>
      </c>
      <c r="E600" s="18" t="s">
        <v>17</v>
      </c>
      <c r="F600" s="18">
        <v>1</v>
      </c>
      <c r="G600" s="19">
        <v>727000</v>
      </c>
      <c r="H600" s="19">
        <v>719700</v>
      </c>
      <c r="I600" s="18" t="s">
        <v>24</v>
      </c>
      <c r="J600" s="29" t="str">
        <f t="shared" si="54"/>
        <v>Sun</v>
      </c>
      <c r="K600" s="29" t="b">
        <f t="shared" si="55"/>
        <v>1</v>
      </c>
      <c r="L600" s="29" t="b">
        <f t="shared" si="56"/>
        <v>0</v>
      </c>
      <c r="M600" s="29" t="b">
        <f t="shared" si="59"/>
        <v>1</v>
      </c>
      <c r="N600" s="29" cm="1">
        <f t="array" ref="N600">_xlfn.IFS(
  E600="Airlines 1", IF(K600, F600*0.04, 0),
  E600="Airlines 2", P600,
  E600="Airlines 3", IF(L600, 20000*F600, 0),
  E600="Airlines 4", IF(M600, 15000*F600, 0),
  E600="Airlines 5",
    IF(F600&lt;50000000, F600*0.01,
      IF(F600&lt;100000000, F600*0.02,
        IF(F600&lt;200000000, F600*0.03, F600*0.035))),
  TRUE, 0
)</f>
        <v>0.01</v>
      </c>
      <c r="O600" s="29">
        <f t="shared" si="57"/>
        <v>0</v>
      </c>
      <c r="P600" s="29">
        <f t="shared" si="58"/>
        <v>0</v>
      </c>
      <c r="Q600" s="30" cm="1">
        <f t="array" ref="Q600">_xlfn.SWITCH(I600, "Method 1", 0, "Method 2", H600*0.03, "Method 3", 4000, "Method 4", 3000, 0)</f>
        <v>21591</v>
      </c>
    </row>
    <row r="601" spans="1:17">
      <c r="A601" s="24">
        <v>53202666</v>
      </c>
      <c r="B601" s="17">
        <v>42288</v>
      </c>
      <c r="C601" s="17">
        <v>42289</v>
      </c>
      <c r="D601" s="18" t="s">
        <v>58</v>
      </c>
      <c r="E601" s="18" t="s">
        <v>17</v>
      </c>
      <c r="F601" s="18">
        <v>1</v>
      </c>
      <c r="G601" s="19">
        <v>804000</v>
      </c>
      <c r="H601" s="19">
        <v>796700</v>
      </c>
      <c r="I601" s="18" t="s">
        <v>22</v>
      </c>
      <c r="J601" s="29" t="str">
        <f t="shared" si="54"/>
        <v>Sun</v>
      </c>
      <c r="K601" s="29" t="b">
        <f t="shared" si="55"/>
        <v>1</v>
      </c>
      <c r="L601" s="29" t="b">
        <f t="shared" si="56"/>
        <v>0</v>
      </c>
      <c r="M601" s="29" t="b">
        <f t="shared" si="59"/>
        <v>1</v>
      </c>
      <c r="N601" s="29" cm="1">
        <f t="array" ref="N601">_xlfn.IFS(
  E601="Airlines 1", IF(K601, F601*0.04, 0),
  E601="Airlines 2", P601,
  E601="Airlines 3", IF(L601, 20000*F601, 0),
  E601="Airlines 4", IF(M601, 15000*F601, 0),
  E601="Airlines 5",
    IF(F601&lt;50000000, F601*0.01,
      IF(F601&lt;100000000, F601*0.02,
        IF(F601&lt;200000000, F601*0.03, F601*0.035))),
  TRUE, 0
)</f>
        <v>0.01</v>
      </c>
      <c r="O601" s="29">
        <f t="shared" si="57"/>
        <v>0</v>
      </c>
      <c r="P601" s="29">
        <f t="shared" si="58"/>
        <v>0</v>
      </c>
      <c r="Q601" s="30" cm="1">
        <f t="array" ref="Q601">_xlfn.SWITCH(I601, "Method 1", 0, "Method 2", H601*0.03, "Method 3", 4000, "Method 4", 3000, 0)</f>
        <v>0</v>
      </c>
    </row>
    <row r="602" spans="1:17">
      <c r="A602" s="24">
        <v>53202504</v>
      </c>
      <c r="B602" s="17">
        <v>42288</v>
      </c>
      <c r="C602" s="17">
        <v>42289</v>
      </c>
      <c r="D602" s="18" t="s">
        <v>91</v>
      </c>
      <c r="E602" s="18" t="s">
        <v>17</v>
      </c>
      <c r="F602" s="18">
        <v>2</v>
      </c>
      <c r="G602" s="19">
        <v>860000</v>
      </c>
      <c r="H602" s="19">
        <v>851400</v>
      </c>
      <c r="I602" s="18" t="s">
        <v>26</v>
      </c>
      <c r="J602" s="29" t="str">
        <f t="shared" si="54"/>
        <v>Sun</v>
      </c>
      <c r="K602" s="29" t="b">
        <f t="shared" si="55"/>
        <v>1</v>
      </c>
      <c r="L602" s="29" t="b">
        <f t="shared" si="56"/>
        <v>0</v>
      </c>
      <c r="M602" s="29" t="b">
        <f t="shared" si="59"/>
        <v>1</v>
      </c>
      <c r="N602" s="29" cm="1">
        <f t="array" ref="N602">_xlfn.IFS(
  E602="Airlines 1", IF(K602, F602*0.04, 0),
  E602="Airlines 2", P602,
  E602="Airlines 3", IF(L602, 20000*F602, 0),
  E602="Airlines 4", IF(M602, 15000*F602, 0),
  E602="Airlines 5",
    IF(F602&lt;50000000, F602*0.01,
      IF(F602&lt;100000000, F602*0.02,
        IF(F602&lt;200000000, F602*0.03, F602*0.035))),
  TRUE, 0
)</f>
        <v>0.02</v>
      </c>
      <c r="O602" s="29">
        <f t="shared" si="57"/>
        <v>0</v>
      </c>
      <c r="P602" s="29">
        <f t="shared" si="58"/>
        <v>0</v>
      </c>
      <c r="Q602" s="30" cm="1">
        <f t="array" ref="Q602">_xlfn.SWITCH(I602, "Method 1", 0, "Method 2", H602*0.03, "Method 3", 4000, "Method 4", 3000, 0)</f>
        <v>4000</v>
      </c>
    </row>
    <row r="603" spans="1:17">
      <c r="A603" s="24">
        <v>53202619</v>
      </c>
      <c r="B603" s="17">
        <v>42288</v>
      </c>
      <c r="C603" s="17">
        <v>42294</v>
      </c>
      <c r="D603" s="18" t="s">
        <v>91</v>
      </c>
      <c r="E603" s="18" t="s">
        <v>17</v>
      </c>
      <c r="F603" s="18">
        <v>1</v>
      </c>
      <c r="G603" s="19">
        <v>430000</v>
      </c>
      <c r="H603" s="19">
        <v>425700</v>
      </c>
      <c r="I603" s="18" t="s">
        <v>26</v>
      </c>
      <c r="J603" s="29" t="str">
        <f t="shared" si="54"/>
        <v>Sun</v>
      </c>
      <c r="K603" s="29" t="b">
        <f t="shared" si="55"/>
        <v>1</v>
      </c>
      <c r="L603" s="29" t="b">
        <f t="shared" si="56"/>
        <v>0</v>
      </c>
      <c r="M603" s="29" t="b">
        <f t="shared" si="59"/>
        <v>1</v>
      </c>
      <c r="N603" s="29" cm="1">
        <f t="array" ref="N603">_xlfn.IFS(
  E603="Airlines 1", IF(K603, F603*0.04, 0),
  E603="Airlines 2", P603,
  E603="Airlines 3", IF(L603, 20000*F603, 0),
  E603="Airlines 4", IF(M603, 15000*F603, 0),
  E603="Airlines 5",
    IF(F603&lt;50000000, F603*0.01,
      IF(F603&lt;100000000, F603*0.02,
        IF(F603&lt;200000000, F603*0.03, F603*0.035))),
  TRUE, 0
)</f>
        <v>0.01</v>
      </c>
      <c r="O603" s="29">
        <f t="shared" si="57"/>
        <v>0</v>
      </c>
      <c r="P603" s="29">
        <f t="shared" si="58"/>
        <v>0</v>
      </c>
      <c r="Q603" s="30" cm="1">
        <f t="array" ref="Q603">_xlfn.SWITCH(I603, "Method 1", 0, "Method 2", H603*0.03, "Method 3", 4000, "Method 4", 3000, 0)</f>
        <v>4000</v>
      </c>
    </row>
    <row r="604" spans="1:17">
      <c r="A604" s="24">
        <v>53201705</v>
      </c>
      <c r="B604" s="17">
        <v>42288</v>
      </c>
      <c r="C604" s="17">
        <v>42290</v>
      </c>
      <c r="D604" s="18" t="s">
        <v>72</v>
      </c>
      <c r="E604" s="18" t="s">
        <v>17</v>
      </c>
      <c r="F604" s="18">
        <v>2</v>
      </c>
      <c r="G604" s="19">
        <v>1097600</v>
      </c>
      <c r="H604" s="19">
        <v>1086600</v>
      </c>
      <c r="I604" s="18" t="s">
        <v>26</v>
      </c>
      <c r="J604" s="29" t="str">
        <f t="shared" si="54"/>
        <v>Sun</v>
      </c>
      <c r="K604" s="29" t="b">
        <f t="shared" si="55"/>
        <v>1</v>
      </c>
      <c r="L604" s="29" t="b">
        <f t="shared" si="56"/>
        <v>0</v>
      </c>
      <c r="M604" s="29" t="b">
        <f t="shared" si="59"/>
        <v>1</v>
      </c>
      <c r="N604" s="29" cm="1">
        <f t="array" ref="N604">_xlfn.IFS(
  E604="Airlines 1", IF(K604, F604*0.04, 0),
  E604="Airlines 2", P604,
  E604="Airlines 3", IF(L604, 20000*F604, 0),
  E604="Airlines 4", IF(M604, 15000*F604, 0),
  E604="Airlines 5",
    IF(F604&lt;50000000, F604*0.01,
      IF(F604&lt;100000000, F604*0.02,
        IF(F604&lt;200000000, F604*0.03, F604*0.035))),
  TRUE, 0
)</f>
        <v>0.02</v>
      </c>
      <c r="O604" s="29">
        <f t="shared" si="57"/>
        <v>0</v>
      </c>
      <c r="P604" s="29">
        <f t="shared" si="58"/>
        <v>0</v>
      </c>
      <c r="Q604" s="30" cm="1">
        <f t="array" ref="Q604">_xlfn.SWITCH(I604, "Method 1", 0, "Method 2", H604*0.03, "Method 3", 4000, "Method 4", 3000, 0)</f>
        <v>4000</v>
      </c>
    </row>
    <row r="605" spans="1:17">
      <c r="A605" s="24">
        <v>53202656</v>
      </c>
      <c r="B605" s="17">
        <v>42288</v>
      </c>
      <c r="C605" s="17">
        <v>42290</v>
      </c>
      <c r="D605" s="18" t="s">
        <v>91</v>
      </c>
      <c r="E605" s="18" t="s">
        <v>17</v>
      </c>
      <c r="F605" s="18">
        <v>2</v>
      </c>
      <c r="G605" s="19">
        <v>778600</v>
      </c>
      <c r="H605" s="19">
        <v>770800</v>
      </c>
      <c r="I605" s="18" t="s">
        <v>26</v>
      </c>
      <c r="J605" s="29" t="str">
        <f t="shared" si="54"/>
        <v>Sun</v>
      </c>
      <c r="K605" s="29" t="b">
        <f t="shared" si="55"/>
        <v>1</v>
      </c>
      <c r="L605" s="29" t="b">
        <f t="shared" si="56"/>
        <v>0</v>
      </c>
      <c r="M605" s="29" t="b">
        <f t="shared" si="59"/>
        <v>1</v>
      </c>
      <c r="N605" s="29" cm="1">
        <f t="array" ref="N605">_xlfn.IFS(
  E605="Airlines 1", IF(K605, F605*0.04, 0),
  E605="Airlines 2", P605,
  E605="Airlines 3", IF(L605, 20000*F605, 0),
  E605="Airlines 4", IF(M605, 15000*F605, 0),
  E605="Airlines 5",
    IF(F605&lt;50000000, F605*0.01,
      IF(F605&lt;100000000, F605*0.02,
        IF(F605&lt;200000000, F605*0.03, F605*0.035))),
  TRUE, 0
)</f>
        <v>0.02</v>
      </c>
      <c r="O605" s="29">
        <f t="shared" si="57"/>
        <v>0</v>
      </c>
      <c r="P605" s="29">
        <f t="shared" si="58"/>
        <v>0</v>
      </c>
      <c r="Q605" s="30" cm="1">
        <f t="array" ref="Q605">_xlfn.SWITCH(I605, "Method 1", 0, "Method 2", H605*0.03, "Method 3", 4000, "Method 4", 3000, 0)</f>
        <v>4000</v>
      </c>
    </row>
    <row r="606" spans="1:17">
      <c r="A606" s="24">
        <v>53202621</v>
      </c>
      <c r="B606" s="17">
        <v>42288</v>
      </c>
      <c r="C606" s="17">
        <v>42290</v>
      </c>
      <c r="D606" s="18" t="s">
        <v>216</v>
      </c>
      <c r="E606" s="18" t="s">
        <v>17</v>
      </c>
      <c r="F606" s="18">
        <v>2</v>
      </c>
      <c r="G606" s="19">
        <v>1146000</v>
      </c>
      <c r="H606" s="19">
        <v>1134600</v>
      </c>
      <c r="I606" s="18" t="s">
        <v>26</v>
      </c>
      <c r="J606" s="29" t="str">
        <f t="shared" si="54"/>
        <v>Sun</v>
      </c>
      <c r="K606" s="29" t="b">
        <f t="shared" si="55"/>
        <v>1</v>
      </c>
      <c r="L606" s="29" t="b">
        <f t="shared" si="56"/>
        <v>0</v>
      </c>
      <c r="M606" s="29" t="b">
        <f t="shared" si="59"/>
        <v>1</v>
      </c>
      <c r="N606" s="29" cm="1">
        <f t="array" ref="N606">_xlfn.IFS(
  E606="Airlines 1", IF(K606, F606*0.04, 0),
  E606="Airlines 2", P606,
  E606="Airlines 3", IF(L606, 20000*F606, 0),
  E606="Airlines 4", IF(M606, 15000*F606, 0),
  E606="Airlines 5",
    IF(F606&lt;50000000, F606*0.01,
      IF(F606&lt;100000000, F606*0.02,
        IF(F606&lt;200000000, F606*0.03, F606*0.035))),
  TRUE, 0
)</f>
        <v>0.02</v>
      </c>
      <c r="O606" s="29">
        <f t="shared" si="57"/>
        <v>0</v>
      </c>
      <c r="P606" s="29">
        <f t="shared" si="58"/>
        <v>0</v>
      </c>
      <c r="Q606" s="30" cm="1">
        <f t="array" ref="Q606">_xlfn.SWITCH(I606, "Method 1", 0, "Method 2", H606*0.03, "Method 3", 4000, "Method 4", 3000, 0)</f>
        <v>4000</v>
      </c>
    </row>
    <row r="607" spans="1:17">
      <c r="A607" s="24">
        <v>53202374</v>
      </c>
      <c r="B607" s="17">
        <v>42288</v>
      </c>
      <c r="C607" s="17">
        <v>42289</v>
      </c>
      <c r="D607" s="18" t="s">
        <v>146</v>
      </c>
      <c r="E607" s="18" t="s">
        <v>17</v>
      </c>
      <c r="F607" s="18">
        <v>2</v>
      </c>
      <c r="G607" s="19">
        <v>3638000</v>
      </c>
      <c r="H607" s="19">
        <v>3603400</v>
      </c>
      <c r="I607" s="18" t="s">
        <v>26</v>
      </c>
      <c r="J607" s="29" t="str">
        <f t="shared" si="54"/>
        <v>Sun</v>
      </c>
      <c r="K607" s="29" t="b">
        <f t="shared" si="55"/>
        <v>1</v>
      </c>
      <c r="L607" s="29" t="b">
        <f t="shared" si="56"/>
        <v>0</v>
      </c>
      <c r="M607" s="29" t="b">
        <f t="shared" si="59"/>
        <v>1</v>
      </c>
      <c r="N607" s="29" cm="1">
        <f t="array" ref="N607">_xlfn.IFS(
  E607="Airlines 1", IF(K607, F607*0.04, 0),
  E607="Airlines 2", P607,
  E607="Airlines 3", IF(L607, 20000*F607, 0),
  E607="Airlines 4", IF(M607, 15000*F607, 0),
  E607="Airlines 5",
    IF(F607&lt;50000000, F607*0.01,
      IF(F607&lt;100000000, F607*0.02,
        IF(F607&lt;200000000, F607*0.03, F607*0.035))),
  TRUE, 0
)</f>
        <v>0.02</v>
      </c>
      <c r="O607" s="29">
        <f t="shared" si="57"/>
        <v>0</v>
      </c>
      <c r="P607" s="29">
        <f t="shared" si="58"/>
        <v>0</v>
      </c>
      <c r="Q607" s="30" cm="1">
        <f t="array" ref="Q607">_xlfn.SWITCH(I607, "Method 1", 0, "Method 2", H607*0.03, "Method 3", 4000, "Method 4", 3000, 0)</f>
        <v>4000</v>
      </c>
    </row>
    <row r="608" spans="1:17">
      <c r="A608" s="24">
        <v>53200040</v>
      </c>
      <c r="B608" s="17">
        <v>42289</v>
      </c>
      <c r="C608" s="17">
        <v>42290</v>
      </c>
      <c r="D608" s="18" t="s">
        <v>42</v>
      </c>
      <c r="E608" s="18" t="s">
        <v>17</v>
      </c>
      <c r="F608" s="18">
        <v>1</v>
      </c>
      <c r="G608" s="19">
        <v>727000</v>
      </c>
      <c r="H608" s="19">
        <v>719700</v>
      </c>
      <c r="I608" s="18" t="s">
        <v>26</v>
      </c>
      <c r="J608" s="29" t="str">
        <f t="shared" si="54"/>
        <v>Mon</v>
      </c>
      <c r="K608" s="29" t="b">
        <f t="shared" si="55"/>
        <v>0</v>
      </c>
      <c r="L608" s="29" t="b">
        <f t="shared" si="56"/>
        <v>0</v>
      </c>
      <c r="M608" s="29" t="b">
        <f t="shared" si="59"/>
        <v>1</v>
      </c>
      <c r="N608" s="29" cm="1">
        <f t="array" ref="N608">_xlfn.IFS(
  E608="Airlines 1", IF(K608, F608*0.04, 0),
  E608="Airlines 2", P608,
  E608="Airlines 3", IF(L608, 20000*F608, 0),
  E608="Airlines 4", IF(M608, 15000*F608, 0),
  E608="Airlines 5",
    IF(F608&lt;50000000, F608*0.01,
      IF(F608&lt;100000000, F608*0.02,
        IF(F608&lt;200000000, F608*0.03, F608*0.035))),
  TRUE, 0
)</f>
        <v>0.01</v>
      </c>
      <c r="O608" s="29">
        <f t="shared" si="57"/>
        <v>12</v>
      </c>
      <c r="P608" s="29">
        <f t="shared" si="58"/>
        <v>0</v>
      </c>
      <c r="Q608" s="30" cm="1">
        <f t="array" ref="Q608">_xlfn.SWITCH(I608, "Method 1", 0, "Method 2", H608*0.03, "Method 3", 4000, "Method 4", 3000, 0)</f>
        <v>4000</v>
      </c>
    </row>
    <row r="609" spans="1:17">
      <c r="A609" s="24">
        <v>53202606</v>
      </c>
      <c r="B609" s="17">
        <v>42289</v>
      </c>
      <c r="C609" s="17">
        <v>42290</v>
      </c>
      <c r="D609" s="18" t="s">
        <v>215</v>
      </c>
      <c r="E609" s="18" t="s">
        <v>17</v>
      </c>
      <c r="F609" s="18">
        <v>1</v>
      </c>
      <c r="G609" s="19">
        <v>529000</v>
      </c>
      <c r="H609" s="19">
        <v>523700</v>
      </c>
      <c r="I609" s="18" t="s">
        <v>26</v>
      </c>
      <c r="J609" s="29" t="str">
        <f t="shared" si="54"/>
        <v>Mon</v>
      </c>
      <c r="K609" s="29" t="b">
        <f t="shared" si="55"/>
        <v>0</v>
      </c>
      <c r="L609" s="29" t="b">
        <f t="shared" si="56"/>
        <v>0</v>
      </c>
      <c r="M609" s="29" t="b">
        <f t="shared" si="59"/>
        <v>1</v>
      </c>
      <c r="N609" s="29" cm="1">
        <f t="array" ref="N609">_xlfn.IFS(
  E609="Airlines 1", IF(K609, F609*0.04, 0),
  E609="Airlines 2", P609,
  E609="Airlines 3", IF(L609, 20000*F609, 0),
  E609="Airlines 4", IF(M609, 15000*F609, 0),
  E609="Airlines 5",
    IF(F609&lt;50000000, F609*0.01,
      IF(F609&lt;100000000, F609*0.02,
        IF(F609&lt;200000000, F609*0.03, F609*0.035))),
  TRUE, 0
)</f>
        <v>0.01</v>
      </c>
      <c r="O609" s="29">
        <f t="shared" si="57"/>
        <v>12</v>
      </c>
      <c r="P609" s="29">
        <f t="shared" si="58"/>
        <v>0</v>
      </c>
      <c r="Q609" s="30" cm="1">
        <f t="array" ref="Q609">_xlfn.SWITCH(I609, "Method 1", 0, "Method 2", H609*0.03, "Method 3", 4000, "Method 4", 3000, 0)</f>
        <v>4000</v>
      </c>
    </row>
    <row r="610" spans="1:17">
      <c r="A610" s="24">
        <v>53202593</v>
      </c>
      <c r="B610" s="17">
        <v>42289</v>
      </c>
      <c r="C610" s="17">
        <v>42291</v>
      </c>
      <c r="D610" s="18" t="s">
        <v>62</v>
      </c>
      <c r="E610" s="18" t="s">
        <v>17</v>
      </c>
      <c r="F610" s="18">
        <v>1</v>
      </c>
      <c r="G610" s="19">
        <v>639000</v>
      </c>
      <c r="H610" s="19">
        <v>632600</v>
      </c>
      <c r="I610" s="18" t="s">
        <v>26</v>
      </c>
      <c r="J610" s="29" t="str">
        <f t="shared" si="54"/>
        <v>Mon</v>
      </c>
      <c r="K610" s="29" t="b">
        <f t="shared" si="55"/>
        <v>0</v>
      </c>
      <c r="L610" s="29" t="b">
        <f t="shared" si="56"/>
        <v>1</v>
      </c>
      <c r="M610" s="29" t="b">
        <f t="shared" si="59"/>
        <v>1</v>
      </c>
      <c r="N610" s="29" cm="1">
        <f t="array" ref="N610">_xlfn.IFS(
  E610="Airlines 1", IF(K610, F610*0.04, 0),
  E610="Airlines 2", P610,
  E610="Airlines 3", IF(L610, 20000*F610, 0),
  E610="Airlines 4", IF(M610, 15000*F610, 0),
  E610="Airlines 5",
    IF(F610&lt;50000000, F610*0.01,
      IF(F610&lt;100000000, F610*0.02,
        IF(F610&lt;200000000, F610*0.03, F610*0.035))),
  TRUE, 0
)</f>
        <v>0.01</v>
      </c>
      <c r="O610" s="29">
        <f t="shared" si="57"/>
        <v>12</v>
      </c>
      <c r="P610" s="29">
        <f t="shared" si="58"/>
        <v>0</v>
      </c>
      <c r="Q610" s="30" cm="1">
        <f t="array" ref="Q610">_xlfn.SWITCH(I610, "Method 1", 0, "Method 2", H610*0.03, "Method 3", 4000, "Method 4", 3000, 0)</f>
        <v>4000</v>
      </c>
    </row>
    <row r="611" spans="1:17">
      <c r="A611" s="24">
        <v>53202478</v>
      </c>
      <c r="B611" s="17">
        <v>42289</v>
      </c>
      <c r="C611" s="17">
        <v>42290</v>
      </c>
      <c r="D611" s="18" t="s">
        <v>43</v>
      </c>
      <c r="E611" s="18" t="s">
        <v>17</v>
      </c>
      <c r="F611" s="18">
        <v>1</v>
      </c>
      <c r="G611" s="19">
        <v>1697000</v>
      </c>
      <c r="H611" s="19">
        <v>1680000</v>
      </c>
      <c r="I611" s="18" t="s">
        <v>24</v>
      </c>
      <c r="J611" s="29" t="str">
        <f t="shared" si="54"/>
        <v>Mon</v>
      </c>
      <c r="K611" s="29" t="b">
        <f t="shared" si="55"/>
        <v>0</v>
      </c>
      <c r="L611" s="29" t="b">
        <f t="shared" si="56"/>
        <v>1</v>
      </c>
      <c r="M611" s="29" t="b">
        <f t="shared" si="59"/>
        <v>1</v>
      </c>
      <c r="N611" s="29" cm="1">
        <f t="array" ref="N611">_xlfn.IFS(
  E611="Airlines 1", IF(K611, F611*0.04, 0),
  E611="Airlines 2", P611,
  E611="Airlines 3", IF(L611, 20000*F611, 0),
  E611="Airlines 4", IF(M611, 15000*F611, 0),
  E611="Airlines 5",
    IF(F611&lt;50000000, F611*0.01,
      IF(F611&lt;100000000, F611*0.02,
        IF(F611&lt;200000000, F611*0.03, F611*0.035))),
  TRUE, 0
)</f>
        <v>0.01</v>
      </c>
      <c r="O611" s="29">
        <f t="shared" si="57"/>
        <v>12</v>
      </c>
      <c r="P611" s="29">
        <f t="shared" si="58"/>
        <v>0</v>
      </c>
      <c r="Q611" s="30" cm="1">
        <f t="array" ref="Q611">_xlfn.SWITCH(I611, "Method 1", 0, "Method 2", H611*0.03, "Method 3", 4000, "Method 4", 3000, 0)</f>
        <v>50400</v>
      </c>
    </row>
    <row r="612" spans="1:17">
      <c r="A612" s="24">
        <v>53201820</v>
      </c>
      <c r="B612" s="17">
        <v>42292</v>
      </c>
      <c r="C612" s="17">
        <v>42294</v>
      </c>
      <c r="D612" s="18" t="s">
        <v>65</v>
      </c>
      <c r="E612" s="18" t="s">
        <v>17</v>
      </c>
      <c r="F612" s="18">
        <v>1</v>
      </c>
      <c r="G612" s="19">
        <v>332000</v>
      </c>
      <c r="H612" s="19">
        <v>328700</v>
      </c>
      <c r="I612" s="18" t="s">
        <v>26</v>
      </c>
      <c r="J612" s="29" t="str">
        <f t="shared" si="54"/>
        <v>Thu</v>
      </c>
      <c r="K612" s="29" t="b">
        <f t="shared" si="55"/>
        <v>0</v>
      </c>
      <c r="L612" s="29" t="b">
        <f t="shared" si="56"/>
        <v>0</v>
      </c>
      <c r="M612" s="29" t="b">
        <f t="shared" si="59"/>
        <v>1</v>
      </c>
      <c r="N612" s="29" cm="1">
        <f t="array" ref="N612">_xlfn.IFS(
  E612="Airlines 1", IF(K612, F612*0.04, 0),
  E612="Airlines 2", P612,
  E612="Airlines 3", IF(L612, 20000*F612, 0),
  E612="Airlines 4", IF(M612, 15000*F612, 0),
  E612="Airlines 5",
    IF(F612&lt;50000000, F612*0.01,
      IF(F612&lt;100000000, F612*0.02,
        IF(F612&lt;200000000, F612*0.03, F612*0.035))),
  TRUE, 0
)</f>
        <v>0.01</v>
      </c>
      <c r="O612" s="29">
        <f t="shared" si="57"/>
        <v>0</v>
      </c>
      <c r="P612" s="29">
        <f t="shared" si="58"/>
        <v>0</v>
      </c>
      <c r="Q612" s="30" cm="1">
        <f t="array" ref="Q612">_xlfn.SWITCH(I612, "Method 1", 0, "Method 2", H612*0.03, "Method 3", 4000, "Method 4", 3000, 0)</f>
        <v>4000</v>
      </c>
    </row>
    <row r="613" spans="1:17">
      <c r="A613" s="24">
        <v>53202667</v>
      </c>
      <c r="B613" s="17">
        <v>42292</v>
      </c>
      <c r="C613" s="17">
        <v>42294</v>
      </c>
      <c r="D613" s="18" t="s">
        <v>50</v>
      </c>
      <c r="E613" s="18" t="s">
        <v>17</v>
      </c>
      <c r="F613" s="18">
        <v>1</v>
      </c>
      <c r="G613" s="19">
        <v>397000</v>
      </c>
      <c r="H613" s="19">
        <v>393000</v>
      </c>
      <c r="I613" s="18" t="s">
        <v>26</v>
      </c>
      <c r="J613" s="29" t="str">
        <f t="shared" si="54"/>
        <v>Thu</v>
      </c>
      <c r="K613" s="29" t="b">
        <f t="shared" si="55"/>
        <v>0</v>
      </c>
      <c r="L613" s="29" t="b">
        <f t="shared" si="56"/>
        <v>0</v>
      </c>
      <c r="M613" s="29" t="b">
        <f t="shared" si="59"/>
        <v>1</v>
      </c>
      <c r="N613" s="29" cm="1">
        <f t="array" ref="N613">_xlfn.IFS(
  E613="Airlines 1", IF(K613, F613*0.04, 0),
  E613="Airlines 2", P613,
  E613="Airlines 3", IF(L613, 20000*F613, 0),
  E613="Airlines 4", IF(M613, 15000*F613, 0),
  E613="Airlines 5",
    IF(F613&lt;50000000, F613*0.01,
      IF(F613&lt;100000000, F613*0.02,
        IF(F613&lt;200000000, F613*0.03, F613*0.035))),
  TRUE, 0
)</f>
        <v>0.01</v>
      </c>
      <c r="O613" s="29">
        <f t="shared" si="57"/>
        <v>0</v>
      </c>
      <c r="P613" s="29">
        <f t="shared" si="58"/>
        <v>0</v>
      </c>
      <c r="Q613" s="30" cm="1">
        <f t="array" ref="Q613">_xlfn.SWITCH(I613, "Method 1", 0, "Method 2", H613*0.03, "Method 3", 4000, "Method 4", 3000, 0)</f>
        <v>4000</v>
      </c>
    </row>
    <row r="614" spans="1:17">
      <c r="A614" s="24">
        <v>53201834</v>
      </c>
      <c r="B614" s="17">
        <v>42292</v>
      </c>
      <c r="C614" s="17">
        <v>42293</v>
      </c>
      <c r="D614" s="18" t="s">
        <v>46</v>
      </c>
      <c r="E614" s="18" t="s">
        <v>17</v>
      </c>
      <c r="F614" s="18">
        <v>1</v>
      </c>
      <c r="G614" s="19">
        <v>541000</v>
      </c>
      <c r="H614" s="19">
        <v>535600</v>
      </c>
      <c r="I614" s="18" t="s">
        <v>24</v>
      </c>
      <c r="J614" s="29" t="str">
        <f t="shared" si="54"/>
        <v>Thu</v>
      </c>
      <c r="K614" s="29" t="b">
        <f t="shared" si="55"/>
        <v>0</v>
      </c>
      <c r="L614" s="29" t="b">
        <f t="shared" si="56"/>
        <v>0</v>
      </c>
      <c r="M614" s="29" t="b">
        <f t="shared" si="59"/>
        <v>1</v>
      </c>
      <c r="N614" s="29" cm="1">
        <f t="array" ref="N614">_xlfn.IFS(
  E614="Airlines 1", IF(K614, F614*0.04, 0),
  E614="Airlines 2", P614,
  E614="Airlines 3", IF(L614, 20000*F614, 0),
  E614="Airlines 4", IF(M614, 15000*F614, 0),
  E614="Airlines 5",
    IF(F614&lt;50000000, F614*0.01,
      IF(F614&lt;100000000, F614*0.02,
        IF(F614&lt;200000000, F614*0.03, F614*0.035))),
  TRUE, 0
)</f>
        <v>0.01</v>
      </c>
      <c r="O614" s="29">
        <f t="shared" si="57"/>
        <v>0</v>
      </c>
      <c r="P614" s="29">
        <f t="shared" si="58"/>
        <v>0</v>
      </c>
      <c r="Q614" s="30" cm="1">
        <f t="array" ref="Q614">_xlfn.SWITCH(I614, "Method 1", 0, "Method 2", H614*0.03, "Method 3", 4000, "Method 4", 3000, 0)</f>
        <v>16068</v>
      </c>
    </row>
    <row r="615" spans="1:17">
      <c r="A615" s="24">
        <v>53202671</v>
      </c>
      <c r="B615" s="17">
        <v>42292</v>
      </c>
      <c r="C615" s="17">
        <v>42294</v>
      </c>
      <c r="D615" s="18" t="s">
        <v>97</v>
      </c>
      <c r="E615" s="18" t="s">
        <v>17</v>
      </c>
      <c r="F615" s="18">
        <v>1</v>
      </c>
      <c r="G615" s="19">
        <v>389800</v>
      </c>
      <c r="H615" s="19">
        <v>385900</v>
      </c>
      <c r="I615" s="18" t="s">
        <v>26</v>
      </c>
      <c r="J615" s="29" t="str">
        <f t="shared" si="54"/>
        <v>Thu</v>
      </c>
      <c r="K615" s="29" t="b">
        <f t="shared" si="55"/>
        <v>0</v>
      </c>
      <c r="L615" s="29" t="b">
        <f t="shared" si="56"/>
        <v>1</v>
      </c>
      <c r="M615" s="29" t="b">
        <f t="shared" si="59"/>
        <v>1</v>
      </c>
      <c r="N615" s="29" cm="1">
        <f t="array" ref="N615">_xlfn.IFS(
  E615="Airlines 1", IF(K615, F615*0.04, 0),
  E615="Airlines 2", P615,
  E615="Airlines 3", IF(L615, 20000*F615, 0),
  E615="Airlines 4", IF(M615, 15000*F615, 0),
  E615="Airlines 5",
    IF(F615&lt;50000000, F615*0.01,
      IF(F615&lt;100000000, F615*0.02,
        IF(F615&lt;200000000, F615*0.03, F615*0.035))),
  TRUE, 0
)</f>
        <v>0.01</v>
      </c>
      <c r="O615" s="29">
        <f t="shared" si="57"/>
        <v>0</v>
      </c>
      <c r="P615" s="29">
        <f t="shared" si="58"/>
        <v>0</v>
      </c>
      <c r="Q615" s="30" cm="1">
        <f t="array" ref="Q615">_xlfn.SWITCH(I615, "Method 1", 0, "Method 2", H615*0.03, "Method 3", 4000, "Method 4", 3000, 0)</f>
        <v>4000</v>
      </c>
    </row>
    <row r="616" spans="1:17">
      <c r="A616" s="24">
        <v>53202634</v>
      </c>
      <c r="B616" s="17">
        <v>42292</v>
      </c>
      <c r="C616" s="17">
        <v>42295</v>
      </c>
      <c r="D616" s="18" t="s">
        <v>147</v>
      </c>
      <c r="E616" s="18" t="s">
        <v>17</v>
      </c>
      <c r="F616" s="18">
        <v>1</v>
      </c>
      <c r="G616" s="19">
        <v>460800</v>
      </c>
      <c r="H616" s="19">
        <v>456200</v>
      </c>
      <c r="I616" s="18" t="s">
        <v>24</v>
      </c>
      <c r="J616" s="29" t="str">
        <f t="shared" si="54"/>
        <v>Thu</v>
      </c>
      <c r="K616" s="29" t="b">
        <f t="shared" si="55"/>
        <v>0</v>
      </c>
      <c r="L616" s="29" t="b">
        <f t="shared" si="56"/>
        <v>0</v>
      </c>
      <c r="M616" s="29" t="b">
        <f t="shared" si="59"/>
        <v>1</v>
      </c>
      <c r="N616" s="29" cm="1">
        <f t="array" ref="N616">_xlfn.IFS(
  E616="Airlines 1", IF(K616, F616*0.04, 0),
  E616="Airlines 2", P616,
  E616="Airlines 3", IF(L616, 20000*F616, 0),
  E616="Airlines 4", IF(M616, 15000*F616, 0),
  E616="Airlines 5",
    IF(F616&lt;50000000, F616*0.01,
      IF(F616&lt;100000000, F616*0.02,
        IF(F616&lt;200000000, F616*0.03, F616*0.035))),
  TRUE, 0
)</f>
        <v>0.01</v>
      </c>
      <c r="O616" s="29">
        <f t="shared" si="57"/>
        <v>0</v>
      </c>
      <c r="P616" s="29">
        <f t="shared" si="58"/>
        <v>0</v>
      </c>
      <c r="Q616" s="30" cm="1">
        <f t="array" ref="Q616">_xlfn.SWITCH(I616, "Method 1", 0, "Method 2", H616*0.03, "Method 3", 4000, "Method 4", 3000, 0)</f>
        <v>13686</v>
      </c>
    </row>
    <row r="617" spans="1:17">
      <c r="A617" s="24">
        <v>53202641</v>
      </c>
      <c r="B617" s="17">
        <v>42292</v>
      </c>
      <c r="C617" s="17">
        <v>42295</v>
      </c>
      <c r="D617" s="18" t="s">
        <v>82</v>
      </c>
      <c r="E617" s="18" t="s">
        <v>17</v>
      </c>
      <c r="F617" s="18">
        <v>1</v>
      </c>
      <c r="G617" s="19">
        <v>452000</v>
      </c>
      <c r="H617" s="19">
        <v>447500</v>
      </c>
      <c r="I617" s="18" t="s">
        <v>26</v>
      </c>
      <c r="J617" s="29" t="str">
        <f t="shared" si="54"/>
        <v>Thu</v>
      </c>
      <c r="K617" s="29" t="b">
        <f t="shared" si="55"/>
        <v>0</v>
      </c>
      <c r="L617" s="29" t="b">
        <f t="shared" si="56"/>
        <v>0</v>
      </c>
      <c r="M617" s="29" t="b">
        <f t="shared" si="59"/>
        <v>1</v>
      </c>
      <c r="N617" s="29" cm="1">
        <f t="array" ref="N617">_xlfn.IFS(
  E617="Airlines 1", IF(K617, F617*0.04, 0),
  E617="Airlines 2", P617,
  E617="Airlines 3", IF(L617, 20000*F617, 0),
  E617="Airlines 4", IF(M617, 15000*F617, 0),
  E617="Airlines 5",
    IF(F617&lt;50000000, F617*0.01,
      IF(F617&lt;100000000, F617*0.02,
        IF(F617&lt;200000000, F617*0.03, F617*0.035))),
  TRUE, 0
)</f>
        <v>0.01</v>
      </c>
      <c r="O617" s="29">
        <f t="shared" si="57"/>
        <v>0</v>
      </c>
      <c r="P617" s="29">
        <f t="shared" si="58"/>
        <v>0</v>
      </c>
      <c r="Q617" s="30" cm="1">
        <f t="array" ref="Q617">_xlfn.SWITCH(I617, "Method 1", 0, "Method 2", H617*0.03, "Method 3", 4000, "Method 4", 3000, 0)</f>
        <v>4000</v>
      </c>
    </row>
    <row r="618" spans="1:17">
      <c r="A618" s="24">
        <v>53202674</v>
      </c>
      <c r="B618" s="17">
        <v>42292</v>
      </c>
      <c r="C618" s="17">
        <v>42296</v>
      </c>
      <c r="D618" s="18" t="s">
        <v>146</v>
      </c>
      <c r="E618" s="18" t="s">
        <v>17</v>
      </c>
      <c r="F618" s="18">
        <v>1</v>
      </c>
      <c r="G618" s="19">
        <v>1074000</v>
      </c>
      <c r="H618" s="19">
        <v>1063300</v>
      </c>
      <c r="I618" s="18" t="s">
        <v>24</v>
      </c>
      <c r="J618" s="29" t="str">
        <f t="shared" si="54"/>
        <v>Thu</v>
      </c>
      <c r="K618" s="29" t="b">
        <f t="shared" si="55"/>
        <v>0</v>
      </c>
      <c r="L618" s="29" t="b">
        <f t="shared" si="56"/>
        <v>0</v>
      </c>
      <c r="M618" s="29" t="b">
        <f t="shared" si="59"/>
        <v>1</v>
      </c>
      <c r="N618" s="29" cm="1">
        <f t="array" ref="N618">_xlfn.IFS(
  E618="Airlines 1", IF(K618, F618*0.04, 0),
  E618="Airlines 2", P618,
  E618="Airlines 3", IF(L618, 20000*F618, 0),
  E618="Airlines 4", IF(M618, 15000*F618, 0),
  E618="Airlines 5",
    IF(F618&lt;50000000, F618*0.01,
      IF(F618&lt;100000000, F618*0.02,
        IF(F618&lt;200000000, F618*0.03, F618*0.035))),
  TRUE, 0
)</f>
        <v>0.01</v>
      </c>
      <c r="O618" s="29">
        <f t="shared" si="57"/>
        <v>0</v>
      </c>
      <c r="P618" s="29">
        <f t="shared" si="58"/>
        <v>0</v>
      </c>
      <c r="Q618" s="30" cm="1">
        <f t="array" ref="Q618">_xlfn.SWITCH(I618, "Method 1", 0, "Method 2", H618*0.03, "Method 3", 4000, "Method 4", 3000, 0)</f>
        <v>31899</v>
      </c>
    </row>
    <row r="619" spans="1:17">
      <c r="A619" s="24">
        <v>53202654</v>
      </c>
      <c r="B619" s="17">
        <v>42292</v>
      </c>
      <c r="C619" s="17">
        <v>42294</v>
      </c>
      <c r="D619" s="18" t="s">
        <v>212</v>
      </c>
      <c r="E619" s="18" t="s">
        <v>17</v>
      </c>
      <c r="F619" s="18">
        <v>1</v>
      </c>
      <c r="G619" s="19">
        <v>597000</v>
      </c>
      <c r="H619" s="19">
        <v>591000</v>
      </c>
      <c r="I619" s="18" t="s">
        <v>22</v>
      </c>
      <c r="J619" s="29" t="str">
        <f t="shared" si="54"/>
        <v>Thu</v>
      </c>
      <c r="K619" s="29" t="b">
        <f t="shared" si="55"/>
        <v>0</v>
      </c>
      <c r="L619" s="29" t="b">
        <f t="shared" si="56"/>
        <v>0</v>
      </c>
      <c r="M619" s="29" t="b">
        <f t="shared" si="59"/>
        <v>1</v>
      </c>
      <c r="N619" s="29" cm="1">
        <f t="array" ref="N619">_xlfn.IFS(
  E619="Airlines 1", IF(K619, F619*0.04, 0),
  E619="Airlines 2", P619,
  E619="Airlines 3", IF(L619, 20000*F619, 0),
  E619="Airlines 4", IF(M619, 15000*F619, 0),
  E619="Airlines 5",
    IF(F619&lt;50000000, F619*0.01,
      IF(F619&lt;100000000, F619*0.02,
        IF(F619&lt;200000000, F619*0.03, F619*0.035))),
  TRUE, 0
)</f>
        <v>0.01</v>
      </c>
      <c r="O619" s="29">
        <f t="shared" si="57"/>
        <v>0</v>
      </c>
      <c r="P619" s="29">
        <f t="shared" si="58"/>
        <v>0</v>
      </c>
      <c r="Q619" s="30" cm="1">
        <f t="array" ref="Q619">_xlfn.SWITCH(I619, "Method 1", 0, "Method 2", H619*0.03, "Method 3", 4000, "Method 4", 3000, 0)</f>
        <v>0</v>
      </c>
    </row>
    <row r="620" spans="1:17">
      <c r="A620" s="24">
        <v>53202267</v>
      </c>
      <c r="B620" s="17">
        <v>42292</v>
      </c>
      <c r="C620" s="17">
        <v>42294</v>
      </c>
      <c r="D620" s="18" t="s">
        <v>55</v>
      </c>
      <c r="E620" s="18" t="s">
        <v>17</v>
      </c>
      <c r="F620" s="18">
        <v>1</v>
      </c>
      <c r="G620" s="19">
        <v>595000</v>
      </c>
      <c r="H620" s="19">
        <v>589100</v>
      </c>
      <c r="I620" s="18" t="s">
        <v>26</v>
      </c>
      <c r="J620" s="29" t="str">
        <f t="shared" si="54"/>
        <v>Thu</v>
      </c>
      <c r="K620" s="29" t="b">
        <f t="shared" si="55"/>
        <v>0</v>
      </c>
      <c r="L620" s="29" t="b">
        <f t="shared" si="56"/>
        <v>0</v>
      </c>
      <c r="M620" s="29" t="b">
        <f t="shared" si="59"/>
        <v>1</v>
      </c>
      <c r="N620" s="29" cm="1">
        <f t="array" ref="N620">_xlfn.IFS(
  E620="Airlines 1", IF(K620, F620*0.04, 0),
  E620="Airlines 2", P620,
  E620="Airlines 3", IF(L620, 20000*F620, 0),
  E620="Airlines 4", IF(M620, 15000*F620, 0),
  E620="Airlines 5",
    IF(F620&lt;50000000, F620*0.01,
      IF(F620&lt;100000000, F620*0.02,
        IF(F620&lt;200000000, F620*0.03, F620*0.035))),
  TRUE, 0
)</f>
        <v>0.01</v>
      </c>
      <c r="O620" s="29">
        <f t="shared" si="57"/>
        <v>0</v>
      </c>
      <c r="P620" s="29">
        <f t="shared" si="58"/>
        <v>0</v>
      </c>
      <c r="Q620" s="30" cm="1">
        <f t="array" ref="Q620">_xlfn.SWITCH(I620, "Method 1", 0, "Method 2", H620*0.03, "Method 3", 4000, "Method 4", 3000, 0)</f>
        <v>4000</v>
      </c>
    </row>
    <row r="621" spans="1:17">
      <c r="A621" s="24">
        <v>53202201</v>
      </c>
      <c r="B621" s="17">
        <v>42292</v>
      </c>
      <c r="C621" s="17">
        <v>42293</v>
      </c>
      <c r="D621" s="18" t="s">
        <v>51</v>
      </c>
      <c r="E621" s="18" t="s">
        <v>17</v>
      </c>
      <c r="F621" s="18">
        <v>2</v>
      </c>
      <c r="G621" s="19">
        <v>1524000</v>
      </c>
      <c r="H621" s="19">
        <v>1508800</v>
      </c>
      <c r="I621" s="18" t="s">
        <v>26</v>
      </c>
      <c r="J621" s="29" t="str">
        <f t="shared" si="54"/>
        <v>Thu</v>
      </c>
      <c r="K621" s="29" t="b">
        <f t="shared" si="55"/>
        <v>0</v>
      </c>
      <c r="L621" s="29" t="b">
        <f t="shared" si="56"/>
        <v>0</v>
      </c>
      <c r="M621" s="29" t="b">
        <f t="shared" si="59"/>
        <v>1</v>
      </c>
      <c r="N621" s="29" cm="1">
        <f t="array" ref="N621">_xlfn.IFS(
  E621="Airlines 1", IF(K621, F621*0.04, 0),
  E621="Airlines 2", P621,
  E621="Airlines 3", IF(L621, 20000*F621, 0),
  E621="Airlines 4", IF(M621, 15000*F621, 0),
  E621="Airlines 5",
    IF(F621&lt;50000000, F621*0.01,
      IF(F621&lt;100000000, F621*0.02,
        IF(F621&lt;200000000, F621*0.03, F621*0.035))),
  TRUE, 0
)</f>
        <v>0.02</v>
      </c>
      <c r="O621" s="29">
        <f t="shared" si="57"/>
        <v>0</v>
      </c>
      <c r="P621" s="29">
        <f t="shared" si="58"/>
        <v>0</v>
      </c>
      <c r="Q621" s="30" cm="1">
        <f t="array" ref="Q621">_xlfn.SWITCH(I621, "Method 1", 0, "Method 2", H621*0.03, "Method 3", 4000, "Method 4", 3000, 0)</f>
        <v>4000</v>
      </c>
    </row>
    <row r="622" spans="1:17">
      <c r="A622" s="24">
        <v>53202711</v>
      </c>
      <c r="B622" s="17">
        <v>42295</v>
      </c>
      <c r="C622" s="17">
        <v>42304</v>
      </c>
      <c r="D622" s="18" t="s">
        <v>216</v>
      </c>
      <c r="E622" s="18" t="s">
        <v>17</v>
      </c>
      <c r="F622" s="18">
        <v>1</v>
      </c>
      <c r="G622" s="19">
        <v>573000</v>
      </c>
      <c r="H622" s="19">
        <v>567300</v>
      </c>
      <c r="I622" s="18" t="s">
        <v>26</v>
      </c>
      <c r="J622" s="29" t="str">
        <f t="shared" si="54"/>
        <v>Sun</v>
      </c>
      <c r="K622" s="29" t="b">
        <f t="shared" si="55"/>
        <v>1</v>
      </c>
      <c r="L622" s="29" t="b">
        <f t="shared" si="56"/>
        <v>0</v>
      </c>
      <c r="M622" s="29" t="b">
        <f t="shared" si="59"/>
        <v>0</v>
      </c>
      <c r="N622" s="29" cm="1">
        <f t="array" ref="N622">_xlfn.IFS(
  E622="Airlines 1", IF(K622, F622*0.04, 0),
  E622="Airlines 2", P622,
  E622="Airlines 3", IF(L622, 20000*F622, 0),
  E622="Airlines 4", IF(M622, 15000*F622, 0),
  E622="Airlines 5",
    IF(F622&lt;50000000, F622*0.01,
      IF(F622&lt;100000000, F622*0.02,
        IF(F622&lt;200000000, F622*0.03, F622*0.035))),
  TRUE, 0
)</f>
        <v>0.01</v>
      </c>
      <c r="O622" s="29">
        <f t="shared" si="57"/>
        <v>0</v>
      </c>
      <c r="P622" s="29">
        <f t="shared" si="58"/>
        <v>0</v>
      </c>
      <c r="Q622" s="30" cm="1">
        <f t="array" ref="Q622">_xlfn.SWITCH(I622, "Method 1", 0, "Method 2", H622*0.03, "Method 3", 4000, "Method 4", 3000, 0)</f>
        <v>4000</v>
      </c>
    </row>
    <row r="623" spans="1:17">
      <c r="A623" s="24">
        <v>53201965</v>
      </c>
      <c r="B623" s="17">
        <v>42295</v>
      </c>
      <c r="C623" s="17">
        <v>42301</v>
      </c>
      <c r="D623" s="18" t="s">
        <v>41</v>
      </c>
      <c r="E623" s="18" t="s">
        <v>17</v>
      </c>
      <c r="F623" s="18">
        <v>1</v>
      </c>
      <c r="G623" s="19">
        <v>579600</v>
      </c>
      <c r="H623" s="19">
        <v>573800</v>
      </c>
      <c r="I623" s="18" t="s">
        <v>26</v>
      </c>
      <c r="J623" s="29" t="str">
        <f t="shared" si="54"/>
        <v>Sun</v>
      </c>
      <c r="K623" s="29" t="b">
        <f t="shared" si="55"/>
        <v>1</v>
      </c>
      <c r="L623" s="29" t="b">
        <f t="shared" si="56"/>
        <v>0</v>
      </c>
      <c r="M623" s="29" t="b">
        <f t="shared" si="59"/>
        <v>0</v>
      </c>
      <c r="N623" s="29" cm="1">
        <f t="array" ref="N623">_xlfn.IFS(
  E623="Airlines 1", IF(K623, F623*0.04, 0),
  E623="Airlines 2", P623,
  E623="Airlines 3", IF(L623, 20000*F623, 0),
  E623="Airlines 4", IF(M623, 15000*F623, 0),
  E623="Airlines 5",
    IF(F623&lt;50000000, F623*0.01,
      IF(F623&lt;100000000, F623*0.02,
        IF(F623&lt;200000000, F623*0.03, F623*0.035))),
  TRUE, 0
)</f>
        <v>0.01</v>
      </c>
      <c r="O623" s="29">
        <f t="shared" si="57"/>
        <v>0</v>
      </c>
      <c r="P623" s="29">
        <f t="shared" si="58"/>
        <v>0</v>
      </c>
      <c r="Q623" s="30" cm="1">
        <f t="array" ref="Q623">_xlfn.SWITCH(I623, "Method 1", 0, "Method 2", H623*0.03, "Method 3", 4000, "Method 4", 3000, 0)</f>
        <v>4000</v>
      </c>
    </row>
    <row r="624" spans="1:17">
      <c r="A624" s="24">
        <v>53201117</v>
      </c>
      <c r="B624" s="17">
        <v>42295</v>
      </c>
      <c r="C624" s="17">
        <v>42301</v>
      </c>
      <c r="D624" s="18" t="s">
        <v>42</v>
      </c>
      <c r="E624" s="18" t="s">
        <v>17</v>
      </c>
      <c r="F624" s="18">
        <v>1</v>
      </c>
      <c r="G624" s="19">
        <v>727000</v>
      </c>
      <c r="H624" s="19">
        <v>719700</v>
      </c>
      <c r="I624" s="18" t="s">
        <v>26</v>
      </c>
      <c r="J624" s="29" t="str">
        <f t="shared" si="54"/>
        <v>Sun</v>
      </c>
      <c r="K624" s="29" t="b">
        <f t="shared" si="55"/>
        <v>1</v>
      </c>
      <c r="L624" s="29" t="b">
        <f t="shared" si="56"/>
        <v>0</v>
      </c>
      <c r="M624" s="29" t="b">
        <f t="shared" si="59"/>
        <v>0</v>
      </c>
      <c r="N624" s="29" cm="1">
        <f t="array" ref="N624">_xlfn.IFS(
  E624="Airlines 1", IF(K624, F624*0.04, 0),
  E624="Airlines 2", P624,
  E624="Airlines 3", IF(L624, 20000*F624, 0),
  E624="Airlines 4", IF(M624, 15000*F624, 0),
  E624="Airlines 5",
    IF(F624&lt;50000000, F624*0.01,
      IF(F624&lt;100000000, F624*0.02,
        IF(F624&lt;200000000, F624*0.03, F624*0.035))),
  TRUE, 0
)</f>
        <v>0.01</v>
      </c>
      <c r="O624" s="29">
        <f t="shared" si="57"/>
        <v>0</v>
      </c>
      <c r="P624" s="29">
        <f t="shared" si="58"/>
        <v>0</v>
      </c>
      <c r="Q624" s="30" cm="1">
        <f t="array" ref="Q624">_xlfn.SWITCH(I624, "Method 1", 0, "Method 2", H624*0.03, "Method 3", 4000, "Method 4", 3000, 0)</f>
        <v>4000</v>
      </c>
    </row>
    <row r="625" spans="1:17">
      <c r="A625" s="24">
        <v>53201899</v>
      </c>
      <c r="B625" s="17">
        <v>42295</v>
      </c>
      <c r="C625" s="17">
        <v>42304</v>
      </c>
      <c r="D625" s="18" t="s">
        <v>217</v>
      </c>
      <c r="E625" s="18" t="s">
        <v>17</v>
      </c>
      <c r="F625" s="18">
        <v>1</v>
      </c>
      <c r="G625" s="19">
        <v>1574000</v>
      </c>
      <c r="H625" s="19">
        <v>1558300</v>
      </c>
      <c r="I625" s="18" t="s">
        <v>26</v>
      </c>
      <c r="J625" s="29" t="str">
        <f t="shared" si="54"/>
        <v>Sun</v>
      </c>
      <c r="K625" s="29" t="b">
        <f t="shared" si="55"/>
        <v>1</v>
      </c>
      <c r="L625" s="29" t="b">
        <f t="shared" si="56"/>
        <v>0</v>
      </c>
      <c r="M625" s="29" t="b">
        <f t="shared" si="59"/>
        <v>0</v>
      </c>
      <c r="N625" s="29" cm="1">
        <f t="array" ref="N625">_xlfn.IFS(
  E625="Airlines 1", IF(K625, F625*0.04, 0),
  E625="Airlines 2", P625,
  E625="Airlines 3", IF(L625, 20000*F625, 0),
  E625="Airlines 4", IF(M625, 15000*F625, 0),
  E625="Airlines 5",
    IF(F625&lt;50000000, F625*0.01,
      IF(F625&lt;100000000, F625*0.02,
        IF(F625&lt;200000000, F625*0.03, F625*0.035))),
  TRUE, 0
)</f>
        <v>0.01</v>
      </c>
      <c r="O625" s="29">
        <f t="shared" si="57"/>
        <v>0</v>
      </c>
      <c r="P625" s="29">
        <f t="shared" si="58"/>
        <v>0</v>
      </c>
      <c r="Q625" s="30" cm="1">
        <f t="array" ref="Q625">_xlfn.SWITCH(I625, "Method 1", 0, "Method 2", H625*0.03, "Method 3", 4000, "Method 4", 3000, 0)</f>
        <v>4000</v>
      </c>
    </row>
    <row r="626" spans="1:17">
      <c r="A626" s="24">
        <v>53202893</v>
      </c>
      <c r="B626" s="17">
        <v>42295</v>
      </c>
      <c r="C626" s="17">
        <v>42296</v>
      </c>
      <c r="D626" s="18" t="s">
        <v>92</v>
      </c>
      <c r="E626" s="18" t="s">
        <v>17</v>
      </c>
      <c r="F626" s="18">
        <v>1</v>
      </c>
      <c r="G626" s="19">
        <v>652000</v>
      </c>
      <c r="H626" s="19">
        <v>645500</v>
      </c>
      <c r="I626" s="18" t="s">
        <v>26</v>
      </c>
      <c r="J626" s="29" t="str">
        <f t="shared" si="54"/>
        <v>Sun</v>
      </c>
      <c r="K626" s="29" t="b">
        <f t="shared" si="55"/>
        <v>1</v>
      </c>
      <c r="L626" s="29" t="b">
        <f t="shared" si="56"/>
        <v>0</v>
      </c>
      <c r="M626" s="29" t="b">
        <f t="shared" si="59"/>
        <v>0</v>
      </c>
      <c r="N626" s="29" cm="1">
        <f t="array" ref="N626">_xlfn.IFS(
  E626="Airlines 1", IF(K626, F626*0.04, 0),
  E626="Airlines 2", P626,
  E626="Airlines 3", IF(L626, 20000*F626, 0),
  E626="Airlines 4", IF(M626, 15000*F626, 0),
  E626="Airlines 5",
    IF(F626&lt;50000000, F626*0.01,
      IF(F626&lt;100000000, F626*0.02,
        IF(F626&lt;200000000, F626*0.03, F626*0.035))),
  TRUE, 0
)</f>
        <v>0.01</v>
      </c>
      <c r="O626" s="29">
        <f t="shared" si="57"/>
        <v>0</v>
      </c>
      <c r="P626" s="29">
        <f t="shared" si="58"/>
        <v>0</v>
      </c>
      <c r="Q626" s="30" cm="1">
        <f t="array" ref="Q626">_xlfn.SWITCH(I626, "Method 1", 0, "Method 2", H626*0.03, "Method 3", 4000, "Method 4", 3000, 0)</f>
        <v>4000</v>
      </c>
    </row>
    <row r="627" spans="1:17">
      <c r="A627" s="24">
        <v>53201850</v>
      </c>
      <c r="B627" s="17">
        <v>42295</v>
      </c>
      <c r="C627" s="17">
        <v>42361</v>
      </c>
      <c r="D627" s="18" t="s">
        <v>146</v>
      </c>
      <c r="E627" s="18" t="s">
        <v>17</v>
      </c>
      <c r="F627" s="18">
        <v>1</v>
      </c>
      <c r="G627" s="19">
        <v>898000</v>
      </c>
      <c r="H627" s="19">
        <v>886300</v>
      </c>
      <c r="I627" s="18" t="s">
        <v>26</v>
      </c>
      <c r="J627" s="29" t="str">
        <f t="shared" si="54"/>
        <v>Sun</v>
      </c>
      <c r="K627" s="29" t="b">
        <f t="shared" si="55"/>
        <v>1</v>
      </c>
      <c r="L627" s="29" t="b">
        <f t="shared" si="56"/>
        <v>0</v>
      </c>
      <c r="M627" s="29" t="b">
        <f t="shared" si="59"/>
        <v>0</v>
      </c>
      <c r="N627" s="29" cm="1">
        <f t="array" ref="N627">_xlfn.IFS(
  E627="Airlines 1", IF(K627, F627*0.04, 0),
  E627="Airlines 2", P627,
  E627="Airlines 3", IF(L627, 20000*F627, 0),
  E627="Airlines 4", IF(M627, 15000*F627, 0),
  E627="Airlines 5",
    IF(F627&lt;50000000, F627*0.01,
      IF(F627&lt;100000000, F627*0.02,
        IF(F627&lt;200000000, F627*0.03, F627*0.035))),
  TRUE, 0
)</f>
        <v>0.01</v>
      </c>
      <c r="O627" s="29">
        <f t="shared" si="57"/>
        <v>0</v>
      </c>
      <c r="P627" s="29">
        <f t="shared" si="58"/>
        <v>0</v>
      </c>
      <c r="Q627" s="30" cm="1">
        <f t="array" ref="Q627">_xlfn.SWITCH(I627, "Method 1", 0, "Method 2", H627*0.03, "Method 3", 4000, "Method 4", 3000, 0)</f>
        <v>4000</v>
      </c>
    </row>
    <row r="628" spans="1:17">
      <c r="A628" s="24">
        <v>53202936</v>
      </c>
      <c r="B628" s="17">
        <v>42295</v>
      </c>
      <c r="C628" s="17">
        <v>42304</v>
      </c>
      <c r="D628" s="18" t="s">
        <v>40</v>
      </c>
      <c r="E628" s="18" t="s">
        <v>17</v>
      </c>
      <c r="F628" s="18">
        <v>2</v>
      </c>
      <c r="G628" s="19">
        <v>860000</v>
      </c>
      <c r="H628" s="19">
        <v>851400</v>
      </c>
      <c r="I628" s="18" t="s">
        <v>24</v>
      </c>
      <c r="J628" s="29" t="str">
        <f t="shared" si="54"/>
        <v>Sun</v>
      </c>
      <c r="K628" s="29" t="b">
        <f t="shared" si="55"/>
        <v>1</v>
      </c>
      <c r="L628" s="29" t="b">
        <f t="shared" si="56"/>
        <v>1</v>
      </c>
      <c r="M628" s="29" t="b">
        <f t="shared" si="59"/>
        <v>0</v>
      </c>
      <c r="N628" s="29" cm="1">
        <f t="array" ref="N628">_xlfn.IFS(
  E628="Airlines 1", IF(K628, F628*0.04, 0),
  E628="Airlines 2", P628,
  E628="Airlines 3", IF(L628, 20000*F628, 0),
  E628="Airlines 4", IF(M628, 15000*F628, 0),
  E628="Airlines 5",
    IF(F628&lt;50000000, F628*0.01,
      IF(F628&lt;100000000, F628*0.02,
        IF(F628&lt;200000000, F628*0.03, F628*0.035))),
  TRUE, 0
)</f>
        <v>0.02</v>
      </c>
      <c r="O628" s="29">
        <f t="shared" si="57"/>
        <v>0</v>
      </c>
      <c r="P628" s="29">
        <f t="shared" si="58"/>
        <v>0</v>
      </c>
      <c r="Q628" s="30" cm="1">
        <f t="array" ref="Q628">_xlfn.SWITCH(I628, "Method 1", 0, "Method 2", H628*0.03, "Method 3", 4000, "Method 4", 3000, 0)</f>
        <v>25542</v>
      </c>
    </row>
    <row r="629" spans="1:17">
      <c r="A629" s="24">
        <v>53202894</v>
      </c>
      <c r="B629" s="17">
        <v>42295</v>
      </c>
      <c r="C629" s="17">
        <v>42296</v>
      </c>
      <c r="D629" s="18" t="s">
        <v>212</v>
      </c>
      <c r="E629" s="18" t="s">
        <v>17</v>
      </c>
      <c r="F629" s="18">
        <v>1</v>
      </c>
      <c r="G629" s="19">
        <v>553000</v>
      </c>
      <c r="H629" s="19">
        <v>547500</v>
      </c>
      <c r="I629" s="18" t="s">
        <v>26</v>
      </c>
      <c r="J629" s="29" t="str">
        <f t="shared" si="54"/>
        <v>Sun</v>
      </c>
      <c r="K629" s="29" t="b">
        <f t="shared" si="55"/>
        <v>1</v>
      </c>
      <c r="L629" s="29" t="b">
        <f t="shared" si="56"/>
        <v>0</v>
      </c>
      <c r="M629" s="29" t="b">
        <f t="shared" si="59"/>
        <v>0</v>
      </c>
      <c r="N629" s="29" cm="1">
        <f t="array" ref="N629">_xlfn.IFS(
  E629="Airlines 1", IF(K629, F629*0.04, 0),
  E629="Airlines 2", P629,
  E629="Airlines 3", IF(L629, 20000*F629, 0),
  E629="Airlines 4", IF(M629, 15000*F629, 0),
  E629="Airlines 5",
    IF(F629&lt;50000000, F629*0.01,
      IF(F629&lt;100000000, F629*0.02,
        IF(F629&lt;200000000, F629*0.03, F629*0.035))),
  TRUE, 0
)</f>
        <v>0.01</v>
      </c>
      <c r="O629" s="29">
        <f t="shared" si="57"/>
        <v>0</v>
      </c>
      <c r="P629" s="29">
        <f t="shared" si="58"/>
        <v>0</v>
      </c>
      <c r="Q629" s="30" cm="1">
        <f t="array" ref="Q629">_xlfn.SWITCH(I629, "Method 1", 0, "Method 2", H629*0.03, "Method 3", 4000, "Method 4", 3000, 0)</f>
        <v>4000</v>
      </c>
    </row>
    <row r="630" spans="1:17">
      <c r="A630" s="24">
        <v>53202941</v>
      </c>
      <c r="B630" s="17">
        <v>42295</v>
      </c>
      <c r="C630" s="17">
        <v>42296</v>
      </c>
      <c r="D630" s="18" t="s">
        <v>68</v>
      </c>
      <c r="E630" s="18" t="s">
        <v>17</v>
      </c>
      <c r="F630" s="18">
        <v>1</v>
      </c>
      <c r="G630" s="19">
        <v>320000</v>
      </c>
      <c r="H630" s="19">
        <v>316800</v>
      </c>
      <c r="I630" s="18" t="s">
        <v>24</v>
      </c>
      <c r="J630" s="29" t="str">
        <f t="shared" si="54"/>
        <v>Sun</v>
      </c>
      <c r="K630" s="29" t="b">
        <f t="shared" si="55"/>
        <v>1</v>
      </c>
      <c r="L630" s="29" t="b">
        <f t="shared" si="56"/>
        <v>0</v>
      </c>
      <c r="M630" s="29" t="b">
        <f t="shared" si="59"/>
        <v>0</v>
      </c>
      <c r="N630" s="29" cm="1">
        <f t="array" ref="N630">_xlfn.IFS(
  E630="Airlines 1", IF(K630, F630*0.04, 0),
  E630="Airlines 2", P630,
  E630="Airlines 3", IF(L630, 20000*F630, 0),
  E630="Airlines 4", IF(M630, 15000*F630, 0),
  E630="Airlines 5",
    IF(F630&lt;50000000, F630*0.01,
      IF(F630&lt;100000000, F630*0.02,
        IF(F630&lt;200000000, F630*0.03, F630*0.035))),
  TRUE, 0
)</f>
        <v>0.01</v>
      </c>
      <c r="O630" s="29">
        <f t="shared" si="57"/>
        <v>0</v>
      </c>
      <c r="P630" s="29">
        <f t="shared" si="58"/>
        <v>0</v>
      </c>
      <c r="Q630" s="30" cm="1">
        <f t="array" ref="Q630">_xlfn.SWITCH(I630, "Method 1", 0, "Method 2", H630*0.03, "Method 3", 4000, "Method 4", 3000, 0)</f>
        <v>9504</v>
      </c>
    </row>
    <row r="631" spans="1:17">
      <c r="A631" s="24">
        <v>53202938</v>
      </c>
      <c r="B631" s="17">
        <v>42295</v>
      </c>
      <c r="C631" s="17">
        <v>42296</v>
      </c>
      <c r="D631" s="18" t="s">
        <v>218</v>
      </c>
      <c r="E631" s="18" t="s">
        <v>17</v>
      </c>
      <c r="F631" s="18">
        <v>1</v>
      </c>
      <c r="G631" s="19">
        <v>410000</v>
      </c>
      <c r="H631" s="19">
        <v>405900</v>
      </c>
      <c r="I631" s="18" t="s">
        <v>26</v>
      </c>
      <c r="J631" s="29" t="str">
        <f t="shared" si="54"/>
        <v>Sun</v>
      </c>
      <c r="K631" s="29" t="b">
        <f t="shared" si="55"/>
        <v>1</v>
      </c>
      <c r="L631" s="29" t="b">
        <f t="shared" si="56"/>
        <v>0</v>
      </c>
      <c r="M631" s="29" t="b">
        <f t="shared" si="59"/>
        <v>0</v>
      </c>
      <c r="N631" s="29" cm="1">
        <f t="array" ref="N631">_xlfn.IFS(
  E631="Airlines 1", IF(K631, F631*0.04, 0),
  E631="Airlines 2", P631,
  E631="Airlines 3", IF(L631, 20000*F631, 0),
  E631="Airlines 4", IF(M631, 15000*F631, 0),
  E631="Airlines 5",
    IF(F631&lt;50000000, F631*0.01,
      IF(F631&lt;100000000, F631*0.02,
        IF(F631&lt;200000000, F631*0.03, F631*0.035))),
  TRUE, 0
)</f>
        <v>0.01</v>
      </c>
      <c r="O631" s="29">
        <f t="shared" si="57"/>
        <v>0</v>
      </c>
      <c r="P631" s="29">
        <f t="shared" si="58"/>
        <v>0</v>
      </c>
      <c r="Q631" s="30" cm="1">
        <f t="array" ref="Q631">_xlfn.SWITCH(I631, "Method 1", 0, "Method 2", H631*0.03, "Method 3", 4000, "Method 4", 3000, 0)</f>
        <v>4000</v>
      </c>
    </row>
    <row r="632" spans="1:17">
      <c r="A632" s="24">
        <v>53202914</v>
      </c>
      <c r="B632" s="17">
        <v>42295</v>
      </c>
      <c r="C632" s="17">
        <v>42298</v>
      </c>
      <c r="D632" s="18" t="s">
        <v>211</v>
      </c>
      <c r="E632" s="18" t="s">
        <v>17</v>
      </c>
      <c r="F632" s="18">
        <v>1</v>
      </c>
      <c r="G632" s="19">
        <v>641000</v>
      </c>
      <c r="H632" s="19">
        <v>634600</v>
      </c>
      <c r="I632" s="18" t="s">
        <v>24</v>
      </c>
      <c r="J632" s="29" t="str">
        <f t="shared" si="54"/>
        <v>Sun</v>
      </c>
      <c r="K632" s="29" t="b">
        <f t="shared" si="55"/>
        <v>1</v>
      </c>
      <c r="L632" s="29" t="b">
        <f t="shared" si="56"/>
        <v>0</v>
      </c>
      <c r="M632" s="29" t="b">
        <f t="shared" si="59"/>
        <v>0</v>
      </c>
      <c r="N632" s="29" cm="1">
        <f t="array" ref="N632">_xlfn.IFS(
  E632="Airlines 1", IF(K632, F632*0.04, 0),
  E632="Airlines 2", P632,
  E632="Airlines 3", IF(L632, 20000*F632, 0),
  E632="Airlines 4", IF(M632, 15000*F632, 0),
  E632="Airlines 5",
    IF(F632&lt;50000000, F632*0.01,
      IF(F632&lt;100000000, F632*0.02,
        IF(F632&lt;200000000, F632*0.03, F632*0.035))),
  TRUE, 0
)</f>
        <v>0.01</v>
      </c>
      <c r="O632" s="29">
        <f t="shared" si="57"/>
        <v>0</v>
      </c>
      <c r="P632" s="29">
        <f t="shared" si="58"/>
        <v>0</v>
      </c>
      <c r="Q632" s="30" cm="1">
        <f t="array" ref="Q632">_xlfn.SWITCH(I632, "Method 1", 0, "Method 2", H632*0.03, "Method 3", 4000, "Method 4", 3000, 0)</f>
        <v>19038</v>
      </c>
    </row>
    <row r="633" spans="1:17">
      <c r="A633" s="24">
        <v>53202428</v>
      </c>
      <c r="B633" s="17">
        <v>42295</v>
      </c>
      <c r="C633" s="17">
        <v>42296</v>
      </c>
      <c r="D633" s="18" t="s">
        <v>219</v>
      </c>
      <c r="E633" s="18" t="s">
        <v>17</v>
      </c>
      <c r="F633" s="18">
        <v>1</v>
      </c>
      <c r="G633" s="19">
        <v>1122800</v>
      </c>
      <c r="H633" s="19">
        <v>1111600</v>
      </c>
      <c r="I633" s="18" t="s">
        <v>22</v>
      </c>
      <c r="J633" s="29" t="str">
        <f t="shared" si="54"/>
        <v>Sun</v>
      </c>
      <c r="K633" s="29" t="b">
        <f t="shared" si="55"/>
        <v>1</v>
      </c>
      <c r="L633" s="29" t="b">
        <f t="shared" si="56"/>
        <v>0</v>
      </c>
      <c r="M633" s="29" t="b">
        <f t="shared" si="59"/>
        <v>0</v>
      </c>
      <c r="N633" s="29" cm="1">
        <f t="array" ref="N633">_xlfn.IFS(
  E633="Airlines 1", IF(K633, F633*0.04, 0),
  E633="Airlines 2", P633,
  E633="Airlines 3", IF(L633, 20000*F633, 0),
  E633="Airlines 4", IF(M633, 15000*F633, 0),
  E633="Airlines 5",
    IF(F633&lt;50000000, F633*0.01,
      IF(F633&lt;100000000, F633*0.02,
        IF(F633&lt;200000000, F633*0.03, F633*0.035))),
  TRUE, 0
)</f>
        <v>0.01</v>
      </c>
      <c r="O633" s="29">
        <f t="shared" si="57"/>
        <v>0</v>
      </c>
      <c r="P633" s="29">
        <f t="shared" si="58"/>
        <v>0</v>
      </c>
      <c r="Q633" s="30" cm="1">
        <f t="array" ref="Q633">_xlfn.SWITCH(I633, "Method 1", 0, "Method 2", H633*0.03, "Method 3", 4000, "Method 4", 3000, 0)</f>
        <v>0</v>
      </c>
    </row>
    <row r="634" spans="1:17">
      <c r="A634" s="24">
        <v>53202384</v>
      </c>
      <c r="B634" s="17">
        <v>42301</v>
      </c>
      <c r="C634" s="17">
        <v>42372</v>
      </c>
      <c r="D634" s="18" t="s">
        <v>68</v>
      </c>
      <c r="E634" s="18" t="s">
        <v>17</v>
      </c>
      <c r="F634" s="18">
        <v>1</v>
      </c>
      <c r="G634" s="19">
        <v>254000</v>
      </c>
      <c r="H634" s="19">
        <v>251500</v>
      </c>
      <c r="I634" s="18" t="s">
        <v>26</v>
      </c>
      <c r="J634" s="29" t="str">
        <f t="shared" si="54"/>
        <v>Sat</v>
      </c>
      <c r="K634" s="29" t="b">
        <f t="shared" si="55"/>
        <v>1</v>
      </c>
      <c r="L634" s="29" t="b">
        <f t="shared" si="56"/>
        <v>0</v>
      </c>
      <c r="M634" s="29" t="b">
        <f t="shared" si="59"/>
        <v>0</v>
      </c>
      <c r="N634" s="29" cm="1">
        <f t="array" ref="N634">_xlfn.IFS(
  E634="Airlines 1", IF(K634, F634*0.04, 0),
  E634="Airlines 2", P634,
  E634="Airlines 3", IF(L634, 20000*F634, 0),
  E634="Airlines 4", IF(M634, 15000*F634, 0),
  E634="Airlines 5",
    IF(F634&lt;50000000, F634*0.01,
      IF(F634&lt;100000000, F634*0.02,
        IF(F634&lt;200000000, F634*0.03, F634*0.035))),
  TRUE, 0
)</f>
        <v>0.01</v>
      </c>
      <c r="O634" s="29">
        <f t="shared" si="57"/>
        <v>0</v>
      </c>
      <c r="P634" s="29">
        <f t="shared" si="58"/>
        <v>0</v>
      </c>
      <c r="Q634" s="30" cm="1">
        <f t="array" ref="Q634">_xlfn.SWITCH(I634, "Method 1", 0, "Method 2", H634*0.03, "Method 3", 4000, "Method 4", 3000, 0)</f>
        <v>4000</v>
      </c>
    </row>
    <row r="635" spans="1:17">
      <c r="A635" s="24">
        <v>53202980</v>
      </c>
      <c r="B635" s="17">
        <v>42301</v>
      </c>
      <c r="C635" s="17">
        <v>42305</v>
      </c>
      <c r="D635" s="18" t="s">
        <v>212</v>
      </c>
      <c r="E635" s="18" t="s">
        <v>17</v>
      </c>
      <c r="F635" s="18">
        <v>1</v>
      </c>
      <c r="G635" s="19">
        <v>553000</v>
      </c>
      <c r="H635" s="19">
        <v>547500</v>
      </c>
      <c r="I635" s="18" t="s">
        <v>26</v>
      </c>
      <c r="J635" s="29" t="str">
        <f t="shared" si="54"/>
        <v>Sat</v>
      </c>
      <c r="K635" s="29" t="b">
        <f t="shared" si="55"/>
        <v>1</v>
      </c>
      <c r="L635" s="29" t="b">
        <f t="shared" si="56"/>
        <v>0</v>
      </c>
      <c r="M635" s="29" t="b">
        <f t="shared" si="59"/>
        <v>0</v>
      </c>
      <c r="N635" s="29" cm="1">
        <f t="array" ref="N635">_xlfn.IFS(
  E635="Airlines 1", IF(K635, F635*0.04, 0),
  E635="Airlines 2", P635,
  E635="Airlines 3", IF(L635, 20000*F635, 0),
  E635="Airlines 4", IF(M635, 15000*F635, 0),
  E635="Airlines 5",
    IF(F635&lt;50000000, F635*0.01,
      IF(F635&lt;100000000, F635*0.02,
        IF(F635&lt;200000000, F635*0.03, F635*0.035))),
  TRUE, 0
)</f>
        <v>0.01</v>
      </c>
      <c r="O635" s="29">
        <f t="shared" si="57"/>
        <v>0</v>
      </c>
      <c r="P635" s="29">
        <f t="shared" si="58"/>
        <v>0</v>
      </c>
      <c r="Q635" s="30" cm="1">
        <f t="array" ref="Q635">_xlfn.SWITCH(I635, "Method 1", 0, "Method 2", H635*0.03, "Method 3", 4000, "Method 4", 3000, 0)</f>
        <v>4000</v>
      </c>
    </row>
    <row r="636" spans="1:17">
      <c r="A636" s="24">
        <v>53201704</v>
      </c>
      <c r="B636" s="17">
        <v>42301</v>
      </c>
      <c r="C636" s="17">
        <v>42303</v>
      </c>
      <c r="D636" s="18" t="s">
        <v>212</v>
      </c>
      <c r="E636" s="18" t="s">
        <v>17</v>
      </c>
      <c r="F636" s="18">
        <v>1</v>
      </c>
      <c r="G636" s="19">
        <v>553000</v>
      </c>
      <c r="H636" s="19">
        <v>547500</v>
      </c>
      <c r="I636" s="18" t="s">
        <v>26</v>
      </c>
      <c r="J636" s="29" t="str">
        <f t="shared" si="54"/>
        <v>Sat</v>
      </c>
      <c r="K636" s="29" t="b">
        <f t="shared" si="55"/>
        <v>1</v>
      </c>
      <c r="L636" s="29" t="b">
        <f t="shared" si="56"/>
        <v>0</v>
      </c>
      <c r="M636" s="29" t="b">
        <f t="shared" si="59"/>
        <v>0</v>
      </c>
      <c r="N636" s="29" cm="1">
        <f t="array" ref="N636">_xlfn.IFS(
  E636="Airlines 1", IF(K636, F636*0.04, 0),
  E636="Airlines 2", P636,
  E636="Airlines 3", IF(L636, 20000*F636, 0),
  E636="Airlines 4", IF(M636, 15000*F636, 0),
  E636="Airlines 5",
    IF(F636&lt;50000000, F636*0.01,
      IF(F636&lt;100000000, F636*0.02,
        IF(F636&lt;200000000, F636*0.03, F636*0.035))),
  TRUE, 0
)</f>
        <v>0.01</v>
      </c>
      <c r="O636" s="29">
        <f t="shared" si="57"/>
        <v>0</v>
      </c>
      <c r="P636" s="29">
        <f t="shared" si="58"/>
        <v>0</v>
      </c>
      <c r="Q636" s="30" cm="1">
        <f t="array" ref="Q636">_xlfn.SWITCH(I636, "Method 1", 0, "Method 2", H636*0.03, "Method 3", 4000, "Method 4", 3000, 0)</f>
        <v>4000</v>
      </c>
    </row>
    <row r="637" spans="1:17">
      <c r="A637" s="24">
        <v>53202463</v>
      </c>
      <c r="B637" s="17">
        <v>42301</v>
      </c>
      <c r="C637" s="17">
        <v>42302</v>
      </c>
      <c r="D637" s="18" t="s">
        <v>220</v>
      </c>
      <c r="E637" s="18" t="s">
        <v>17</v>
      </c>
      <c r="F637" s="18">
        <v>2</v>
      </c>
      <c r="G637" s="19">
        <v>1298000</v>
      </c>
      <c r="H637" s="19">
        <v>1285000</v>
      </c>
      <c r="I637" s="18" t="s">
        <v>26</v>
      </c>
      <c r="J637" s="29" t="str">
        <f t="shared" si="54"/>
        <v>Sat</v>
      </c>
      <c r="K637" s="29" t="b">
        <f t="shared" si="55"/>
        <v>1</v>
      </c>
      <c r="L637" s="29" t="b">
        <f t="shared" si="56"/>
        <v>0</v>
      </c>
      <c r="M637" s="29" t="b">
        <f t="shared" si="59"/>
        <v>0</v>
      </c>
      <c r="N637" s="29" cm="1">
        <f t="array" ref="N637">_xlfn.IFS(
  E637="Airlines 1", IF(K637, F637*0.04, 0),
  E637="Airlines 2", P637,
  E637="Airlines 3", IF(L637, 20000*F637, 0),
  E637="Airlines 4", IF(M637, 15000*F637, 0),
  E637="Airlines 5",
    IF(F637&lt;50000000, F637*0.01,
      IF(F637&lt;100000000, F637*0.02,
        IF(F637&lt;200000000, F637*0.03, F637*0.035))),
  TRUE, 0
)</f>
        <v>0.02</v>
      </c>
      <c r="O637" s="29">
        <f t="shared" si="57"/>
        <v>0</v>
      </c>
      <c r="P637" s="29">
        <f t="shared" si="58"/>
        <v>0</v>
      </c>
      <c r="Q637" s="30" cm="1">
        <f t="array" ref="Q637">_xlfn.SWITCH(I637, "Method 1", 0, "Method 2", H637*0.03, "Method 3", 4000, "Method 4", 3000, 0)</f>
        <v>4000</v>
      </c>
    </row>
    <row r="638" spans="1:17">
      <c r="A638" s="24">
        <v>53202687</v>
      </c>
      <c r="B638" s="17">
        <v>42301</v>
      </c>
      <c r="C638" s="17">
        <v>42302</v>
      </c>
      <c r="D638" s="18" t="s">
        <v>212</v>
      </c>
      <c r="E638" s="18" t="s">
        <v>17</v>
      </c>
      <c r="F638" s="18">
        <v>2</v>
      </c>
      <c r="G638" s="19">
        <v>1106000</v>
      </c>
      <c r="H638" s="19">
        <v>1095000</v>
      </c>
      <c r="I638" s="18" t="s">
        <v>26</v>
      </c>
      <c r="J638" s="29" t="str">
        <f t="shared" si="54"/>
        <v>Sat</v>
      </c>
      <c r="K638" s="29" t="b">
        <f t="shared" si="55"/>
        <v>1</v>
      </c>
      <c r="L638" s="29" t="b">
        <f t="shared" si="56"/>
        <v>0</v>
      </c>
      <c r="M638" s="29" t="b">
        <f t="shared" si="59"/>
        <v>0</v>
      </c>
      <c r="N638" s="29" cm="1">
        <f t="array" ref="N638">_xlfn.IFS(
  E638="Airlines 1", IF(K638, F638*0.04, 0),
  E638="Airlines 2", P638,
  E638="Airlines 3", IF(L638, 20000*F638, 0),
  E638="Airlines 4", IF(M638, 15000*F638, 0),
  E638="Airlines 5",
    IF(F638&lt;50000000, F638*0.01,
      IF(F638&lt;100000000, F638*0.02,
        IF(F638&lt;200000000, F638*0.03, F638*0.035))),
  TRUE, 0
)</f>
        <v>0.02</v>
      </c>
      <c r="O638" s="29">
        <f t="shared" si="57"/>
        <v>0</v>
      </c>
      <c r="P638" s="29">
        <f t="shared" si="58"/>
        <v>0</v>
      </c>
      <c r="Q638" s="30" cm="1">
        <f t="array" ref="Q638">_xlfn.SWITCH(I638, "Method 1", 0, "Method 2", H638*0.03, "Method 3", 4000, "Method 4", 3000, 0)</f>
        <v>4000</v>
      </c>
    </row>
    <row r="639" spans="1:17">
      <c r="A639" s="24">
        <v>53202703</v>
      </c>
      <c r="B639" s="17">
        <v>42301</v>
      </c>
      <c r="C639" s="17">
        <v>42303</v>
      </c>
      <c r="D639" s="18" t="s">
        <v>58</v>
      </c>
      <c r="E639" s="18" t="s">
        <v>17</v>
      </c>
      <c r="F639" s="18">
        <v>1</v>
      </c>
      <c r="G639" s="19">
        <v>727000</v>
      </c>
      <c r="H639" s="19">
        <v>719700</v>
      </c>
      <c r="I639" s="18" t="s">
        <v>26</v>
      </c>
      <c r="J639" s="29" t="str">
        <f t="shared" si="54"/>
        <v>Sat</v>
      </c>
      <c r="K639" s="29" t="b">
        <f t="shared" si="55"/>
        <v>1</v>
      </c>
      <c r="L639" s="29" t="b">
        <f t="shared" si="56"/>
        <v>0</v>
      </c>
      <c r="M639" s="29" t="b">
        <f t="shared" si="59"/>
        <v>0</v>
      </c>
      <c r="N639" s="29" cm="1">
        <f t="array" ref="N639">_xlfn.IFS(
  E639="Airlines 1", IF(K639, F639*0.04, 0),
  E639="Airlines 2", P639,
  E639="Airlines 3", IF(L639, 20000*F639, 0),
  E639="Airlines 4", IF(M639, 15000*F639, 0),
  E639="Airlines 5",
    IF(F639&lt;50000000, F639*0.01,
      IF(F639&lt;100000000, F639*0.02,
        IF(F639&lt;200000000, F639*0.03, F639*0.035))),
  TRUE, 0
)</f>
        <v>0.01</v>
      </c>
      <c r="O639" s="29">
        <f t="shared" si="57"/>
        <v>0</v>
      </c>
      <c r="P639" s="29">
        <f t="shared" si="58"/>
        <v>0</v>
      </c>
      <c r="Q639" s="30" cm="1">
        <f t="array" ref="Q639">_xlfn.SWITCH(I639, "Method 1", 0, "Method 2", H639*0.03, "Method 3", 4000, "Method 4", 3000, 0)</f>
        <v>4000</v>
      </c>
    </row>
    <row r="640" spans="1:17">
      <c r="A640" s="24">
        <v>53201411</v>
      </c>
      <c r="B640" s="17">
        <v>42301</v>
      </c>
      <c r="C640" s="17">
        <v>42302</v>
      </c>
      <c r="D640" s="18" t="s">
        <v>216</v>
      </c>
      <c r="E640" s="18" t="s">
        <v>17</v>
      </c>
      <c r="F640" s="18">
        <v>5</v>
      </c>
      <c r="G640" s="19">
        <v>2865000</v>
      </c>
      <c r="H640" s="19">
        <v>2836500</v>
      </c>
      <c r="I640" s="18" t="s">
        <v>26</v>
      </c>
      <c r="J640" s="29" t="str">
        <f t="shared" si="54"/>
        <v>Sat</v>
      </c>
      <c r="K640" s="29" t="b">
        <f t="shared" si="55"/>
        <v>1</v>
      </c>
      <c r="L640" s="29" t="b">
        <f t="shared" si="56"/>
        <v>0</v>
      </c>
      <c r="M640" s="29" t="b">
        <f t="shared" si="59"/>
        <v>0</v>
      </c>
      <c r="N640" s="29" cm="1">
        <f t="array" ref="N640">_xlfn.IFS(
  E640="Airlines 1", IF(K640, F640*0.04, 0),
  E640="Airlines 2", P640,
  E640="Airlines 3", IF(L640, 20000*F640, 0),
  E640="Airlines 4", IF(M640, 15000*F640, 0),
  E640="Airlines 5",
    IF(F640&lt;50000000, F640*0.01,
      IF(F640&lt;100000000, F640*0.02,
        IF(F640&lt;200000000, F640*0.03, F640*0.035))),
  TRUE, 0
)</f>
        <v>0.05</v>
      </c>
      <c r="O640" s="29">
        <f t="shared" si="57"/>
        <v>0</v>
      </c>
      <c r="P640" s="29">
        <f t="shared" si="58"/>
        <v>0</v>
      </c>
      <c r="Q640" s="30" cm="1">
        <f t="array" ref="Q640">_xlfn.SWITCH(I640, "Method 1", 0, "Method 2", H640*0.03, "Method 3", 4000, "Method 4", 3000, 0)</f>
        <v>4000</v>
      </c>
    </row>
    <row r="641" spans="1:17">
      <c r="A641" s="24">
        <v>53203043</v>
      </c>
      <c r="B641" s="17">
        <v>42304</v>
      </c>
      <c r="C641" s="17">
        <v>42307</v>
      </c>
      <c r="D641" s="18" t="s">
        <v>118</v>
      </c>
      <c r="E641" s="18" t="s">
        <v>17</v>
      </c>
      <c r="F641" s="18">
        <v>1</v>
      </c>
      <c r="G641" s="19">
        <v>338000</v>
      </c>
      <c r="H641" s="19">
        <v>334600</v>
      </c>
      <c r="I641" s="18" t="s">
        <v>26</v>
      </c>
      <c r="J641" s="29" t="str">
        <f t="shared" si="54"/>
        <v>Tue</v>
      </c>
      <c r="K641" s="29" t="b">
        <f t="shared" si="55"/>
        <v>0</v>
      </c>
      <c r="L641" s="29" t="b">
        <f t="shared" si="56"/>
        <v>0</v>
      </c>
      <c r="M641" s="29" t="b">
        <f t="shared" si="59"/>
        <v>0</v>
      </c>
      <c r="N641" s="29" cm="1">
        <f t="array" ref="N641">_xlfn.IFS(
  E641="Airlines 1", IF(K641, F641*0.04, 0),
  E641="Airlines 2", P641,
  E641="Airlines 3", IF(L641, 20000*F641, 0),
  E641="Airlines 4", IF(M641, 15000*F641, 0),
  E641="Airlines 5",
    IF(F641&lt;50000000, F641*0.01,
      IF(F641&lt;100000000, F641*0.02,
        IF(F641&lt;200000000, F641*0.03, F641*0.035))),
  TRUE, 0
)</f>
        <v>0.01</v>
      </c>
      <c r="O641" s="29">
        <f t="shared" si="57"/>
        <v>9</v>
      </c>
      <c r="P641" s="29">
        <f t="shared" si="58"/>
        <v>0</v>
      </c>
      <c r="Q641" s="30" cm="1">
        <f t="array" ref="Q641">_xlfn.SWITCH(I641, "Method 1", 0, "Method 2", H641*0.03, "Method 3", 4000, "Method 4", 3000, 0)</f>
        <v>4000</v>
      </c>
    </row>
    <row r="642" spans="1:17">
      <c r="A642" s="24">
        <v>53202915</v>
      </c>
      <c r="B642" s="17">
        <v>42304</v>
      </c>
      <c r="C642" s="17">
        <v>42313</v>
      </c>
      <c r="D642" s="18" t="s">
        <v>68</v>
      </c>
      <c r="E642" s="18" t="s">
        <v>17</v>
      </c>
      <c r="F642" s="18">
        <v>1</v>
      </c>
      <c r="G642" s="19">
        <v>287000</v>
      </c>
      <c r="H642" s="19">
        <v>284100</v>
      </c>
      <c r="I642" s="18" t="s">
        <v>26</v>
      </c>
      <c r="J642" s="29" t="str">
        <f t="shared" si="54"/>
        <v>Tue</v>
      </c>
      <c r="K642" s="29" t="b">
        <f t="shared" si="55"/>
        <v>0</v>
      </c>
      <c r="L642" s="29" t="b">
        <f t="shared" si="56"/>
        <v>0</v>
      </c>
      <c r="M642" s="29" t="b">
        <f t="shared" si="59"/>
        <v>0</v>
      </c>
      <c r="N642" s="29" cm="1">
        <f t="array" ref="N642">_xlfn.IFS(
  E642="Airlines 1", IF(K642, F642*0.04, 0),
  E642="Airlines 2", P642,
  E642="Airlines 3", IF(L642, 20000*F642, 0),
  E642="Airlines 4", IF(M642, 15000*F642, 0),
  E642="Airlines 5",
    IF(F642&lt;50000000, F642*0.01,
      IF(F642&lt;100000000, F642*0.02,
        IF(F642&lt;200000000, F642*0.03, F642*0.035))),
  TRUE, 0
)</f>
        <v>0.01</v>
      </c>
      <c r="O642" s="29">
        <f t="shared" si="57"/>
        <v>9</v>
      </c>
      <c r="P642" s="29">
        <f t="shared" si="58"/>
        <v>0</v>
      </c>
      <c r="Q642" s="30" cm="1">
        <f t="array" ref="Q642">_xlfn.SWITCH(I642, "Method 1", 0, "Method 2", H642*0.03, "Method 3", 4000, "Method 4", 3000, 0)</f>
        <v>4000</v>
      </c>
    </row>
    <row r="643" spans="1:17">
      <c r="A643" s="24">
        <v>53201648</v>
      </c>
      <c r="B643" s="17">
        <v>42304</v>
      </c>
      <c r="C643" s="17">
        <v>42305</v>
      </c>
      <c r="D643" s="18" t="s">
        <v>209</v>
      </c>
      <c r="E643" s="18" t="s">
        <v>17</v>
      </c>
      <c r="F643" s="18">
        <v>1</v>
      </c>
      <c r="G643" s="19">
        <v>352300</v>
      </c>
      <c r="H643" s="19">
        <v>348800</v>
      </c>
      <c r="I643" s="18" t="s">
        <v>26</v>
      </c>
      <c r="J643" s="29" t="str">
        <f t="shared" si="54"/>
        <v>Tue</v>
      </c>
      <c r="K643" s="29" t="b">
        <f t="shared" si="55"/>
        <v>0</v>
      </c>
      <c r="L643" s="29" t="b">
        <f t="shared" si="56"/>
        <v>0</v>
      </c>
      <c r="M643" s="29" t="b">
        <f t="shared" si="59"/>
        <v>0</v>
      </c>
      <c r="N643" s="29" cm="1">
        <f t="array" ref="N643">_xlfn.IFS(
  E643="Airlines 1", IF(K643, F643*0.04, 0),
  E643="Airlines 2", P643,
  E643="Airlines 3", IF(L643, 20000*F643, 0),
  E643="Airlines 4", IF(M643, 15000*F643, 0),
  E643="Airlines 5",
    IF(F643&lt;50000000, F643*0.01,
      IF(F643&lt;100000000, F643*0.02,
        IF(F643&lt;200000000, F643*0.03, F643*0.035))),
  TRUE, 0
)</f>
        <v>0.01</v>
      </c>
      <c r="O643" s="29">
        <f t="shared" si="57"/>
        <v>9</v>
      </c>
      <c r="P643" s="29">
        <f t="shared" si="58"/>
        <v>0</v>
      </c>
      <c r="Q643" s="30" cm="1">
        <f t="array" ref="Q643">_xlfn.SWITCH(I643, "Method 1", 0, "Method 2", H643*0.03, "Method 3", 4000, "Method 4", 3000, 0)</f>
        <v>4000</v>
      </c>
    </row>
    <row r="644" spans="1:17">
      <c r="A644" s="24">
        <v>53203042</v>
      </c>
      <c r="B644" s="17">
        <v>42304</v>
      </c>
      <c r="C644" s="17">
        <v>42305</v>
      </c>
      <c r="D644" s="18" t="s">
        <v>97</v>
      </c>
      <c r="E644" s="18" t="s">
        <v>17</v>
      </c>
      <c r="F644" s="18">
        <v>2</v>
      </c>
      <c r="G644" s="19">
        <v>779600</v>
      </c>
      <c r="H644" s="19">
        <v>771800</v>
      </c>
      <c r="I644" s="18" t="s">
        <v>26</v>
      </c>
      <c r="J644" s="29" t="str">
        <f t="shared" si="54"/>
        <v>Tue</v>
      </c>
      <c r="K644" s="29" t="b">
        <f t="shared" si="55"/>
        <v>0</v>
      </c>
      <c r="L644" s="29" t="b">
        <f t="shared" si="56"/>
        <v>1</v>
      </c>
      <c r="M644" s="29" t="b">
        <f t="shared" si="59"/>
        <v>0</v>
      </c>
      <c r="N644" s="29" cm="1">
        <f t="array" ref="N644">_xlfn.IFS(
  E644="Airlines 1", IF(K644, F644*0.04, 0),
  E644="Airlines 2", P644,
  E644="Airlines 3", IF(L644, 20000*F644, 0),
  E644="Airlines 4", IF(M644, 15000*F644, 0),
  E644="Airlines 5",
    IF(F644&lt;50000000, F644*0.01,
      IF(F644&lt;100000000, F644*0.02,
        IF(F644&lt;200000000, F644*0.03, F644*0.035))),
  TRUE, 0
)</f>
        <v>0.02</v>
      </c>
      <c r="O644" s="29">
        <f t="shared" si="57"/>
        <v>9</v>
      </c>
      <c r="P644" s="29">
        <f t="shared" si="58"/>
        <v>0</v>
      </c>
      <c r="Q644" s="30" cm="1">
        <f t="array" ref="Q644">_xlfn.SWITCH(I644, "Method 1", 0, "Method 2", H644*0.03, "Method 3", 4000, "Method 4", 3000, 0)</f>
        <v>4000</v>
      </c>
    </row>
    <row r="645" spans="1:17">
      <c r="A645" s="24">
        <v>53203025</v>
      </c>
      <c r="B645" s="17">
        <v>42304</v>
      </c>
      <c r="C645" s="17">
        <v>42307</v>
      </c>
      <c r="D645" s="18" t="s">
        <v>67</v>
      </c>
      <c r="E645" s="18" t="s">
        <v>17</v>
      </c>
      <c r="F645" s="18">
        <v>2</v>
      </c>
      <c r="G645" s="19">
        <v>1126000</v>
      </c>
      <c r="H645" s="19">
        <v>1113800</v>
      </c>
      <c r="I645" s="18" t="s">
        <v>26</v>
      </c>
      <c r="J645" s="29" t="str">
        <f t="shared" si="54"/>
        <v>Tue</v>
      </c>
      <c r="K645" s="29" t="b">
        <f t="shared" si="55"/>
        <v>0</v>
      </c>
      <c r="L645" s="29" t="b">
        <f t="shared" si="56"/>
        <v>0</v>
      </c>
      <c r="M645" s="29" t="b">
        <f t="shared" si="59"/>
        <v>0</v>
      </c>
      <c r="N645" s="29" cm="1">
        <f t="array" ref="N645">_xlfn.IFS(
  E645="Airlines 1", IF(K645, F645*0.04, 0),
  E645="Airlines 2", P645,
  E645="Airlines 3", IF(L645, 20000*F645, 0),
  E645="Airlines 4", IF(M645, 15000*F645, 0),
  E645="Airlines 5",
    IF(F645&lt;50000000, F645*0.01,
      IF(F645&lt;100000000, F645*0.02,
        IF(F645&lt;200000000, F645*0.03, F645*0.035))),
  TRUE, 0
)</f>
        <v>0.02</v>
      </c>
      <c r="O645" s="29">
        <f t="shared" si="57"/>
        <v>9</v>
      </c>
      <c r="P645" s="29">
        <f t="shared" si="58"/>
        <v>0</v>
      </c>
      <c r="Q645" s="30" cm="1">
        <f t="array" ref="Q645">_xlfn.SWITCH(I645, "Method 1", 0, "Method 2", H645*0.03, "Method 3", 4000, "Method 4", 3000, 0)</f>
        <v>4000</v>
      </c>
    </row>
    <row r="646" spans="1:17">
      <c r="A646" s="24">
        <v>53202635</v>
      </c>
      <c r="B646" s="17">
        <v>42304</v>
      </c>
      <c r="C646" s="17">
        <v>42315</v>
      </c>
      <c r="D646" s="18" t="s">
        <v>210</v>
      </c>
      <c r="E646" s="18" t="s">
        <v>17</v>
      </c>
      <c r="F646" s="18">
        <v>1</v>
      </c>
      <c r="G646" s="19">
        <v>927000</v>
      </c>
      <c r="H646" s="19">
        <v>917700</v>
      </c>
      <c r="I646" s="18" t="s">
        <v>26</v>
      </c>
      <c r="J646" s="29" t="str">
        <f t="shared" si="54"/>
        <v>Tue</v>
      </c>
      <c r="K646" s="29" t="b">
        <f t="shared" si="55"/>
        <v>0</v>
      </c>
      <c r="L646" s="29" t="b">
        <f t="shared" si="56"/>
        <v>0</v>
      </c>
      <c r="M646" s="29" t="b">
        <f t="shared" si="59"/>
        <v>0</v>
      </c>
      <c r="N646" s="29" cm="1">
        <f t="array" ref="N646">_xlfn.IFS(
  E646="Airlines 1", IF(K646, F646*0.04, 0),
  E646="Airlines 2", P646,
  E646="Airlines 3", IF(L646, 20000*F646, 0),
  E646="Airlines 4", IF(M646, 15000*F646, 0),
  E646="Airlines 5",
    IF(F646&lt;50000000, F646*0.01,
      IF(F646&lt;100000000, F646*0.02,
        IF(F646&lt;200000000, F646*0.03, F646*0.035))),
  TRUE, 0
)</f>
        <v>0.01</v>
      </c>
      <c r="O646" s="29">
        <f t="shared" si="57"/>
        <v>9</v>
      </c>
      <c r="P646" s="29">
        <f t="shared" si="58"/>
        <v>0</v>
      </c>
      <c r="Q646" s="30" cm="1">
        <f t="array" ref="Q646">_xlfn.SWITCH(I646, "Method 1", 0, "Method 2", H646*0.03, "Method 3", 4000, "Method 4", 3000, 0)</f>
        <v>4000</v>
      </c>
    </row>
    <row r="647" spans="1:17">
      <c r="A647" s="31">
        <v>53202479</v>
      </c>
      <c r="B647" s="32">
        <v>42304</v>
      </c>
      <c r="C647" s="32">
        <v>42304</v>
      </c>
      <c r="D647" s="33" t="s">
        <v>62</v>
      </c>
      <c r="E647" s="33" t="s">
        <v>17</v>
      </c>
      <c r="F647" s="33">
        <v>1</v>
      </c>
      <c r="G647" s="34">
        <v>529000</v>
      </c>
      <c r="H647" s="34">
        <v>523700</v>
      </c>
      <c r="I647" s="33" t="s">
        <v>26</v>
      </c>
      <c r="J647" s="35" t="str">
        <f t="shared" ref="J647" si="60">TEXT(B647,"ddd")</f>
        <v>Tue</v>
      </c>
      <c r="K647" s="35" t="b">
        <f t="shared" ref="K647" si="61">OR(J647="Sat",J647="Sun")</f>
        <v>0</v>
      </c>
      <c r="L647" s="35" t="b">
        <f t="shared" ref="L647" si="62">OR(D647="CGK_SUB", D647="CGK_PKU", D647="CGK_JOG",
    D647="SUB_CGK", D647="PKU_CGK", D647="JOG_CGK")</f>
        <v>1</v>
      </c>
      <c r="M647" s="35" t="b">
        <f t="shared" si="59"/>
        <v>0</v>
      </c>
      <c r="N647" s="35" cm="1">
        <f t="array" ref="N647">_xlfn.IFS(
  E647="Airlines 1", IF(K647, F647*0.04, 0),
  E647="Airlines 2", P647,
  E647="Airlines 3", IF(L647, 20000*F647, 0),
  E647="Airlines 4", IF(M647, 15000*F647, 0),
  E647="Airlines 5",
    IF(F647&lt;50000000, F647*0.01,
      IF(F647&lt;100000000, F647*0.02,
        IF(F647&lt;200000000, F647*0.03, F647*0.035))),
  TRUE, 0
)</f>
        <v>0.01</v>
      </c>
      <c r="O647" s="35">
        <f t="shared" ref="O647" si="63">SUMIFS($F$6:$F$647, $E$6:$E$647, "Airlines 2", $B$6:$B$647, B647)</f>
        <v>9</v>
      </c>
      <c r="P647" s="35">
        <f t="shared" ref="P647" si="64">IF(AND(E646="Airlines 2", O646&gt;20), F646*0.05, 0)</f>
        <v>0</v>
      </c>
      <c r="Q647" s="36" cm="1">
        <f t="array" ref="Q647">_xlfn.SWITCH(I647, "Method 1", 0, "Method 2", H647*0.03, "Method 3", 4000, "Method 4", 3000, 0)</f>
        <v>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Glossary</vt:lpstr>
      <vt:lpstr>Excercise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Lidya Marlina</dc:creator>
  <cp:lastModifiedBy>naufalizzudin36@gmail.com</cp:lastModifiedBy>
  <dcterms:created xsi:type="dcterms:W3CDTF">2015-12-13T12:04:00Z</dcterms:created>
  <dcterms:modified xsi:type="dcterms:W3CDTF">2026-03-05T01:54:16Z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