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"/>
    </mc:Choice>
  </mc:AlternateContent>
  <xr:revisionPtr revIDLastSave="0" documentId="13_ncr:1_{CA19CE71-0B70-45B0-8A7A-624C8734C7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2" r:id="rId1"/>
    <sheet name="Q2" sheetId="3" r:id="rId2"/>
    <sheet name="Q3" sheetId="4" r:id="rId3"/>
    <sheet name="A1" sheetId="5" state="veryHidden" r:id="rId4"/>
    <sheet name="A2" sheetId="6" state="veryHidden" r:id="rId5"/>
    <sheet name="A3" sheetId="7" state="very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g23PtUa7EPBpgBNvsTd1LPu4GWPw=="/>
    </ext>
  </extLst>
</workbook>
</file>

<file path=xl/calcChain.xml><?xml version="1.0" encoding="utf-8"?>
<calcChain xmlns="http://schemas.openxmlformats.org/spreadsheetml/2006/main">
  <c r="B12" i="4" l="1" a="1"/>
  <c r="B12" i="4" s="1"/>
  <c r="G12" i="4"/>
  <c r="H12" i="4"/>
  <c r="I12" i="4"/>
  <c r="J12" i="4"/>
  <c r="K12" i="4"/>
  <c r="L12" i="4"/>
  <c r="M12" i="4"/>
  <c r="N12" i="4"/>
  <c r="O12" i="4"/>
  <c r="P12" i="4"/>
  <c r="Q12" i="4"/>
  <c r="G13" i="4"/>
  <c r="H13" i="4"/>
  <c r="I13" i="4"/>
  <c r="J13" i="4"/>
  <c r="K13" i="4"/>
  <c r="L13" i="4"/>
  <c r="M13" i="4"/>
  <c r="N13" i="4"/>
  <c r="O13" i="4"/>
  <c r="P13" i="4"/>
  <c r="Q13" i="4"/>
  <c r="G14" i="4"/>
  <c r="H14" i="4"/>
  <c r="I14" i="4"/>
  <c r="J14" i="4"/>
  <c r="K14" i="4"/>
  <c r="L14" i="4"/>
  <c r="M14" i="4"/>
  <c r="N14" i="4"/>
  <c r="O14" i="4"/>
  <c r="P14" i="4"/>
  <c r="Q14" i="4"/>
  <c r="G15" i="4"/>
  <c r="H15" i="4"/>
  <c r="I15" i="4"/>
  <c r="J15" i="4"/>
  <c r="K15" i="4"/>
  <c r="L15" i="4"/>
  <c r="M15" i="4"/>
  <c r="N15" i="4"/>
  <c r="O15" i="4"/>
  <c r="P15" i="4"/>
  <c r="Q15" i="4"/>
  <c r="G16" i="4"/>
  <c r="H16" i="4"/>
  <c r="I16" i="4"/>
  <c r="J16" i="4"/>
  <c r="K16" i="4"/>
  <c r="L16" i="4"/>
  <c r="M16" i="4"/>
  <c r="N16" i="4"/>
  <c r="O16" i="4"/>
  <c r="P16" i="4"/>
  <c r="Q16" i="4"/>
  <c r="F13" i="4"/>
  <c r="F14" i="4"/>
  <c r="F15" i="4"/>
  <c r="F16" i="4"/>
  <c r="F12" i="4"/>
  <c r="Q10" i="7"/>
  <c r="P10" i="7"/>
  <c r="O10" i="7"/>
  <c r="N10" i="7"/>
  <c r="M10" i="7"/>
  <c r="L10" i="7"/>
  <c r="K10" i="7"/>
  <c r="J10" i="7"/>
  <c r="I10" i="7"/>
  <c r="H10" i="7"/>
  <c r="G10" i="7"/>
  <c r="F10" i="7"/>
  <c r="Q9" i="7"/>
  <c r="P9" i="7"/>
  <c r="O9" i="7"/>
  <c r="N9" i="7"/>
  <c r="M9" i="7"/>
  <c r="L9" i="7"/>
  <c r="K9" i="7"/>
  <c r="J9" i="7"/>
  <c r="I9" i="7"/>
  <c r="H9" i="7"/>
  <c r="G9" i="7"/>
  <c r="F9" i="7"/>
  <c r="Q8" i="7"/>
  <c r="P8" i="7"/>
  <c r="O8" i="7"/>
  <c r="N8" i="7"/>
  <c r="M8" i="7"/>
  <c r="L8" i="7"/>
  <c r="K8" i="7"/>
  <c r="J8" i="7"/>
  <c r="I8" i="7"/>
  <c r="H8" i="7"/>
  <c r="G8" i="7"/>
  <c r="F8" i="7"/>
  <c r="Q7" i="7"/>
  <c r="P7" i="7"/>
  <c r="O7" i="7"/>
  <c r="N7" i="7"/>
  <c r="M7" i="7"/>
  <c r="L7" i="7"/>
  <c r="K7" i="7"/>
  <c r="J7" i="7"/>
  <c r="I7" i="7"/>
  <c r="H7" i="7"/>
  <c r="G7" i="7"/>
  <c r="F7" i="7"/>
  <c r="Q6" i="7"/>
  <c r="P6" i="7"/>
  <c r="O6" i="7"/>
  <c r="N6" i="7"/>
  <c r="M6" i="7"/>
  <c r="L6" i="7"/>
  <c r="K6" i="7"/>
  <c r="J6" i="7"/>
  <c r="I6" i="7"/>
  <c r="H6" i="7"/>
  <c r="G6" i="7"/>
  <c r="F6" i="7"/>
  <c r="L2" i="3" a="1"/>
  <c r="L2" i="3" s="1"/>
  <c r="L7" i="3"/>
  <c r="M7" i="3"/>
  <c r="M19" i="3"/>
  <c r="L19" i="3"/>
  <c r="M18" i="3"/>
  <c r="L18" i="3"/>
  <c r="M17" i="3"/>
  <c r="L17" i="3"/>
  <c r="M16" i="3"/>
  <c r="L16" i="3"/>
  <c r="M15" i="3"/>
  <c r="L15" i="3"/>
  <c r="M8" i="3"/>
  <c r="M9" i="3"/>
  <c r="M10" i="3"/>
  <c r="M11" i="3"/>
  <c r="L8" i="3"/>
  <c r="L9" i="3"/>
  <c r="L10" i="3"/>
  <c r="L11" i="3"/>
  <c r="G5" i="2" a="1"/>
  <c r="G5" i="2" s="1"/>
  <c r="D21" i="5"/>
  <c r="D20" i="5"/>
  <c r="D19" i="5"/>
  <c r="D22" i="5" s="1"/>
  <c r="D23" i="5" s="1"/>
  <c r="E16" i="5"/>
  <c r="E19" i="5" s="1"/>
  <c r="D30" i="2"/>
  <c r="E26" i="2"/>
  <c r="F26" i="2"/>
  <c r="G26" i="2"/>
  <c r="H26" i="2"/>
  <c r="I26" i="2"/>
  <c r="J26" i="2"/>
  <c r="K26" i="2"/>
  <c r="L26" i="2"/>
  <c r="M26" i="2"/>
  <c r="E27" i="2"/>
  <c r="F27" i="2"/>
  <c r="G27" i="2"/>
  <c r="H27" i="2"/>
  <c r="I27" i="2"/>
  <c r="J27" i="2"/>
  <c r="K27" i="2"/>
  <c r="L27" i="2"/>
  <c r="M27" i="2"/>
  <c r="D26" i="2"/>
  <c r="D27" i="2"/>
  <c r="D28" i="2"/>
  <c r="D29" i="2"/>
  <c r="D25" i="2"/>
  <c r="G5" i="7"/>
  <c r="E17" i="6"/>
  <c r="F17" i="6" s="1"/>
  <c r="E16" i="6"/>
  <c r="F16" i="6" s="1"/>
  <c r="F15" i="6"/>
  <c r="E15" i="6"/>
  <c r="E14" i="6"/>
  <c r="F14" i="6" s="1"/>
  <c r="E13" i="6"/>
  <c r="F13" i="6" s="1"/>
  <c r="E12" i="6"/>
  <c r="F12" i="6" s="1"/>
  <c r="E11" i="6"/>
  <c r="F11" i="6" s="1"/>
  <c r="E10" i="6"/>
  <c r="F10" i="6" s="1"/>
  <c r="E9" i="6"/>
  <c r="F9" i="6" s="1"/>
  <c r="E8" i="6"/>
  <c r="F8" i="6" s="1"/>
  <c r="I11" i="6"/>
  <c r="J11" i="6" s="1"/>
  <c r="E7" i="6"/>
  <c r="F7" i="6" s="1"/>
  <c r="E6" i="6"/>
  <c r="F6" i="6" s="1"/>
  <c r="D14" i="5"/>
  <c r="E14" i="5" s="1"/>
  <c r="G5" i="4"/>
  <c r="H5" i="4" s="1"/>
  <c r="I5" i="4" s="1"/>
  <c r="J5" i="4" s="1"/>
  <c r="K5" i="4" s="1"/>
  <c r="L5" i="4" s="1"/>
  <c r="M5" i="4" s="1"/>
  <c r="N5" i="4" s="1"/>
  <c r="O5" i="4" s="1"/>
  <c r="P5" i="4" s="1"/>
  <c r="Q5" i="4" s="1"/>
  <c r="F17" i="3"/>
  <c r="E17" i="3"/>
  <c r="E16" i="3"/>
  <c r="F16" i="3" s="1"/>
  <c r="E15" i="3"/>
  <c r="F15" i="3" s="1"/>
  <c r="F14" i="3"/>
  <c r="E14" i="3"/>
  <c r="E13" i="3"/>
  <c r="F13" i="3" s="1"/>
  <c r="F12" i="3"/>
  <c r="E12" i="3"/>
  <c r="E11" i="3"/>
  <c r="F11" i="3" s="1"/>
  <c r="E10" i="3"/>
  <c r="F10" i="3" s="1"/>
  <c r="E9" i="3"/>
  <c r="F9" i="3" s="1"/>
  <c r="F8" i="3"/>
  <c r="E8" i="3"/>
  <c r="E7" i="3"/>
  <c r="F7" i="3" s="1"/>
  <c r="E6" i="3"/>
  <c r="F6" i="3" s="1"/>
  <c r="D14" i="2"/>
  <c r="E14" i="2" s="1"/>
  <c r="F14" i="2" s="1"/>
  <c r="G14" i="2" s="1"/>
  <c r="H14" i="2" s="1"/>
  <c r="I14" i="2" s="1"/>
  <c r="J14" i="2" s="1"/>
  <c r="K14" i="2" s="1"/>
  <c r="L14" i="2" s="1"/>
  <c r="M14" i="2" s="1"/>
  <c r="F16" i="5" l="1"/>
  <c r="F20" i="5" s="1"/>
  <c r="E21" i="5"/>
  <c r="E20" i="5"/>
  <c r="E25" i="2"/>
  <c r="H5" i="7"/>
  <c r="I19" i="6"/>
  <c r="J19" i="6" s="1"/>
  <c r="I16" i="6"/>
  <c r="J16" i="6" s="1"/>
  <c r="I7" i="6"/>
  <c r="J7" i="6" s="1"/>
  <c r="I10" i="6"/>
  <c r="J10" i="6" s="1"/>
  <c r="I17" i="6"/>
  <c r="J17" i="6" s="1"/>
  <c r="I9" i="6"/>
  <c r="J9" i="6" s="1"/>
  <c r="I18" i="6"/>
  <c r="J18" i="6" s="1"/>
  <c r="I15" i="6"/>
  <c r="J15" i="6" s="1"/>
  <c r="I8" i="6"/>
  <c r="J8" i="6" s="1"/>
  <c r="F14" i="5"/>
  <c r="F25" i="2" l="1"/>
  <c r="F21" i="5"/>
  <c r="F19" i="5"/>
  <c r="G16" i="5"/>
  <c r="G19" i="5" s="1"/>
  <c r="E22" i="5"/>
  <c r="E23" i="5" s="1"/>
  <c r="D32" i="2"/>
  <c r="D31" i="2"/>
  <c r="I5" i="7"/>
  <c r="E28" i="2"/>
  <c r="E29" i="2"/>
  <c r="E30" i="2"/>
  <c r="G14" i="5"/>
  <c r="F22" i="5" l="1"/>
  <c r="F23" i="5" s="1"/>
  <c r="G25" i="2"/>
  <c r="G21" i="5"/>
  <c r="H16" i="5"/>
  <c r="H25" i="2" s="1"/>
  <c r="G20" i="5"/>
  <c r="H19" i="5"/>
  <c r="I16" i="5"/>
  <c r="I25" i="2" s="1"/>
  <c r="H20" i="5"/>
  <c r="G22" i="5"/>
  <c r="G23" i="5" s="1"/>
  <c r="J5" i="7"/>
  <c r="F29" i="2"/>
  <c r="F30" i="2"/>
  <c r="F28" i="2"/>
  <c r="H14" i="5"/>
  <c r="H21" i="5" l="1"/>
  <c r="H22" i="5" s="1"/>
  <c r="H23" i="5" s="1"/>
  <c r="I21" i="5"/>
  <c r="J16" i="5"/>
  <c r="I20" i="5"/>
  <c r="I19" i="5"/>
  <c r="E32" i="2"/>
  <c r="E31" i="2"/>
  <c r="K5" i="7"/>
  <c r="G29" i="2"/>
  <c r="G30" i="2"/>
  <c r="G28" i="2"/>
  <c r="I14" i="5"/>
  <c r="I22" i="5" l="1"/>
  <c r="I23" i="5" s="1"/>
  <c r="J21" i="5"/>
  <c r="J20" i="5"/>
  <c r="K16" i="5"/>
  <c r="J19" i="5"/>
  <c r="J22" i="5" s="1"/>
  <c r="J23" i="5" s="1"/>
  <c r="J25" i="2"/>
  <c r="F32" i="2"/>
  <c r="F31" i="2"/>
  <c r="L5" i="7"/>
  <c r="H28" i="2"/>
  <c r="H30" i="2"/>
  <c r="H29" i="2"/>
  <c r="J14" i="5"/>
  <c r="K25" i="2" l="1"/>
  <c r="K21" i="5"/>
  <c r="L16" i="5"/>
  <c r="K19" i="5"/>
  <c r="K20" i="5"/>
  <c r="G32" i="2"/>
  <c r="G31" i="2"/>
  <c r="M5" i="7"/>
  <c r="K14" i="5"/>
  <c r="I30" i="2"/>
  <c r="I28" i="2"/>
  <c r="I29" i="2"/>
  <c r="K22" i="5" l="1"/>
  <c r="K23" i="5" s="1"/>
  <c r="L25" i="2"/>
  <c r="L21" i="5"/>
  <c r="M16" i="5"/>
  <c r="L19" i="5"/>
  <c r="L20" i="5"/>
  <c r="H32" i="2"/>
  <c r="H31" i="2"/>
  <c r="N5" i="7"/>
  <c r="L14" i="5"/>
  <c r="J28" i="2"/>
  <c r="J29" i="2"/>
  <c r="J30" i="2"/>
  <c r="L22" i="5" l="1"/>
  <c r="L23" i="5" s="1"/>
  <c r="M21" i="5"/>
  <c r="M19" i="5"/>
  <c r="M25" i="2"/>
  <c r="M20" i="5"/>
  <c r="M22" i="5" s="1"/>
  <c r="M23" i="5" s="1"/>
  <c r="I32" i="2"/>
  <c r="I31" i="2"/>
  <c r="O5" i="7"/>
  <c r="K28" i="2"/>
  <c r="K29" i="2"/>
  <c r="K30" i="2"/>
  <c r="M14" i="5"/>
  <c r="J32" i="2" l="1"/>
  <c r="J31" i="2"/>
  <c r="P5" i="7"/>
  <c r="L29" i="2"/>
  <c r="L28" i="2"/>
  <c r="L30" i="2"/>
  <c r="K32" i="2" l="1"/>
  <c r="K31" i="2"/>
  <c r="Q5" i="7"/>
  <c r="M28" i="2"/>
  <c r="M29" i="2"/>
  <c r="M30" i="2"/>
  <c r="L32" i="2" l="1"/>
  <c r="L31" i="2"/>
  <c r="M32" i="2" l="1"/>
  <c r="M3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<sst xmlns="http://schemas.openxmlformats.org/spreadsheetml/2006/main" count="110" uniqueCount="52">
  <si>
    <t>Q1) Instructions</t>
  </si>
  <si>
    <t>Calculate Net Operating Income and create a dynamic model that updates based on the holding period of 2-10y. Assume no sale proceeds at the end of the holding period.</t>
  </si>
  <si>
    <t>Assumptions</t>
  </si>
  <si>
    <t>Rental Income Growth Rate</t>
  </si>
  <si>
    <t>R&amp;M as a % of Rev.</t>
  </si>
  <si>
    <t>Utilities as a % of Rev.</t>
  </si>
  <si>
    <t>Mgmt. Fees as a % of Rev.</t>
  </si>
  <si>
    <t>Holding Period</t>
  </si>
  <si>
    <t>Revenue:</t>
  </si>
  <si>
    <t>Rental Income</t>
  </si>
  <si>
    <t>Total Revenue</t>
  </si>
  <si>
    <t>Operating Expenses:</t>
  </si>
  <si>
    <t>Repairs &amp; Maintenance</t>
  </si>
  <si>
    <t>Utilities</t>
  </si>
  <si>
    <t>Management fees</t>
  </si>
  <si>
    <t>Total Operating Expenses</t>
  </si>
  <si>
    <t>Net Operating Income</t>
  </si>
  <si>
    <t>Q2) Instructions</t>
  </si>
  <si>
    <t>Fill the tables to show the top 5 and bottom 5 brands by gross margin percentage</t>
  </si>
  <si>
    <t>Brand</t>
  </si>
  <si>
    <t>Revenue</t>
  </si>
  <si>
    <t>COGS</t>
  </si>
  <si>
    <t>Gross Margin</t>
  </si>
  <si>
    <t>Gross Margin %</t>
  </si>
  <si>
    <t>Top 5 Gross Margin %</t>
  </si>
  <si>
    <t>Coca-Cola</t>
  </si>
  <si>
    <t>Rank</t>
  </si>
  <si>
    <t>Margin %</t>
  </si>
  <si>
    <t>Diet Coke</t>
  </si>
  <si>
    <t>Sprite</t>
  </si>
  <si>
    <t>Fanta</t>
  </si>
  <si>
    <t>Vitamin Water</t>
  </si>
  <si>
    <t>Honest Tea</t>
  </si>
  <si>
    <t>Powerade</t>
  </si>
  <si>
    <t>Costa Coffee</t>
  </si>
  <si>
    <t>Bottom 5 Gross Margin %</t>
  </si>
  <si>
    <t>Minute Maid</t>
  </si>
  <si>
    <t>Peace Tea</t>
  </si>
  <si>
    <t>Georgia Coffee</t>
  </si>
  <si>
    <t>Aquarius</t>
  </si>
  <si>
    <t>Q3) Instructions</t>
  </si>
  <si>
    <t>Create a monthly salary expense table in the light blue area. Please consider prorated expense amounts given a specific resignation date</t>
  </si>
  <si>
    <t>Resignations</t>
  </si>
  <si>
    <t>Salary per month</t>
  </si>
  <si>
    <t>Resignation date</t>
  </si>
  <si>
    <t>Research Analyst</t>
  </si>
  <si>
    <t>Sr. Financial Analyst</t>
  </si>
  <si>
    <t>Jr. Financial Analyst</t>
  </si>
  <si>
    <t>HR Recruiter</t>
  </si>
  <si>
    <t>Copywriter</t>
  </si>
  <si>
    <t>← Create Dropdown List</t>
  </si>
  <si>
    <t>Holding Period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</si>
</sst>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_(* #,##0_);_(* \(#,##0\);_(* &quot;-&quot;??_);_(@_)"/>
    <numFmt numFmtId="166" formatCode="yyyy"/>
    <numFmt numFmtId="167" formatCode="&quot;$&quot;#,##0_);[Red]\(&quot;$&quot;#,##0\)"/>
    <numFmt numFmtId="168" formatCode="_-[$$-409]* #,##0_ ;_-[$$-409]* \-#,##0\ ;_-[$$-409]* &quot;-&quot;??_ ;_-@_ 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rgb="FF0432FF"/>
      <name val="Calibri"/>
      <family val="2"/>
    </font>
    <font>
      <b/>
      <sz val="11"/>
      <color theme="0"/>
      <name val="Calibri"/>
      <family val="2"/>
    </font>
    <font>
      <i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Wingdings 2"/>
      <family val="1"/>
      <charset val="2"/>
    </font>
    <font>
      <b/>
      <sz val="72"/>
      <color theme="1"/>
      <name val="Wingdings 2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2A3E68"/>
        <bgColor rgb="FF2A3E68"/>
      </patternFill>
    </fill>
    <fill>
      <patternFill patternType="solid">
        <fgColor rgb="FFFFFF99"/>
        <bgColor rgb="FFFFFF99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1" xfId="0" applyFont="1" applyFill="1" applyBorder="1"/>
    <xf numFmtId="0" fontId="2" fillId="3" borderId="1" xfId="0" applyFont="1" applyFill="1" applyBorder="1"/>
    <xf numFmtId="0" fontId="1" fillId="0" borderId="4" xfId="0" applyFont="1" applyBorder="1"/>
    <xf numFmtId="164" fontId="8" fillId="0" borderId="5" xfId="0" applyNumberFormat="1" applyFont="1" applyBorder="1"/>
    <xf numFmtId="0" fontId="1" fillId="0" borderId="6" xfId="0" applyFont="1" applyBorder="1"/>
    <xf numFmtId="164" fontId="8" fillId="0" borderId="7" xfId="0" applyNumberFormat="1" applyFont="1" applyBorder="1"/>
    <xf numFmtId="0" fontId="1" fillId="0" borderId="8" xfId="0" applyFont="1" applyBorder="1"/>
    <xf numFmtId="164" fontId="8" fillId="0" borderId="9" xfId="0" applyNumberFormat="1" applyFont="1" applyBorder="1"/>
    <xf numFmtId="0" fontId="1" fillId="0" borderId="0" xfId="0" applyFont="1"/>
    <xf numFmtId="10" fontId="8" fillId="0" borderId="0" xfId="0" applyNumberFormat="1" applyFont="1"/>
    <xf numFmtId="0" fontId="3" fillId="5" borderId="10" xfId="0" applyFont="1" applyFill="1" applyBorder="1" applyAlignment="1">
      <alignment horizontal="center"/>
    </xf>
    <xf numFmtId="0" fontId="6" fillId="4" borderId="1" xfId="0" applyFont="1" applyFill="1" applyBorder="1"/>
    <xf numFmtId="165" fontId="1" fillId="0" borderId="0" xfId="0" applyNumberFormat="1" applyFont="1"/>
    <xf numFmtId="0" fontId="1" fillId="0" borderId="0" xfId="0" applyFont="1" applyAlignment="1">
      <alignment horizontal="left"/>
    </xf>
    <xf numFmtId="0" fontId="3" fillId="0" borderId="12" xfId="0" applyFont="1" applyBorder="1"/>
    <xf numFmtId="0" fontId="3" fillId="5" borderId="13" xfId="0" applyFont="1" applyFill="1" applyBorder="1"/>
    <xf numFmtId="0" fontId="1" fillId="3" borderId="1" xfId="0" applyFont="1" applyFill="1" applyBorder="1"/>
    <xf numFmtId="166" fontId="6" fillId="4" borderId="1" xfId="0" applyNumberFormat="1" applyFont="1" applyFill="1" applyBorder="1"/>
    <xf numFmtId="164" fontId="1" fillId="0" borderId="0" xfId="0" applyNumberFormat="1" applyFont="1"/>
    <xf numFmtId="166" fontId="10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2" borderId="1" xfId="0" applyNumberFormat="1" applyFont="1" applyFill="1" applyBorder="1"/>
    <xf numFmtId="166" fontId="10" fillId="4" borderId="1" xfId="0" applyNumberFormat="1" applyFont="1" applyFill="1" applyBorder="1" applyAlignment="1">
      <alignment horizontal="center"/>
    </xf>
    <xf numFmtId="14" fontId="1" fillId="0" borderId="0" xfId="0" applyNumberFormat="1" applyFont="1"/>
    <xf numFmtId="0" fontId="6" fillId="4" borderId="1" xfId="0" applyFont="1" applyFill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4" fontId="6" fillId="4" borderId="1" xfId="0" applyNumberFormat="1" applyFont="1" applyFill="1" applyBorder="1"/>
    <xf numFmtId="1" fontId="8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168" fontId="3" fillId="0" borderId="12" xfId="0" applyNumberFormat="1" applyFont="1" applyBorder="1" applyAlignment="1">
      <alignment vertical="center"/>
    </xf>
    <xf numFmtId="168" fontId="3" fillId="0" borderId="0" xfId="0" applyNumberFormat="1" applyFont="1" applyAlignment="1">
      <alignment vertical="center"/>
    </xf>
    <xf numFmtId="168" fontId="3" fillId="5" borderId="13" xfId="0" applyNumberFormat="1" applyFont="1" applyFill="1" applyBorder="1" applyAlignment="1">
      <alignment vertical="center"/>
    </xf>
    <xf numFmtId="168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11" xfId="0" applyFont="1" applyBorder="1"/>
    <xf numFmtId="166" fontId="9" fillId="4" borderId="2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 indent="1"/>
    </xf>
    <xf numFmtId="0" fontId="3" fillId="0" borderId="0" xfId="0" applyFont="1" applyAlignment="1">
      <alignment horizontal="right" indent="1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6" fillId="0" borderId="0" xfId="0" applyFont="1"/>
    <xf numFmtId="0" fontId="14" fillId="0" borderId="11" xfId="0" applyFont="1" applyBorder="1" applyAlignment="1">
      <alignment vertical="center"/>
    </xf>
    <xf numFmtId="0" fontId="13" fillId="0" borderId="1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Z1000"/>
  <sheetViews>
    <sheetView showGridLines="0" tabSelected="1" workbookViewId="0">
      <selection activeCell="D17" sqref="D17"/>
    </sheetView>
  </sheetViews>
  <sheetFormatPr defaultColWidth="14.44140625" defaultRowHeight="15" customHeight="1" x14ac:dyDescent="0.3"/>
  <cols>
    <col min="1" max="1" width="9.88671875" customWidth="1"/>
    <col min="2" max="2" width="23.88671875" bestFit="1" customWidth="1"/>
    <col min="3" max="3" width="10.109375" customWidth="1"/>
    <col min="4" max="13" width="11.21875" bestFit="1" customWidth="1"/>
    <col min="14" max="26" width="8.88671875" customWidth="1"/>
  </cols>
  <sheetData>
    <row r="2" spans="1:26" ht="15.6" x14ac:dyDescent="0.3">
      <c r="B2" s="5" t="s">
        <v>0</v>
      </c>
      <c r="C2" s="5"/>
      <c r="D2" s="5"/>
      <c r="E2" s="5"/>
      <c r="F2" s="5"/>
      <c r="G2" s="5"/>
      <c r="H2" s="5"/>
      <c r="I2" s="5"/>
      <c r="J2" s="6"/>
      <c r="K2" s="6"/>
      <c r="L2" s="6"/>
      <c r="M2" s="6"/>
    </row>
    <row r="3" spans="1:26" ht="33.75" customHeight="1" x14ac:dyDescent="0.3">
      <c r="B3" s="42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26" ht="15" customHeight="1" thickBot="1" x14ac:dyDescent="0.35"/>
    <row r="5" spans="1:26" ht="14.4" x14ac:dyDescent="0.3">
      <c r="B5" s="44" t="s">
        <v>2</v>
      </c>
      <c r="C5" s="45"/>
      <c r="G5" s="50" t="str" cm="1">
        <f t="array" ref="G5">IF(SUM(IF(D25:M32,1))=80,"R","T")</f>
        <v>T</v>
      </c>
      <c r="H5" s="51"/>
      <c r="I5" s="51"/>
      <c r="J5" s="51"/>
      <c r="K5" s="52"/>
    </row>
    <row r="6" spans="1:26" ht="14.4" x14ac:dyDescent="0.3">
      <c r="B6" s="7" t="s">
        <v>3</v>
      </c>
      <c r="C6" s="8">
        <v>3.5000000000000003E-2</v>
      </c>
      <c r="G6" s="53"/>
      <c r="H6" s="54"/>
      <c r="I6" s="54"/>
      <c r="J6" s="54"/>
      <c r="K6" s="55"/>
    </row>
    <row r="7" spans="1:26" ht="14.4" x14ac:dyDescent="0.3">
      <c r="B7" s="9" t="s">
        <v>4</v>
      </c>
      <c r="C7" s="10">
        <v>9.6000000000000002E-2</v>
      </c>
      <c r="G7" s="53"/>
      <c r="H7" s="54"/>
      <c r="I7" s="54"/>
      <c r="J7" s="54"/>
      <c r="K7" s="55"/>
    </row>
    <row r="8" spans="1:26" ht="14.4" x14ac:dyDescent="0.3">
      <c r="B8" s="9" t="s">
        <v>5</v>
      </c>
      <c r="C8" s="10">
        <v>7.8E-2</v>
      </c>
      <c r="G8" s="53"/>
      <c r="H8" s="54"/>
      <c r="I8" s="54"/>
      <c r="J8" s="54"/>
      <c r="K8" s="55"/>
    </row>
    <row r="9" spans="1:26" thickBot="1" x14ac:dyDescent="0.35">
      <c r="B9" s="11" t="s">
        <v>6</v>
      </c>
      <c r="C9" s="12">
        <v>4.3999999999999997E-2</v>
      </c>
      <c r="G9" s="56"/>
      <c r="H9" s="57"/>
      <c r="I9" s="57"/>
      <c r="J9" s="57"/>
      <c r="K9" s="58"/>
    </row>
    <row r="10" spans="1:26" ht="14.4" x14ac:dyDescent="0.3">
      <c r="B10" s="13"/>
      <c r="C10" s="14"/>
    </row>
    <row r="11" spans="1:26" ht="14.4" x14ac:dyDescent="0.3">
      <c r="B11" s="49" t="s">
        <v>51</v>
      </c>
      <c r="C11" s="15"/>
      <c r="D11" s="48" t="s">
        <v>50</v>
      </c>
    </row>
    <row r="12" spans="1:26" ht="14.4" x14ac:dyDescent="0.3">
      <c r="B12" s="13"/>
      <c r="C12" s="13"/>
    </row>
    <row r="13" spans="1:26" ht="14.4" x14ac:dyDescent="0.3">
      <c r="B13" s="16"/>
      <c r="C13" s="44" t="s">
        <v>7</v>
      </c>
      <c r="D13" s="46"/>
      <c r="E13" s="46"/>
      <c r="F13" s="46"/>
      <c r="G13" s="46"/>
      <c r="H13" s="46"/>
      <c r="I13" s="46"/>
      <c r="J13" s="46"/>
      <c r="K13" s="46"/>
      <c r="L13" s="46"/>
      <c r="M13" s="45"/>
    </row>
    <row r="14" spans="1:26" ht="14.4" x14ac:dyDescent="0.3">
      <c r="B14" s="16"/>
      <c r="C14" s="16"/>
      <c r="D14" s="16">
        <f t="shared" ref="D14:M14" si="0">C14+1</f>
        <v>1</v>
      </c>
      <c r="E14" s="16">
        <f t="shared" si="0"/>
        <v>2</v>
      </c>
      <c r="F14" s="16">
        <f t="shared" si="0"/>
        <v>3</v>
      </c>
      <c r="G14" s="16">
        <f t="shared" si="0"/>
        <v>4</v>
      </c>
      <c r="H14" s="16">
        <f t="shared" si="0"/>
        <v>5</v>
      </c>
      <c r="I14" s="16">
        <f t="shared" si="0"/>
        <v>6</v>
      </c>
      <c r="J14" s="16">
        <f t="shared" si="0"/>
        <v>7</v>
      </c>
      <c r="K14" s="16">
        <f t="shared" si="0"/>
        <v>8</v>
      </c>
      <c r="L14" s="16">
        <f t="shared" si="0"/>
        <v>9</v>
      </c>
      <c r="M14" s="16">
        <f t="shared" si="0"/>
        <v>10</v>
      </c>
    </row>
    <row r="15" spans="1:26" ht="14.4" x14ac:dyDescent="0.3">
      <c r="B15" s="13" t="s">
        <v>8</v>
      </c>
      <c r="C15" s="13"/>
      <c r="D15" s="34"/>
      <c r="E15" s="35"/>
      <c r="F15" s="35"/>
      <c r="G15" s="35"/>
      <c r="H15" s="35"/>
      <c r="I15" s="35"/>
      <c r="J15" s="35"/>
      <c r="K15" s="35"/>
      <c r="L15" s="35"/>
      <c r="M15" s="35"/>
    </row>
    <row r="16" spans="1:26" ht="14.4" x14ac:dyDescent="0.3">
      <c r="A16" s="13"/>
      <c r="B16" s="18" t="s">
        <v>9</v>
      </c>
      <c r="C16" s="13"/>
      <c r="D16" s="36">
        <v>55995</v>
      </c>
      <c r="E16" s="37"/>
      <c r="F16" s="37"/>
      <c r="G16" s="37"/>
      <c r="H16" s="37"/>
      <c r="I16" s="37"/>
      <c r="J16" s="37"/>
      <c r="K16" s="37"/>
      <c r="L16" s="37"/>
      <c r="M16" s="3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4.4" x14ac:dyDescent="0.3">
      <c r="A17" s="13"/>
      <c r="B17" s="19" t="s">
        <v>10</v>
      </c>
      <c r="C17" s="19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4" x14ac:dyDescent="0.3">
      <c r="A18" s="13"/>
      <c r="B18" s="13" t="s">
        <v>11</v>
      </c>
      <c r="C18" s="3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.4" x14ac:dyDescent="0.3">
      <c r="A19" s="13"/>
      <c r="B19" s="18" t="s">
        <v>12</v>
      </c>
      <c r="C19" s="13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4" x14ac:dyDescent="0.3">
      <c r="A20" s="13"/>
      <c r="B20" s="18" t="s">
        <v>13</v>
      </c>
      <c r="C20" s="13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3">
      <c r="A21" s="13"/>
      <c r="B21" s="18" t="s">
        <v>14</v>
      </c>
      <c r="C21" s="13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3">
      <c r="A22" s="13"/>
      <c r="B22" s="19" t="s">
        <v>15</v>
      </c>
      <c r="C22" s="19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3">
      <c r="B23" s="20" t="s">
        <v>16</v>
      </c>
      <c r="C23" s="20"/>
      <c r="D23" s="40"/>
      <c r="E23" s="40"/>
      <c r="F23" s="40"/>
      <c r="G23" s="40"/>
      <c r="H23" s="40"/>
      <c r="I23" s="40"/>
      <c r="J23" s="40"/>
      <c r="K23" s="40"/>
      <c r="L23" s="40"/>
      <c r="M23" s="40"/>
    </row>
    <row r="24" spans="1:26" ht="15.75" customHeigh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3">
      <c r="A25" s="13"/>
      <c r="B25" s="13"/>
      <c r="C25" s="13"/>
      <c r="D25" s="59" t="b">
        <f>D16='A1'!D16</f>
        <v>1</v>
      </c>
      <c r="E25" s="59" t="b">
        <f>E16='A1'!E16</f>
        <v>1</v>
      </c>
      <c r="F25" s="59" t="b">
        <f>F16='A1'!F16</f>
        <v>1</v>
      </c>
      <c r="G25" s="59" t="b">
        <f>G16='A1'!G16</f>
        <v>1</v>
      </c>
      <c r="H25" s="59" t="b">
        <f>H16='A1'!H16</f>
        <v>1</v>
      </c>
      <c r="I25" s="59" t="b">
        <f>I16='A1'!I16</f>
        <v>1</v>
      </c>
      <c r="J25" s="59" t="b">
        <f>J16='A1'!J16</f>
        <v>1</v>
      </c>
      <c r="K25" s="59" t="b">
        <f>K16='A1'!K16</f>
        <v>1</v>
      </c>
      <c r="L25" s="59" t="b">
        <f>L16='A1'!L16</f>
        <v>1</v>
      </c>
      <c r="M25" s="59" t="b">
        <f>M16='A1'!M16</f>
        <v>1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3">
      <c r="A26" s="13"/>
      <c r="B26" s="13"/>
      <c r="C26" s="13"/>
      <c r="D26" s="59" t="b">
        <f>D17='A1'!D17</f>
        <v>1</v>
      </c>
      <c r="E26" s="59" t="b">
        <f>E17='A1'!E17</f>
        <v>1</v>
      </c>
      <c r="F26" s="59" t="b">
        <f>F17='A1'!F17</f>
        <v>1</v>
      </c>
      <c r="G26" s="59" t="b">
        <f>G17='A1'!G17</f>
        <v>1</v>
      </c>
      <c r="H26" s="59" t="b">
        <f>H17='A1'!H17</f>
        <v>1</v>
      </c>
      <c r="I26" s="59" t="b">
        <f>I17='A1'!I17</f>
        <v>1</v>
      </c>
      <c r="J26" s="59" t="b">
        <f>J17='A1'!J17</f>
        <v>1</v>
      </c>
      <c r="K26" s="59" t="b">
        <f>K17='A1'!K17</f>
        <v>1</v>
      </c>
      <c r="L26" s="59" t="b">
        <f>L17='A1'!L17</f>
        <v>1</v>
      </c>
      <c r="M26" s="59" t="b">
        <f>M17='A1'!M17</f>
        <v>1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3">
      <c r="A27" s="13"/>
      <c r="B27" s="13"/>
      <c r="C27" s="13"/>
      <c r="D27" s="59" t="b">
        <f>D18='A1'!D18</f>
        <v>1</v>
      </c>
      <c r="E27" s="59" t="b">
        <f>E18='A1'!E18</f>
        <v>1</v>
      </c>
      <c r="F27" s="59" t="b">
        <f>F18='A1'!F18</f>
        <v>1</v>
      </c>
      <c r="G27" s="59" t="b">
        <f>G18='A1'!G18</f>
        <v>1</v>
      </c>
      <c r="H27" s="59" t="b">
        <f>H18='A1'!H18</f>
        <v>1</v>
      </c>
      <c r="I27" s="59" t="b">
        <f>I18='A1'!I18</f>
        <v>1</v>
      </c>
      <c r="J27" s="59" t="b">
        <f>J18='A1'!J18</f>
        <v>1</v>
      </c>
      <c r="K27" s="59" t="b">
        <f>K18='A1'!K18</f>
        <v>1</v>
      </c>
      <c r="L27" s="59" t="b">
        <f>L18='A1'!L18</f>
        <v>1</v>
      </c>
      <c r="M27" s="59" t="b">
        <f>M18='A1'!M18</f>
        <v>1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3">
      <c r="A28" s="13"/>
      <c r="B28" s="13"/>
      <c r="C28" s="13"/>
      <c r="D28" s="59" t="b">
        <f>D19='A1'!D19</f>
        <v>0</v>
      </c>
      <c r="E28" s="59" t="b">
        <f>E19='A1'!E19</f>
        <v>1</v>
      </c>
      <c r="F28" s="59" t="b">
        <f>F19='A1'!F19</f>
        <v>1</v>
      </c>
      <c r="G28" s="59" t="b">
        <f>G19='A1'!G19</f>
        <v>1</v>
      </c>
      <c r="H28" s="59" t="b">
        <f>H19='A1'!H19</f>
        <v>1</v>
      </c>
      <c r="I28" s="59" t="b">
        <f>I19='A1'!I19</f>
        <v>1</v>
      </c>
      <c r="J28" s="59" t="b">
        <f>J19='A1'!J19</f>
        <v>1</v>
      </c>
      <c r="K28" s="59" t="b">
        <f>K19='A1'!K19</f>
        <v>1</v>
      </c>
      <c r="L28" s="59" t="b">
        <f>L19='A1'!L19</f>
        <v>1</v>
      </c>
      <c r="M28" s="59" t="b">
        <f>M19='A1'!M19</f>
        <v>1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3">
      <c r="D29" s="59" t="b">
        <f>D20='A1'!D20</f>
        <v>0</v>
      </c>
      <c r="E29" s="59" t="b">
        <f>E20='A1'!E20</f>
        <v>1</v>
      </c>
      <c r="F29" s="59" t="b">
        <f>F20='A1'!F20</f>
        <v>1</v>
      </c>
      <c r="G29" s="59" t="b">
        <f>G20='A1'!G20</f>
        <v>1</v>
      </c>
      <c r="H29" s="59" t="b">
        <f>H20='A1'!H20</f>
        <v>1</v>
      </c>
      <c r="I29" s="59" t="b">
        <f>I20='A1'!I20</f>
        <v>1</v>
      </c>
      <c r="J29" s="59" t="b">
        <f>J20='A1'!J20</f>
        <v>1</v>
      </c>
      <c r="K29" s="59" t="b">
        <f>K20='A1'!K20</f>
        <v>1</v>
      </c>
      <c r="L29" s="59" t="b">
        <f>L20='A1'!L20</f>
        <v>1</v>
      </c>
      <c r="M29" s="59" t="b">
        <f>M20='A1'!M20</f>
        <v>1</v>
      </c>
    </row>
    <row r="30" spans="1:26" ht="15.75" customHeight="1" x14ac:dyDescent="0.3">
      <c r="D30" s="59" t="b">
        <f>D21='A1'!D21</f>
        <v>0</v>
      </c>
      <c r="E30" s="59" t="b">
        <f>E21='A1'!E21</f>
        <v>1</v>
      </c>
      <c r="F30" s="59" t="b">
        <f>F21='A1'!F21</f>
        <v>1</v>
      </c>
      <c r="G30" s="59" t="b">
        <f>G21='A1'!G21</f>
        <v>1</v>
      </c>
      <c r="H30" s="59" t="b">
        <f>H21='A1'!H21</f>
        <v>1</v>
      </c>
      <c r="I30" s="59" t="b">
        <f>I21='A1'!I21</f>
        <v>1</v>
      </c>
      <c r="J30" s="59" t="b">
        <f>J21='A1'!J21</f>
        <v>1</v>
      </c>
      <c r="K30" s="59" t="b">
        <f>K21='A1'!K21</f>
        <v>1</v>
      </c>
      <c r="L30" s="59" t="b">
        <f>L21='A1'!L21</f>
        <v>1</v>
      </c>
      <c r="M30" s="59" t="b">
        <f>M21='A1'!M21</f>
        <v>1</v>
      </c>
    </row>
    <row r="31" spans="1:26" ht="15.75" customHeight="1" x14ac:dyDescent="0.3">
      <c r="D31" s="59" t="b">
        <f>D22='A1'!D22</f>
        <v>0</v>
      </c>
      <c r="E31" s="59" t="b">
        <f>E22='A1'!E22</f>
        <v>1</v>
      </c>
      <c r="F31" s="59" t="b">
        <f>F22='A1'!F22</f>
        <v>1</v>
      </c>
      <c r="G31" s="59" t="b">
        <f>G22='A1'!G22</f>
        <v>1</v>
      </c>
      <c r="H31" s="59" t="b">
        <f>H22='A1'!H22</f>
        <v>1</v>
      </c>
      <c r="I31" s="59" t="b">
        <f>I22='A1'!I22</f>
        <v>1</v>
      </c>
      <c r="J31" s="59" t="b">
        <f>J22='A1'!J22</f>
        <v>1</v>
      </c>
      <c r="K31" s="59" t="b">
        <f>K22='A1'!K22</f>
        <v>1</v>
      </c>
      <c r="L31" s="59" t="b">
        <f>L22='A1'!L22</f>
        <v>1</v>
      </c>
      <c r="M31" s="59" t="b">
        <f>M22='A1'!M22</f>
        <v>1</v>
      </c>
    </row>
    <row r="32" spans="1:26" ht="15.75" customHeight="1" x14ac:dyDescent="0.3">
      <c r="D32" s="59" t="b">
        <f>D23='A1'!D23</f>
        <v>0</v>
      </c>
      <c r="E32" s="59" t="b">
        <f>E23='A1'!E23</f>
        <v>1</v>
      </c>
      <c r="F32" s="59" t="b">
        <f>F23='A1'!F23</f>
        <v>1</v>
      </c>
      <c r="G32" s="59" t="b">
        <f>G23='A1'!G23</f>
        <v>1</v>
      </c>
      <c r="H32" s="59" t="b">
        <f>H23='A1'!H23</f>
        <v>1</v>
      </c>
      <c r="I32" s="59" t="b">
        <f>I23='A1'!I23</f>
        <v>1</v>
      </c>
      <c r="J32" s="59" t="b">
        <f>J23='A1'!J23</f>
        <v>1</v>
      </c>
      <c r="K32" s="59" t="b">
        <f>K23='A1'!K23</f>
        <v>1</v>
      </c>
      <c r="L32" s="59" t="b">
        <f>L23='A1'!L23</f>
        <v>1</v>
      </c>
      <c r="M32" s="59" t="b">
        <f>M23='A1'!M23</f>
        <v>1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B3:M3"/>
    <mergeCell ref="B5:C5"/>
    <mergeCell ref="C13:M13"/>
    <mergeCell ref="G5:K9"/>
  </mergeCells>
  <conditionalFormatting sqref="G5:K9">
    <cfRule type="cellIs" dxfId="4" priority="2" operator="equal">
      <formula>"R"</formula>
    </cfRule>
    <cfRule type="cellIs" dxfId="5" priority="1" operator="equal">
      <formula>"T"</formula>
    </cfRule>
  </conditionalFormatting>
  <dataValidations count="1">
    <dataValidation type="decimal" allowBlank="1" showErrorMessage="1" sqref="C6" xr:uid="{00000000-0002-0000-0100-000000000000}">
      <formula1>0</formula1>
      <formula2>0.05</formula2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P1000"/>
  <sheetViews>
    <sheetView showGridLines="0" workbookViewId="0">
      <selection activeCell="L2" sqref="L2:M4"/>
    </sheetView>
  </sheetViews>
  <sheetFormatPr defaultColWidth="14.44140625" defaultRowHeight="15" customHeight="1" x14ac:dyDescent="0.3"/>
  <cols>
    <col min="1" max="1" width="8.88671875" customWidth="1"/>
    <col min="2" max="2" width="13.109375" customWidth="1"/>
    <col min="3" max="3" width="11.33203125" customWidth="1"/>
    <col min="4" max="4" width="8.6640625" customWidth="1"/>
    <col min="5" max="5" width="11.88671875" customWidth="1"/>
    <col min="6" max="6" width="12.6640625" customWidth="1"/>
    <col min="7" max="9" width="8.88671875" customWidth="1"/>
    <col min="10" max="10" width="13.44140625" bestFit="1" customWidth="1"/>
    <col min="11" max="26" width="8.88671875" customWidth="1"/>
  </cols>
  <sheetData>
    <row r="1" spans="2:16" ht="15" customHeight="1" thickBot="1" x14ac:dyDescent="0.35"/>
    <row r="2" spans="2:16" ht="15.6" customHeight="1" x14ac:dyDescent="0.3">
      <c r="B2" s="5" t="s">
        <v>17</v>
      </c>
      <c r="C2" s="21"/>
      <c r="D2" s="21"/>
      <c r="E2" s="21"/>
      <c r="F2" s="21"/>
      <c r="G2" s="21"/>
      <c r="H2" s="21"/>
      <c r="I2" s="21"/>
      <c r="J2" s="21"/>
      <c r="L2" s="61" t="str" cm="1">
        <f t="array" ref="L2">IF(AND(SUM(IF($L$15:$M$19,1))=10,SUM(IF($L$7:$M$11,1))=10),"R","T")</f>
        <v>T</v>
      </c>
      <c r="M2" s="63"/>
      <c r="N2" s="60"/>
      <c r="O2" s="60"/>
      <c r="P2" s="60"/>
    </row>
    <row r="3" spans="2:16" ht="15.6" customHeight="1" x14ac:dyDescent="0.3">
      <c r="B3" s="2" t="s">
        <v>18</v>
      </c>
      <c r="L3" s="62"/>
      <c r="M3" s="64"/>
      <c r="N3" s="60"/>
      <c r="O3" s="60"/>
      <c r="P3" s="60"/>
    </row>
    <row r="4" spans="2:16" ht="15" customHeight="1" thickBot="1" x14ac:dyDescent="0.35">
      <c r="L4" s="65"/>
      <c r="M4" s="66"/>
      <c r="N4" s="60"/>
      <c r="O4" s="60"/>
      <c r="P4" s="60"/>
    </row>
    <row r="5" spans="2:16" ht="14.4" customHeight="1" x14ac:dyDescent="0.3">
      <c r="B5" s="22" t="s">
        <v>19</v>
      </c>
      <c r="C5" s="22" t="s">
        <v>20</v>
      </c>
      <c r="D5" s="22" t="s">
        <v>21</v>
      </c>
      <c r="E5" s="22" t="s">
        <v>22</v>
      </c>
      <c r="F5" s="22" t="s">
        <v>23</v>
      </c>
      <c r="H5" s="47" t="s">
        <v>24</v>
      </c>
      <c r="I5" s="46"/>
      <c r="J5" s="45"/>
      <c r="L5" s="60"/>
      <c r="M5" s="60"/>
      <c r="N5" s="60"/>
      <c r="O5" s="60"/>
      <c r="P5" s="60"/>
    </row>
    <row r="6" spans="2:16" ht="15" customHeight="1" x14ac:dyDescent="0.3">
      <c r="B6" s="4" t="s">
        <v>25</v>
      </c>
      <c r="C6" s="17">
        <v>928221.03910923121</v>
      </c>
      <c r="D6" s="17">
        <v>371488</v>
      </c>
      <c r="E6" s="17">
        <f t="shared" ref="E6:E17" si="0">C6-D6</f>
        <v>556733.03910923121</v>
      </c>
      <c r="F6" s="23">
        <f t="shared" ref="F6:F17" si="1">E6/C6</f>
        <v>0.59978498186541962</v>
      </c>
      <c r="H6" s="24" t="s">
        <v>26</v>
      </c>
      <c r="I6" s="24" t="s">
        <v>27</v>
      </c>
      <c r="J6" s="24" t="s">
        <v>19</v>
      </c>
      <c r="L6" s="60"/>
      <c r="M6" s="60"/>
      <c r="N6" s="60"/>
      <c r="O6" s="60"/>
      <c r="P6" s="60"/>
    </row>
    <row r="7" spans="2:16" ht="15" customHeight="1" x14ac:dyDescent="0.3">
      <c r="B7" s="4" t="s">
        <v>28</v>
      </c>
      <c r="C7" s="17">
        <v>710961.16420614393</v>
      </c>
      <c r="D7" s="17">
        <v>641971.48397088423</v>
      </c>
      <c r="E7" s="17">
        <f t="shared" si="0"/>
        <v>68989.680235259701</v>
      </c>
      <c r="F7" s="23">
        <f t="shared" si="1"/>
        <v>9.703719936980422E-2</v>
      </c>
      <c r="H7" s="25">
        <v>1</v>
      </c>
      <c r="I7" s="26"/>
      <c r="J7" s="1"/>
      <c r="L7" s="67" t="b">
        <f>I7='A2'!I7</f>
        <v>0</v>
      </c>
      <c r="M7" s="67" t="b">
        <f>J7='A2'!J7</f>
        <v>0</v>
      </c>
    </row>
    <row r="8" spans="2:16" ht="14.4" x14ac:dyDescent="0.3">
      <c r="B8" s="4" t="s">
        <v>29</v>
      </c>
      <c r="C8" s="17">
        <v>464919.49454723072</v>
      </c>
      <c r="D8" s="17">
        <v>188254.89367011236</v>
      </c>
      <c r="E8" s="17">
        <f t="shared" si="0"/>
        <v>276664.60087711836</v>
      </c>
      <c r="F8" s="23">
        <f t="shared" si="1"/>
        <v>0.59508066261354042</v>
      </c>
      <c r="H8" s="25">
        <v>2</v>
      </c>
      <c r="I8" s="26"/>
      <c r="J8" s="1"/>
      <c r="L8" s="67" t="b">
        <f>I8='A2'!I8</f>
        <v>0</v>
      </c>
      <c r="M8" s="67" t="b">
        <f>J8='A2'!J8</f>
        <v>0</v>
      </c>
    </row>
    <row r="9" spans="2:16" ht="14.4" x14ac:dyDescent="0.3">
      <c r="B9" s="4" t="s">
        <v>30</v>
      </c>
      <c r="C9" s="17">
        <v>654490.73178517609</v>
      </c>
      <c r="D9" s="17">
        <v>331570.26180720341</v>
      </c>
      <c r="E9" s="17">
        <f t="shared" si="0"/>
        <v>322920.46997797268</v>
      </c>
      <c r="F9" s="23">
        <f t="shared" si="1"/>
        <v>0.49339196767107935</v>
      </c>
      <c r="H9" s="25">
        <v>3</v>
      </c>
      <c r="I9" s="26"/>
      <c r="J9" s="1"/>
      <c r="L9" s="67" t="b">
        <f>I9='A2'!I9</f>
        <v>0</v>
      </c>
      <c r="M9" s="67" t="b">
        <f>J9='A2'!J9</f>
        <v>0</v>
      </c>
    </row>
    <row r="10" spans="2:16" ht="14.4" x14ac:dyDescent="0.3">
      <c r="B10" s="4" t="s">
        <v>31</v>
      </c>
      <c r="C10" s="17">
        <v>606331.70080129837</v>
      </c>
      <c r="D10" s="17">
        <v>395368.37020345603</v>
      </c>
      <c r="E10" s="17">
        <f t="shared" si="0"/>
        <v>210963.33059784235</v>
      </c>
      <c r="F10" s="23">
        <f t="shared" si="1"/>
        <v>0.34793386247006963</v>
      </c>
      <c r="H10" s="25">
        <v>4</v>
      </c>
      <c r="I10" s="26"/>
      <c r="J10" s="1"/>
      <c r="L10" s="67" t="b">
        <f>I10='A2'!I10</f>
        <v>0</v>
      </c>
      <c r="M10" s="67" t="b">
        <f>J10='A2'!J10</f>
        <v>0</v>
      </c>
    </row>
    <row r="11" spans="2:16" ht="14.4" x14ac:dyDescent="0.3">
      <c r="B11" s="4" t="s">
        <v>32</v>
      </c>
      <c r="C11" s="17">
        <v>956480.40389837697</v>
      </c>
      <c r="D11" s="17">
        <v>737076.41459250427</v>
      </c>
      <c r="E11" s="17">
        <f t="shared" si="0"/>
        <v>219403.9893058727</v>
      </c>
      <c r="F11" s="23">
        <f t="shared" si="1"/>
        <v>0.22938681065669139</v>
      </c>
      <c r="H11" s="25">
        <v>5</v>
      </c>
      <c r="I11" s="26"/>
      <c r="J11" s="1"/>
      <c r="L11" s="67" t="b">
        <f>I11='A2'!I11</f>
        <v>0</v>
      </c>
      <c r="M11" s="67" t="b">
        <f>J11='A2'!J11</f>
        <v>0</v>
      </c>
    </row>
    <row r="12" spans="2:16" ht="14.4" x14ac:dyDescent="0.3">
      <c r="B12" s="4" t="s">
        <v>33</v>
      </c>
      <c r="C12" s="17">
        <v>307894.79200595815</v>
      </c>
      <c r="D12" s="17">
        <v>188970</v>
      </c>
      <c r="E12" s="17">
        <f t="shared" si="0"/>
        <v>118924.79200595815</v>
      </c>
      <c r="F12" s="23">
        <f t="shared" si="1"/>
        <v>0.38625139201333686</v>
      </c>
      <c r="L12" s="67"/>
      <c r="M12" s="67"/>
    </row>
    <row r="13" spans="2:16" ht="14.4" x14ac:dyDescent="0.3">
      <c r="B13" s="4" t="s">
        <v>34</v>
      </c>
      <c r="C13" s="17">
        <v>277939</v>
      </c>
      <c r="D13" s="17">
        <v>112880</v>
      </c>
      <c r="E13" s="17">
        <f t="shared" si="0"/>
        <v>165059</v>
      </c>
      <c r="F13" s="23">
        <f t="shared" si="1"/>
        <v>0.5938677191757904</v>
      </c>
      <c r="H13" s="47" t="s">
        <v>35</v>
      </c>
      <c r="I13" s="46"/>
      <c r="J13" s="45"/>
      <c r="L13" s="67"/>
      <c r="M13" s="67"/>
    </row>
    <row r="14" spans="2:16" ht="14.4" x14ac:dyDescent="0.3">
      <c r="B14" s="4" t="s">
        <v>36</v>
      </c>
      <c r="C14" s="17">
        <v>443867.62060388428</v>
      </c>
      <c r="D14" s="17">
        <v>268369.34836526302</v>
      </c>
      <c r="E14" s="17">
        <f t="shared" si="0"/>
        <v>175498.27223862126</v>
      </c>
      <c r="F14" s="23">
        <f t="shared" si="1"/>
        <v>0.39538426344290423</v>
      </c>
      <c r="H14" s="27" t="s">
        <v>26</v>
      </c>
      <c r="I14" s="27" t="s">
        <v>27</v>
      </c>
      <c r="J14" s="27" t="s">
        <v>19</v>
      </c>
      <c r="L14" s="67"/>
      <c r="M14" s="67"/>
    </row>
    <row r="15" spans="2:16" ht="14.4" x14ac:dyDescent="0.3">
      <c r="B15" s="4" t="s">
        <v>37</v>
      </c>
      <c r="C15" s="17">
        <v>146516.05366568686</v>
      </c>
      <c r="D15" s="17">
        <v>85987</v>
      </c>
      <c r="E15" s="17">
        <f t="shared" si="0"/>
        <v>60529.053665686864</v>
      </c>
      <c r="F15" s="23">
        <f t="shared" si="1"/>
        <v>0.41312233131666981</v>
      </c>
      <c r="H15" s="25">
        <v>1</v>
      </c>
      <c r="I15" s="26"/>
      <c r="J15" s="1"/>
      <c r="L15" s="67" t="b">
        <f>I15='A2'!I15</f>
        <v>0</v>
      </c>
      <c r="M15" s="67" t="b">
        <f>J15='A2'!J15</f>
        <v>0</v>
      </c>
    </row>
    <row r="16" spans="2:16" ht="14.4" x14ac:dyDescent="0.3">
      <c r="B16" s="4" t="s">
        <v>38</v>
      </c>
      <c r="C16" s="17">
        <v>468784.31852435984</v>
      </c>
      <c r="D16" s="17">
        <v>414121.48049809661</v>
      </c>
      <c r="E16" s="17">
        <f t="shared" si="0"/>
        <v>54662.838026263227</v>
      </c>
      <c r="F16" s="23">
        <f t="shared" si="1"/>
        <v>0.11660551743354175</v>
      </c>
      <c r="H16" s="25">
        <v>2</v>
      </c>
      <c r="I16" s="26"/>
      <c r="J16" s="1"/>
      <c r="L16" s="67" t="b">
        <f>I16='A2'!I16</f>
        <v>0</v>
      </c>
      <c r="M16" s="67" t="b">
        <f>J16='A2'!J16</f>
        <v>0</v>
      </c>
    </row>
    <row r="17" spans="2:13" ht="14.4" x14ac:dyDescent="0.3">
      <c r="B17" s="4" t="s">
        <v>39</v>
      </c>
      <c r="C17" s="17">
        <v>716204.3100096666</v>
      </c>
      <c r="D17" s="17">
        <v>329969.37696431158</v>
      </c>
      <c r="E17" s="17">
        <f t="shared" si="0"/>
        <v>386234.93304535502</v>
      </c>
      <c r="F17" s="23">
        <f t="shared" si="1"/>
        <v>0.53928038081778928</v>
      </c>
      <c r="H17" s="25">
        <v>3</v>
      </c>
      <c r="I17" s="26"/>
      <c r="J17" s="1"/>
      <c r="L17" s="67" t="b">
        <f>I17='A2'!I17</f>
        <v>0</v>
      </c>
      <c r="M17" s="67" t="b">
        <f>J17='A2'!J17</f>
        <v>0</v>
      </c>
    </row>
    <row r="18" spans="2:13" ht="14.4" x14ac:dyDescent="0.3">
      <c r="H18" s="25">
        <v>4</v>
      </c>
      <c r="I18" s="26"/>
      <c r="J18" s="1"/>
      <c r="L18" s="67" t="b">
        <f>I18='A2'!I18</f>
        <v>0</v>
      </c>
      <c r="M18" s="67" t="b">
        <f>J18='A2'!J18</f>
        <v>0</v>
      </c>
    </row>
    <row r="19" spans="2:13" ht="14.4" x14ac:dyDescent="0.3">
      <c r="H19" s="25">
        <v>5</v>
      </c>
      <c r="I19" s="26"/>
      <c r="J19" s="1"/>
      <c r="L19" s="67" t="b">
        <f>I19='A2'!I19</f>
        <v>0</v>
      </c>
      <c r="M19" s="67" t="b">
        <f>J19='A2'!J19</f>
        <v>0</v>
      </c>
    </row>
    <row r="21" spans="2:13" ht="15.75" customHeight="1" x14ac:dyDescent="0.3"/>
    <row r="22" spans="2:13" ht="15.75" customHeight="1" x14ac:dyDescent="0.3"/>
    <row r="23" spans="2:13" ht="15.75" customHeight="1" x14ac:dyDescent="0.3"/>
    <row r="24" spans="2:13" ht="15.75" customHeight="1" x14ac:dyDescent="0.3"/>
    <row r="25" spans="2:13" ht="15.75" customHeight="1" x14ac:dyDescent="0.3"/>
    <row r="26" spans="2:13" ht="15.75" customHeight="1" x14ac:dyDescent="0.3"/>
    <row r="27" spans="2:13" ht="15.75" customHeight="1" x14ac:dyDescent="0.3"/>
    <row r="28" spans="2:13" ht="15.75" customHeight="1" x14ac:dyDescent="0.3"/>
    <row r="29" spans="2:13" ht="15.75" customHeight="1" x14ac:dyDescent="0.3"/>
    <row r="30" spans="2:13" ht="15.75" customHeight="1" x14ac:dyDescent="0.3"/>
    <row r="31" spans="2:13" ht="15.75" customHeight="1" x14ac:dyDescent="0.3"/>
    <row r="32" spans="2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H5:J5"/>
    <mergeCell ref="H13:J13"/>
    <mergeCell ref="L2:M4"/>
  </mergeCells>
  <conditionalFormatting sqref="L5:P6 L2 N2:P4">
    <cfRule type="cellIs" dxfId="3" priority="1" operator="equal">
      <formula>"T"</formula>
    </cfRule>
    <cfRule type="cellIs" dxfId="2" priority="2" operator="equal">
      <formula>"R"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2:Q1000"/>
  <sheetViews>
    <sheetView showGridLines="0" workbookViewId="0">
      <selection activeCell="K12" sqref="K12"/>
    </sheetView>
  </sheetViews>
  <sheetFormatPr defaultColWidth="14.44140625" defaultRowHeight="15" customHeight="1" x14ac:dyDescent="0.3"/>
  <cols>
    <col min="1" max="1" width="8.88671875" customWidth="1"/>
    <col min="2" max="2" width="16.44140625" customWidth="1"/>
    <col min="3" max="3" width="14" customWidth="1"/>
    <col min="4" max="4" width="13.6640625" customWidth="1"/>
    <col min="5" max="5" width="4" customWidth="1"/>
    <col min="6" max="17" width="10.5546875" bestFit="1" customWidth="1"/>
    <col min="18" max="26" width="8.88671875" customWidth="1"/>
  </cols>
  <sheetData>
    <row r="2" spans="2:17" ht="15.6" x14ac:dyDescent="0.3">
      <c r="B2" s="5" t="s">
        <v>40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2:17" ht="14.4" x14ac:dyDescent="0.3">
      <c r="B3" s="4" t="s">
        <v>41</v>
      </c>
      <c r="F3" s="28"/>
      <c r="G3" s="28"/>
      <c r="H3" s="13"/>
      <c r="I3" s="28"/>
      <c r="J3" s="28"/>
      <c r="K3" s="28"/>
      <c r="L3" s="28"/>
      <c r="M3" s="28"/>
      <c r="N3" s="28"/>
      <c r="O3" s="28"/>
      <c r="P3" s="28"/>
      <c r="Q3" s="28"/>
    </row>
    <row r="4" spans="2:17" ht="14.4" x14ac:dyDescent="0.3">
      <c r="F4" s="28"/>
      <c r="G4" s="28"/>
      <c r="H4" s="13"/>
      <c r="I4" s="28"/>
      <c r="J4" s="28"/>
      <c r="K4" s="28"/>
      <c r="L4" s="28"/>
      <c r="M4" s="28"/>
      <c r="N4" s="28"/>
      <c r="O4" s="28"/>
      <c r="P4" s="28"/>
      <c r="Q4" s="28"/>
    </row>
    <row r="5" spans="2:17" ht="14.4" x14ac:dyDescent="0.3">
      <c r="B5" s="16" t="s">
        <v>42</v>
      </c>
      <c r="C5" s="29" t="s">
        <v>43</v>
      </c>
      <c r="D5" s="29" t="s">
        <v>44</v>
      </c>
      <c r="F5" s="33">
        <v>44562</v>
      </c>
      <c r="G5" s="33">
        <f t="shared" ref="G5:Q5" si="0">EDATE(F5,1)</f>
        <v>44593</v>
      </c>
      <c r="H5" s="33">
        <f t="shared" si="0"/>
        <v>44621</v>
      </c>
      <c r="I5" s="33">
        <f t="shared" si="0"/>
        <v>44652</v>
      </c>
      <c r="J5" s="33">
        <f t="shared" si="0"/>
        <v>44682</v>
      </c>
      <c r="K5" s="33">
        <f t="shared" si="0"/>
        <v>44713</v>
      </c>
      <c r="L5" s="33">
        <f t="shared" si="0"/>
        <v>44743</v>
      </c>
      <c r="M5" s="33">
        <f t="shared" si="0"/>
        <v>44774</v>
      </c>
      <c r="N5" s="33">
        <f t="shared" si="0"/>
        <v>44805</v>
      </c>
      <c r="O5" s="33">
        <f t="shared" si="0"/>
        <v>44835</v>
      </c>
      <c r="P5" s="33">
        <f t="shared" si="0"/>
        <v>44866</v>
      </c>
      <c r="Q5" s="33">
        <f t="shared" si="0"/>
        <v>44896</v>
      </c>
    </row>
    <row r="6" spans="2:17" ht="14.4" x14ac:dyDescent="0.3">
      <c r="B6" s="4" t="s">
        <v>45</v>
      </c>
      <c r="C6" s="30">
        <v>5000</v>
      </c>
      <c r="D6" s="31">
        <v>44635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</row>
    <row r="7" spans="2:17" ht="14.4" x14ac:dyDescent="0.3">
      <c r="B7" s="4" t="s">
        <v>46</v>
      </c>
      <c r="C7" s="30">
        <v>7000</v>
      </c>
      <c r="D7" s="31">
        <v>44729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2:17" ht="14.4" x14ac:dyDescent="0.3">
      <c r="B8" s="4" t="s">
        <v>47</v>
      </c>
      <c r="C8" s="30">
        <v>5000</v>
      </c>
      <c r="D8" s="31">
        <v>44597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2:17" ht="14.4" x14ac:dyDescent="0.3">
      <c r="B9" s="4" t="s">
        <v>48</v>
      </c>
      <c r="C9" s="30">
        <v>4000</v>
      </c>
      <c r="D9" s="31">
        <v>44798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2:17" ht="14.4" x14ac:dyDescent="0.3">
      <c r="B10" s="4" t="s">
        <v>49</v>
      </c>
      <c r="C10" s="30">
        <v>3500</v>
      </c>
      <c r="D10" s="31">
        <v>44579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2:17" ht="15" customHeight="1" thickBot="1" x14ac:dyDescent="0.35"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2" spans="2:17" ht="15" customHeight="1" x14ac:dyDescent="0.3">
      <c r="B12" s="61" t="str" cm="1">
        <f t="array" ref="B12">IF(SUM(IF($L$15:$M$19,1))=60,"R","T")</f>
        <v>T</v>
      </c>
      <c r="C12" s="63"/>
      <c r="F12" s="67" t="b">
        <f>F6='A3'!F6</f>
        <v>0</v>
      </c>
      <c r="G12" s="67" t="b">
        <f>G6='A3'!G6</f>
        <v>0</v>
      </c>
      <c r="H12" s="67" t="b">
        <f>H6='A3'!H6</f>
        <v>0</v>
      </c>
      <c r="I12" s="67" t="b">
        <f>I6='A3'!I6</f>
        <v>1</v>
      </c>
      <c r="J12" s="67" t="b">
        <f>J6='A3'!J6</f>
        <v>1</v>
      </c>
      <c r="K12" s="67" t="b">
        <f>K6='A3'!K6</f>
        <v>1</v>
      </c>
      <c r="L12" s="67" t="b">
        <f>L6='A3'!L6</f>
        <v>1</v>
      </c>
      <c r="M12" s="67" t="b">
        <f>M6='A3'!M6</f>
        <v>1</v>
      </c>
      <c r="N12" s="67" t="b">
        <f>N6='A3'!N6</f>
        <v>1</v>
      </c>
      <c r="O12" s="67" t="b">
        <f>O6='A3'!O6</f>
        <v>1</v>
      </c>
      <c r="P12" s="67" t="b">
        <f>P6='A3'!P6</f>
        <v>1</v>
      </c>
      <c r="Q12" s="67" t="b">
        <f>Q6='A3'!Q6</f>
        <v>1</v>
      </c>
    </row>
    <row r="13" spans="2:17" ht="15" customHeight="1" x14ac:dyDescent="0.3">
      <c r="B13" s="62"/>
      <c r="C13" s="64"/>
      <c r="F13" s="67" t="b">
        <f>F7='A3'!F7</f>
        <v>0</v>
      </c>
      <c r="G13" s="67" t="b">
        <f>G7='A3'!G7</f>
        <v>0</v>
      </c>
      <c r="H13" s="67" t="b">
        <f>H7='A3'!H7</f>
        <v>0</v>
      </c>
      <c r="I13" s="67" t="b">
        <f>I7='A3'!I7</f>
        <v>0</v>
      </c>
      <c r="J13" s="67" t="b">
        <f>J7='A3'!J7</f>
        <v>0</v>
      </c>
      <c r="K13" s="67" t="b">
        <f>K7='A3'!K7</f>
        <v>0</v>
      </c>
      <c r="L13" s="67" t="b">
        <f>L7='A3'!L7</f>
        <v>1</v>
      </c>
      <c r="M13" s="67" t="b">
        <f>M7='A3'!M7</f>
        <v>1</v>
      </c>
      <c r="N13" s="67" t="b">
        <f>N7='A3'!N7</f>
        <v>1</v>
      </c>
      <c r="O13" s="67" t="b">
        <f>O7='A3'!O7</f>
        <v>1</v>
      </c>
      <c r="P13" s="67" t="b">
        <f>P7='A3'!P7</f>
        <v>1</v>
      </c>
      <c r="Q13" s="67" t="b">
        <f>Q7='A3'!Q7</f>
        <v>1</v>
      </c>
    </row>
    <row r="14" spans="2:17" ht="15" customHeight="1" thickBot="1" x14ac:dyDescent="0.35">
      <c r="B14" s="65"/>
      <c r="C14" s="66"/>
      <c r="F14" s="67" t="b">
        <f>F8='A3'!F8</f>
        <v>0</v>
      </c>
      <c r="G14" s="67" t="b">
        <f>G8='A3'!G8</f>
        <v>0</v>
      </c>
      <c r="H14" s="67" t="b">
        <f>H8='A3'!H8</f>
        <v>1</v>
      </c>
      <c r="I14" s="67" t="b">
        <f>I8='A3'!I8</f>
        <v>1</v>
      </c>
      <c r="J14" s="67" t="b">
        <f>J8='A3'!J8</f>
        <v>1</v>
      </c>
      <c r="K14" s="67" t="b">
        <f>K8='A3'!K8</f>
        <v>1</v>
      </c>
      <c r="L14" s="67" t="b">
        <f>L8='A3'!L8</f>
        <v>1</v>
      </c>
      <c r="M14" s="67" t="b">
        <f>M8='A3'!M8</f>
        <v>1</v>
      </c>
      <c r="N14" s="67" t="b">
        <f>N8='A3'!N8</f>
        <v>1</v>
      </c>
      <c r="O14" s="67" t="b">
        <f>O8='A3'!O8</f>
        <v>1</v>
      </c>
      <c r="P14" s="67" t="b">
        <f>P8='A3'!P8</f>
        <v>1</v>
      </c>
      <c r="Q14" s="67" t="b">
        <f>Q8='A3'!Q8</f>
        <v>1</v>
      </c>
    </row>
    <row r="15" spans="2:17" ht="15" customHeight="1" x14ac:dyDescent="0.3">
      <c r="F15" s="67" t="b">
        <f>F9='A3'!F9</f>
        <v>0</v>
      </c>
      <c r="G15" s="67" t="b">
        <f>G9='A3'!G9</f>
        <v>0</v>
      </c>
      <c r="H15" s="67" t="b">
        <f>H9='A3'!H9</f>
        <v>0</v>
      </c>
      <c r="I15" s="67" t="b">
        <f>I9='A3'!I9</f>
        <v>0</v>
      </c>
      <c r="J15" s="67" t="b">
        <f>J9='A3'!J9</f>
        <v>0</v>
      </c>
      <c r="K15" s="67" t="b">
        <f>K9='A3'!K9</f>
        <v>0</v>
      </c>
      <c r="L15" s="67" t="b">
        <f>L9='A3'!L9</f>
        <v>0</v>
      </c>
      <c r="M15" s="67" t="b">
        <f>M9='A3'!M9</f>
        <v>0</v>
      </c>
      <c r="N15" s="67" t="b">
        <f>N9='A3'!N9</f>
        <v>1</v>
      </c>
      <c r="O15" s="67" t="b">
        <f>O9='A3'!O9</f>
        <v>1</v>
      </c>
      <c r="P15" s="67" t="b">
        <f>P9='A3'!P9</f>
        <v>1</v>
      </c>
      <c r="Q15" s="67" t="b">
        <f>Q9='A3'!Q9</f>
        <v>1</v>
      </c>
    </row>
    <row r="16" spans="2:17" ht="15" customHeight="1" x14ac:dyDescent="0.3">
      <c r="F16" s="67" t="b">
        <f>F10='A3'!F10</f>
        <v>0</v>
      </c>
      <c r="G16" s="67" t="b">
        <f>G10='A3'!G10</f>
        <v>1</v>
      </c>
      <c r="H16" s="67" t="b">
        <f>H10='A3'!H10</f>
        <v>1</v>
      </c>
      <c r="I16" s="67" t="b">
        <f>I10='A3'!I10</f>
        <v>1</v>
      </c>
      <c r="J16" s="67" t="b">
        <f>J10='A3'!J10</f>
        <v>1</v>
      </c>
      <c r="K16" s="67" t="b">
        <f>K10='A3'!K10</f>
        <v>1</v>
      </c>
      <c r="L16" s="67" t="b">
        <f>L10='A3'!L10</f>
        <v>1</v>
      </c>
      <c r="M16" s="67" t="b">
        <f>M10='A3'!M10</f>
        <v>1</v>
      </c>
      <c r="N16" s="67" t="b">
        <f>N10='A3'!N10</f>
        <v>1</v>
      </c>
      <c r="O16" s="67" t="b">
        <f>O10='A3'!O10</f>
        <v>1</v>
      </c>
      <c r="P16" s="67" t="b">
        <f>P10='A3'!P10</f>
        <v>1</v>
      </c>
      <c r="Q16" s="67" t="b">
        <f>Q10='A3'!Q10</f>
        <v>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2:C14"/>
  </mergeCells>
  <conditionalFormatting sqref="B12">
    <cfRule type="cellIs" dxfId="1" priority="1" operator="equal">
      <formula>"T"</formula>
    </cfRule>
    <cfRule type="cellIs" dxfId="0" priority="2" operator="equal">
      <formula>"R"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686B-CB49-4842-B49A-47AB566B47EE}">
  <sheetPr codeName="Sheet4"/>
  <dimension ref="A2:Z1000"/>
  <sheetViews>
    <sheetView showGridLines="0" workbookViewId="0">
      <selection activeCell="E16" sqref="E16"/>
    </sheetView>
  </sheetViews>
  <sheetFormatPr defaultColWidth="14.44140625" defaultRowHeight="15" customHeight="1" x14ac:dyDescent="0.3"/>
  <cols>
    <col min="1" max="1" width="9.88671875" customWidth="1"/>
    <col min="2" max="2" width="23.88671875" bestFit="1" customWidth="1"/>
    <col min="3" max="3" width="10.109375" customWidth="1"/>
    <col min="4" max="13" width="11.21875" bestFit="1" customWidth="1"/>
    <col min="14" max="26" width="8.88671875" customWidth="1"/>
  </cols>
  <sheetData>
    <row r="2" spans="1:26" ht="15.6" x14ac:dyDescent="0.3">
      <c r="B2" s="5" t="s">
        <v>0</v>
      </c>
      <c r="C2" s="5"/>
      <c r="D2" s="5"/>
      <c r="E2" s="5"/>
      <c r="F2" s="5"/>
      <c r="G2" s="5"/>
      <c r="H2" s="5"/>
      <c r="I2" s="5"/>
      <c r="J2" s="6"/>
      <c r="K2" s="6"/>
      <c r="L2" s="6"/>
      <c r="M2" s="6"/>
    </row>
    <row r="3" spans="1:26" ht="33.75" customHeight="1" x14ac:dyDescent="0.3">
      <c r="B3" s="42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5" spans="1:26" ht="14.4" x14ac:dyDescent="0.3">
      <c r="B5" s="44" t="s">
        <v>2</v>
      </c>
      <c r="C5" s="45"/>
    </row>
    <row r="6" spans="1:26" ht="14.4" x14ac:dyDescent="0.3">
      <c r="B6" s="7" t="s">
        <v>3</v>
      </c>
      <c r="C6" s="8">
        <v>3.5000000000000003E-2</v>
      </c>
    </row>
    <row r="7" spans="1:26" ht="14.4" x14ac:dyDescent="0.3">
      <c r="B7" s="9" t="s">
        <v>4</v>
      </c>
      <c r="C7" s="10">
        <v>9.6000000000000002E-2</v>
      </c>
    </row>
    <row r="8" spans="1:26" ht="14.4" x14ac:dyDescent="0.3">
      <c r="B8" s="9" t="s">
        <v>5</v>
      </c>
      <c r="C8" s="10">
        <v>7.8E-2</v>
      </c>
    </row>
    <row r="9" spans="1:26" ht="14.4" x14ac:dyDescent="0.3">
      <c r="B9" s="11" t="s">
        <v>6</v>
      </c>
      <c r="C9" s="12">
        <v>4.3999999999999997E-2</v>
      </c>
    </row>
    <row r="10" spans="1:26" ht="14.4" x14ac:dyDescent="0.3">
      <c r="B10" s="13"/>
      <c r="C10" s="14"/>
    </row>
    <row r="11" spans="1:26" ht="14.4" x14ac:dyDescent="0.3"/>
    <row r="12" spans="1:26" ht="14.4" x14ac:dyDescent="0.3">
      <c r="B12" s="13"/>
      <c r="C12" s="13"/>
    </row>
    <row r="13" spans="1:26" ht="14.4" x14ac:dyDescent="0.3">
      <c r="B13" s="16"/>
      <c r="C13" s="44" t="s">
        <v>7</v>
      </c>
      <c r="D13" s="46"/>
      <c r="E13" s="46"/>
      <c r="F13" s="46"/>
      <c r="G13" s="46"/>
      <c r="H13" s="46"/>
      <c r="I13" s="46"/>
      <c r="J13" s="46"/>
      <c r="K13" s="46"/>
      <c r="L13" s="46"/>
      <c r="M13" s="45"/>
    </row>
    <row r="14" spans="1:26" ht="14.4" x14ac:dyDescent="0.3">
      <c r="B14" s="16"/>
      <c r="C14" s="16"/>
      <c r="D14" s="16">
        <f t="shared" ref="D14:M14" si="0">C14+1</f>
        <v>1</v>
      </c>
      <c r="E14" s="16">
        <f t="shared" si="0"/>
        <v>2</v>
      </c>
      <c r="F14" s="16">
        <f t="shared" si="0"/>
        <v>3</v>
      </c>
      <c r="G14" s="16">
        <f t="shared" si="0"/>
        <v>4</v>
      </c>
      <c r="H14" s="16">
        <f t="shared" si="0"/>
        <v>5</v>
      </c>
      <c r="I14" s="16">
        <f t="shared" si="0"/>
        <v>6</v>
      </c>
      <c r="J14" s="16">
        <f t="shared" si="0"/>
        <v>7</v>
      </c>
      <c r="K14" s="16">
        <f t="shared" si="0"/>
        <v>8</v>
      </c>
      <c r="L14" s="16">
        <f t="shared" si="0"/>
        <v>9</v>
      </c>
      <c r="M14" s="16">
        <f t="shared" si="0"/>
        <v>10</v>
      </c>
    </row>
    <row r="15" spans="1:26" ht="14.4" x14ac:dyDescent="0.3">
      <c r="B15" s="13" t="s">
        <v>8</v>
      </c>
      <c r="C15" s="13"/>
      <c r="D15" s="34"/>
      <c r="E15" s="35"/>
      <c r="F15" s="35"/>
      <c r="G15" s="35"/>
      <c r="H15" s="35"/>
      <c r="I15" s="35"/>
      <c r="J15" s="35"/>
      <c r="K15" s="35"/>
      <c r="L15" s="35"/>
      <c r="M15" s="35"/>
    </row>
    <row r="16" spans="1:26" ht="14.4" x14ac:dyDescent="0.3">
      <c r="A16" s="13"/>
      <c r="B16" s="18" t="s">
        <v>9</v>
      </c>
      <c r="C16" s="13"/>
      <c r="D16" s="36">
        <v>55995</v>
      </c>
      <c r="E16" s="37">
        <f>IF(E$14&lt;='Q1'!$C$11,D16*$C$6+D16,0)</f>
        <v>0</v>
      </c>
      <c r="F16" s="37">
        <f>IF(F$14&lt;='Q1'!$C$11,E16*$C$6+E16,0)</f>
        <v>0</v>
      </c>
      <c r="G16" s="37">
        <f>IF(G$14&lt;='Q1'!$C$11,F16*$C$6+F16,0)</f>
        <v>0</v>
      </c>
      <c r="H16" s="37">
        <f>IF(H$14&lt;='Q1'!$C$11,G16*$C$6+G16,0)</f>
        <v>0</v>
      </c>
      <c r="I16" s="37">
        <f>IF(I$14&lt;='Q1'!$C$11,H16*$C$6+H16,0)</f>
        <v>0</v>
      </c>
      <c r="J16" s="37">
        <f>IF(J$14&lt;='Q1'!$C$11,I16*$C$6+I16,0)</f>
        <v>0</v>
      </c>
      <c r="K16" s="37">
        <f>IF(K$14&lt;='Q1'!$C$11,J16*$C$6+J16,0)</f>
        <v>0</v>
      </c>
      <c r="L16" s="37">
        <f>IF(L$14&lt;='Q1'!$C$11,K16*$C$6+K16,0)</f>
        <v>0</v>
      </c>
      <c r="M16" s="37">
        <f>IF(M$14&lt;='Q1'!$C$11,L16*$C$6+L16,0)</f>
        <v>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4.4" x14ac:dyDescent="0.3">
      <c r="A17" s="13"/>
      <c r="B17" s="19" t="s">
        <v>10</v>
      </c>
      <c r="C17" s="19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4" x14ac:dyDescent="0.3">
      <c r="A18" s="13"/>
      <c r="B18" s="13" t="s">
        <v>11</v>
      </c>
      <c r="C18" s="3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.4" x14ac:dyDescent="0.3">
      <c r="A19" s="13"/>
      <c r="B19" s="18" t="s">
        <v>12</v>
      </c>
      <c r="C19" s="13"/>
      <c r="D19" s="37">
        <f>IFERROR($C7*D$16,0)</f>
        <v>5375.52</v>
      </c>
      <c r="E19" s="37">
        <f>IFERROR($C7*E$16,0)</f>
        <v>0</v>
      </c>
      <c r="F19" s="37">
        <f>IFERROR($C7*F$16,0)</f>
        <v>0</v>
      </c>
      <c r="G19" s="37">
        <f>IFERROR($C7*G$16,0)</f>
        <v>0</v>
      </c>
      <c r="H19" s="37">
        <f>IFERROR($C7*H$16,0)</f>
        <v>0</v>
      </c>
      <c r="I19" s="37">
        <f>IFERROR($C7*I$16,0)</f>
        <v>0</v>
      </c>
      <c r="J19" s="37">
        <f>IFERROR($C7*J$16,0)</f>
        <v>0</v>
      </c>
      <c r="K19" s="37">
        <f>IFERROR($C7*K$16,0)</f>
        <v>0</v>
      </c>
      <c r="L19" s="37">
        <f>IFERROR($C7*L$16,0)</f>
        <v>0</v>
      </c>
      <c r="M19" s="37">
        <f>IFERROR($C7*M$16,0)</f>
        <v>0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4" x14ac:dyDescent="0.3">
      <c r="A20" s="13"/>
      <c r="B20" s="18" t="s">
        <v>13</v>
      </c>
      <c r="C20" s="13"/>
      <c r="D20" s="37">
        <f>IFERROR($C8*D$16,0)</f>
        <v>4367.6099999999997</v>
      </c>
      <c r="E20" s="37">
        <f>IFERROR($C8*E$16,0)</f>
        <v>0</v>
      </c>
      <c r="F20" s="37">
        <f>IFERROR($C8*F$16,0)</f>
        <v>0</v>
      </c>
      <c r="G20" s="37">
        <f>IFERROR($C8*G$16,0)</f>
        <v>0</v>
      </c>
      <c r="H20" s="37">
        <f>IFERROR($C8*H$16,0)</f>
        <v>0</v>
      </c>
      <c r="I20" s="37">
        <f>IFERROR($C8*I$16,0)</f>
        <v>0</v>
      </c>
      <c r="J20" s="37">
        <f>IFERROR($C8*J$16,0)</f>
        <v>0</v>
      </c>
      <c r="K20" s="37">
        <f>IFERROR($C8*K$16,0)</f>
        <v>0</v>
      </c>
      <c r="L20" s="37">
        <f>IFERROR($C8*L$16,0)</f>
        <v>0</v>
      </c>
      <c r="M20" s="37">
        <f>IFERROR($C8*M$16,0)</f>
        <v>0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3">
      <c r="A21" s="13"/>
      <c r="B21" s="18" t="s">
        <v>14</v>
      </c>
      <c r="C21" s="13"/>
      <c r="D21" s="37">
        <f>IFERROR($C9*D$16,0)</f>
        <v>2463.7799999999997</v>
      </c>
      <c r="E21" s="37">
        <f>IFERROR($C9*E$16,0)</f>
        <v>0</v>
      </c>
      <c r="F21" s="37">
        <f>IFERROR($C9*F$16,0)</f>
        <v>0</v>
      </c>
      <c r="G21" s="37">
        <f>IFERROR($C9*G$16,0)</f>
        <v>0</v>
      </c>
      <c r="H21" s="37">
        <f>IFERROR($C9*H$16,0)</f>
        <v>0</v>
      </c>
      <c r="I21" s="37">
        <f>IFERROR($C9*I$16,0)</f>
        <v>0</v>
      </c>
      <c r="J21" s="37">
        <f>IFERROR($C9*J$16,0)</f>
        <v>0</v>
      </c>
      <c r="K21" s="37">
        <f>IFERROR($C9*K$16,0)</f>
        <v>0</v>
      </c>
      <c r="L21" s="37">
        <f>IFERROR($C9*L$16,0)</f>
        <v>0</v>
      </c>
      <c r="M21" s="37">
        <f>IFERROR($C9*M$16,0)</f>
        <v>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3">
      <c r="A22" s="13"/>
      <c r="B22" s="19" t="s">
        <v>15</v>
      </c>
      <c r="C22" s="19"/>
      <c r="D22" s="38">
        <f>IFERROR(SUM(D19:D21),0)</f>
        <v>12206.91</v>
      </c>
      <c r="E22" s="38">
        <f>IFERROR(SUM(E19:E21),0)</f>
        <v>0</v>
      </c>
      <c r="F22" s="38">
        <f>IFERROR(SUM(F19:F21),0)</f>
        <v>0</v>
      </c>
      <c r="G22" s="38">
        <f>IFERROR(SUM(G19:G21),0)</f>
        <v>0</v>
      </c>
      <c r="H22" s="38">
        <f>IFERROR(SUM(H19:H21),0)</f>
        <v>0</v>
      </c>
      <c r="I22" s="38">
        <f>IFERROR(SUM(I19:I21),0)</f>
        <v>0</v>
      </c>
      <c r="J22" s="38">
        <f>IFERROR(SUM(J19:J21),0)</f>
        <v>0</v>
      </c>
      <c r="K22" s="38">
        <f>IFERROR(SUM(K19:K21),0)</f>
        <v>0</v>
      </c>
      <c r="L22" s="38">
        <f>IFERROR(SUM(L19:L21),0)</f>
        <v>0</v>
      </c>
      <c r="M22" s="38">
        <f>IFERROR(SUM(M19:M21),0)</f>
        <v>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3">
      <c r="B23" s="20" t="s">
        <v>16</v>
      </c>
      <c r="C23" s="20"/>
      <c r="D23" s="40">
        <f>IFERROR(D16-D22,0)</f>
        <v>43788.09</v>
      </c>
      <c r="E23" s="40">
        <f>IFERROR(E16-E22,0)</f>
        <v>0</v>
      </c>
      <c r="F23" s="40">
        <f>IFERROR(F16-F22,0)</f>
        <v>0</v>
      </c>
      <c r="G23" s="40">
        <f>IFERROR(G16-G22,0)</f>
        <v>0</v>
      </c>
      <c r="H23" s="40">
        <f>IFERROR(H16-H22,0)</f>
        <v>0</v>
      </c>
      <c r="I23" s="40">
        <f>IFERROR(I16-I22,0)</f>
        <v>0</v>
      </c>
      <c r="J23" s="40">
        <f>IFERROR(J16-J22,0)</f>
        <v>0</v>
      </c>
      <c r="K23" s="40">
        <f>IFERROR(K16-K22,0)</f>
        <v>0</v>
      </c>
      <c r="L23" s="40">
        <f>IFERROR(L16-L22,0)</f>
        <v>0</v>
      </c>
      <c r="M23" s="40">
        <f>IFERROR(M16-M22,0)</f>
        <v>0</v>
      </c>
    </row>
    <row r="24" spans="1:26" ht="15.75" customHeigh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3:M3"/>
    <mergeCell ref="B5:C5"/>
    <mergeCell ref="C13:M13"/>
  </mergeCells>
  <dataValidations disablePrompts="1" count="1">
    <dataValidation type="decimal" allowBlank="1" showErrorMessage="1" sqref="C6" xr:uid="{3A4C2977-F0B8-4CD1-A164-7D233A7114D2}">
      <formula1>0</formula1>
      <formula2>0.05</formula2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BE65-BAC0-411E-ABB1-DEA62C812F98}">
  <sheetPr codeName="Sheet5"/>
  <dimension ref="B2:J1000"/>
  <sheetViews>
    <sheetView showGridLines="0" workbookViewId="0">
      <selection activeCell="E16" sqref="E16"/>
    </sheetView>
  </sheetViews>
  <sheetFormatPr defaultColWidth="14.44140625" defaultRowHeight="15" customHeight="1" x14ac:dyDescent="0.3"/>
  <cols>
    <col min="1" max="1" width="8.88671875" customWidth="1"/>
    <col min="2" max="2" width="13.109375" customWidth="1"/>
    <col min="3" max="3" width="11.33203125" customWidth="1"/>
    <col min="4" max="4" width="8.6640625" customWidth="1"/>
    <col min="5" max="5" width="11.88671875" customWidth="1"/>
    <col min="6" max="6" width="12.6640625" customWidth="1"/>
    <col min="7" max="9" width="8.88671875" customWidth="1"/>
    <col min="10" max="10" width="13.44140625" bestFit="1" customWidth="1"/>
    <col min="11" max="26" width="8.88671875" customWidth="1"/>
  </cols>
  <sheetData>
    <row r="2" spans="2:10" ht="15.6" x14ac:dyDescent="0.3">
      <c r="B2" s="5" t="s">
        <v>17</v>
      </c>
      <c r="C2" s="21"/>
      <c r="D2" s="21"/>
      <c r="E2" s="21"/>
      <c r="F2" s="21"/>
      <c r="G2" s="21"/>
      <c r="H2" s="21"/>
      <c r="I2" s="21"/>
      <c r="J2" s="21"/>
    </row>
    <row r="3" spans="2:10" ht="15.6" x14ac:dyDescent="0.3">
      <c r="B3" s="2" t="s">
        <v>18</v>
      </c>
    </row>
    <row r="5" spans="2:10" ht="14.4" x14ac:dyDescent="0.3">
      <c r="B5" s="22" t="s">
        <v>19</v>
      </c>
      <c r="C5" s="22" t="s">
        <v>20</v>
      </c>
      <c r="D5" s="22" t="s">
        <v>21</v>
      </c>
      <c r="E5" s="22" t="s">
        <v>22</v>
      </c>
      <c r="F5" s="22" t="s">
        <v>23</v>
      </c>
      <c r="H5" s="47" t="s">
        <v>24</v>
      </c>
      <c r="I5" s="46"/>
      <c r="J5" s="45"/>
    </row>
    <row r="6" spans="2:10" ht="14.4" x14ac:dyDescent="0.3">
      <c r="B6" s="4" t="s">
        <v>25</v>
      </c>
      <c r="C6" s="17">
        <v>928221.03910923121</v>
      </c>
      <c r="D6" s="17">
        <v>371488</v>
      </c>
      <c r="E6" s="17">
        <f t="shared" ref="E6:E17" si="0">C6-D6</f>
        <v>556733.03910923121</v>
      </c>
      <c r="F6" s="23">
        <f t="shared" ref="F6:F17" si="1">E6/C6</f>
        <v>0.59978498186541962</v>
      </c>
      <c r="H6" s="24" t="s">
        <v>26</v>
      </c>
      <c r="I6" s="24" t="s">
        <v>27</v>
      </c>
      <c r="J6" s="24" t="s">
        <v>19</v>
      </c>
    </row>
    <row r="7" spans="2:10" ht="14.4" x14ac:dyDescent="0.3">
      <c r="B7" s="4" t="s">
        <v>28</v>
      </c>
      <c r="C7" s="17">
        <v>710961.16420614393</v>
      </c>
      <c r="D7" s="17">
        <v>641971.48397088423</v>
      </c>
      <c r="E7" s="17">
        <f t="shared" si="0"/>
        <v>68989.680235259701</v>
      </c>
      <c r="F7" s="23">
        <f t="shared" si="1"/>
        <v>9.703719936980422E-2</v>
      </c>
      <c r="H7" s="25">
        <v>1</v>
      </c>
      <c r="I7" s="26">
        <f>LARGE($F$6:$F$17,H7)</f>
        <v>0.59978498186541962</v>
      </c>
      <c r="J7" s="1" t="str">
        <f>INDEX($B$6:$B$17,MATCH(I7,$F$6:$F$17,0))</f>
        <v>Coca-Cola</v>
      </c>
    </row>
    <row r="8" spans="2:10" ht="14.4" x14ac:dyDescent="0.3">
      <c r="B8" s="4" t="s">
        <v>29</v>
      </c>
      <c r="C8" s="17">
        <v>464919.49454723072</v>
      </c>
      <c r="D8" s="17">
        <v>188254.89367011236</v>
      </c>
      <c r="E8" s="17">
        <f t="shared" si="0"/>
        <v>276664.60087711836</v>
      </c>
      <c r="F8" s="23">
        <f t="shared" si="1"/>
        <v>0.59508066261354042</v>
      </c>
      <c r="H8" s="25">
        <v>2</v>
      </c>
      <c r="I8" s="26">
        <f t="shared" ref="I8:I11" si="2">LARGE($F$6:$F$17,H8)</f>
        <v>0.59508066261354042</v>
      </c>
      <c r="J8" s="1" t="str">
        <f t="shared" ref="J8:J11" si="3">INDEX($B$6:$B$17,MATCH(I8,$F$6:$F$17,0))</f>
        <v>Sprite</v>
      </c>
    </row>
    <row r="9" spans="2:10" ht="14.4" x14ac:dyDescent="0.3">
      <c r="B9" s="4" t="s">
        <v>30</v>
      </c>
      <c r="C9" s="17">
        <v>654490.73178517609</v>
      </c>
      <c r="D9" s="17">
        <v>331570.26180720341</v>
      </c>
      <c r="E9" s="17">
        <f t="shared" si="0"/>
        <v>322920.46997797268</v>
      </c>
      <c r="F9" s="23">
        <f t="shared" si="1"/>
        <v>0.49339196767107935</v>
      </c>
      <c r="H9" s="25">
        <v>3</v>
      </c>
      <c r="I9" s="26">
        <f t="shared" si="2"/>
        <v>0.5938677191757904</v>
      </c>
      <c r="J9" s="1" t="str">
        <f t="shared" si="3"/>
        <v>Costa Coffee</v>
      </c>
    </row>
    <row r="10" spans="2:10" ht="14.4" x14ac:dyDescent="0.3">
      <c r="B10" s="4" t="s">
        <v>31</v>
      </c>
      <c r="C10" s="17">
        <v>606331.70080129837</v>
      </c>
      <c r="D10" s="17">
        <v>395368.37020345603</v>
      </c>
      <c r="E10" s="17">
        <f t="shared" si="0"/>
        <v>210963.33059784235</v>
      </c>
      <c r="F10" s="23">
        <f t="shared" si="1"/>
        <v>0.34793386247006963</v>
      </c>
      <c r="H10" s="25">
        <v>4</v>
      </c>
      <c r="I10" s="26">
        <f t="shared" si="2"/>
        <v>0.53928038081778928</v>
      </c>
      <c r="J10" s="1" t="str">
        <f t="shared" si="3"/>
        <v>Aquarius</v>
      </c>
    </row>
    <row r="11" spans="2:10" ht="14.4" x14ac:dyDescent="0.3">
      <c r="B11" s="4" t="s">
        <v>32</v>
      </c>
      <c r="C11" s="17">
        <v>956480.40389837697</v>
      </c>
      <c r="D11" s="17">
        <v>737076.41459250427</v>
      </c>
      <c r="E11" s="17">
        <f t="shared" si="0"/>
        <v>219403.9893058727</v>
      </c>
      <c r="F11" s="23">
        <f t="shared" si="1"/>
        <v>0.22938681065669139</v>
      </c>
      <c r="H11" s="25">
        <v>5</v>
      </c>
      <c r="I11" s="26">
        <f t="shared" si="2"/>
        <v>0.49339196767107935</v>
      </c>
      <c r="J11" s="1" t="str">
        <f t="shared" si="3"/>
        <v>Fanta</v>
      </c>
    </row>
    <row r="12" spans="2:10" ht="14.4" x14ac:dyDescent="0.3">
      <c r="B12" s="4" t="s">
        <v>33</v>
      </c>
      <c r="C12" s="17">
        <v>307894.79200595815</v>
      </c>
      <c r="D12" s="17">
        <v>188970</v>
      </c>
      <c r="E12" s="17">
        <f t="shared" si="0"/>
        <v>118924.79200595815</v>
      </c>
      <c r="F12" s="23">
        <f t="shared" si="1"/>
        <v>0.38625139201333686</v>
      </c>
    </row>
    <row r="13" spans="2:10" ht="14.4" x14ac:dyDescent="0.3">
      <c r="B13" s="4" t="s">
        <v>34</v>
      </c>
      <c r="C13" s="17">
        <v>277939</v>
      </c>
      <c r="D13" s="17">
        <v>112880</v>
      </c>
      <c r="E13" s="17">
        <f t="shared" si="0"/>
        <v>165059</v>
      </c>
      <c r="F13" s="23">
        <f t="shared" si="1"/>
        <v>0.5938677191757904</v>
      </c>
      <c r="H13" s="47" t="s">
        <v>35</v>
      </c>
      <c r="I13" s="46"/>
      <c r="J13" s="45"/>
    </row>
    <row r="14" spans="2:10" ht="14.4" x14ac:dyDescent="0.3">
      <c r="B14" s="4" t="s">
        <v>36</v>
      </c>
      <c r="C14" s="17">
        <v>443867.62060388428</v>
      </c>
      <c r="D14" s="17">
        <v>268369.34836526302</v>
      </c>
      <c r="E14" s="17">
        <f t="shared" si="0"/>
        <v>175498.27223862126</v>
      </c>
      <c r="F14" s="23">
        <f t="shared" si="1"/>
        <v>0.39538426344290423</v>
      </c>
      <c r="H14" s="27" t="s">
        <v>26</v>
      </c>
      <c r="I14" s="27" t="s">
        <v>27</v>
      </c>
      <c r="J14" s="27" t="s">
        <v>19</v>
      </c>
    </row>
    <row r="15" spans="2:10" ht="14.4" x14ac:dyDescent="0.3">
      <c r="B15" s="4" t="s">
        <v>37</v>
      </c>
      <c r="C15" s="17">
        <v>146516.05366568686</v>
      </c>
      <c r="D15" s="17">
        <v>85987</v>
      </c>
      <c r="E15" s="17">
        <f t="shared" si="0"/>
        <v>60529.053665686864</v>
      </c>
      <c r="F15" s="23">
        <f t="shared" si="1"/>
        <v>0.41312233131666981</v>
      </c>
      <c r="H15" s="25">
        <v>1</v>
      </c>
      <c r="I15" s="26">
        <f>SMALL($F$6:$F$17,H15)</f>
        <v>9.703719936980422E-2</v>
      </c>
      <c r="J15" s="1" t="str">
        <f t="shared" ref="J15:J19" si="4">INDEX($B$6:$B$17,MATCH(I15,$F$6:$F$17,0))</f>
        <v>Diet Coke</v>
      </c>
    </row>
    <row r="16" spans="2:10" ht="14.4" x14ac:dyDescent="0.3">
      <c r="B16" s="4" t="s">
        <v>38</v>
      </c>
      <c r="C16" s="17">
        <v>468784.31852435984</v>
      </c>
      <c r="D16" s="17">
        <v>414121.48049809661</v>
      </c>
      <c r="E16" s="17">
        <f t="shared" si="0"/>
        <v>54662.838026263227</v>
      </c>
      <c r="F16" s="23">
        <f t="shared" si="1"/>
        <v>0.11660551743354175</v>
      </c>
      <c r="H16" s="25">
        <v>2</v>
      </c>
      <c r="I16" s="26">
        <f t="shared" ref="I16:I19" si="5">SMALL($F$6:$F$17,H16)</f>
        <v>0.11660551743354175</v>
      </c>
      <c r="J16" s="1" t="str">
        <f t="shared" si="4"/>
        <v>Georgia Coffee</v>
      </c>
    </row>
    <row r="17" spans="2:10" ht="14.4" x14ac:dyDescent="0.3">
      <c r="B17" s="4" t="s">
        <v>39</v>
      </c>
      <c r="C17" s="17">
        <v>716204.3100096666</v>
      </c>
      <c r="D17" s="17">
        <v>329969.37696431158</v>
      </c>
      <c r="E17" s="17">
        <f t="shared" si="0"/>
        <v>386234.93304535502</v>
      </c>
      <c r="F17" s="23">
        <f t="shared" si="1"/>
        <v>0.53928038081778928</v>
      </c>
      <c r="H17" s="25">
        <v>3</v>
      </c>
      <c r="I17" s="26">
        <f t="shared" si="5"/>
        <v>0.22938681065669139</v>
      </c>
      <c r="J17" s="1" t="str">
        <f t="shared" si="4"/>
        <v>Honest Tea</v>
      </c>
    </row>
    <row r="18" spans="2:10" ht="14.4" x14ac:dyDescent="0.3">
      <c r="H18" s="25">
        <v>4</v>
      </c>
      <c r="I18" s="26">
        <f t="shared" si="5"/>
        <v>0.34793386247006963</v>
      </c>
      <c r="J18" s="1" t="str">
        <f t="shared" si="4"/>
        <v>Vitamin Water</v>
      </c>
    </row>
    <row r="19" spans="2:10" ht="14.4" x14ac:dyDescent="0.3">
      <c r="H19" s="25">
        <v>5</v>
      </c>
      <c r="I19" s="26">
        <f t="shared" si="5"/>
        <v>0.38625139201333686</v>
      </c>
      <c r="J19" s="1" t="str">
        <f t="shared" si="4"/>
        <v>Powerade</v>
      </c>
    </row>
    <row r="21" spans="2:10" ht="15.75" customHeight="1" x14ac:dyDescent="0.3"/>
    <row r="22" spans="2:10" ht="15.75" customHeight="1" x14ac:dyDescent="0.3"/>
    <row r="23" spans="2:10" ht="15.75" customHeight="1" x14ac:dyDescent="0.3"/>
    <row r="24" spans="2:10" ht="15.75" customHeight="1" x14ac:dyDescent="0.3"/>
    <row r="25" spans="2:10" ht="15.75" customHeight="1" x14ac:dyDescent="0.3"/>
    <row r="26" spans="2:10" ht="15.75" customHeight="1" x14ac:dyDescent="0.3"/>
    <row r="27" spans="2:10" ht="15.75" customHeight="1" x14ac:dyDescent="0.3"/>
    <row r="28" spans="2:10" ht="15.75" customHeight="1" x14ac:dyDescent="0.3"/>
    <row r="29" spans="2:10" ht="15.75" customHeight="1" x14ac:dyDescent="0.3"/>
    <row r="30" spans="2:10" ht="15.75" customHeight="1" x14ac:dyDescent="0.3"/>
    <row r="31" spans="2:10" ht="15.75" customHeight="1" x14ac:dyDescent="0.3"/>
    <row r="32" spans="2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H5:J5"/>
    <mergeCell ref="H13:J1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A1A1-5DD4-4284-8990-49F236D8B622}">
  <sheetPr codeName="Sheet6"/>
  <dimension ref="B2:Q1000"/>
  <sheetViews>
    <sheetView showGridLines="0" workbookViewId="0">
      <selection activeCell="E16" sqref="E16"/>
    </sheetView>
  </sheetViews>
  <sheetFormatPr defaultColWidth="14.44140625" defaultRowHeight="15" customHeight="1" x14ac:dyDescent="0.3"/>
  <cols>
    <col min="1" max="1" width="8.88671875" customWidth="1"/>
    <col min="2" max="2" width="15.33203125" customWidth="1"/>
    <col min="3" max="3" width="14" customWidth="1"/>
    <col min="4" max="4" width="13.6640625" customWidth="1"/>
    <col min="5" max="5" width="4" customWidth="1"/>
    <col min="6" max="17" width="10.5546875" bestFit="1" customWidth="1"/>
    <col min="18" max="26" width="8.88671875" customWidth="1"/>
  </cols>
  <sheetData>
    <row r="2" spans="2:17" ht="15.6" x14ac:dyDescent="0.3">
      <c r="B2" s="5" t="s">
        <v>40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2:17" ht="14.4" x14ac:dyDescent="0.3">
      <c r="B3" s="4" t="s">
        <v>41</v>
      </c>
      <c r="F3" s="28"/>
      <c r="G3" s="28"/>
      <c r="H3" s="13"/>
      <c r="I3" s="28"/>
      <c r="J3" s="28"/>
      <c r="K3" s="28"/>
      <c r="L3" s="28"/>
      <c r="M3" s="28"/>
      <c r="N3" s="28"/>
      <c r="O3" s="28"/>
      <c r="P3" s="28"/>
      <c r="Q3" s="28"/>
    </row>
    <row r="4" spans="2:17" ht="14.4" x14ac:dyDescent="0.3">
      <c r="F4" s="28"/>
      <c r="G4" s="28"/>
      <c r="H4" s="13"/>
      <c r="I4" s="28"/>
      <c r="J4" s="28"/>
      <c r="K4" s="28"/>
      <c r="L4" s="28"/>
      <c r="M4" s="28"/>
      <c r="N4" s="28"/>
      <c r="O4" s="28"/>
      <c r="P4" s="28"/>
      <c r="Q4" s="28"/>
    </row>
    <row r="5" spans="2:17" ht="14.4" x14ac:dyDescent="0.3">
      <c r="B5" s="16" t="s">
        <v>42</v>
      </c>
      <c r="C5" s="29" t="s">
        <v>43</v>
      </c>
      <c r="D5" s="29" t="s">
        <v>44</v>
      </c>
      <c r="F5" s="33">
        <v>44562</v>
      </c>
      <c r="G5" s="33">
        <f>EDATE(F5,1)</f>
        <v>44593</v>
      </c>
      <c r="H5" s="33">
        <f t="shared" ref="G5:Q5" si="0">EDATE(G5,1)</f>
        <v>44621</v>
      </c>
      <c r="I5" s="33">
        <f t="shared" si="0"/>
        <v>44652</v>
      </c>
      <c r="J5" s="33">
        <f t="shared" si="0"/>
        <v>44682</v>
      </c>
      <c r="K5" s="33">
        <f t="shared" si="0"/>
        <v>44713</v>
      </c>
      <c r="L5" s="33">
        <f t="shared" si="0"/>
        <v>44743</v>
      </c>
      <c r="M5" s="33">
        <f t="shared" si="0"/>
        <v>44774</v>
      </c>
      <c r="N5" s="33">
        <f t="shared" si="0"/>
        <v>44805</v>
      </c>
      <c r="O5" s="33">
        <f t="shared" si="0"/>
        <v>44835</v>
      </c>
      <c r="P5" s="33">
        <f t="shared" si="0"/>
        <v>44866</v>
      </c>
      <c r="Q5" s="33">
        <f t="shared" si="0"/>
        <v>44896</v>
      </c>
    </row>
    <row r="6" spans="2:17" ht="14.4" x14ac:dyDescent="0.3">
      <c r="B6" s="4" t="s">
        <v>45</v>
      </c>
      <c r="C6" s="30">
        <v>5000</v>
      </c>
      <c r="D6" s="31">
        <v>44635</v>
      </c>
      <c r="F6" s="41">
        <f>IF(MONTH(F$5)&lt;MONTH($D6),$C6,IF(MONTH(F$5)=MONTH($D6),DAY($D6)/DAY(EOMONTH(F$5,0))*$C6,0))</f>
        <v>5000</v>
      </c>
      <c r="G6" s="41">
        <f>IF(MONTH(G$5)&lt;MONTH($D6),$C6,IF(MONTH(G$5)=MONTH($D6),DAY($D6)/DAY(EOMONTH(G$5,0))*$C6,0))</f>
        <v>5000</v>
      </c>
      <c r="H6" s="41">
        <f>IF(MONTH(H$5)&lt;MONTH($D6),$C6,IF(MONTH(H$5)=MONTH($D6),DAY($D6)/DAY(EOMONTH(H$5,0))*$C6,0))</f>
        <v>2419.3548387096776</v>
      </c>
      <c r="I6" s="41">
        <f>IF(MONTH(I$5)&lt;MONTH($D6),$C6,IF(MONTH(I$5)=MONTH($D6),DAY($D6)/DAY(EOMONTH(I$5,0))*$C6,0))</f>
        <v>0</v>
      </c>
      <c r="J6" s="41">
        <f>IF(MONTH(J$5)&lt;MONTH($D6),$C6,IF(MONTH(J$5)=MONTH($D6),DAY($D6)/DAY(EOMONTH(J$5,0))*$C6,0))</f>
        <v>0</v>
      </c>
      <c r="K6" s="41">
        <f>IF(MONTH(K$5)&lt;MONTH($D6),$C6,IF(MONTH(K$5)=MONTH($D6),DAY($D6)/DAY(EOMONTH(K$5,0))*$C6,0))</f>
        <v>0</v>
      </c>
      <c r="L6" s="41">
        <f>IF(MONTH(L$5)&lt;MONTH($D6),$C6,IF(MONTH(L$5)=MONTH($D6),DAY($D6)/DAY(EOMONTH(L$5,0))*$C6,0))</f>
        <v>0</v>
      </c>
      <c r="M6" s="41">
        <f>IF(MONTH(M$5)&lt;MONTH($D6),$C6,IF(MONTH(M$5)=MONTH($D6),DAY($D6)/DAY(EOMONTH(M$5,0))*$C6,0))</f>
        <v>0</v>
      </c>
      <c r="N6" s="41">
        <f>IF(MONTH(N$5)&lt;MONTH($D6),$C6,IF(MONTH(N$5)=MONTH($D6),DAY($D6)/DAY(EOMONTH(N$5,0))*$C6,0))</f>
        <v>0</v>
      </c>
      <c r="O6" s="41">
        <f>IF(MONTH(O$5)&lt;MONTH($D6),$C6,IF(MONTH(O$5)=MONTH($D6),DAY($D6)/DAY(EOMONTH(O$5,0))*$C6,0))</f>
        <v>0</v>
      </c>
      <c r="P6" s="41">
        <f>IF(MONTH(P$5)&lt;MONTH($D6),$C6,IF(MONTH(P$5)=MONTH($D6),DAY($D6)/DAY(EOMONTH(P$5,0))*$C6,0))</f>
        <v>0</v>
      </c>
      <c r="Q6" s="41">
        <f>IF(MONTH(Q$5)&lt;MONTH($D6),$C6,IF(MONTH(Q$5)=MONTH($D6),DAY($D6)/DAY(EOMONTH(Q$5,0))*$C6,0))</f>
        <v>0</v>
      </c>
    </row>
    <row r="7" spans="2:17" ht="14.4" x14ac:dyDescent="0.3">
      <c r="B7" s="4" t="s">
        <v>46</v>
      </c>
      <c r="C7" s="30">
        <v>7000</v>
      </c>
      <c r="D7" s="31">
        <v>44729</v>
      </c>
      <c r="F7" s="41">
        <f>IF(MONTH(F$5)&lt;MONTH($D7),$C7,IF(MONTH(F$5)=MONTH($D7),DAY($D7)/DAY(EOMONTH(F$5,0))*$C7,0))</f>
        <v>7000</v>
      </c>
      <c r="G7" s="41">
        <f>IF(MONTH(G$5)&lt;MONTH($D7),$C7,IF(MONTH(G$5)=MONTH($D7),DAY($D7)/DAY(EOMONTH(G$5,0))*$C7,0))</f>
        <v>7000</v>
      </c>
      <c r="H7" s="41">
        <f>IF(MONTH(H$5)&lt;MONTH($D7),$C7,IF(MONTH(H$5)=MONTH($D7),DAY($D7)/DAY(EOMONTH(H$5,0))*$C7,0))</f>
        <v>7000</v>
      </c>
      <c r="I7" s="41">
        <f>IF(MONTH(I$5)&lt;MONTH($D7),$C7,IF(MONTH(I$5)=MONTH($D7),DAY($D7)/DAY(EOMONTH(I$5,0))*$C7,0))</f>
        <v>7000</v>
      </c>
      <c r="J7" s="41">
        <f>IF(MONTH(J$5)&lt;MONTH($D7),$C7,IF(MONTH(J$5)=MONTH($D7),DAY($D7)/DAY(EOMONTH(J$5,0))*$C7,0))</f>
        <v>7000</v>
      </c>
      <c r="K7" s="41">
        <f>IF(MONTH(K$5)&lt;MONTH($D7),$C7,IF(MONTH(K$5)=MONTH($D7),DAY($D7)/DAY(EOMONTH(K$5,0))*$C7,0))</f>
        <v>3966.6666666666665</v>
      </c>
      <c r="L7" s="41">
        <f>IF(MONTH(L$5)&lt;MONTH($D7),$C7,IF(MONTH(L$5)=MONTH($D7),DAY($D7)/DAY(EOMONTH(L$5,0))*$C7,0))</f>
        <v>0</v>
      </c>
      <c r="M7" s="41">
        <f>IF(MONTH(M$5)&lt;MONTH($D7),$C7,IF(MONTH(M$5)=MONTH($D7),DAY($D7)/DAY(EOMONTH(M$5,0))*$C7,0))</f>
        <v>0</v>
      </c>
      <c r="N7" s="41">
        <f>IF(MONTH(N$5)&lt;MONTH($D7),$C7,IF(MONTH(N$5)=MONTH($D7),DAY($D7)/DAY(EOMONTH(N$5,0))*$C7,0))</f>
        <v>0</v>
      </c>
      <c r="O7" s="41">
        <f>IF(MONTH(O$5)&lt;MONTH($D7),$C7,IF(MONTH(O$5)=MONTH($D7),DAY($D7)/DAY(EOMONTH(O$5,0))*$C7,0))</f>
        <v>0</v>
      </c>
      <c r="P7" s="41">
        <f>IF(MONTH(P$5)&lt;MONTH($D7),$C7,IF(MONTH(P$5)=MONTH($D7),DAY($D7)/DAY(EOMONTH(P$5,0))*$C7,0))</f>
        <v>0</v>
      </c>
      <c r="Q7" s="41">
        <f>IF(MONTH(Q$5)&lt;MONTH($D7),$C7,IF(MONTH(Q$5)=MONTH($D7),DAY($D7)/DAY(EOMONTH(Q$5,0))*$C7,0))</f>
        <v>0</v>
      </c>
    </row>
    <row r="8" spans="2:17" ht="14.4" x14ac:dyDescent="0.3">
      <c r="B8" s="4" t="s">
        <v>47</v>
      </c>
      <c r="C8" s="30">
        <v>5000</v>
      </c>
      <c r="D8" s="31">
        <v>44597</v>
      </c>
      <c r="F8" s="41">
        <f>IF(MONTH(F$5)&lt;MONTH($D8),$C8,IF(MONTH(F$5)=MONTH($D8),DAY($D8)/DAY(EOMONTH(F$5,0))*$C8,0))</f>
        <v>5000</v>
      </c>
      <c r="G8" s="41">
        <f>IF(MONTH(G$5)&lt;MONTH($D8),$C8,IF(MONTH(G$5)=MONTH($D8),DAY($D8)/DAY(EOMONTH(G$5,0))*$C8,0))</f>
        <v>892.85714285714289</v>
      </c>
      <c r="H8" s="41">
        <f>IF(MONTH(H$5)&lt;MONTH($D8),$C8,IF(MONTH(H$5)=MONTH($D8),DAY($D8)/DAY(EOMONTH(H$5,0))*$C8,0))</f>
        <v>0</v>
      </c>
      <c r="I8" s="41">
        <f>IF(MONTH(I$5)&lt;MONTH($D8),$C8,IF(MONTH(I$5)=MONTH($D8),DAY($D8)/DAY(EOMONTH(I$5,0))*$C8,0))</f>
        <v>0</v>
      </c>
      <c r="J8" s="41">
        <f>IF(MONTH(J$5)&lt;MONTH($D8),$C8,IF(MONTH(J$5)=MONTH($D8),DAY($D8)/DAY(EOMONTH(J$5,0))*$C8,0))</f>
        <v>0</v>
      </c>
      <c r="K8" s="41">
        <f>IF(MONTH(K$5)&lt;MONTH($D8),$C8,IF(MONTH(K$5)=MONTH($D8),DAY($D8)/DAY(EOMONTH(K$5,0))*$C8,0))</f>
        <v>0</v>
      </c>
      <c r="L8" s="41">
        <f>IF(MONTH(L$5)&lt;MONTH($D8),$C8,IF(MONTH(L$5)=MONTH($D8),DAY($D8)/DAY(EOMONTH(L$5,0))*$C8,0))</f>
        <v>0</v>
      </c>
      <c r="M8" s="41">
        <f>IF(MONTH(M$5)&lt;MONTH($D8),$C8,IF(MONTH(M$5)=MONTH($D8),DAY($D8)/DAY(EOMONTH(M$5,0))*$C8,0))</f>
        <v>0</v>
      </c>
      <c r="N8" s="41">
        <f>IF(MONTH(N$5)&lt;MONTH($D8),$C8,IF(MONTH(N$5)=MONTH($D8),DAY($D8)/DAY(EOMONTH(N$5,0))*$C8,0))</f>
        <v>0</v>
      </c>
      <c r="O8" s="41">
        <f>IF(MONTH(O$5)&lt;MONTH($D8),$C8,IF(MONTH(O$5)=MONTH($D8),DAY($D8)/DAY(EOMONTH(O$5,0))*$C8,0))</f>
        <v>0</v>
      </c>
      <c r="P8" s="41">
        <f>IF(MONTH(P$5)&lt;MONTH($D8),$C8,IF(MONTH(P$5)=MONTH($D8),DAY($D8)/DAY(EOMONTH(P$5,0))*$C8,0))</f>
        <v>0</v>
      </c>
      <c r="Q8" s="41">
        <f>IF(MONTH(Q$5)&lt;MONTH($D8),$C8,IF(MONTH(Q$5)=MONTH($D8),DAY($D8)/DAY(EOMONTH(Q$5,0))*$C8,0))</f>
        <v>0</v>
      </c>
    </row>
    <row r="9" spans="2:17" ht="14.4" x14ac:dyDescent="0.3">
      <c r="B9" s="4" t="s">
        <v>48</v>
      </c>
      <c r="C9" s="30">
        <v>4000</v>
      </c>
      <c r="D9" s="31">
        <v>44798</v>
      </c>
      <c r="F9" s="41">
        <f>IF(MONTH(F$5)&lt;MONTH($D9),$C9,IF(MONTH(F$5)=MONTH($D9),DAY($D9)/DAY(EOMONTH(F$5,0))*$C9,0))</f>
        <v>4000</v>
      </c>
      <c r="G9" s="41">
        <f>IF(MONTH(G$5)&lt;MONTH($D9),$C9,IF(MONTH(G$5)=MONTH($D9),DAY($D9)/DAY(EOMONTH(G$5,0))*$C9,0))</f>
        <v>4000</v>
      </c>
      <c r="H9" s="41">
        <f>IF(MONTH(H$5)&lt;MONTH($D9),$C9,IF(MONTH(H$5)=MONTH($D9),DAY($D9)/DAY(EOMONTH(H$5,0))*$C9,0))</f>
        <v>4000</v>
      </c>
      <c r="I9" s="41">
        <f>IF(MONTH(I$5)&lt;MONTH($D9),$C9,IF(MONTH(I$5)=MONTH($D9),DAY($D9)/DAY(EOMONTH(I$5,0))*$C9,0))</f>
        <v>4000</v>
      </c>
      <c r="J9" s="41">
        <f>IF(MONTH(J$5)&lt;MONTH($D9),$C9,IF(MONTH(J$5)=MONTH($D9),DAY($D9)/DAY(EOMONTH(J$5,0))*$C9,0))</f>
        <v>4000</v>
      </c>
      <c r="K9" s="41">
        <f>IF(MONTH(K$5)&lt;MONTH($D9),$C9,IF(MONTH(K$5)=MONTH($D9),DAY($D9)/DAY(EOMONTH(K$5,0))*$C9,0))</f>
        <v>4000</v>
      </c>
      <c r="L9" s="41">
        <f>IF(MONTH(L$5)&lt;MONTH($D9),$C9,IF(MONTH(L$5)=MONTH($D9),DAY($D9)/DAY(EOMONTH(L$5,0))*$C9,0))</f>
        <v>4000</v>
      </c>
      <c r="M9" s="41">
        <f>IF(MONTH(M$5)&lt;MONTH($D9),$C9,IF(MONTH(M$5)=MONTH($D9),DAY($D9)/DAY(EOMONTH(M$5,0))*$C9,0))</f>
        <v>3225.8064516129029</v>
      </c>
      <c r="N9" s="41">
        <f>IF(MONTH(N$5)&lt;MONTH($D9),$C9,IF(MONTH(N$5)=MONTH($D9),DAY($D9)/DAY(EOMONTH(N$5,0))*$C9,0))</f>
        <v>0</v>
      </c>
      <c r="O9" s="41">
        <f>IF(MONTH(O$5)&lt;MONTH($D9),$C9,IF(MONTH(O$5)=MONTH($D9),DAY($D9)/DAY(EOMONTH(O$5,0))*$C9,0))</f>
        <v>0</v>
      </c>
      <c r="P9" s="41">
        <f>IF(MONTH(P$5)&lt;MONTH($D9),$C9,IF(MONTH(P$5)=MONTH($D9),DAY($D9)/DAY(EOMONTH(P$5,0))*$C9,0))</f>
        <v>0</v>
      </c>
      <c r="Q9" s="41">
        <f>IF(MONTH(Q$5)&lt;MONTH($D9),$C9,IF(MONTH(Q$5)=MONTH($D9),DAY($D9)/DAY(EOMONTH(Q$5,0))*$C9,0))</f>
        <v>0</v>
      </c>
    </row>
    <row r="10" spans="2:17" ht="14.4" x14ac:dyDescent="0.3">
      <c r="B10" s="4" t="s">
        <v>49</v>
      </c>
      <c r="C10" s="30">
        <v>3500</v>
      </c>
      <c r="D10" s="31">
        <v>44579</v>
      </c>
      <c r="F10" s="41">
        <f>IF(MONTH(F$5)&lt;MONTH($D10),$C10,IF(MONTH(F$5)=MONTH($D10),DAY($D10)/DAY(EOMONTH(F$5,0))*$C10,0))</f>
        <v>2032.2580645161293</v>
      </c>
      <c r="G10" s="41">
        <f>IF(MONTH(G$5)&lt;MONTH($D10),$C10,IF(MONTH(G$5)=MONTH($D10),DAY($D10)/DAY(EOMONTH(G$5,0))*$C10,0))</f>
        <v>0</v>
      </c>
      <c r="H10" s="41">
        <f>IF(MONTH(H$5)&lt;MONTH($D10),$C10,IF(MONTH(H$5)=MONTH($D10),DAY($D10)/DAY(EOMONTH(H$5,0))*$C10,0))</f>
        <v>0</v>
      </c>
      <c r="I10" s="41">
        <f>IF(MONTH(I$5)&lt;MONTH($D10),$C10,IF(MONTH(I$5)=MONTH($D10),DAY($D10)/DAY(EOMONTH(I$5,0))*$C10,0))</f>
        <v>0</v>
      </c>
      <c r="J10" s="41">
        <f>IF(MONTH(J$5)&lt;MONTH($D10),$C10,IF(MONTH(J$5)=MONTH($D10),DAY($D10)/DAY(EOMONTH(J$5,0))*$C10,0))</f>
        <v>0</v>
      </c>
      <c r="K10" s="41">
        <f>IF(MONTH(K$5)&lt;MONTH($D10),$C10,IF(MONTH(K$5)=MONTH($D10),DAY($D10)/DAY(EOMONTH(K$5,0))*$C10,0))</f>
        <v>0</v>
      </c>
      <c r="L10" s="41">
        <f>IF(MONTH(L$5)&lt;MONTH($D10),$C10,IF(MONTH(L$5)=MONTH($D10),DAY($D10)/DAY(EOMONTH(L$5,0))*$C10,0))</f>
        <v>0</v>
      </c>
      <c r="M10" s="41">
        <f>IF(MONTH(M$5)&lt;MONTH($D10),$C10,IF(MONTH(M$5)=MONTH($D10),DAY($D10)/DAY(EOMONTH(M$5,0))*$C10,0))</f>
        <v>0</v>
      </c>
      <c r="N10" s="41">
        <f>IF(MONTH(N$5)&lt;MONTH($D10),$C10,IF(MONTH(N$5)=MONTH($D10),DAY($D10)/DAY(EOMONTH(N$5,0))*$C10,0))</f>
        <v>0</v>
      </c>
      <c r="O10" s="41">
        <f>IF(MONTH(O$5)&lt;MONTH($D10),$C10,IF(MONTH(O$5)=MONTH($D10),DAY($D10)/DAY(EOMONTH(O$5,0))*$C10,0))</f>
        <v>0</v>
      </c>
      <c r="P10" s="41">
        <f>IF(MONTH(P$5)&lt;MONTH($D10),$C10,IF(MONTH(P$5)=MONTH($D10),DAY($D10)/DAY(EOMONTH(P$5,0))*$C10,0))</f>
        <v>0</v>
      </c>
      <c r="Q10" s="41">
        <f>IF(MONTH(Q$5)&lt;MONTH($D10),$C10,IF(MONTH(Q$5)=MONTH($D10),DAY($D10)/DAY(EOMONTH(Q$5,0))*$C10,0))</f>
        <v>0</v>
      </c>
    </row>
    <row r="11" spans="2:17" ht="15" customHeight="1" x14ac:dyDescent="0.3"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6" spans="2:17" ht="15" customHeight="1" x14ac:dyDescent="0.3">
      <c r="J16" s="32"/>
      <c r="K16" s="32"/>
      <c r="L16" s="32"/>
      <c r="M16" s="32"/>
      <c r="N16" s="32"/>
      <c r="O16" s="32"/>
      <c r="P16" s="3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himmatul  azizah</cp:lastModifiedBy>
  <dcterms:created xsi:type="dcterms:W3CDTF">2022-04-04T14:37:52Z</dcterms:created>
  <dcterms:modified xsi:type="dcterms:W3CDTF">2024-08-07T17:40:50Z</dcterms:modified>
</cp:coreProperties>
</file>