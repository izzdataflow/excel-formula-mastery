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Excel\Training\excel-intermediate\finished\"/>
    </mc:Choice>
  </mc:AlternateContent>
  <xr:revisionPtr revIDLastSave="0" documentId="13_ncr:1_{1E444DA7-B426-4B27-9F7E-C9F0637F64A5}" xr6:coauthVersionLast="47" xr6:coauthVersionMax="47" xr10:uidLastSave="{00000000-0000-0000-0000-000000000000}"/>
  <bookViews>
    <workbookView xWindow="-120" yWindow="-120" windowWidth="29040" windowHeight="15720" xr2:uid="{3D0B1639-0178-4B8B-A95D-EC195C139D2D}"/>
  </bookViews>
  <sheets>
    <sheet name="Excercise" sheetId="1" r:id="rId1"/>
    <sheet name="Data" sheetId="2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N5" i="1"/>
  <c r="N7" i="1"/>
  <c r="N10" i="1"/>
  <c r="N6" i="1"/>
  <c r="N11" i="1"/>
  <c r="N12" i="1"/>
  <c r="N9" i="1"/>
  <c r="N16" i="1"/>
  <c r="N4" i="1"/>
  <c r="N14" i="1"/>
  <c r="N17" i="1"/>
  <c r="N8" i="1"/>
  <c r="N13" i="1"/>
  <c r="N15" i="1"/>
  <c r="N3" i="1"/>
  <c r="N18" i="1"/>
  <c r="M5" i="1"/>
  <c r="M7" i="1"/>
  <c r="M10" i="1"/>
  <c r="M6" i="1"/>
  <c r="M11" i="1"/>
  <c r="M12" i="1"/>
  <c r="M9" i="1"/>
  <c r="M16" i="1"/>
  <c r="M4" i="1"/>
  <c r="M14" i="1"/>
  <c r="M17" i="1"/>
  <c r="M8" i="1"/>
  <c r="M13" i="1"/>
  <c r="M15" i="1"/>
  <c r="M3" i="1"/>
  <c r="M18" i="1"/>
  <c r="L5" i="1"/>
  <c r="L7" i="1"/>
  <c r="L10" i="1"/>
  <c r="L6" i="1"/>
  <c r="L11" i="1"/>
  <c r="L12" i="1"/>
  <c r="L9" i="1"/>
  <c r="L16" i="1"/>
  <c r="L4" i="1"/>
  <c r="L14" i="1"/>
  <c r="L17" i="1"/>
  <c r="L8" i="1"/>
  <c r="L13" i="1"/>
  <c r="L15" i="1"/>
  <c r="L3" i="1"/>
  <c r="L18" i="1"/>
  <c r="K7" i="1"/>
  <c r="K10" i="1"/>
  <c r="K6" i="1"/>
  <c r="K11" i="1"/>
  <c r="K12" i="1"/>
  <c r="K9" i="1"/>
  <c r="K16" i="1"/>
  <c r="K4" i="1"/>
  <c r="K14" i="1"/>
  <c r="K17" i="1"/>
  <c r="K8" i="1"/>
  <c r="K13" i="1"/>
  <c r="K15" i="1"/>
  <c r="K3" i="1"/>
  <c r="K18" i="1"/>
  <c r="K5" i="1"/>
  <c r="P5" i="1" s="1"/>
  <c r="B5" i="1"/>
  <c r="B7" i="1"/>
  <c r="B10" i="1"/>
  <c r="B6" i="1"/>
  <c r="B11" i="1"/>
  <c r="B12" i="1"/>
  <c r="B9" i="1"/>
  <c r="B16" i="1"/>
  <c r="B4" i="1"/>
  <c r="B14" i="1"/>
  <c r="B17" i="1"/>
  <c r="B8" i="1"/>
  <c r="B13" i="1"/>
  <c r="B15" i="1"/>
  <c r="B3" i="1"/>
  <c r="B18" i="1"/>
  <c r="P18" i="1" l="1"/>
  <c r="P3" i="1"/>
  <c r="P15" i="1"/>
  <c r="P13" i="1"/>
  <c r="P8" i="1"/>
  <c r="P17" i="1"/>
  <c r="P14" i="1"/>
  <c r="P4" i="1"/>
  <c r="P16" i="1"/>
  <c r="P9" i="1"/>
  <c r="P12" i="1"/>
  <c r="P11" i="1"/>
  <c r="P6" i="1"/>
  <c r="P10" i="1"/>
  <c r="P7" i="1"/>
</calcChain>
</file>

<file path=xl/sharedStrings.xml><?xml version="1.0" encoding="utf-8"?>
<sst xmlns="http://schemas.openxmlformats.org/spreadsheetml/2006/main" count="114" uniqueCount="48">
  <si>
    <t>MOVIE</t>
  </si>
  <si>
    <t>Batman Forever</t>
  </si>
  <si>
    <t>Independence Day</t>
  </si>
  <si>
    <t>Men in Black</t>
  </si>
  <si>
    <t>Titanic</t>
  </si>
  <si>
    <t>Star Wars Ep. I: The Phantom Menace</t>
  </si>
  <si>
    <t>How the Grinch Stole Christmas</t>
  </si>
  <si>
    <t>Harry Potter and the Sorcerer’s Stone</t>
  </si>
  <si>
    <t>Spider-Man</t>
  </si>
  <si>
    <t>Finding Nemo</t>
  </si>
  <si>
    <t>Shrek 2</t>
  </si>
  <si>
    <t>Star Wars Ep. III: Revenge of the Sith</t>
  </si>
  <si>
    <t>Pirates of the Caribbean: Dead Man’s Chest</t>
  </si>
  <si>
    <t>Spider-Man 3</t>
  </si>
  <si>
    <t>The Dark Knight</t>
  </si>
  <si>
    <t>Transformers: Revenge of the Fallen</t>
  </si>
  <si>
    <t>Toy Story 3</t>
  </si>
  <si>
    <t>GENRE</t>
  </si>
  <si>
    <t>Drama</t>
  </si>
  <si>
    <t>Adventure</t>
  </si>
  <si>
    <t>Action</t>
  </si>
  <si>
    <t>DISTRIBUTOR</t>
  </si>
  <si>
    <t>Warner Bros.</t>
  </si>
  <si>
    <t>20th Century Fox</t>
  </si>
  <si>
    <t>Sony Pictures</t>
  </si>
  <si>
    <t>Paramount Pictures</t>
  </si>
  <si>
    <t>Universal</t>
  </si>
  <si>
    <t>Walt Disney</t>
  </si>
  <si>
    <t>Dreamworks SKG</t>
  </si>
  <si>
    <t>Excel Test</t>
  </si>
  <si>
    <t>Jul-21</t>
  </si>
  <si>
    <t>Aug-21</t>
  </si>
  <si>
    <t>Sep-21</t>
  </si>
  <si>
    <t>Oct-21</t>
  </si>
  <si>
    <t>Nov-21</t>
  </si>
  <si>
    <t>Dec-21</t>
  </si>
  <si>
    <t>Jan-22</t>
  </si>
  <si>
    <t>Distributor</t>
  </si>
  <si>
    <t>Total</t>
  </si>
  <si>
    <t>Average</t>
  </si>
  <si>
    <t>Min</t>
  </si>
  <si>
    <t>Max</t>
  </si>
  <si>
    <t>MoM</t>
  </si>
  <si>
    <t>Performance</t>
  </si>
  <si>
    <t>Row Labels</t>
  </si>
  <si>
    <t>Grand Total</t>
  </si>
  <si>
    <t>Sum of Total</t>
  </si>
  <si>
    <t>Sum of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</si>
</sst>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">
    <xf numFmtId="0" fontId="0" fillId="0" borderId="0" xfId="0"/>
    <xf numFmtId="17" fontId="0" fillId="0" borderId="0" xfId="0" applyNumberFormat="1"/>
    <xf numFmtId="0" fontId="0" fillId="0" borderId="1" xfId="0" applyBorder="1"/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 applyNumberFormat="1"/>
    <xf numFmtId="165" fontId="0" fillId="0" borderId="0" xfId="1" applyNumberFormat="1" applyFon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pivotButton="1" applyNumberFormat="1"/>
    <xf numFmtId="165" fontId="0" fillId="0" borderId="0" xfId="0" applyNumberFormat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79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0" formatCode="General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Test - Intermediate - Movie.xlsx]Excercise!PivotTable2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Excercise!$B$31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Excercise!$A$32:$A$37</c:f>
              <c:strCache>
                <c:ptCount val="5"/>
                <c:pt idx="0">
                  <c:v>Independence Day</c:v>
                </c:pt>
                <c:pt idx="1">
                  <c:v>Titanic</c:v>
                </c:pt>
                <c:pt idx="2">
                  <c:v>Batman Forever</c:v>
                </c:pt>
                <c:pt idx="3">
                  <c:v>Finding Nemo</c:v>
                </c:pt>
                <c:pt idx="4">
                  <c:v>Transformers: Revenge of the Fallen</c:v>
                </c:pt>
              </c:strCache>
            </c:strRef>
          </c:cat>
          <c:val>
            <c:numRef>
              <c:f>Excercise!$B$32:$B$37</c:f>
              <c:numCache>
                <c:formatCode>_(* #,##0_);_(* \(#,##0\);_(* "-"??_);_(@_)</c:formatCode>
                <c:ptCount val="5"/>
                <c:pt idx="0">
                  <c:v>55927</c:v>
                </c:pt>
                <c:pt idx="1">
                  <c:v>731267</c:v>
                </c:pt>
                <c:pt idx="2">
                  <c:v>2240742</c:v>
                </c:pt>
                <c:pt idx="3">
                  <c:v>4507412</c:v>
                </c:pt>
                <c:pt idx="4">
                  <c:v>7591992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0-41E2-8046-5D5FEC93E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0976031"/>
        <c:axId val="2030976991"/>
      </c:barChart>
      <c:catAx>
        <c:axId val="2030976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76991"/>
        <c:crosses val="autoZero"/>
        <c:auto val="1"/>
        <c:lblAlgn val="ctr"/>
        <c:lblOffset val="100"/>
        <c:noMultiLvlLbl val="0"/>
      </c:catAx>
      <c:valAx>
        <c:axId val="203097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7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Test - Intermediate - Movie.xlsx]Excercise!PivotTable3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Excercise!$F$21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Excercise!$E$22:$E$25</c:f>
              <c:strCache>
                <c:ptCount val="3"/>
                <c:pt idx="0">
                  <c:v>Action</c:v>
                </c:pt>
                <c:pt idx="1">
                  <c:v>Adventure</c:v>
                </c:pt>
                <c:pt idx="2">
                  <c:v>Drama</c:v>
                </c:pt>
              </c:strCache>
            </c:strRef>
          </c:cat>
          <c:val>
            <c:numRef>
              <c:f>Excercise!$F$22:$F$25</c:f>
              <c:numCache>
                <c:formatCode>_(* #,##0_);_(* \(#,##0\);_(* "-"??_);_(@_)</c:formatCode>
                <c:ptCount val="3"/>
                <c:pt idx="0">
                  <c:v>1093461.857142857</c:v>
                </c:pt>
                <c:pt idx="1">
                  <c:v>773016.71428571432</c:v>
                </c:pt>
                <c:pt idx="2">
                  <c:v>320106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8-492F-B49A-C16A822EF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0884463"/>
        <c:axId val="2030892143"/>
      </c:barChart>
      <c:catAx>
        <c:axId val="203088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92143"/>
        <c:crosses val="autoZero"/>
        <c:auto val="1"/>
        <c:lblAlgn val="ctr"/>
        <c:lblOffset val="100"/>
        <c:noMultiLvlLbl val="0"/>
      </c:catAx>
      <c:valAx>
        <c:axId val="203089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8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Test - Intermediate - Movie.xlsx]Excercise!PivotTable4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Excercise!$F$43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Excercise!$E$44:$E$47</c:f>
              <c:strCache>
                <c:ptCount val="3"/>
                <c:pt idx="0">
                  <c:v>Warner Bros.</c:v>
                </c:pt>
                <c:pt idx="1">
                  <c:v>Walt Disney</c:v>
                </c:pt>
                <c:pt idx="2">
                  <c:v>Paramount Pictures</c:v>
                </c:pt>
              </c:strCache>
            </c:strRef>
          </c:cat>
          <c:val>
            <c:numRef>
              <c:f>Excercise!$F$44:$F$47</c:f>
              <c:numCache>
                <c:formatCode>_(* #,##0_);_(* \(#,##0\);_(* "-"??_);_(@_)</c:formatCode>
                <c:ptCount val="3"/>
                <c:pt idx="0">
                  <c:v>326888</c:v>
                </c:pt>
                <c:pt idx="1">
                  <c:v>651561.57142857148</c:v>
                </c:pt>
                <c:pt idx="2">
                  <c:v>1189037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B-4BF9-AFA1-0CF4DC12D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683455</xdr:colOff>
      <xdr:row>19</xdr:row>
      <xdr:rowOff>47625</xdr:rowOff>
    </xdr:from>
    <xdr:to>
      <xdr:col>16</xdr:col>
      <xdr:colOff>285017</xdr:colOff>
      <xdr:row>41</xdr:row>
      <xdr:rowOff>56564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DE2285-63AE-494E-9407-544C9D9AB699}"/>
            </a:ext>
          </a:extLst>
        </xdr:cNvPr>
        <xdr:cNvSpPr txBox="1"/>
      </xdr:nvSpPr>
      <xdr:spPr>
        <a:xfrm>
          <a:off x="11475280" y="4400550"/>
          <a:ext cx="4449787" cy="4199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</a:p>
        <a:p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Tasks: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Make the table look more professional; presentable to the business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Create Column and Raw totals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Create an Average, Min and Max column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Create a month over month column for the latest month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Conditional format the MoM column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Sort the data by Totals; descending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Create a new column that has “above average” or “below average” text depending on the Total value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Join the Distributor from part 2. This new column should be second (next to movie)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Create a pivot table showing the sum and average values for distributors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Create a horizontal bar chart showing the totals by Movie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 Create a vertical bar chart showing the average value by Genre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 Create a pie chart showing the average value by Distributor</a:t>
          </a:r>
        </a:p>
      </xdr:txBody>
    </xdr:sp>
    <xdr:clientData/>
  </xdr:twoCellAnchor>
  <xdr:twoCellAnchor>
    <xdr:from>
      <xdr:col>0</xdr:col>
      <xdr:colOff>0</xdr:colOff>
      <xdr:row>38</xdr:row>
      <xdr:rowOff>4761</xdr:rowOff>
    </xdr:from>
    <xdr:to>
      <xdr:col>3</xdr:col>
      <xdr:colOff>295275</xdr:colOff>
      <xdr:row>60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3FAC52-77BD-5FD7-B7AA-7EAB1D56B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552450</xdr:colOff>
      <xdr:row>25</xdr:row>
      <xdr:rowOff>176212</xdr:rowOff>
    </xdr:from>
    <xdr:to>
      <xdr:col>8</xdr:col>
      <xdr:colOff>447675</xdr:colOff>
      <xdr:row>40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9B93EF-B58D-CC74-4564-40A89E53F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228600</xdr:colOff>
      <xdr:row>42</xdr:row>
      <xdr:rowOff>4762</xdr:rowOff>
    </xdr:from>
    <xdr:to>
      <xdr:col>11</xdr:col>
      <xdr:colOff>180975</xdr:colOff>
      <xdr:row>56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1E385E-D9D2-262E-207B-DE37E6B45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85.741712499999" createdVersion="8" refreshedVersion="8" minRefreshableVersion="3" recordCount="16" xr:uid="{E797BD1C-DBD0-49E4-A4CB-59A03350B4C6}">
  <cacheSource type="worksheet">
    <worksheetSource name="Table2"/>
  </cacheSource>
  <cacheFields count="16">
    <cacheField name="MOVIE" numFmtId="0">
      <sharedItems count="16">
        <s v="Transformers: Revenge of the Fallen"/>
        <s v="Finding Nemo"/>
        <s v="Batman Forever"/>
        <s v="Titanic"/>
        <s v="Independence Day"/>
        <s v="Pirates of the Caribbean: Dead Man’s Chest"/>
        <s v="Harry Potter and the Sorcerer’s Stone"/>
        <s v="Men in Black"/>
        <s v="Star Wars Ep. I: The Phantom Menace"/>
        <s v="How the Grinch Stole Christmas"/>
        <s v="Spider-Man 3"/>
        <s v="Shrek 2"/>
        <s v="The Dark Knight"/>
        <s v="Spider-Man"/>
        <s v="Star Wars Ep. III: Revenge of the Sith"/>
        <s v="Toy Story 3"/>
      </sharedItems>
    </cacheField>
    <cacheField name="Distributor" numFmtId="165">
      <sharedItems count="7">
        <s v="Paramount Pictures"/>
        <s v="Walt Disney"/>
        <s v="Warner Bros."/>
        <s v="20th Century Fox"/>
        <s v="Sony Pictures"/>
        <s v="Universal"/>
        <s v="Dreamworks SKG"/>
      </sharedItems>
    </cacheField>
    <cacheField name="GENRE" numFmtId="0">
      <sharedItems count="3">
        <s v="Action"/>
        <s v="Adventure"/>
        <s v="Drama"/>
      </sharedItems>
    </cacheField>
    <cacheField name="Jul-21" numFmtId="165">
      <sharedItems containsSemiMixedTypes="0" containsString="0" containsNumber="1" containsInteger="1" minValue="1246" maxValue="908851"/>
    </cacheField>
    <cacheField name="Aug-21" numFmtId="165">
      <sharedItems containsSemiMixedTypes="0" containsString="0" containsNumber="1" containsInteger="1" minValue="1246" maxValue="953741"/>
    </cacheField>
    <cacheField name="Sep-21" numFmtId="165">
      <sharedItems containsSemiMixedTypes="0" containsString="0" containsNumber="1" containsInteger="1" minValue="1246" maxValue="924366"/>
    </cacheField>
    <cacheField name="Oct-21" numFmtId="165">
      <sharedItems containsSemiMixedTypes="0" containsString="0" containsNumber="1" containsInteger="1" minValue="1246" maxValue="907576"/>
    </cacheField>
    <cacheField name="Nov-21" numFmtId="165">
      <sharedItems containsSemiMixedTypes="0" containsString="0" containsNumber="1" containsInteger="1" minValue="1246" maxValue="945771"/>
    </cacheField>
    <cacheField name="Dec-21" numFmtId="165">
      <sharedItems containsSemiMixedTypes="0" containsString="0" containsNumber="1" containsInteger="1" minValue="1246" maxValue="1928656"/>
    </cacheField>
    <cacheField name="Jan-22" numFmtId="165">
      <sharedItems containsSemiMixedTypes="0" containsString="0" containsNumber="1" containsInteger="1" minValue="1246" maxValue="1023031"/>
    </cacheField>
    <cacheField name="Average" numFmtId="165">
      <sharedItems containsSemiMixedTypes="0" containsString="0" containsNumber="1" minValue="1246" maxValue="1084570.2857142857"/>
    </cacheField>
    <cacheField name="Min" numFmtId="165">
      <sharedItems containsSemiMixedTypes="0" containsString="0" containsNumber="1" containsInteger="1" minValue="1246" maxValue="907576"/>
    </cacheField>
    <cacheField name="Max" numFmtId="165">
      <sharedItems containsSemiMixedTypes="0" containsString="0" containsNumber="1" containsInteger="1" minValue="1246" maxValue="1928656"/>
    </cacheField>
    <cacheField name="Total" numFmtId="0">
      <sharedItems containsSemiMixedTypes="0" containsString="0" containsNumber="1" containsInteger="1" minValue="8722" maxValue="7591992"/>
    </cacheField>
    <cacheField name="MoM" numFmtId="0">
      <sharedItems containsSemiMixedTypes="0" containsString="0" containsNumber="1" minValue="-0.49047717434747562" maxValue="3.6115569823435001E-2"/>
    </cacheField>
    <cacheField name="Perform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908851"/>
    <n v="953741"/>
    <n v="924366"/>
    <n v="907576"/>
    <n v="945771"/>
    <n v="1928656"/>
    <n v="1023031"/>
    <n v="1084570.2857142857"/>
    <n v="907576"/>
    <n v="1928656"/>
    <n v="7591992"/>
    <n v="-0.46956274213753002"/>
    <s v="Above Average"/>
  </r>
  <r>
    <x v="1"/>
    <x v="1"/>
    <x v="1"/>
    <n v="544951"/>
    <n v="576636"/>
    <n v="564851"/>
    <n v="516416"/>
    <n v="558496"/>
    <n v="1139066"/>
    <n v="606996"/>
    <n v="643916"/>
    <n v="516416"/>
    <n v="1139066"/>
    <n v="4507412"/>
    <n v="-0.46711077321243899"/>
    <s v="Above Average"/>
  </r>
  <r>
    <x v="2"/>
    <x v="2"/>
    <x v="2"/>
    <n v="259311"/>
    <n v="263611"/>
    <n v="263801"/>
    <n v="279256"/>
    <n v="283426"/>
    <n v="590476"/>
    <n v="300861"/>
    <n v="320106"/>
    <n v="259311"/>
    <n v="590476"/>
    <n v="2240742"/>
    <n v="-0.49047717434747562"/>
    <s v="Above Average"/>
  </r>
  <r>
    <x v="3"/>
    <x v="0"/>
    <x v="1"/>
    <n v="81641"/>
    <n v="86581"/>
    <n v="78091"/>
    <n v="92076"/>
    <n v="94381"/>
    <n v="187256"/>
    <n v="111241"/>
    <n v="104466.71428571429"/>
    <n v="78091"/>
    <n v="187256"/>
    <n v="731267"/>
    <n v="-0.40594159866706536"/>
    <s v="Below Average"/>
  </r>
  <r>
    <x v="4"/>
    <x v="3"/>
    <x v="1"/>
    <n v="14506"/>
    <n v="18876"/>
    <n v="8641"/>
    <n v="5236"/>
    <n v="5066"/>
    <n v="2286"/>
    <n v="1316"/>
    <n v="7989.5714285714284"/>
    <n v="1316"/>
    <n v="18876"/>
    <n v="55927"/>
    <n v="-0.42432195975503062"/>
    <s v="Below Average"/>
  </r>
  <r>
    <x v="5"/>
    <x v="1"/>
    <x v="0"/>
    <n v="5746"/>
    <n v="5816"/>
    <n v="5836"/>
    <n v="5671"/>
    <n v="5841"/>
    <n v="10066"/>
    <n v="5821"/>
    <n v="6399.5714285714284"/>
    <n v="5671"/>
    <n v="10066"/>
    <n v="44797"/>
    <n v="-0.42171666997814428"/>
    <s v="Below Average"/>
  </r>
  <r>
    <x v="6"/>
    <x v="2"/>
    <x v="1"/>
    <n v="7586"/>
    <n v="7081"/>
    <n v="8006"/>
    <n v="12296"/>
    <n v="1246"/>
    <n v="1246"/>
    <n v="1246"/>
    <n v="5529.5714285714284"/>
    <n v="1246"/>
    <n v="12296"/>
    <n v="38707"/>
    <n v="0"/>
    <s v="Below Average"/>
  </r>
  <r>
    <x v="7"/>
    <x v="4"/>
    <x v="1"/>
    <n v="2251"/>
    <n v="2286"/>
    <n v="2286"/>
    <n v="3756"/>
    <n v="4451"/>
    <n v="4956"/>
    <n v="2671"/>
    <n v="3236.7142857142858"/>
    <n v="2251"/>
    <n v="4956"/>
    <n v="22657"/>
    <n v="-0.46105730427764324"/>
    <s v="Below Average"/>
  </r>
  <r>
    <x v="8"/>
    <x v="3"/>
    <x v="1"/>
    <n v="1506"/>
    <n v="1501"/>
    <n v="1501"/>
    <n v="1516"/>
    <n v="1501"/>
    <n v="1746"/>
    <n v="1496"/>
    <n v="1538.1428571428571"/>
    <n v="1496"/>
    <n v="1746"/>
    <n v="10767"/>
    <n v="-0.14318442153493705"/>
    <s v="Below Average"/>
  </r>
  <r>
    <x v="9"/>
    <x v="5"/>
    <x v="1"/>
    <n v="1296"/>
    <n v="1296"/>
    <n v="1296"/>
    <n v="1291"/>
    <n v="1296"/>
    <n v="1346"/>
    <n v="1296"/>
    <n v="1302.4285714285713"/>
    <n v="1291"/>
    <n v="1346"/>
    <n v="9117"/>
    <n v="-3.7147102526002951E-2"/>
    <s v="Below Average"/>
  </r>
  <r>
    <x v="10"/>
    <x v="4"/>
    <x v="1"/>
    <n v="1246"/>
    <n v="1246"/>
    <n v="1246"/>
    <n v="1251"/>
    <n v="1256"/>
    <n v="1396"/>
    <n v="1256"/>
    <n v="1271"/>
    <n v="1246"/>
    <n v="1396"/>
    <n v="8897"/>
    <n v="-0.10028653295128942"/>
    <s v="Below Average"/>
  </r>
  <r>
    <x v="11"/>
    <x v="6"/>
    <x v="1"/>
    <n v="1271"/>
    <n v="1271"/>
    <n v="1271"/>
    <n v="1271"/>
    <n v="1271"/>
    <n v="1276"/>
    <n v="1246"/>
    <n v="1268.1428571428571"/>
    <n v="1246"/>
    <n v="1276"/>
    <n v="8877"/>
    <n v="-2.3510971786833812E-2"/>
    <s v="Below Average"/>
  </r>
  <r>
    <x v="12"/>
    <x v="2"/>
    <x v="1"/>
    <n v="1246"/>
    <n v="1246"/>
    <n v="1246"/>
    <n v="1246"/>
    <n v="1246"/>
    <n v="1246"/>
    <n v="1291"/>
    <n v="1252.4285714285713"/>
    <n v="1246"/>
    <n v="1291"/>
    <n v="8767"/>
    <n v="3.6115569823435001E-2"/>
    <s v="Below Average"/>
  </r>
  <r>
    <x v="13"/>
    <x v="4"/>
    <x v="1"/>
    <n v="1246"/>
    <n v="1246"/>
    <n v="1246"/>
    <n v="1246"/>
    <n v="1246"/>
    <n v="1246"/>
    <n v="1246"/>
    <n v="1246"/>
    <n v="1246"/>
    <n v="1246"/>
    <n v="8722"/>
    <n v="0"/>
    <s v="Below Average"/>
  </r>
  <r>
    <x v="14"/>
    <x v="3"/>
    <x v="0"/>
    <n v="1246"/>
    <n v="1246"/>
    <n v="1246"/>
    <n v="1246"/>
    <n v="1246"/>
    <n v="1246"/>
    <n v="1246"/>
    <n v="1246"/>
    <n v="1246"/>
    <n v="1246"/>
    <n v="8722"/>
    <n v="0"/>
    <s v="Below Average"/>
  </r>
  <r>
    <x v="15"/>
    <x v="1"/>
    <x v="0"/>
    <n v="1246"/>
    <n v="1246"/>
    <n v="1246"/>
    <n v="1246"/>
    <n v="1246"/>
    <n v="1246"/>
    <n v="1246"/>
    <n v="1246"/>
    <n v="1246"/>
    <n v="1246"/>
    <n v="8722"/>
    <n v="0"/>
    <s v="Below Aver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283BF-421D-473B-82B5-C94A5C43FEBA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43:F47" firstHeaderRow="1" firstDataRow="1" firstDataCol="1"/>
  <pivotFields count="16">
    <pivotField showAll="0"/>
    <pivotField axis="axisRow" showAll="0" measureFilter="1" sortType="ascending">
      <items count="8">
        <item x="3"/>
        <item x="6"/>
        <item x="0"/>
        <item x="4"/>
        <item x="5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showAll="0"/>
    <pivotField showAll="0"/>
    <pivotField showAll="0"/>
  </pivotFields>
  <rowFields count="1">
    <field x="1"/>
  </rowFields>
  <rowItems count="4">
    <i>
      <x v="6"/>
    </i>
    <i>
      <x v="5"/>
    </i>
    <i>
      <x v="2"/>
    </i>
    <i t="grand">
      <x/>
    </i>
  </rowItems>
  <colItems count="1">
    <i/>
  </colItems>
  <dataFields count="1">
    <dataField name="Sum of Average" fld="10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9B521-4083-497A-8767-2A6E6A2328C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21:F25" firstHeaderRow="1" firstDataRow="1" firstDataCol="1"/>
  <pivotFields count="16"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verage" fld="10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CCD9A-F811-4933-8424-4B95B688192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1:B37" firstHeaderRow="1" firstDataRow="1" firstDataCol="1"/>
  <pivotFields count="16">
    <pivotField axis="axisRow" showAll="0" measureFilter="1" sortType="ascending">
      <items count="17">
        <item x="2"/>
        <item x="1"/>
        <item x="6"/>
        <item x="9"/>
        <item x="4"/>
        <item x="7"/>
        <item x="5"/>
        <item x="11"/>
        <item x="13"/>
        <item x="10"/>
        <item x="8"/>
        <item x="14"/>
        <item x="12"/>
        <item x="3"/>
        <item x="1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showAll="0"/>
    <pivotField showAll="0"/>
    <pivotField showAll="0"/>
  </pivotFields>
  <rowFields count="1">
    <field x="0"/>
  </rowFields>
  <rowItems count="6">
    <i>
      <x v="4"/>
    </i>
    <i>
      <x v="13"/>
    </i>
    <i>
      <x/>
    </i>
    <i>
      <x v="1"/>
    </i>
    <i>
      <x v="15"/>
    </i>
    <i t="grand">
      <x/>
    </i>
  </rowItems>
  <colItems count="1">
    <i/>
  </colItems>
  <dataFields count="1">
    <dataField name="Sum of Total" fld="13" baseField="0" baseItem="0" numFmtId="165"/>
  </dataFields>
  <formats count="6">
    <format dxfId="55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5913C-6F7E-451D-9894-6B273AD3096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C29" firstHeaderRow="0" firstDataRow="1" firstDataCol="1"/>
  <pivotFields count="16">
    <pivotField showAll="0"/>
    <pivotField axis="axisRow" showAll="0">
      <items count="8">
        <item x="3"/>
        <item x="6"/>
        <item x="0"/>
        <item x="4"/>
        <item x="5"/>
        <item x="1"/>
        <item x="2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3" baseField="0" baseItem="0" numFmtId="165"/>
    <dataField name="Sum of Average" fld="10" baseField="0" baseItem="0" numFmtId="165"/>
  </dataFields>
  <formats count="1">
    <format dxfId="6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2441A8-C55F-4E6B-82C9-F36F0340232F}" name="Table2" displayName="Table2" ref="A2:P18" totalsRowShown="0" headerRowDxfId="78">
  <autoFilter ref="A2:P18" xr:uid="{872441A8-C55F-4E6B-82C9-F36F0340232F}"/>
  <sortState xmlns:xlrd2="http://schemas.microsoft.com/office/spreadsheetml/2017/richdata2" ref="A3:N18">
    <sortCondition descending="1" ref="N2:N18"/>
  </sortState>
  <tableColumns count="16">
    <tableColumn id="1" xr3:uid="{67F034B5-2BF5-4BD9-AC9D-FDA434CC3094}" name="MOVIE"/>
    <tableColumn id="17" xr3:uid="{16192B9A-8AFB-4C32-A9B8-30ED6B4C8746}" name="Distributor" dataDxfId="71" dataCellStyle="Comma">
      <calculatedColumnFormula>_xlfn.XLOOKUP(Table2[[#This Row],[MOVIE]],Data!$A$2:$A$17,Data!$B$2:$B$17)</calculatedColumnFormula>
    </tableColumn>
    <tableColumn id="2" xr3:uid="{FD87CCA5-F3A6-4EBB-AD0B-1242E0962CA2}" name="GENRE"/>
    <tableColumn id="3" xr3:uid="{D7B647CE-817C-4365-8609-D885E3EFA95D}" name="Jul-21"/>
    <tableColumn id="4" xr3:uid="{535A5C8B-41E1-4401-8CDC-4C4077F26A87}" name="Aug-21"/>
    <tableColumn id="5" xr3:uid="{2D406B3E-8752-4840-9FC2-5B4C337AA4D0}" name="Sep-21"/>
    <tableColumn id="6" xr3:uid="{1FA5A17D-5E89-439B-9E07-98FA22110EAB}" name="Oct-21"/>
    <tableColumn id="7" xr3:uid="{B57B24C0-DB07-408A-8E63-925B819599A2}" name="Nov-21"/>
    <tableColumn id="8" xr3:uid="{D0A3B6EC-E3B3-47B8-87BC-B28EC6E6757B}" name="Dec-21"/>
    <tableColumn id="9" xr3:uid="{33B08A05-A3C1-4AEA-AF1E-3DDD01D8A219}" name="Jan-22"/>
    <tableColumn id="11" xr3:uid="{C370818B-BCA0-4A6C-9F81-55C539E1C297}" name="Average" dataDxfId="77">
      <calculatedColumnFormula>AVERAGE(Table2[[#This Row],[Jul-21]:[Jan-22]])</calculatedColumnFormula>
    </tableColumn>
    <tableColumn id="12" xr3:uid="{81C66D65-750D-4A93-AC3C-BC7067B811E1}" name="Min" dataDxfId="76" dataCellStyle="Comma">
      <calculatedColumnFormula>MIN(Table2[[#This Row],[Jul-21]:[Jan-22]])</calculatedColumnFormula>
    </tableColumn>
    <tableColumn id="13" xr3:uid="{4995163B-C9CC-4671-8602-061C41301CE9}" name="Max" dataDxfId="75" dataCellStyle="Comma">
      <calculatedColumnFormula>MAX(Table2[[#This Row],[Jul-21]:[Jan-22]])</calculatedColumnFormula>
    </tableColumn>
    <tableColumn id="14" xr3:uid="{DAAED262-CB05-49E4-8CC4-A2682B2E4090}" name="Total" dataDxfId="74">
      <calculatedColumnFormula>SUM(Table2[[#This Row],[Jul-21]:[Jan-22]])</calculatedColumnFormula>
    </tableColumn>
    <tableColumn id="15" xr3:uid="{13D313BD-96D4-4260-9EEE-904CA1FB9B9A}" name="MoM" dataDxfId="73">
      <calculatedColumnFormula>Table2[[#This Row],[Jan-22]]/Table2[[#This Row],[Dec-21]]-1</calculatedColumnFormula>
    </tableColumn>
    <tableColumn id="16" xr3:uid="{402A9E50-9B5E-4289-94EC-7A3E6EF4556F}" name="Performance" dataDxfId="72">
      <calculatedColumnFormula>IF(Table2[[#This Row],[Average]]&gt;AVERAGE(Table2[Average]),"Above Average","Below Average")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C865-ECBC-4451-85EC-41BAB236E52D}">
  <dimension ref="A1:P47"/>
  <sheetViews>
    <sheetView tabSelected="1" topLeftCell="A28" zoomScaleNormal="100" workbookViewId="0">
      <selection activeCell="E46" sqref="E46"/>
    </sheetView>
  </sheetViews>
  <sheetFormatPr defaultRowHeight="15" x14ac:dyDescent="0.25"/>
  <cols>
    <col min="1" max="1" width="35.28515625" bestFit="1" customWidth="1"/>
    <col min="2" max="2" width="13.5703125" bestFit="1" customWidth="1"/>
    <col min="3" max="3" width="15" bestFit="1" customWidth="1"/>
    <col min="4" max="4" width="14" bestFit="1" customWidth="1"/>
    <col min="5" max="5" width="18.5703125" bestFit="1" customWidth="1"/>
    <col min="6" max="6" width="15" bestFit="1" customWidth="1"/>
    <col min="7" max="10" width="14" bestFit="1" customWidth="1"/>
    <col min="11" max="13" width="13.28515625" bestFit="1" customWidth="1"/>
    <col min="16" max="16" width="14.5703125" bestFit="1" customWidth="1"/>
  </cols>
  <sheetData>
    <row r="1" spans="1:16" ht="73.150000000000006" customHeight="1" x14ac:dyDescent="0.25">
      <c r="A1" s="4" t="s">
        <v>29</v>
      </c>
      <c r="B1" s="4"/>
      <c r="C1" s="4"/>
      <c r="D1" s="4"/>
      <c r="E1" s="4"/>
      <c r="F1" s="4"/>
      <c r="G1" s="4"/>
      <c r="H1" s="4"/>
      <c r="I1" s="4"/>
      <c r="J1" s="4"/>
    </row>
    <row r="2" spans="1:16" x14ac:dyDescent="0.25">
      <c r="A2" t="s">
        <v>0</v>
      </c>
      <c r="B2" s="1" t="s">
        <v>37</v>
      </c>
      <c r="C2" t="s">
        <v>17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39</v>
      </c>
      <c r="L2" s="1" t="s">
        <v>40</v>
      </c>
      <c r="M2" s="1" t="s">
        <v>41</v>
      </c>
      <c r="N2" s="1" t="s">
        <v>38</v>
      </c>
      <c r="O2" s="1" t="s">
        <v>42</v>
      </c>
      <c r="P2" s="1" t="s">
        <v>43</v>
      </c>
    </row>
    <row r="3" spans="1:16" x14ac:dyDescent="0.25">
      <c r="A3" t="s">
        <v>15</v>
      </c>
      <c r="B3" s="6" t="str">
        <f>_xlfn.XLOOKUP(Table2[[#This Row],[MOVIE]],Data!$A$2:$A$17,Data!$B$2:$B$17)</f>
        <v>Paramount Pictures</v>
      </c>
      <c r="C3" t="s">
        <v>20</v>
      </c>
      <c r="D3" s="6">
        <v>908851</v>
      </c>
      <c r="E3" s="6">
        <v>953741</v>
      </c>
      <c r="F3" s="6">
        <v>924366</v>
      </c>
      <c r="G3" s="6">
        <v>907576</v>
      </c>
      <c r="H3" s="6">
        <v>945771</v>
      </c>
      <c r="I3" s="6">
        <v>1928656</v>
      </c>
      <c r="J3" s="6">
        <v>1023031</v>
      </c>
      <c r="K3" s="6">
        <f>AVERAGE(Table2[[#This Row],[Jul-21]:[Jan-22]])</f>
        <v>1084570.2857142857</v>
      </c>
      <c r="L3" s="6">
        <f>MIN(Table2[[#This Row],[Jul-21]:[Jan-22]])</f>
        <v>907576</v>
      </c>
      <c r="M3" s="6">
        <f>MAX(Table2[[#This Row],[Jul-21]:[Jan-22]])</f>
        <v>1928656</v>
      </c>
      <c r="N3">
        <f>SUM(Table2[[#This Row],[Jul-21]:[Jan-22]])</f>
        <v>7591992</v>
      </c>
      <c r="O3" s="7">
        <f>Table2[[#This Row],[Jan-22]]/Table2[[#This Row],[Dec-21]]-1</f>
        <v>-0.46956274213753002</v>
      </c>
      <c r="P3" s="5" t="str">
        <f>IF(Table2[[#This Row],[Average]]&gt;AVERAGE(Table2[Average]),"Above Average","Below Average")</f>
        <v>Above Average</v>
      </c>
    </row>
    <row r="4" spans="1:16" x14ac:dyDescent="0.25">
      <c r="A4" t="s">
        <v>9</v>
      </c>
      <c r="B4" s="6" t="str">
        <f>_xlfn.XLOOKUP(Table2[[#This Row],[MOVIE]],Data!$A$2:$A$17,Data!$B$2:$B$17)</f>
        <v>Walt Disney</v>
      </c>
      <c r="C4" t="s">
        <v>19</v>
      </c>
      <c r="D4" s="6">
        <v>544951</v>
      </c>
      <c r="E4" s="6">
        <v>576636</v>
      </c>
      <c r="F4" s="6">
        <v>564851</v>
      </c>
      <c r="G4" s="6">
        <v>516416</v>
      </c>
      <c r="H4" s="6">
        <v>558496</v>
      </c>
      <c r="I4" s="6">
        <v>1139066</v>
      </c>
      <c r="J4" s="6">
        <v>606996</v>
      </c>
      <c r="K4" s="6">
        <f>AVERAGE(Table2[[#This Row],[Jul-21]:[Jan-22]])</f>
        <v>643916</v>
      </c>
      <c r="L4" s="6">
        <f>MIN(Table2[[#This Row],[Jul-21]:[Jan-22]])</f>
        <v>516416</v>
      </c>
      <c r="M4" s="6">
        <f>MAX(Table2[[#This Row],[Jul-21]:[Jan-22]])</f>
        <v>1139066</v>
      </c>
      <c r="N4">
        <f>SUM(Table2[[#This Row],[Jul-21]:[Jan-22]])</f>
        <v>4507412</v>
      </c>
      <c r="O4" s="7">
        <f>Table2[[#This Row],[Jan-22]]/Table2[[#This Row],[Dec-21]]-1</f>
        <v>-0.46711077321243899</v>
      </c>
      <c r="P4" s="5" t="str">
        <f>IF(Table2[[#This Row],[Average]]&gt;AVERAGE(Table2[Average]),"Above Average","Below Average")</f>
        <v>Above Average</v>
      </c>
    </row>
    <row r="5" spans="1:16" x14ac:dyDescent="0.25">
      <c r="A5" t="s">
        <v>1</v>
      </c>
      <c r="B5" s="6" t="str">
        <f>_xlfn.XLOOKUP(Table2[[#This Row],[MOVIE]],Data!$A$2:$A$17,Data!$B$2:$B$17)</f>
        <v>Warner Bros.</v>
      </c>
      <c r="C5" t="s">
        <v>18</v>
      </c>
      <c r="D5" s="6">
        <v>259311</v>
      </c>
      <c r="E5" s="6">
        <v>263611</v>
      </c>
      <c r="F5" s="6">
        <v>263801</v>
      </c>
      <c r="G5" s="6">
        <v>279256</v>
      </c>
      <c r="H5" s="6">
        <v>283426</v>
      </c>
      <c r="I5" s="6">
        <v>590476</v>
      </c>
      <c r="J5" s="6">
        <v>300861</v>
      </c>
      <c r="K5" s="6">
        <f>AVERAGE(Table2[[#This Row],[Jul-21]:[Jan-22]])</f>
        <v>320106</v>
      </c>
      <c r="L5" s="6">
        <f>MIN(Table2[[#This Row],[Jul-21]:[Jan-22]])</f>
        <v>259311</v>
      </c>
      <c r="M5" s="6">
        <f>MAX(Table2[[#This Row],[Jul-21]:[Jan-22]])</f>
        <v>590476</v>
      </c>
      <c r="N5">
        <f>SUM(Table2[[#This Row],[Jul-21]:[Jan-22]])</f>
        <v>2240742</v>
      </c>
      <c r="O5" s="7">
        <f>Table2[[#This Row],[Jan-22]]/Table2[[#This Row],[Dec-21]]-1</f>
        <v>-0.49047717434747562</v>
      </c>
      <c r="P5" s="5" t="str">
        <f>IF(Table2[[#This Row],[Average]]&gt;AVERAGE(Table2[Average]),"Above Average","Below Average")</f>
        <v>Above Average</v>
      </c>
    </row>
    <row r="6" spans="1:16" x14ac:dyDescent="0.25">
      <c r="A6" t="s">
        <v>4</v>
      </c>
      <c r="B6" s="6" t="str">
        <f>_xlfn.XLOOKUP(Table2[[#This Row],[MOVIE]],Data!$A$2:$A$17,Data!$B$2:$B$17)</f>
        <v>Paramount Pictures</v>
      </c>
      <c r="C6" t="s">
        <v>19</v>
      </c>
      <c r="D6" s="6">
        <v>81641</v>
      </c>
      <c r="E6" s="6">
        <v>86581</v>
      </c>
      <c r="F6" s="6">
        <v>78091</v>
      </c>
      <c r="G6" s="6">
        <v>92076</v>
      </c>
      <c r="H6" s="6">
        <v>94381</v>
      </c>
      <c r="I6" s="6">
        <v>187256</v>
      </c>
      <c r="J6" s="6">
        <v>111241</v>
      </c>
      <c r="K6" s="6">
        <f>AVERAGE(Table2[[#This Row],[Jul-21]:[Jan-22]])</f>
        <v>104466.71428571429</v>
      </c>
      <c r="L6" s="6">
        <f>MIN(Table2[[#This Row],[Jul-21]:[Jan-22]])</f>
        <v>78091</v>
      </c>
      <c r="M6" s="6">
        <f>MAX(Table2[[#This Row],[Jul-21]:[Jan-22]])</f>
        <v>187256</v>
      </c>
      <c r="N6">
        <f>SUM(Table2[[#This Row],[Jul-21]:[Jan-22]])</f>
        <v>731267</v>
      </c>
      <c r="O6" s="7">
        <f>Table2[[#This Row],[Jan-22]]/Table2[[#This Row],[Dec-21]]-1</f>
        <v>-0.40594159866706536</v>
      </c>
      <c r="P6" s="5" t="str">
        <f>IF(Table2[[#This Row],[Average]]&gt;AVERAGE(Table2[Average]),"Above Average","Below Average")</f>
        <v>Below Average</v>
      </c>
    </row>
    <row r="7" spans="1:16" x14ac:dyDescent="0.25">
      <c r="A7" t="s">
        <v>2</v>
      </c>
      <c r="B7" s="6" t="str">
        <f>_xlfn.XLOOKUP(Table2[[#This Row],[MOVIE]],Data!$A$2:$A$17,Data!$B$2:$B$17)</f>
        <v>20th Century Fox</v>
      </c>
      <c r="C7" t="s">
        <v>19</v>
      </c>
      <c r="D7" s="6">
        <v>14506</v>
      </c>
      <c r="E7" s="6">
        <v>18876</v>
      </c>
      <c r="F7" s="6">
        <v>8641</v>
      </c>
      <c r="G7" s="6">
        <v>5236</v>
      </c>
      <c r="H7" s="6">
        <v>5066</v>
      </c>
      <c r="I7" s="6">
        <v>2286</v>
      </c>
      <c r="J7" s="6">
        <v>1316</v>
      </c>
      <c r="K7" s="6">
        <f>AVERAGE(Table2[[#This Row],[Jul-21]:[Jan-22]])</f>
        <v>7989.5714285714284</v>
      </c>
      <c r="L7" s="6">
        <f>MIN(Table2[[#This Row],[Jul-21]:[Jan-22]])</f>
        <v>1316</v>
      </c>
      <c r="M7" s="6">
        <f>MAX(Table2[[#This Row],[Jul-21]:[Jan-22]])</f>
        <v>18876</v>
      </c>
      <c r="N7">
        <f>SUM(Table2[[#This Row],[Jul-21]:[Jan-22]])</f>
        <v>55927</v>
      </c>
      <c r="O7" s="7">
        <f>Table2[[#This Row],[Jan-22]]/Table2[[#This Row],[Dec-21]]-1</f>
        <v>-0.42432195975503062</v>
      </c>
      <c r="P7" s="5" t="str">
        <f>IF(Table2[[#This Row],[Average]]&gt;AVERAGE(Table2[Average]),"Above Average","Below Average")</f>
        <v>Below Average</v>
      </c>
    </row>
    <row r="8" spans="1:16" x14ac:dyDescent="0.25">
      <c r="A8" t="s">
        <v>12</v>
      </c>
      <c r="B8" s="6" t="str">
        <f>_xlfn.XLOOKUP(Table2[[#This Row],[MOVIE]],Data!$A$2:$A$17,Data!$B$2:$B$17)</f>
        <v>Walt Disney</v>
      </c>
      <c r="C8" t="s">
        <v>20</v>
      </c>
      <c r="D8" s="6">
        <v>5746</v>
      </c>
      <c r="E8" s="6">
        <v>5816</v>
      </c>
      <c r="F8" s="6">
        <v>5836</v>
      </c>
      <c r="G8" s="6">
        <v>5671</v>
      </c>
      <c r="H8" s="6">
        <v>5841</v>
      </c>
      <c r="I8" s="6">
        <v>10066</v>
      </c>
      <c r="J8" s="6">
        <v>5821</v>
      </c>
      <c r="K8" s="6">
        <f>AVERAGE(Table2[[#This Row],[Jul-21]:[Jan-22]])</f>
        <v>6399.5714285714284</v>
      </c>
      <c r="L8" s="6">
        <f>MIN(Table2[[#This Row],[Jul-21]:[Jan-22]])</f>
        <v>5671</v>
      </c>
      <c r="M8" s="6">
        <f>MAX(Table2[[#This Row],[Jul-21]:[Jan-22]])</f>
        <v>10066</v>
      </c>
      <c r="N8">
        <f>SUM(Table2[[#This Row],[Jul-21]:[Jan-22]])</f>
        <v>44797</v>
      </c>
      <c r="O8" s="7">
        <f>Table2[[#This Row],[Jan-22]]/Table2[[#This Row],[Dec-21]]-1</f>
        <v>-0.42171666997814428</v>
      </c>
      <c r="P8" s="5" t="str">
        <f>IF(Table2[[#This Row],[Average]]&gt;AVERAGE(Table2[Average]),"Above Average","Below Average")</f>
        <v>Below Average</v>
      </c>
    </row>
    <row r="9" spans="1:16" x14ac:dyDescent="0.25">
      <c r="A9" t="s">
        <v>7</v>
      </c>
      <c r="B9" s="6" t="str">
        <f>_xlfn.XLOOKUP(Table2[[#This Row],[MOVIE]],Data!$A$2:$A$17,Data!$B$2:$B$17)</f>
        <v>Warner Bros.</v>
      </c>
      <c r="C9" t="s">
        <v>19</v>
      </c>
      <c r="D9" s="6">
        <v>7586</v>
      </c>
      <c r="E9" s="6">
        <v>7081</v>
      </c>
      <c r="F9" s="6">
        <v>8006</v>
      </c>
      <c r="G9" s="6">
        <v>12296</v>
      </c>
      <c r="H9" s="6">
        <v>1246</v>
      </c>
      <c r="I9" s="6">
        <v>1246</v>
      </c>
      <c r="J9" s="6">
        <v>1246</v>
      </c>
      <c r="K9" s="6">
        <f>AVERAGE(Table2[[#This Row],[Jul-21]:[Jan-22]])</f>
        <v>5529.5714285714284</v>
      </c>
      <c r="L9" s="6">
        <f>MIN(Table2[[#This Row],[Jul-21]:[Jan-22]])</f>
        <v>1246</v>
      </c>
      <c r="M9" s="6">
        <f>MAX(Table2[[#This Row],[Jul-21]:[Jan-22]])</f>
        <v>12296</v>
      </c>
      <c r="N9">
        <f>SUM(Table2[[#This Row],[Jul-21]:[Jan-22]])</f>
        <v>38707</v>
      </c>
      <c r="O9" s="7">
        <f>Table2[[#This Row],[Jan-22]]/Table2[[#This Row],[Dec-21]]-1</f>
        <v>0</v>
      </c>
      <c r="P9" s="5" t="str">
        <f>IF(Table2[[#This Row],[Average]]&gt;AVERAGE(Table2[Average]),"Above Average","Below Average")</f>
        <v>Below Average</v>
      </c>
    </row>
    <row r="10" spans="1:16" x14ac:dyDescent="0.25">
      <c r="A10" t="s">
        <v>3</v>
      </c>
      <c r="B10" s="6" t="str">
        <f>_xlfn.XLOOKUP(Table2[[#This Row],[MOVIE]],Data!$A$2:$A$17,Data!$B$2:$B$17)</f>
        <v>Sony Pictures</v>
      </c>
      <c r="C10" t="s">
        <v>19</v>
      </c>
      <c r="D10" s="6">
        <v>2251</v>
      </c>
      <c r="E10" s="6">
        <v>2286</v>
      </c>
      <c r="F10" s="6">
        <v>2286</v>
      </c>
      <c r="G10" s="6">
        <v>3756</v>
      </c>
      <c r="H10" s="6">
        <v>4451</v>
      </c>
      <c r="I10" s="6">
        <v>4956</v>
      </c>
      <c r="J10" s="6">
        <v>2671</v>
      </c>
      <c r="K10" s="6">
        <f>AVERAGE(Table2[[#This Row],[Jul-21]:[Jan-22]])</f>
        <v>3236.7142857142858</v>
      </c>
      <c r="L10" s="6">
        <f>MIN(Table2[[#This Row],[Jul-21]:[Jan-22]])</f>
        <v>2251</v>
      </c>
      <c r="M10" s="6">
        <f>MAX(Table2[[#This Row],[Jul-21]:[Jan-22]])</f>
        <v>4956</v>
      </c>
      <c r="N10">
        <f>SUM(Table2[[#This Row],[Jul-21]:[Jan-22]])</f>
        <v>22657</v>
      </c>
      <c r="O10" s="7">
        <f>Table2[[#This Row],[Jan-22]]/Table2[[#This Row],[Dec-21]]-1</f>
        <v>-0.46105730427764324</v>
      </c>
      <c r="P10" s="5" t="str">
        <f>IF(Table2[[#This Row],[Average]]&gt;AVERAGE(Table2[Average]),"Above Average","Below Average")</f>
        <v>Below Average</v>
      </c>
    </row>
    <row r="11" spans="1:16" x14ac:dyDescent="0.25">
      <c r="A11" t="s">
        <v>5</v>
      </c>
      <c r="B11" s="6" t="str">
        <f>_xlfn.XLOOKUP(Table2[[#This Row],[MOVIE]],Data!$A$2:$A$17,Data!$B$2:$B$17)</f>
        <v>20th Century Fox</v>
      </c>
      <c r="C11" t="s">
        <v>19</v>
      </c>
      <c r="D11" s="6">
        <v>1506</v>
      </c>
      <c r="E11" s="6">
        <v>1501</v>
      </c>
      <c r="F11" s="6">
        <v>1501</v>
      </c>
      <c r="G11" s="6">
        <v>1516</v>
      </c>
      <c r="H11" s="6">
        <v>1501</v>
      </c>
      <c r="I11" s="6">
        <v>1746</v>
      </c>
      <c r="J11" s="6">
        <v>1496</v>
      </c>
      <c r="K11" s="6">
        <f>AVERAGE(Table2[[#This Row],[Jul-21]:[Jan-22]])</f>
        <v>1538.1428571428571</v>
      </c>
      <c r="L11" s="6">
        <f>MIN(Table2[[#This Row],[Jul-21]:[Jan-22]])</f>
        <v>1496</v>
      </c>
      <c r="M11" s="6">
        <f>MAX(Table2[[#This Row],[Jul-21]:[Jan-22]])</f>
        <v>1746</v>
      </c>
      <c r="N11">
        <f>SUM(Table2[[#This Row],[Jul-21]:[Jan-22]])</f>
        <v>10767</v>
      </c>
      <c r="O11" s="7">
        <f>Table2[[#This Row],[Jan-22]]/Table2[[#This Row],[Dec-21]]-1</f>
        <v>-0.14318442153493705</v>
      </c>
      <c r="P11" s="5" t="str">
        <f>IF(Table2[[#This Row],[Average]]&gt;AVERAGE(Table2[Average]),"Above Average","Below Average")</f>
        <v>Below Average</v>
      </c>
    </row>
    <row r="12" spans="1:16" x14ac:dyDescent="0.25">
      <c r="A12" t="s">
        <v>6</v>
      </c>
      <c r="B12" s="6" t="str">
        <f>_xlfn.XLOOKUP(Table2[[#This Row],[MOVIE]],Data!$A$2:$A$17,Data!$B$2:$B$17)</f>
        <v>Universal</v>
      </c>
      <c r="C12" t="s">
        <v>19</v>
      </c>
      <c r="D12" s="6">
        <v>1296</v>
      </c>
      <c r="E12" s="6">
        <v>1296</v>
      </c>
      <c r="F12" s="6">
        <v>1296</v>
      </c>
      <c r="G12" s="6">
        <v>1291</v>
      </c>
      <c r="H12" s="6">
        <v>1296</v>
      </c>
      <c r="I12" s="6">
        <v>1346</v>
      </c>
      <c r="J12" s="6">
        <v>1296</v>
      </c>
      <c r="K12" s="6">
        <f>AVERAGE(Table2[[#This Row],[Jul-21]:[Jan-22]])</f>
        <v>1302.4285714285713</v>
      </c>
      <c r="L12" s="6">
        <f>MIN(Table2[[#This Row],[Jul-21]:[Jan-22]])</f>
        <v>1291</v>
      </c>
      <c r="M12" s="6">
        <f>MAX(Table2[[#This Row],[Jul-21]:[Jan-22]])</f>
        <v>1346</v>
      </c>
      <c r="N12">
        <f>SUM(Table2[[#This Row],[Jul-21]:[Jan-22]])</f>
        <v>9117</v>
      </c>
      <c r="O12" s="7">
        <f>Table2[[#This Row],[Jan-22]]/Table2[[#This Row],[Dec-21]]-1</f>
        <v>-3.7147102526002951E-2</v>
      </c>
      <c r="P12" s="5" t="str">
        <f>IF(Table2[[#This Row],[Average]]&gt;AVERAGE(Table2[Average]),"Above Average","Below Average")</f>
        <v>Below Average</v>
      </c>
    </row>
    <row r="13" spans="1:16" x14ac:dyDescent="0.25">
      <c r="A13" t="s">
        <v>13</v>
      </c>
      <c r="B13" s="6" t="str">
        <f>_xlfn.XLOOKUP(Table2[[#This Row],[MOVIE]],Data!$A$2:$A$17,Data!$B$2:$B$17)</f>
        <v>Sony Pictures</v>
      </c>
      <c r="C13" t="s">
        <v>19</v>
      </c>
      <c r="D13" s="6">
        <v>1246</v>
      </c>
      <c r="E13" s="6">
        <v>1246</v>
      </c>
      <c r="F13" s="6">
        <v>1246</v>
      </c>
      <c r="G13" s="6">
        <v>1251</v>
      </c>
      <c r="H13" s="6">
        <v>1256</v>
      </c>
      <c r="I13" s="6">
        <v>1396</v>
      </c>
      <c r="J13" s="6">
        <v>1256</v>
      </c>
      <c r="K13" s="6">
        <f>AVERAGE(Table2[[#This Row],[Jul-21]:[Jan-22]])</f>
        <v>1271</v>
      </c>
      <c r="L13" s="6">
        <f>MIN(Table2[[#This Row],[Jul-21]:[Jan-22]])</f>
        <v>1246</v>
      </c>
      <c r="M13" s="6">
        <f>MAX(Table2[[#This Row],[Jul-21]:[Jan-22]])</f>
        <v>1396</v>
      </c>
      <c r="N13">
        <f>SUM(Table2[[#This Row],[Jul-21]:[Jan-22]])</f>
        <v>8897</v>
      </c>
      <c r="O13" s="7">
        <f>Table2[[#This Row],[Jan-22]]/Table2[[#This Row],[Dec-21]]-1</f>
        <v>-0.10028653295128942</v>
      </c>
      <c r="P13" s="5" t="str">
        <f>IF(Table2[[#This Row],[Average]]&gt;AVERAGE(Table2[Average]),"Above Average","Below Average")</f>
        <v>Below Average</v>
      </c>
    </row>
    <row r="14" spans="1:16" x14ac:dyDescent="0.25">
      <c r="A14" t="s">
        <v>10</v>
      </c>
      <c r="B14" s="6" t="str">
        <f>_xlfn.XLOOKUP(Table2[[#This Row],[MOVIE]],Data!$A$2:$A$17,Data!$B$2:$B$17)</f>
        <v>Dreamworks SKG</v>
      </c>
      <c r="C14" t="s">
        <v>19</v>
      </c>
      <c r="D14" s="6">
        <v>1271</v>
      </c>
      <c r="E14" s="6">
        <v>1271</v>
      </c>
      <c r="F14" s="6">
        <v>1271</v>
      </c>
      <c r="G14" s="6">
        <v>1271</v>
      </c>
      <c r="H14" s="6">
        <v>1271</v>
      </c>
      <c r="I14" s="6">
        <v>1276</v>
      </c>
      <c r="J14" s="6">
        <v>1246</v>
      </c>
      <c r="K14" s="6">
        <f>AVERAGE(Table2[[#This Row],[Jul-21]:[Jan-22]])</f>
        <v>1268.1428571428571</v>
      </c>
      <c r="L14" s="6">
        <f>MIN(Table2[[#This Row],[Jul-21]:[Jan-22]])</f>
        <v>1246</v>
      </c>
      <c r="M14" s="6">
        <f>MAX(Table2[[#This Row],[Jul-21]:[Jan-22]])</f>
        <v>1276</v>
      </c>
      <c r="N14">
        <f>SUM(Table2[[#This Row],[Jul-21]:[Jan-22]])</f>
        <v>8877</v>
      </c>
      <c r="O14" s="7">
        <f>Table2[[#This Row],[Jan-22]]/Table2[[#This Row],[Dec-21]]-1</f>
        <v>-2.3510971786833812E-2</v>
      </c>
      <c r="P14" s="5" t="str">
        <f>IF(Table2[[#This Row],[Average]]&gt;AVERAGE(Table2[Average]),"Above Average","Below Average")</f>
        <v>Below Average</v>
      </c>
    </row>
    <row r="15" spans="1:16" x14ac:dyDescent="0.25">
      <c r="A15" t="s">
        <v>14</v>
      </c>
      <c r="B15" s="6" t="str">
        <f>_xlfn.XLOOKUP(Table2[[#This Row],[MOVIE]],Data!$A$2:$A$17,Data!$B$2:$B$17)</f>
        <v>Warner Bros.</v>
      </c>
      <c r="C15" t="s">
        <v>19</v>
      </c>
      <c r="D15" s="6">
        <v>1246</v>
      </c>
      <c r="E15" s="6">
        <v>1246</v>
      </c>
      <c r="F15" s="6">
        <v>1246</v>
      </c>
      <c r="G15" s="6">
        <v>1246</v>
      </c>
      <c r="H15" s="6">
        <v>1246</v>
      </c>
      <c r="I15" s="6">
        <v>1246</v>
      </c>
      <c r="J15" s="6">
        <v>1291</v>
      </c>
      <c r="K15" s="6">
        <f>AVERAGE(Table2[[#This Row],[Jul-21]:[Jan-22]])</f>
        <v>1252.4285714285713</v>
      </c>
      <c r="L15" s="6">
        <f>MIN(Table2[[#This Row],[Jul-21]:[Jan-22]])</f>
        <v>1246</v>
      </c>
      <c r="M15" s="6">
        <f>MAX(Table2[[#This Row],[Jul-21]:[Jan-22]])</f>
        <v>1291</v>
      </c>
      <c r="N15">
        <f>SUM(Table2[[#This Row],[Jul-21]:[Jan-22]])</f>
        <v>8767</v>
      </c>
      <c r="O15" s="7">
        <f>Table2[[#This Row],[Jan-22]]/Table2[[#This Row],[Dec-21]]-1</f>
        <v>3.6115569823435001E-2</v>
      </c>
      <c r="P15" s="5" t="str">
        <f>IF(Table2[[#This Row],[Average]]&gt;AVERAGE(Table2[Average]),"Above Average","Below Average")</f>
        <v>Below Average</v>
      </c>
    </row>
    <row r="16" spans="1:16" x14ac:dyDescent="0.25">
      <c r="A16" t="s">
        <v>8</v>
      </c>
      <c r="B16" s="6" t="str">
        <f>_xlfn.XLOOKUP(Table2[[#This Row],[MOVIE]],Data!$A$2:$A$17,Data!$B$2:$B$17)</f>
        <v>Sony Pictures</v>
      </c>
      <c r="C16" t="s">
        <v>19</v>
      </c>
      <c r="D16" s="6">
        <v>1246</v>
      </c>
      <c r="E16" s="6">
        <v>1246</v>
      </c>
      <c r="F16" s="6">
        <v>1246</v>
      </c>
      <c r="G16" s="6">
        <v>1246</v>
      </c>
      <c r="H16" s="6">
        <v>1246</v>
      </c>
      <c r="I16" s="6">
        <v>1246</v>
      </c>
      <c r="J16" s="6">
        <v>1246</v>
      </c>
      <c r="K16" s="6">
        <f>AVERAGE(Table2[[#This Row],[Jul-21]:[Jan-22]])</f>
        <v>1246</v>
      </c>
      <c r="L16" s="6">
        <f>MIN(Table2[[#This Row],[Jul-21]:[Jan-22]])</f>
        <v>1246</v>
      </c>
      <c r="M16" s="6">
        <f>MAX(Table2[[#This Row],[Jul-21]:[Jan-22]])</f>
        <v>1246</v>
      </c>
      <c r="N16">
        <f>SUM(Table2[[#This Row],[Jul-21]:[Jan-22]])</f>
        <v>8722</v>
      </c>
      <c r="O16" s="5">
        <f>Table2[[#This Row],[Jan-22]]/Table2[[#This Row],[Dec-21]]-1</f>
        <v>0</v>
      </c>
      <c r="P16" s="5" t="str">
        <f>IF(Table2[[#This Row],[Average]]&gt;AVERAGE(Table2[Average]),"Above Average","Below Average")</f>
        <v>Below Average</v>
      </c>
    </row>
    <row r="17" spans="1:16" x14ac:dyDescent="0.25">
      <c r="A17" t="s">
        <v>11</v>
      </c>
      <c r="B17" s="6" t="str">
        <f>_xlfn.XLOOKUP(Table2[[#This Row],[MOVIE]],Data!$A$2:$A$17,Data!$B$2:$B$17)</f>
        <v>20th Century Fox</v>
      </c>
      <c r="C17" t="s">
        <v>20</v>
      </c>
      <c r="D17" s="6">
        <v>1246</v>
      </c>
      <c r="E17" s="6">
        <v>1246</v>
      </c>
      <c r="F17" s="6">
        <v>1246</v>
      </c>
      <c r="G17" s="6">
        <v>1246</v>
      </c>
      <c r="H17" s="6">
        <v>1246</v>
      </c>
      <c r="I17" s="6">
        <v>1246</v>
      </c>
      <c r="J17" s="6">
        <v>1246</v>
      </c>
      <c r="K17" s="6">
        <f>AVERAGE(Table2[[#This Row],[Jul-21]:[Jan-22]])</f>
        <v>1246</v>
      </c>
      <c r="L17" s="6">
        <f>MIN(Table2[[#This Row],[Jul-21]:[Jan-22]])</f>
        <v>1246</v>
      </c>
      <c r="M17" s="6">
        <f>MAX(Table2[[#This Row],[Jul-21]:[Jan-22]])</f>
        <v>1246</v>
      </c>
      <c r="N17">
        <f>SUM(Table2[[#This Row],[Jul-21]:[Jan-22]])</f>
        <v>8722</v>
      </c>
      <c r="O17" s="5">
        <f>Table2[[#This Row],[Jan-22]]/Table2[[#This Row],[Dec-21]]-1</f>
        <v>0</v>
      </c>
      <c r="P17" s="5" t="str">
        <f>IF(Table2[[#This Row],[Average]]&gt;AVERAGE(Table2[Average]),"Above Average","Below Average")</f>
        <v>Below Average</v>
      </c>
    </row>
    <row r="18" spans="1:16" x14ac:dyDescent="0.25">
      <c r="A18" t="s">
        <v>16</v>
      </c>
      <c r="B18" s="6" t="str">
        <f>_xlfn.XLOOKUP(Table2[[#This Row],[MOVIE]],Data!$A$2:$A$17,Data!$B$2:$B$17)</f>
        <v>Walt Disney</v>
      </c>
      <c r="C18" t="s">
        <v>20</v>
      </c>
      <c r="D18" s="6">
        <v>1246</v>
      </c>
      <c r="E18" s="6">
        <v>1246</v>
      </c>
      <c r="F18" s="6">
        <v>1246</v>
      </c>
      <c r="G18" s="6">
        <v>1246</v>
      </c>
      <c r="H18" s="6">
        <v>1246</v>
      </c>
      <c r="I18" s="6">
        <v>1246</v>
      </c>
      <c r="J18" s="6">
        <v>1246</v>
      </c>
      <c r="K18" s="6">
        <f>AVERAGE(Table2[[#This Row],[Jul-21]:[Jan-22]])</f>
        <v>1246</v>
      </c>
      <c r="L18" s="6">
        <f>MIN(Table2[[#This Row],[Jul-21]:[Jan-22]])</f>
        <v>1246</v>
      </c>
      <c r="M18" s="6">
        <f>MAX(Table2[[#This Row],[Jul-21]:[Jan-22]])</f>
        <v>1246</v>
      </c>
      <c r="N18">
        <f>SUM(Table2[[#This Row],[Jul-21]:[Jan-22]])</f>
        <v>8722</v>
      </c>
      <c r="O18" s="5">
        <f>Table2[[#This Row],[Jan-22]]/Table2[[#This Row],[Dec-21]]-1</f>
        <v>0</v>
      </c>
      <c r="P18" s="5" t="str">
        <f>IF(Table2[[#This Row],[Average]]&gt;AVERAGE(Table2[Average]),"Above Average","Below Average")</f>
        <v>Below Average</v>
      </c>
    </row>
    <row r="21" spans="1:16" x14ac:dyDescent="0.25">
      <c r="A21" s="8" t="s">
        <v>44</v>
      </c>
      <c r="B21" t="s">
        <v>46</v>
      </c>
      <c r="C21" t="s">
        <v>47</v>
      </c>
      <c r="E21" s="8" t="s">
        <v>44</v>
      </c>
      <c r="F21" t="s">
        <v>47</v>
      </c>
    </row>
    <row r="22" spans="1:16" x14ac:dyDescent="0.25">
      <c r="A22" s="9" t="s">
        <v>23</v>
      </c>
      <c r="B22" s="10">
        <v>75416</v>
      </c>
      <c r="C22" s="10">
        <v>10773.714285714286</v>
      </c>
      <c r="E22" s="9" t="s">
        <v>20</v>
      </c>
      <c r="F22" s="10">
        <v>1093461.857142857</v>
      </c>
    </row>
    <row r="23" spans="1:16" x14ac:dyDescent="0.25">
      <c r="A23" s="9" t="s">
        <v>28</v>
      </c>
      <c r="B23" s="10">
        <v>8877</v>
      </c>
      <c r="C23" s="10">
        <v>1268.1428571428571</v>
      </c>
      <c r="E23" s="9" t="s">
        <v>19</v>
      </c>
      <c r="F23" s="10">
        <v>773016.71428571432</v>
      </c>
    </row>
    <row r="24" spans="1:16" x14ac:dyDescent="0.25">
      <c r="A24" s="9" t="s">
        <v>25</v>
      </c>
      <c r="B24" s="10">
        <v>8323259</v>
      </c>
      <c r="C24" s="10">
        <v>1189037</v>
      </c>
      <c r="E24" s="9" t="s">
        <v>18</v>
      </c>
      <c r="F24" s="10">
        <v>320106</v>
      </c>
    </row>
    <row r="25" spans="1:16" x14ac:dyDescent="0.25">
      <c r="A25" s="9" t="s">
        <v>24</v>
      </c>
      <c r="B25" s="10">
        <v>40276</v>
      </c>
      <c r="C25" s="10">
        <v>5753.7142857142862</v>
      </c>
      <c r="E25" s="9" t="s">
        <v>45</v>
      </c>
      <c r="F25" s="10">
        <v>2186584.5714285714</v>
      </c>
    </row>
    <row r="26" spans="1:16" x14ac:dyDescent="0.25">
      <c r="A26" s="9" t="s">
        <v>26</v>
      </c>
      <c r="B26" s="10">
        <v>9117</v>
      </c>
      <c r="C26" s="10">
        <v>1302.4285714285713</v>
      </c>
    </row>
    <row r="27" spans="1:16" x14ac:dyDescent="0.25">
      <c r="A27" s="9" t="s">
        <v>27</v>
      </c>
      <c r="B27" s="10">
        <v>4560931</v>
      </c>
      <c r="C27" s="10">
        <v>651561.57142857148</v>
      </c>
    </row>
    <row r="28" spans="1:16" x14ac:dyDescent="0.25">
      <c r="A28" s="9" t="s">
        <v>22</v>
      </c>
      <c r="B28" s="10">
        <v>2288216</v>
      </c>
      <c r="C28" s="10">
        <v>326888</v>
      </c>
    </row>
    <row r="29" spans="1:16" x14ac:dyDescent="0.25">
      <c r="A29" s="9" t="s">
        <v>45</v>
      </c>
      <c r="B29" s="10">
        <v>15306092</v>
      </c>
      <c r="C29" s="10">
        <v>2186584.5714285714</v>
      </c>
    </row>
    <row r="31" spans="1:16" x14ac:dyDescent="0.25">
      <c r="A31" s="11" t="s">
        <v>44</v>
      </c>
      <c r="B31" s="10" t="s">
        <v>46</v>
      </c>
    </row>
    <row r="32" spans="1:16" x14ac:dyDescent="0.25">
      <c r="A32" s="12" t="s">
        <v>2</v>
      </c>
      <c r="B32" s="10">
        <v>55927</v>
      </c>
    </row>
    <row r="33" spans="1:6" x14ac:dyDescent="0.25">
      <c r="A33" s="12" t="s">
        <v>4</v>
      </c>
      <c r="B33" s="10">
        <v>731267</v>
      </c>
    </row>
    <row r="34" spans="1:6" x14ac:dyDescent="0.25">
      <c r="A34" s="12" t="s">
        <v>1</v>
      </c>
      <c r="B34" s="10">
        <v>2240742</v>
      </c>
    </row>
    <row r="35" spans="1:6" x14ac:dyDescent="0.25">
      <c r="A35" s="12" t="s">
        <v>9</v>
      </c>
      <c r="B35" s="10">
        <v>4507412</v>
      </c>
    </row>
    <row r="36" spans="1:6" x14ac:dyDescent="0.25">
      <c r="A36" s="12" t="s">
        <v>15</v>
      </c>
      <c r="B36" s="10">
        <v>7591992</v>
      </c>
    </row>
    <row r="37" spans="1:6" x14ac:dyDescent="0.25">
      <c r="A37" s="12" t="s">
        <v>45</v>
      </c>
      <c r="B37" s="10">
        <v>15127340</v>
      </c>
    </row>
    <row r="43" spans="1:6" x14ac:dyDescent="0.25">
      <c r="E43" s="8" t="s">
        <v>44</v>
      </c>
      <c r="F43" t="s">
        <v>47</v>
      </c>
    </row>
    <row r="44" spans="1:6" x14ac:dyDescent="0.25">
      <c r="E44" s="9" t="s">
        <v>22</v>
      </c>
      <c r="F44" s="10">
        <v>326888</v>
      </c>
    </row>
    <row r="45" spans="1:6" x14ac:dyDescent="0.25">
      <c r="E45" s="9" t="s">
        <v>27</v>
      </c>
      <c r="F45" s="10">
        <v>651561.57142857148</v>
      </c>
    </row>
    <row r="46" spans="1:6" x14ac:dyDescent="0.25">
      <c r="E46" s="9" t="s">
        <v>25</v>
      </c>
      <c r="F46" s="10">
        <v>1189037</v>
      </c>
    </row>
    <row r="47" spans="1:6" x14ac:dyDescent="0.25">
      <c r="E47" s="9" t="s">
        <v>45</v>
      </c>
      <c r="F47" s="10">
        <v>2167486.5714285714</v>
      </c>
    </row>
  </sheetData>
  <mergeCells count="1">
    <mergeCell ref="A1:J1"/>
  </mergeCells>
  <pageMargins left="0.7" right="0.7" top="0.75" bottom="0.75" header="0.3" footer="0.3"/>
  <pageSetup paperSize="9" orientation="portrait" r:id="rId5"/>
  <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41D0-CD6F-43A6-9D50-52BE6B9FAC29}">
  <dimension ref="A1:B17"/>
  <sheetViews>
    <sheetView workbookViewId="0">
      <selection activeCell="A17" sqref="A1:B17"/>
    </sheetView>
  </sheetViews>
  <sheetFormatPr defaultRowHeight="15" x14ac:dyDescent="0.25"/>
  <cols>
    <col min="1" max="1" width="36.7109375" bestFit="1" customWidth="1"/>
    <col min="2" max="2" width="17" bestFit="1" customWidth="1"/>
  </cols>
  <sheetData>
    <row r="1" spans="1:2" x14ac:dyDescent="0.25">
      <c r="A1" s="3" t="s">
        <v>0</v>
      </c>
      <c r="B1" s="3" t="s">
        <v>21</v>
      </c>
    </row>
    <row r="2" spans="1:2" x14ac:dyDescent="0.25">
      <c r="A2" s="2" t="s">
        <v>1</v>
      </c>
      <c r="B2" s="2" t="s">
        <v>22</v>
      </c>
    </row>
    <row r="3" spans="1:2" x14ac:dyDescent="0.25">
      <c r="A3" s="2" t="s">
        <v>2</v>
      </c>
      <c r="B3" s="2" t="s">
        <v>23</v>
      </c>
    </row>
    <row r="4" spans="1:2" x14ac:dyDescent="0.25">
      <c r="A4" s="2" t="s">
        <v>3</v>
      </c>
      <c r="B4" s="2" t="s">
        <v>24</v>
      </c>
    </row>
    <row r="5" spans="1:2" x14ac:dyDescent="0.25">
      <c r="A5" s="2" t="s">
        <v>4</v>
      </c>
      <c r="B5" s="2" t="s">
        <v>25</v>
      </c>
    </row>
    <row r="6" spans="1:2" x14ac:dyDescent="0.25">
      <c r="A6" s="2" t="s">
        <v>5</v>
      </c>
      <c r="B6" s="2" t="s">
        <v>23</v>
      </c>
    </row>
    <row r="7" spans="1:2" x14ac:dyDescent="0.25">
      <c r="A7" s="2" t="s">
        <v>6</v>
      </c>
      <c r="B7" s="2" t="s">
        <v>26</v>
      </c>
    </row>
    <row r="8" spans="1:2" x14ac:dyDescent="0.25">
      <c r="A8" s="2" t="s">
        <v>7</v>
      </c>
      <c r="B8" s="2" t="s">
        <v>22</v>
      </c>
    </row>
    <row r="9" spans="1:2" x14ac:dyDescent="0.25">
      <c r="A9" s="2" t="s">
        <v>8</v>
      </c>
      <c r="B9" s="2" t="s">
        <v>24</v>
      </c>
    </row>
    <row r="10" spans="1:2" x14ac:dyDescent="0.25">
      <c r="A10" s="2" t="s">
        <v>9</v>
      </c>
      <c r="B10" s="2" t="s">
        <v>27</v>
      </c>
    </row>
    <row r="11" spans="1:2" x14ac:dyDescent="0.25">
      <c r="A11" s="2" t="s">
        <v>10</v>
      </c>
      <c r="B11" s="2" t="s">
        <v>28</v>
      </c>
    </row>
    <row r="12" spans="1:2" x14ac:dyDescent="0.25">
      <c r="A12" s="2" t="s">
        <v>11</v>
      </c>
      <c r="B12" s="2" t="s">
        <v>23</v>
      </c>
    </row>
    <row r="13" spans="1:2" x14ac:dyDescent="0.25">
      <c r="A13" s="2" t="s">
        <v>12</v>
      </c>
      <c r="B13" s="2" t="s">
        <v>27</v>
      </c>
    </row>
    <row r="14" spans="1:2" x14ac:dyDescent="0.25">
      <c r="A14" s="2" t="s">
        <v>13</v>
      </c>
      <c r="B14" s="2" t="s">
        <v>24</v>
      </c>
    </row>
    <row r="15" spans="1:2" x14ac:dyDescent="0.25">
      <c r="A15" s="2" t="s">
        <v>14</v>
      </c>
      <c r="B15" s="2" t="s">
        <v>22</v>
      </c>
    </row>
    <row r="16" spans="1:2" x14ac:dyDescent="0.25">
      <c r="A16" s="2" t="s">
        <v>15</v>
      </c>
      <c r="B16" s="2" t="s">
        <v>25</v>
      </c>
    </row>
    <row r="17" spans="1:2" x14ac:dyDescent="0.25">
      <c r="A17" s="2" t="s">
        <v>16</v>
      </c>
      <c r="B17" s="2" t="s">
        <v>27</v>
      </c>
    </row>
  </sheetData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Excercise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Pitsillides</dc:creator>
  <cp:lastModifiedBy>naufalizzudin36@gmail.com</cp:lastModifiedBy>
  <dcterms:created xsi:type="dcterms:W3CDTF">2022-01-22T13:01:58Z</dcterms:created>
  <dcterms:modified xsi:type="dcterms:W3CDTF">2026-03-04T10:56:49Z</dcterms:modified>
</cp:coreProperties>
</file>