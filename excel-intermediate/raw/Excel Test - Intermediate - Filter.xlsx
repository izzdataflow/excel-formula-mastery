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abil\OneDrive\Documents\00. BELAJAR EXCEL\00. Excel Test\Excel Excercise\02. Intermediate\"/>
    </mc:Choice>
  </mc:AlternateContent>
  <xr:revisionPtr revIDLastSave="0" documentId="13_ncr:1_{591DED27-834D-4A6B-BC65-156A61341EB2}" xr6:coauthVersionLast="47" xr6:coauthVersionMax="47" xr10:uidLastSave="{00000000-0000-0000-0000-000000000000}"/>
  <bookViews>
    <workbookView xWindow="-108" yWindow="-108" windowWidth="23256" windowHeight="12456" xr2:uid="{71F05586-2E41-466C-85D7-C2DEE3A06F85}"/>
  </bookViews>
  <sheets>
    <sheet name="Nota Belanja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1" l="1"/>
  <c r="B31" i="1"/>
  <c r="B32" i="1"/>
  <c r="B33" i="1"/>
  <c r="B34" i="1"/>
  <c r="B35" i="1"/>
  <c r="B36" i="1"/>
  <c r="B37" i="1"/>
  <c r="B38" i="1"/>
  <c r="B39" i="1"/>
  <c r="B40" i="1"/>
</calcChain>
</file>

<file path=xl/sharedStrings.xml><?xml version="1.0" encoding="utf-8"?>
<sst xmlns="http://schemas.openxmlformats.org/spreadsheetml/2006/main" count="179" uniqueCount="96">
  <si>
    <t>No</t>
  </si>
  <si>
    <t>ID</t>
  </si>
  <si>
    <t>Nama Barang</t>
  </si>
  <si>
    <t>Harga</t>
  </si>
  <si>
    <t>Jumlah</t>
  </si>
  <si>
    <t>ID-002</t>
  </si>
  <si>
    <t>Buku 887</t>
  </si>
  <si>
    <t>ID-004</t>
  </si>
  <si>
    <t>Buku 996</t>
  </si>
  <si>
    <t>ID-007</t>
  </si>
  <si>
    <t>Buku 53</t>
  </si>
  <si>
    <t>Buku 136</t>
  </si>
  <si>
    <t>Buku 278</t>
  </si>
  <si>
    <t>Buku 999</t>
  </si>
  <si>
    <t>ID-006</t>
  </si>
  <si>
    <t>Buku 431</t>
  </si>
  <si>
    <t>Buku 77</t>
  </si>
  <si>
    <t>Buku 984</t>
  </si>
  <si>
    <t>ID-008</t>
  </si>
  <si>
    <t>Buku 334</t>
  </si>
  <si>
    <t>Buku 243</t>
  </si>
  <si>
    <t>Buku 223</t>
  </si>
  <si>
    <t>Buku 192</t>
  </si>
  <si>
    <t>Buku 161</t>
  </si>
  <si>
    <t>Buku 370</t>
  </si>
  <si>
    <t>ID-003</t>
  </si>
  <si>
    <t>Buku 895</t>
  </si>
  <si>
    <t>Buku 827</t>
  </si>
  <si>
    <t>Buku 82</t>
  </si>
  <si>
    <t>Buku 363</t>
  </si>
  <si>
    <t>Buku 977</t>
  </si>
  <si>
    <t>Buku 59</t>
  </si>
  <si>
    <t>ID-001</t>
  </si>
  <si>
    <t>Buku 842</t>
  </si>
  <si>
    <t>Buku 812</t>
  </si>
  <si>
    <t>Buku 385</t>
  </si>
  <si>
    <t>Buku 93</t>
  </si>
  <si>
    <t>Buku 869</t>
  </si>
  <si>
    <t>Buku 690</t>
  </si>
  <si>
    <t>Buku 750</t>
  </si>
  <si>
    <t>Buku 493</t>
  </si>
  <si>
    <t>Buku 158</t>
  </si>
  <si>
    <t>Buku 550</t>
  </si>
  <si>
    <t>Buku 959</t>
  </si>
  <si>
    <t>Buku 849</t>
  </si>
  <si>
    <t>Buku 867</t>
  </si>
  <si>
    <t>Buku 231</t>
  </si>
  <si>
    <t>Buku 43</t>
  </si>
  <si>
    <t>Buku 787</t>
  </si>
  <si>
    <t>ID-005</t>
  </si>
  <si>
    <t>Buku 969</t>
  </si>
  <si>
    <t>Buku 650</t>
  </si>
  <si>
    <t>Buku 344</t>
  </si>
  <si>
    <t>Buku 374</t>
  </si>
  <si>
    <t>Buku 258</t>
  </si>
  <si>
    <t>Buku 244</t>
  </si>
  <si>
    <t>Buku 477</t>
  </si>
  <si>
    <t>Buku 509</t>
  </si>
  <si>
    <t>ID-009</t>
  </si>
  <si>
    <t>Buku 155</t>
  </si>
  <si>
    <t>Buku 30</t>
  </si>
  <si>
    <t>Buku 512</t>
  </si>
  <si>
    <t>Buku 703</t>
  </si>
  <si>
    <t>Buku 903</t>
  </si>
  <si>
    <t>Buku 388</t>
  </si>
  <si>
    <t>Buku 212</t>
  </si>
  <si>
    <t>Buku 646</t>
  </si>
  <si>
    <t>Buku 65</t>
  </si>
  <si>
    <t>Buku 982</t>
  </si>
  <si>
    <t>Buku 372</t>
  </si>
  <si>
    <t>Buku 876</t>
  </si>
  <si>
    <t>Buku 69</t>
  </si>
  <si>
    <t>Buku 989</t>
  </si>
  <si>
    <t>Buku 392</t>
  </si>
  <si>
    <t>Buku 274</t>
  </si>
  <si>
    <t>Buku 835</t>
  </si>
  <si>
    <t>Buku 83</t>
  </si>
  <si>
    <t>Buku 165</t>
  </si>
  <si>
    <t>Buku 185</t>
  </si>
  <si>
    <t>Buku 967</t>
  </si>
  <si>
    <t>Buku 588</t>
  </si>
  <si>
    <t>Buku 738</t>
  </si>
  <si>
    <t>Buku 974</t>
  </si>
  <si>
    <t>Buku 239</t>
  </si>
  <si>
    <t>Buku 735</t>
  </si>
  <si>
    <t>Buku 466</t>
  </si>
  <si>
    <t>Buku 774</t>
  </si>
  <si>
    <t>Buku 156</t>
  </si>
  <si>
    <t>Buku 910</t>
  </si>
  <si>
    <t>Total</t>
  </si>
  <si>
    <t>← Buat Dropdown List</t>
  </si>
  <si>
    <t>Instruksi:</t>
  </si>
  <si>
    <t>Buatlah dropdown List berdasarkan Data ID</t>
  </si>
  <si>
    <t>Total adalah Harga x Jumlah</t>
  </si>
  <si>
    <t>No terisi urut jika terisi data, jika kosong maka No juga kosong</t>
  </si>
  <si>
    <t>Merujuk pada ID yang dipilih pada cell Dropdown isilah tabel Nama Barang - Jumlah merujuk pada DATA. Kosongkan jika error.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</si>
</sst>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0.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42" fontId="2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42" fontId="0" fillId="0" borderId="0" xfId="0" applyNumberFormat="1" applyAlignment="1">
      <alignment horizontal="center" vertical="center"/>
    </xf>
    <xf numFmtId="4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 vertical="center"/>
    </xf>
    <xf numFmtId="0" fontId="0" fillId="2" borderId="2" xfId="0" applyFill="1" applyBorder="1"/>
    <xf numFmtId="0" fontId="0" fillId="0" borderId="8" xfId="0" applyBorder="1" applyAlignment="1">
      <alignment horizontal="centerContinuous" vertical="center"/>
    </xf>
    <xf numFmtId="0" fontId="3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42" fontId="3" fillId="0" borderId="6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Continuous" vertical="center"/>
    </xf>
    <xf numFmtId="42" fontId="0" fillId="0" borderId="9" xfId="0" applyNumberFormat="1" applyBorder="1" applyAlignment="1">
      <alignment horizontal="left" vertical="center"/>
    </xf>
    <xf numFmtId="42" fontId="4" fillId="0" borderId="1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2" fontId="4" fillId="0" borderId="9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indent="2"/>
    </xf>
    <xf numFmtId="0" fontId="4" fillId="0" borderId="9" xfId="0" applyFont="1" applyBorder="1" applyAlignment="1">
      <alignment horizontal="left" vertical="center" indent="2"/>
    </xf>
    <xf numFmtId="42" fontId="4" fillId="0" borderId="1" xfId="1" applyFont="1" applyBorder="1" applyAlignment="1">
      <alignment horizontal="center" vertical="center"/>
    </xf>
    <xf numFmtId="164" fontId="1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</cellXfs>
  <cellStyles count="2">
    <cellStyle name="Currency [0]" xfId="1" builtinId="7"/>
    <cellStyle name="Normal" xfId="0" builtinId="0"/>
  </cellStyles>
  <dxfs count="26">
    <dxf>
      <numFmt numFmtId="32" formatCode="_-&quot;Rp&quot;* #,##0_-;\-&quot;Rp&quot;* #,##0_-;_-&quot;Rp&quot;* &quot;-&quot;_-;_-@_-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centerContinuous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centerContinuous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centerContinuous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centerContinuous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2" formatCode="_-&quot;Rp&quot;* #,##0_-;\-&quot;Rp&quot;* #,##0_-;_-&quot;Rp&quot;* &quot;-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alignment horizontal="left" vertical="center" textRotation="0" wrapText="0" indent="0" justifyLastLine="0" shrinkToFit="0" readingOrder="0"/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25F4A0-6557-4FD2-8F1A-92ECE90D9D43}" name="Table1" displayName="Table1" ref="A11:E28" totalsRowCount="1" headerRowDxfId="25" dataDxfId="23" totalsRowDxfId="21" headerRowBorderDxfId="24" tableBorderDxfId="22" totalsRowBorderDxfId="20">
  <autoFilter ref="A11:E27" xr:uid="{5E25F4A0-6557-4FD2-8F1A-92ECE90D9D43}"/>
  <tableColumns count="5">
    <tableColumn id="1" xr3:uid="{DD1C705A-53DB-480D-BB03-DC33A04E669A}" name="No" totalsRowLabel="Total" dataDxfId="19" totalsRowDxfId="4"/>
    <tableColumn id="2" xr3:uid="{BCCB0ADA-758C-4E2C-962E-67C40E99920F}" name="Nama Barang" dataDxfId="18" totalsRowDxfId="3"/>
    <tableColumn id="3" xr3:uid="{F464F7F6-790A-4CC1-BB09-1ADD281134DB}" name="Harga" dataDxfId="17" totalsRowDxfId="2" dataCellStyle="Currency [0]"/>
    <tableColumn id="4" xr3:uid="{1DDD7D0C-EAE4-47C2-9880-90E025FDB85F}" name="Jumlah" dataDxfId="16" totalsRowDxfId="1" dataCellStyle="Currency [0]"/>
    <tableColumn id="5" xr3:uid="{51BA3AE9-BEE7-41F8-87C8-8ADFF55D0A05}" name="Total" dataDxfId="15" totalsRowDxfId="0" dataCellStyle="Currency [0]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8C093D-EA25-495B-80FB-F182AADBE66E}" name="Data" displayName="Data" ref="A1:E82" totalsRowShown="0" headerRowDxfId="14" dataDxfId="12" headerRowBorderDxfId="13" tableBorderDxfId="11" totalsRowBorderDxfId="10">
  <autoFilter ref="A1:E82" xr:uid="{AE8C093D-EA25-495B-80FB-F182AADBE66E}"/>
  <tableColumns count="5">
    <tableColumn id="1" xr3:uid="{1F9046C2-485E-47EF-8616-15D3D80ED2A2}" name="No" dataDxfId="9"/>
    <tableColumn id="2" xr3:uid="{5257BE81-B30A-4816-BCAF-01BCD1BDA60E}" name="ID" dataDxfId="8"/>
    <tableColumn id="3" xr3:uid="{37E0B0DC-9A44-482D-89BD-598CF782C122}" name="Nama Barang" dataDxfId="7"/>
    <tableColumn id="4" xr3:uid="{B37538C1-13CC-433F-8E5C-88135427E6E8}" name="Harga" dataDxfId="6"/>
    <tableColumn id="5" xr3:uid="{4C1DA599-54C0-4097-901B-1C1254DD553E}" name="Jumlah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AAD46-89A5-492C-83B7-DFA57B37AB5E}">
  <sheetPr codeName="Sheet1"/>
  <dimension ref="A1:E40"/>
  <sheetViews>
    <sheetView tabSelected="1" zoomScale="90" zoomScaleNormal="90" workbookViewId="0">
      <selection activeCell="L19" sqref="L19"/>
    </sheetView>
  </sheetViews>
  <sheetFormatPr defaultRowHeight="14.4" x14ac:dyDescent="0.3"/>
  <cols>
    <col min="1" max="1" width="5.44140625" customWidth="1"/>
    <col min="2" max="2" width="19" customWidth="1"/>
    <col min="3" max="3" width="15" customWidth="1"/>
    <col min="4" max="4" width="18" style="3" customWidth="1"/>
    <col min="5" max="5" width="23.21875" customWidth="1"/>
  </cols>
  <sheetData>
    <row r="1" spans="1:5" ht="24" customHeight="1" x14ac:dyDescent="0.3">
      <c r="A1" s="5" t="s">
        <v>91</v>
      </c>
      <c r="B1" s="4"/>
      <c r="C1" s="4"/>
      <c r="D1" s="4"/>
      <c r="E1" s="4"/>
    </row>
    <row r="2" spans="1:5" ht="24" customHeight="1" x14ac:dyDescent="0.3">
      <c r="A2" s="25">
        <v>1</v>
      </c>
      <c r="B2" s="26" t="s">
        <v>92</v>
      </c>
      <c r="C2" s="4"/>
      <c r="D2" s="4"/>
      <c r="E2" s="4"/>
    </row>
    <row r="3" spans="1:5" ht="24" customHeight="1" x14ac:dyDescent="0.3">
      <c r="A3" s="25">
        <v>2</v>
      </c>
      <c r="B3" s="26" t="s">
        <v>95</v>
      </c>
      <c r="C3" s="4"/>
      <c r="D3" s="4"/>
      <c r="E3" s="4"/>
    </row>
    <row r="4" spans="1:5" ht="24" customHeight="1" x14ac:dyDescent="0.3">
      <c r="A4" s="25">
        <v>3</v>
      </c>
      <c r="B4" s="26" t="s">
        <v>93</v>
      </c>
      <c r="C4" s="4"/>
      <c r="D4" s="4"/>
      <c r="E4" s="4"/>
    </row>
    <row r="5" spans="1:5" ht="24" customHeight="1" x14ac:dyDescent="0.3">
      <c r="A5" s="25">
        <v>4</v>
      </c>
      <c r="B5" s="26" t="s">
        <v>94</v>
      </c>
      <c r="C5" s="4"/>
      <c r="D5" s="4"/>
      <c r="E5" s="4"/>
    </row>
    <row r="6" spans="1:5" ht="24" customHeight="1" x14ac:dyDescent="0.3">
      <c r="A6" s="25"/>
      <c r="B6" s="26"/>
      <c r="C6" s="4"/>
      <c r="D6" s="4"/>
      <c r="E6" s="4"/>
    </row>
    <row r="7" spans="1:5" ht="24" customHeight="1" x14ac:dyDescent="0.3">
      <c r="A7" s="25"/>
      <c r="B7" s="26"/>
      <c r="C7" s="4"/>
      <c r="D7" s="4"/>
      <c r="E7" s="4"/>
    </row>
    <row r="8" spans="1:5" ht="6.75" customHeight="1" thickBot="1" x14ac:dyDescent="0.35"/>
    <row r="9" spans="1:5" ht="15" thickBot="1" x14ac:dyDescent="0.35">
      <c r="B9" s="6"/>
      <c r="C9" t="s">
        <v>90</v>
      </c>
    </row>
    <row r="10" spans="1:5" ht="7.5" customHeight="1" x14ac:dyDescent="0.3"/>
    <row r="11" spans="1:5" ht="21.6" customHeight="1" x14ac:dyDescent="0.3">
      <c r="A11" s="8" t="s">
        <v>0</v>
      </c>
      <c r="B11" s="11" t="s">
        <v>2</v>
      </c>
      <c r="C11" s="12" t="s">
        <v>3</v>
      </c>
      <c r="D11" s="11" t="s">
        <v>4</v>
      </c>
      <c r="E11" s="11" t="s">
        <v>89</v>
      </c>
    </row>
    <row r="12" spans="1:5" x14ac:dyDescent="0.3">
      <c r="A12" s="9"/>
      <c r="B12" s="14"/>
      <c r="C12" s="24"/>
      <c r="D12" s="14"/>
      <c r="E12" s="24"/>
    </row>
    <row r="13" spans="1:5" x14ac:dyDescent="0.3">
      <c r="A13" s="9"/>
      <c r="B13" s="14"/>
      <c r="C13" s="24"/>
      <c r="D13" s="14"/>
      <c r="E13" s="24"/>
    </row>
    <row r="14" spans="1:5" x14ac:dyDescent="0.3">
      <c r="A14" s="9"/>
      <c r="B14" s="14"/>
      <c r="C14" s="24"/>
      <c r="D14" s="14"/>
      <c r="E14" s="24"/>
    </row>
    <row r="15" spans="1:5" x14ac:dyDescent="0.3">
      <c r="A15" s="9"/>
      <c r="B15" s="14"/>
      <c r="C15" s="24"/>
      <c r="D15" s="14"/>
      <c r="E15" s="24"/>
    </row>
    <row r="16" spans="1:5" x14ac:dyDescent="0.3">
      <c r="A16" s="9"/>
      <c r="B16" s="14"/>
      <c r="C16" s="24"/>
      <c r="D16" s="14"/>
      <c r="E16" s="24"/>
    </row>
    <row r="17" spans="1:5" x14ac:dyDescent="0.3">
      <c r="A17" s="9"/>
      <c r="B17" s="14"/>
      <c r="C17" s="24"/>
      <c r="D17" s="14"/>
      <c r="E17" s="24"/>
    </row>
    <row r="18" spans="1:5" x14ac:dyDescent="0.3">
      <c r="A18" s="9"/>
      <c r="B18" s="14"/>
      <c r="C18" s="24"/>
      <c r="D18" s="14"/>
      <c r="E18" s="24"/>
    </row>
    <row r="19" spans="1:5" x14ac:dyDescent="0.3">
      <c r="A19" s="9"/>
      <c r="B19" s="14"/>
      <c r="C19" s="24"/>
      <c r="D19" s="14"/>
      <c r="E19" s="24"/>
    </row>
    <row r="20" spans="1:5" x14ac:dyDescent="0.3">
      <c r="A20" s="9"/>
      <c r="B20" s="14"/>
      <c r="C20" s="24"/>
      <c r="D20" s="14"/>
      <c r="E20" s="24"/>
    </row>
    <row r="21" spans="1:5" x14ac:dyDescent="0.3">
      <c r="A21" s="9"/>
      <c r="B21" s="14"/>
      <c r="C21" s="24"/>
      <c r="D21" s="14"/>
      <c r="E21" s="24"/>
    </row>
    <row r="22" spans="1:5" x14ac:dyDescent="0.3">
      <c r="A22" s="9"/>
      <c r="B22" s="14"/>
      <c r="C22" s="24"/>
      <c r="D22" s="14"/>
      <c r="E22" s="24"/>
    </row>
    <row r="23" spans="1:5" x14ac:dyDescent="0.3">
      <c r="A23" s="9"/>
      <c r="B23" s="14"/>
      <c r="C23" s="24"/>
      <c r="D23" s="14"/>
      <c r="E23" s="24"/>
    </row>
    <row r="24" spans="1:5" x14ac:dyDescent="0.3">
      <c r="A24" s="9"/>
      <c r="B24" s="14"/>
      <c r="C24" s="24"/>
      <c r="D24" s="14"/>
      <c r="E24" s="24"/>
    </row>
    <row r="25" spans="1:5" x14ac:dyDescent="0.3">
      <c r="A25" s="9"/>
      <c r="B25" s="14"/>
      <c r="C25" s="24"/>
      <c r="D25" s="14"/>
      <c r="E25" s="24"/>
    </row>
    <row r="26" spans="1:5" x14ac:dyDescent="0.3">
      <c r="A26" s="9"/>
      <c r="B26" s="14"/>
      <c r="C26" s="24"/>
      <c r="D26" s="14"/>
      <c r="E26" s="24"/>
    </row>
    <row r="27" spans="1:5" x14ac:dyDescent="0.3">
      <c r="A27" s="9"/>
      <c r="B27" s="14"/>
      <c r="C27" s="24"/>
      <c r="D27" s="14"/>
      <c r="E27" s="24"/>
    </row>
    <row r="28" spans="1:5" ht="20.399999999999999" customHeight="1" x14ac:dyDescent="0.3">
      <c r="A28" s="7" t="s">
        <v>89</v>
      </c>
      <c r="B28" s="16"/>
      <c r="C28" s="16"/>
      <c r="D28" s="16"/>
      <c r="E28" s="17"/>
    </row>
    <row r="29" spans="1:5" x14ac:dyDescent="0.3">
      <c r="D29"/>
    </row>
    <row r="30" spans="1:5" x14ac:dyDescent="0.3">
      <c r="B30" t="str">
        <f>IFERROR(INDEX(Data!$B$1:$B$82,_xlfn.AGGREGATE(15,6,($B$9=Data!$B$2:$B$82)/($B$9=Data!$B$2:$B$82)*ROW(Data!$B$2:$B$82),ROW(#REF!))),"")</f>
        <v/>
      </c>
      <c r="D30"/>
    </row>
    <row r="31" spans="1:5" x14ac:dyDescent="0.3">
      <c r="B31" t="str">
        <f>IFERROR(INDEX(Data!$B$1:$B$82,_xlfn.AGGREGATE(15,6,($B$9=Data!$B$2:$B$82)/($B$9=Data!$B$2:$B$82)*ROW(Data!$B$2:$B$82),ROW(#REF!))),"")</f>
        <v/>
      </c>
      <c r="D31"/>
    </row>
    <row r="32" spans="1:5" x14ac:dyDescent="0.3">
      <c r="B32" t="str">
        <f>IFERROR(INDEX(Data!$B$1:$B$82,_xlfn.AGGREGATE(15,6,($B$9=Data!$B$2:$B$82)/($B$9=Data!$B$2:$B$82)*ROW(Data!$B$2:$B$82),ROW(A26))),"")</f>
        <v/>
      </c>
      <c r="D32"/>
    </row>
    <row r="33" spans="2:4" x14ac:dyDescent="0.3">
      <c r="B33" t="str">
        <f>IFERROR(INDEX(Data!$B$1:$B$82,_xlfn.AGGREGATE(15,6,($B$9=Data!$B$2:$B$82)/($B$9=Data!$B$2:$B$82)*ROW(Data!$B$2:$B$82),ROW(A29))),"")</f>
        <v/>
      </c>
      <c r="D33"/>
    </row>
    <row r="34" spans="2:4" x14ac:dyDescent="0.3">
      <c r="B34" t="str">
        <f>IFERROR(INDEX(Data!$B$1:$B$82,_xlfn.AGGREGATE(15,6,($B$9=Data!$B$2:$B$82)/($B$9=Data!$B$2:$B$82)*ROW(Data!$B$2:$B$82),ROW(A30))),"")</f>
        <v/>
      </c>
      <c r="D34"/>
    </row>
    <row r="35" spans="2:4" x14ac:dyDescent="0.3">
      <c r="B35" t="str">
        <f>IFERROR(INDEX(Data!$B$1:$B$82,_xlfn.AGGREGATE(15,6,($B$9=Data!$B$2:$B$82)/($B$9=Data!$B$2:$B$82)*ROW(Data!$B$2:$B$82),ROW(A31))),"")</f>
        <v/>
      </c>
      <c r="D35"/>
    </row>
    <row r="36" spans="2:4" x14ac:dyDescent="0.3">
      <c r="B36" t="str">
        <f>IFERROR(INDEX(Data!$B$1:$B$82,_xlfn.AGGREGATE(15,6,($B$9=Data!$B$2:$B$82)/($B$9=Data!$B$2:$B$82)*ROW(Data!$B$2:$B$82),ROW(A32))),"")</f>
        <v/>
      </c>
      <c r="D36"/>
    </row>
    <row r="37" spans="2:4" x14ac:dyDescent="0.3">
      <c r="B37" t="str">
        <f>IFERROR(INDEX(Data!$B$1:$B$82,_xlfn.AGGREGATE(15,6,($B$9=Data!$B$2:$B$82)/($B$9=Data!$B$2:$B$82)*ROW(Data!$B$2:$B$82),ROW(#REF!))),"")</f>
        <v/>
      </c>
    </row>
    <row r="38" spans="2:4" x14ac:dyDescent="0.3">
      <c r="B38" t="str">
        <f>IFERROR(INDEX(Data!$B$1:$B$82,_xlfn.AGGREGATE(15,6,($B$9=Data!$B$2:$B$82)/($B$9=Data!$B$2:$B$82)*ROW(Data!$B$2:$B$82),ROW(A33))),"")</f>
        <v/>
      </c>
    </row>
    <row r="39" spans="2:4" x14ac:dyDescent="0.3">
      <c r="B39" t="str">
        <f>IFERROR(INDEX(Data!$B$1:$B$82,_xlfn.AGGREGATE(15,6,($B$9=Data!$B$2:$B$82)/($B$9=Data!$B$2:$B$82)*ROW(Data!$B$2:$B$82),ROW(A34))),"")</f>
        <v/>
      </c>
    </row>
    <row r="40" spans="2:4" x14ac:dyDescent="0.3">
      <c r="B40" t="str">
        <f>IFERROR(INDEX(Data!$B$1:$B$82,_xlfn.AGGREGATE(15,6,($B$9=Data!$B$2:$B$82)/($B$9=Data!$B$2:$B$82)*ROW(Data!$B$2:$B$82),ROW(A35))),"")</f>
        <v/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E84A9-4890-4B00-8E28-C5302B025BF7}">
  <sheetPr codeName="Sheet3"/>
  <dimension ref="A1:E82"/>
  <sheetViews>
    <sheetView workbookViewId="0">
      <selection activeCell="H18" sqref="H18"/>
    </sheetView>
  </sheetViews>
  <sheetFormatPr defaultColWidth="9.109375" defaultRowHeight="14.4" x14ac:dyDescent="0.3"/>
  <cols>
    <col min="1" max="1" width="5.88671875" style="1" customWidth="1"/>
    <col min="2" max="2" width="9.109375" style="1"/>
    <col min="3" max="3" width="14.21875" style="1" customWidth="1"/>
    <col min="4" max="4" width="15.6640625" style="2" customWidth="1"/>
    <col min="5" max="16384" width="9.109375" style="1"/>
  </cols>
  <sheetData>
    <row r="1" spans="1:5" x14ac:dyDescent="0.3">
      <c r="A1" s="8" t="s">
        <v>0</v>
      </c>
      <c r="B1" s="11" t="s">
        <v>1</v>
      </c>
      <c r="C1" s="11" t="s">
        <v>2</v>
      </c>
      <c r="D1" s="12" t="s">
        <v>3</v>
      </c>
      <c r="E1" s="13" t="s">
        <v>4</v>
      </c>
    </row>
    <row r="2" spans="1:5" x14ac:dyDescent="0.3">
      <c r="A2" s="9">
        <v>1</v>
      </c>
      <c r="B2" s="14" t="s">
        <v>5</v>
      </c>
      <c r="C2" s="22" t="s">
        <v>6</v>
      </c>
      <c r="D2" s="18">
        <v>30941</v>
      </c>
      <c r="E2" s="19">
        <v>213</v>
      </c>
    </row>
    <row r="3" spans="1:5" x14ac:dyDescent="0.3">
      <c r="A3" s="9">
        <v>2</v>
      </c>
      <c r="B3" s="14" t="s">
        <v>7</v>
      </c>
      <c r="C3" s="22" t="s">
        <v>8</v>
      </c>
      <c r="D3" s="18">
        <v>24493</v>
      </c>
      <c r="E3" s="19">
        <v>161</v>
      </c>
    </row>
    <row r="4" spans="1:5" x14ac:dyDescent="0.3">
      <c r="A4" s="9">
        <v>3</v>
      </c>
      <c r="B4" s="14" t="s">
        <v>9</v>
      </c>
      <c r="C4" s="22" t="s">
        <v>10</v>
      </c>
      <c r="D4" s="18">
        <v>45508</v>
      </c>
      <c r="E4" s="19">
        <v>625</v>
      </c>
    </row>
    <row r="5" spans="1:5" x14ac:dyDescent="0.3">
      <c r="A5" s="9">
        <v>4</v>
      </c>
      <c r="B5" s="14" t="s">
        <v>9</v>
      </c>
      <c r="C5" s="22" t="s">
        <v>11</v>
      </c>
      <c r="D5" s="18">
        <v>37697</v>
      </c>
      <c r="E5" s="19">
        <v>362</v>
      </c>
    </row>
    <row r="6" spans="1:5" x14ac:dyDescent="0.3">
      <c r="A6" s="9">
        <v>5</v>
      </c>
      <c r="B6" s="14" t="s">
        <v>5</v>
      </c>
      <c r="C6" s="22" t="s">
        <v>12</v>
      </c>
      <c r="D6" s="18">
        <v>25006</v>
      </c>
      <c r="E6" s="19">
        <v>772</v>
      </c>
    </row>
    <row r="7" spans="1:5" x14ac:dyDescent="0.3">
      <c r="A7" s="9">
        <v>6</v>
      </c>
      <c r="B7" s="14" t="s">
        <v>5</v>
      </c>
      <c r="C7" s="22" t="s">
        <v>13</v>
      </c>
      <c r="D7" s="18">
        <v>45600</v>
      </c>
      <c r="E7" s="19">
        <v>311</v>
      </c>
    </row>
    <row r="8" spans="1:5" x14ac:dyDescent="0.3">
      <c r="A8" s="9">
        <v>7</v>
      </c>
      <c r="B8" s="14" t="s">
        <v>14</v>
      </c>
      <c r="C8" s="22" t="s">
        <v>15</v>
      </c>
      <c r="D8" s="18">
        <v>41143</v>
      </c>
      <c r="E8" s="19">
        <v>408</v>
      </c>
    </row>
    <row r="9" spans="1:5" x14ac:dyDescent="0.3">
      <c r="A9" s="9">
        <v>8</v>
      </c>
      <c r="B9" s="14" t="s">
        <v>9</v>
      </c>
      <c r="C9" s="22" t="s">
        <v>16</v>
      </c>
      <c r="D9" s="18">
        <v>44511</v>
      </c>
      <c r="E9" s="19">
        <v>669</v>
      </c>
    </row>
    <row r="10" spans="1:5" x14ac:dyDescent="0.3">
      <c r="A10" s="9">
        <v>9</v>
      </c>
      <c r="B10" s="14" t="s">
        <v>7</v>
      </c>
      <c r="C10" s="22" t="s">
        <v>17</v>
      </c>
      <c r="D10" s="18">
        <v>44076</v>
      </c>
      <c r="E10" s="19">
        <v>487</v>
      </c>
    </row>
    <row r="11" spans="1:5" x14ac:dyDescent="0.3">
      <c r="A11" s="9">
        <v>10</v>
      </c>
      <c r="B11" s="14" t="s">
        <v>18</v>
      </c>
      <c r="C11" s="22" t="s">
        <v>19</v>
      </c>
      <c r="D11" s="18">
        <v>22327</v>
      </c>
      <c r="E11" s="19">
        <v>620</v>
      </c>
    </row>
    <row r="12" spans="1:5" x14ac:dyDescent="0.3">
      <c r="A12" s="9">
        <v>11</v>
      </c>
      <c r="B12" s="14" t="s">
        <v>7</v>
      </c>
      <c r="C12" s="22" t="s">
        <v>20</v>
      </c>
      <c r="D12" s="18">
        <v>43554</v>
      </c>
      <c r="E12" s="19">
        <v>508</v>
      </c>
    </row>
    <row r="13" spans="1:5" x14ac:dyDescent="0.3">
      <c r="A13" s="9">
        <v>12</v>
      </c>
      <c r="B13" s="14" t="s">
        <v>9</v>
      </c>
      <c r="C13" s="22" t="s">
        <v>21</v>
      </c>
      <c r="D13" s="18">
        <v>48224</v>
      </c>
      <c r="E13" s="19">
        <v>561</v>
      </c>
    </row>
    <row r="14" spans="1:5" x14ac:dyDescent="0.3">
      <c r="A14" s="9">
        <v>13</v>
      </c>
      <c r="B14" s="14" t="s">
        <v>9</v>
      </c>
      <c r="C14" s="22" t="s">
        <v>22</v>
      </c>
      <c r="D14" s="18">
        <v>34077</v>
      </c>
      <c r="E14" s="19">
        <v>906</v>
      </c>
    </row>
    <row r="15" spans="1:5" x14ac:dyDescent="0.3">
      <c r="A15" s="9">
        <v>14</v>
      </c>
      <c r="B15" s="14" t="s">
        <v>18</v>
      </c>
      <c r="C15" s="22" t="s">
        <v>23</v>
      </c>
      <c r="D15" s="18">
        <v>43472</v>
      </c>
      <c r="E15" s="19">
        <v>289</v>
      </c>
    </row>
    <row r="16" spans="1:5" x14ac:dyDescent="0.3">
      <c r="A16" s="9">
        <v>15</v>
      </c>
      <c r="B16" s="14" t="s">
        <v>7</v>
      </c>
      <c r="C16" s="22" t="s">
        <v>24</v>
      </c>
      <c r="D16" s="18">
        <v>27773</v>
      </c>
      <c r="E16" s="19">
        <v>687</v>
      </c>
    </row>
    <row r="17" spans="1:5" x14ac:dyDescent="0.3">
      <c r="A17" s="9">
        <v>16</v>
      </c>
      <c r="B17" s="14" t="s">
        <v>25</v>
      </c>
      <c r="C17" s="22" t="s">
        <v>26</v>
      </c>
      <c r="D17" s="18">
        <v>30669</v>
      </c>
      <c r="E17" s="19">
        <v>331</v>
      </c>
    </row>
    <row r="18" spans="1:5" x14ac:dyDescent="0.3">
      <c r="A18" s="9">
        <v>17</v>
      </c>
      <c r="B18" s="14" t="s">
        <v>18</v>
      </c>
      <c r="C18" s="22" t="s">
        <v>27</v>
      </c>
      <c r="D18" s="18">
        <v>47580</v>
      </c>
      <c r="E18" s="19">
        <v>548</v>
      </c>
    </row>
    <row r="19" spans="1:5" x14ac:dyDescent="0.3">
      <c r="A19" s="9">
        <v>18</v>
      </c>
      <c r="B19" s="14" t="s">
        <v>25</v>
      </c>
      <c r="C19" s="22" t="s">
        <v>28</v>
      </c>
      <c r="D19" s="18">
        <v>38532</v>
      </c>
      <c r="E19" s="19">
        <v>976</v>
      </c>
    </row>
    <row r="20" spans="1:5" x14ac:dyDescent="0.3">
      <c r="A20" s="9">
        <v>19</v>
      </c>
      <c r="B20" s="14" t="s">
        <v>18</v>
      </c>
      <c r="C20" s="22" t="s">
        <v>29</v>
      </c>
      <c r="D20" s="18">
        <v>47578</v>
      </c>
      <c r="E20" s="19">
        <v>985</v>
      </c>
    </row>
    <row r="21" spans="1:5" x14ac:dyDescent="0.3">
      <c r="A21" s="9">
        <v>20</v>
      </c>
      <c r="B21" s="14" t="s">
        <v>14</v>
      </c>
      <c r="C21" s="22" t="s">
        <v>30</v>
      </c>
      <c r="D21" s="18">
        <v>23409</v>
      </c>
      <c r="E21" s="19">
        <v>758</v>
      </c>
    </row>
    <row r="22" spans="1:5" x14ac:dyDescent="0.3">
      <c r="A22" s="9">
        <v>21</v>
      </c>
      <c r="B22" s="14" t="s">
        <v>7</v>
      </c>
      <c r="C22" s="22" t="s">
        <v>31</v>
      </c>
      <c r="D22" s="18">
        <v>24390</v>
      </c>
      <c r="E22" s="19">
        <v>954</v>
      </c>
    </row>
    <row r="23" spans="1:5" x14ac:dyDescent="0.3">
      <c r="A23" s="9">
        <v>22</v>
      </c>
      <c r="B23" s="14" t="s">
        <v>32</v>
      </c>
      <c r="C23" s="22" t="s">
        <v>33</v>
      </c>
      <c r="D23" s="18">
        <v>21883</v>
      </c>
      <c r="E23" s="19">
        <v>215</v>
      </c>
    </row>
    <row r="24" spans="1:5" x14ac:dyDescent="0.3">
      <c r="A24" s="9">
        <v>23</v>
      </c>
      <c r="B24" s="14" t="s">
        <v>14</v>
      </c>
      <c r="C24" s="22" t="s">
        <v>34</v>
      </c>
      <c r="D24" s="18">
        <v>46479</v>
      </c>
      <c r="E24" s="19">
        <v>614</v>
      </c>
    </row>
    <row r="25" spans="1:5" x14ac:dyDescent="0.3">
      <c r="A25" s="9">
        <v>24</v>
      </c>
      <c r="B25" s="14" t="s">
        <v>7</v>
      </c>
      <c r="C25" s="22" t="s">
        <v>35</v>
      </c>
      <c r="D25" s="18">
        <v>36351</v>
      </c>
      <c r="E25" s="19">
        <v>519</v>
      </c>
    </row>
    <row r="26" spans="1:5" x14ac:dyDescent="0.3">
      <c r="A26" s="9">
        <v>25</v>
      </c>
      <c r="B26" s="14" t="s">
        <v>14</v>
      </c>
      <c r="C26" s="22" t="s">
        <v>36</v>
      </c>
      <c r="D26" s="18">
        <v>48962</v>
      </c>
      <c r="E26" s="19">
        <v>674</v>
      </c>
    </row>
    <row r="27" spans="1:5" x14ac:dyDescent="0.3">
      <c r="A27" s="9">
        <v>26</v>
      </c>
      <c r="B27" s="14" t="s">
        <v>14</v>
      </c>
      <c r="C27" s="22" t="s">
        <v>37</v>
      </c>
      <c r="D27" s="18">
        <v>32210</v>
      </c>
      <c r="E27" s="19">
        <v>300</v>
      </c>
    </row>
    <row r="28" spans="1:5" x14ac:dyDescent="0.3">
      <c r="A28" s="9">
        <v>27</v>
      </c>
      <c r="B28" s="14" t="s">
        <v>18</v>
      </c>
      <c r="C28" s="22" t="s">
        <v>38</v>
      </c>
      <c r="D28" s="18">
        <v>33093</v>
      </c>
      <c r="E28" s="19">
        <v>186</v>
      </c>
    </row>
    <row r="29" spans="1:5" x14ac:dyDescent="0.3">
      <c r="A29" s="9">
        <v>28</v>
      </c>
      <c r="B29" s="14" t="s">
        <v>7</v>
      </c>
      <c r="C29" s="22" t="s">
        <v>39</v>
      </c>
      <c r="D29" s="18">
        <v>38589</v>
      </c>
      <c r="E29" s="19">
        <v>793</v>
      </c>
    </row>
    <row r="30" spans="1:5" x14ac:dyDescent="0.3">
      <c r="A30" s="9">
        <v>29</v>
      </c>
      <c r="B30" s="14" t="s">
        <v>25</v>
      </c>
      <c r="C30" s="22" t="s">
        <v>40</v>
      </c>
      <c r="D30" s="18">
        <v>34502</v>
      </c>
      <c r="E30" s="19">
        <v>876</v>
      </c>
    </row>
    <row r="31" spans="1:5" x14ac:dyDescent="0.3">
      <c r="A31" s="9">
        <v>30</v>
      </c>
      <c r="B31" s="14" t="s">
        <v>14</v>
      </c>
      <c r="C31" s="22" t="s">
        <v>41</v>
      </c>
      <c r="D31" s="18">
        <v>35293</v>
      </c>
      <c r="E31" s="19">
        <v>340</v>
      </c>
    </row>
    <row r="32" spans="1:5" x14ac:dyDescent="0.3">
      <c r="A32" s="9">
        <v>31</v>
      </c>
      <c r="B32" s="14" t="s">
        <v>32</v>
      </c>
      <c r="C32" s="22" t="s">
        <v>42</v>
      </c>
      <c r="D32" s="18">
        <v>22656</v>
      </c>
      <c r="E32" s="19">
        <v>299</v>
      </c>
    </row>
    <row r="33" spans="1:5" x14ac:dyDescent="0.3">
      <c r="A33" s="9">
        <v>32</v>
      </c>
      <c r="B33" s="14" t="s">
        <v>32</v>
      </c>
      <c r="C33" s="22" t="s">
        <v>43</v>
      </c>
      <c r="D33" s="18">
        <v>37964</v>
      </c>
      <c r="E33" s="19">
        <v>504</v>
      </c>
    </row>
    <row r="34" spans="1:5" x14ac:dyDescent="0.3">
      <c r="A34" s="9">
        <v>33</v>
      </c>
      <c r="B34" s="14" t="s">
        <v>5</v>
      </c>
      <c r="C34" s="22" t="s">
        <v>44</v>
      </c>
      <c r="D34" s="18">
        <v>48741</v>
      </c>
      <c r="E34" s="19">
        <v>734</v>
      </c>
    </row>
    <row r="35" spans="1:5" x14ac:dyDescent="0.3">
      <c r="A35" s="9">
        <v>34</v>
      </c>
      <c r="B35" s="14" t="s">
        <v>25</v>
      </c>
      <c r="C35" s="22" t="s">
        <v>45</v>
      </c>
      <c r="D35" s="18">
        <v>21409</v>
      </c>
      <c r="E35" s="19">
        <v>682</v>
      </c>
    </row>
    <row r="36" spans="1:5" x14ac:dyDescent="0.3">
      <c r="A36" s="9">
        <v>35</v>
      </c>
      <c r="B36" s="14" t="s">
        <v>14</v>
      </c>
      <c r="C36" s="22" t="s">
        <v>46</v>
      </c>
      <c r="D36" s="18">
        <v>44153</v>
      </c>
      <c r="E36" s="19">
        <v>903</v>
      </c>
    </row>
    <row r="37" spans="1:5" x14ac:dyDescent="0.3">
      <c r="A37" s="9">
        <v>36</v>
      </c>
      <c r="B37" s="14" t="s">
        <v>32</v>
      </c>
      <c r="C37" s="22" t="s">
        <v>47</v>
      </c>
      <c r="D37" s="18">
        <v>32381</v>
      </c>
      <c r="E37" s="19">
        <v>309</v>
      </c>
    </row>
    <row r="38" spans="1:5" x14ac:dyDescent="0.3">
      <c r="A38" s="9">
        <v>37</v>
      </c>
      <c r="B38" s="14" t="s">
        <v>18</v>
      </c>
      <c r="C38" s="22" t="s">
        <v>48</v>
      </c>
      <c r="D38" s="18">
        <v>20316</v>
      </c>
      <c r="E38" s="19">
        <v>481</v>
      </c>
    </row>
    <row r="39" spans="1:5" x14ac:dyDescent="0.3">
      <c r="A39" s="9">
        <v>38</v>
      </c>
      <c r="B39" s="14" t="s">
        <v>49</v>
      </c>
      <c r="C39" s="22" t="s">
        <v>50</v>
      </c>
      <c r="D39" s="18">
        <v>38256</v>
      </c>
      <c r="E39" s="19">
        <v>382</v>
      </c>
    </row>
    <row r="40" spans="1:5" x14ac:dyDescent="0.3">
      <c r="A40" s="9">
        <v>39</v>
      </c>
      <c r="B40" s="14" t="s">
        <v>25</v>
      </c>
      <c r="C40" s="22" t="s">
        <v>51</v>
      </c>
      <c r="D40" s="18">
        <v>43515</v>
      </c>
      <c r="E40" s="19">
        <v>668</v>
      </c>
    </row>
    <row r="41" spans="1:5" x14ac:dyDescent="0.3">
      <c r="A41" s="9">
        <v>40</v>
      </c>
      <c r="B41" s="14" t="s">
        <v>5</v>
      </c>
      <c r="C41" s="22" t="s">
        <v>52</v>
      </c>
      <c r="D41" s="18">
        <v>26216</v>
      </c>
      <c r="E41" s="19">
        <v>325</v>
      </c>
    </row>
    <row r="42" spans="1:5" x14ac:dyDescent="0.3">
      <c r="A42" s="9">
        <v>41</v>
      </c>
      <c r="B42" s="14" t="s">
        <v>7</v>
      </c>
      <c r="C42" s="22" t="s">
        <v>53</v>
      </c>
      <c r="D42" s="18">
        <v>33936</v>
      </c>
      <c r="E42" s="19">
        <v>521</v>
      </c>
    </row>
    <row r="43" spans="1:5" x14ac:dyDescent="0.3">
      <c r="A43" s="9">
        <v>42</v>
      </c>
      <c r="B43" s="14" t="s">
        <v>5</v>
      </c>
      <c r="C43" s="22" t="s">
        <v>54</v>
      </c>
      <c r="D43" s="18">
        <v>49713</v>
      </c>
      <c r="E43" s="19">
        <v>623</v>
      </c>
    </row>
    <row r="44" spans="1:5" x14ac:dyDescent="0.3">
      <c r="A44" s="9">
        <v>43</v>
      </c>
      <c r="B44" s="14" t="s">
        <v>25</v>
      </c>
      <c r="C44" s="22" t="s">
        <v>55</v>
      </c>
      <c r="D44" s="18">
        <v>32939</v>
      </c>
      <c r="E44" s="19">
        <v>381</v>
      </c>
    </row>
    <row r="45" spans="1:5" x14ac:dyDescent="0.3">
      <c r="A45" s="9">
        <v>44</v>
      </c>
      <c r="B45" s="14" t="s">
        <v>25</v>
      </c>
      <c r="C45" s="22" t="s">
        <v>56</v>
      </c>
      <c r="D45" s="18">
        <v>20650</v>
      </c>
      <c r="E45" s="19">
        <v>133</v>
      </c>
    </row>
    <row r="46" spans="1:5" x14ac:dyDescent="0.3">
      <c r="A46" s="9">
        <v>45</v>
      </c>
      <c r="B46" s="14" t="s">
        <v>9</v>
      </c>
      <c r="C46" s="22" t="s">
        <v>57</v>
      </c>
      <c r="D46" s="18">
        <v>22637</v>
      </c>
      <c r="E46" s="19">
        <v>745</v>
      </c>
    </row>
    <row r="47" spans="1:5" x14ac:dyDescent="0.3">
      <c r="A47" s="9">
        <v>46</v>
      </c>
      <c r="B47" s="14" t="s">
        <v>58</v>
      </c>
      <c r="C47" s="22" t="s">
        <v>59</v>
      </c>
      <c r="D47" s="18">
        <v>41701</v>
      </c>
      <c r="E47" s="19">
        <v>109</v>
      </c>
    </row>
    <row r="48" spans="1:5" x14ac:dyDescent="0.3">
      <c r="A48" s="9">
        <v>47</v>
      </c>
      <c r="B48" s="14" t="s">
        <v>18</v>
      </c>
      <c r="C48" s="22" t="s">
        <v>60</v>
      </c>
      <c r="D48" s="18">
        <v>48333</v>
      </c>
      <c r="E48" s="19">
        <v>584</v>
      </c>
    </row>
    <row r="49" spans="1:5" x14ac:dyDescent="0.3">
      <c r="A49" s="9">
        <v>48</v>
      </c>
      <c r="B49" s="14" t="s">
        <v>5</v>
      </c>
      <c r="C49" s="22" t="s">
        <v>38</v>
      </c>
      <c r="D49" s="18">
        <v>40919</v>
      </c>
      <c r="E49" s="19">
        <v>787</v>
      </c>
    </row>
    <row r="50" spans="1:5" x14ac:dyDescent="0.3">
      <c r="A50" s="9">
        <v>49</v>
      </c>
      <c r="B50" s="14" t="s">
        <v>9</v>
      </c>
      <c r="C50" s="22" t="s">
        <v>61</v>
      </c>
      <c r="D50" s="18">
        <v>28320</v>
      </c>
      <c r="E50" s="19">
        <v>271</v>
      </c>
    </row>
    <row r="51" spans="1:5" x14ac:dyDescent="0.3">
      <c r="A51" s="9">
        <v>50</v>
      </c>
      <c r="B51" s="14" t="s">
        <v>18</v>
      </c>
      <c r="C51" s="22" t="s">
        <v>62</v>
      </c>
      <c r="D51" s="18">
        <v>37787</v>
      </c>
      <c r="E51" s="19">
        <v>277</v>
      </c>
    </row>
    <row r="52" spans="1:5" x14ac:dyDescent="0.3">
      <c r="A52" s="9">
        <v>51</v>
      </c>
      <c r="B52" s="14" t="s">
        <v>7</v>
      </c>
      <c r="C52" s="22" t="s">
        <v>63</v>
      </c>
      <c r="D52" s="18">
        <v>35827</v>
      </c>
      <c r="E52" s="19">
        <v>161</v>
      </c>
    </row>
    <row r="53" spans="1:5" x14ac:dyDescent="0.3">
      <c r="A53" s="9">
        <v>52</v>
      </c>
      <c r="B53" s="14" t="s">
        <v>14</v>
      </c>
      <c r="C53" s="22" t="s">
        <v>54</v>
      </c>
      <c r="D53" s="18">
        <v>25282</v>
      </c>
      <c r="E53" s="19">
        <v>328</v>
      </c>
    </row>
    <row r="54" spans="1:5" x14ac:dyDescent="0.3">
      <c r="A54" s="9">
        <v>53</v>
      </c>
      <c r="B54" s="14" t="s">
        <v>58</v>
      </c>
      <c r="C54" s="22" t="s">
        <v>64</v>
      </c>
      <c r="D54" s="18">
        <v>48370</v>
      </c>
      <c r="E54" s="19">
        <v>657</v>
      </c>
    </row>
    <row r="55" spans="1:5" x14ac:dyDescent="0.3">
      <c r="A55" s="9">
        <v>54</v>
      </c>
      <c r="B55" s="14" t="s">
        <v>9</v>
      </c>
      <c r="C55" s="22" t="s">
        <v>65</v>
      </c>
      <c r="D55" s="18">
        <v>33597</v>
      </c>
      <c r="E55" s="19">
        <v>756</v>
      </c>
    </row>
    <row r="56" spans="1:5" x14ac:dyDescent="0.3">
      <c r="A56" s="9">
        <v>55</v>
      </c>
      <c r="B56" s="14" t="s">
        <v>7</v>
      </c>
      <c r="C56" s="22" t="s">
        <v>66</v>
      </c>
      <c r="D56" s="18">
        <v>30940</v>
      </c>
      <c r="E56" s="19">
        <v>551</v>
      </c>
    </row>
    <row r="57" spans="1:5" x14ac:dyDescent="0.3">
      <c r="A57" s="9">
        <v>56</v>
      </c>
      <c r="B57" s="14" t="s">
        <v>9</v>
      </c>
      <c r="C57" s="22" t="s">
        <v>67</v>
      </c>
      <c r="D57" s="18">
        <v>29251</v>
      </c>
      <c r="E57" s="19">
        <v>907</v>
      </c>
    </row>
    <row r="58" spans="1:5" x14ac:dyDescent="0.3">
      <c r="A58" s="9">
        <v>57</v>
      </c>
      <c r="B58" s="14" t="s">
        <v>49</v>
      </c>
      <c r="C58" s="22" t="s">
        <v>34</v>
      </c>
      <c r="D58" s="18">
        <v>39263</v>
      </c>
      <c r="E58" s="19">
        <v>120</v>
      </c>
    </row>
    <row r="59" spans="1:5" x14ac:dyDescent="0.3">
      <c r="A59" s="9">
        <v>58</v>
      </c>
      <c r="B59" s="14" t="s">
        <v>7</v>
      </c>
      <c r="C59" s="22" t="s">
        <v>68</v>
      </c>
      <c r="D59" s="18">
        <v>46413</v>
      </c>
      <c r="E59" s="19">
        <v>671</v>
      </c>
    </row>
    <row r="60" spans="1:5" x14ac:dyDescent="0.3">
      <c r="A60" s="9">
        <v>59</v>
      </c>
      <c r="B60" s="14" t="s">
        <v>58</v>
      </c>
      <c r="C60" s="22" t="s">
        <v>69</v>
      </c>
      <c r="D60" s="18">
        <v>28036</v>
      </c>
      <c r="E60" s="19">
        <v>501</v>
      </c>
    </row>
    <row r="61" spans="1:5" x14ac:dyDescent="0.3">
      <c r="A61" s="9">
        <v>60</v>
      </c>
      <c r="B61" s="14" t="s">
        <v>7</v>
      </c>
      <c r="C61" s="22" t="s">
        <v>70</v>
      </c>
      <c r="D61" s="18">
        <v>47795</v>
      </c>
      <c r="E61" s="19">
        <v>916</v>
      </c>
    </row>
    <row r="62" spans="1:5" x14ac:dyDescent="0.3">
      <c r="A62" s="9">
        <v>61</v>
      </c>
      <c r="B62" s="14" t="s">
        <v>5</v>
      </c>
      <c r="C62" s="22" t="s">
        <v>71</v>
      </c>
      <c r="D62" s="18">
        <v>43634</v>
      </c>
      <c r="E62" s="19">
        <v>102</v>
      </c>
    </row>
    <row r="63" spans="1:5" x14ac:dyDescent="0.3">
      <c r="A63" s="9">
        <v>62</v>
      </c>
      <c r="B63" s="14" t="s">
        <v>9</v>
      </c>
      <c r="C63" s="22" t="s">
        <v>72</v>
      </c>
      <c r="D63" s="18">
        <v>29236</v>
      </c>
      <c r="E63" s="19">
        <v>247</v>
      </c>
    </row>
    <row r="64" spans="1:5" x14ac:dyDescent="0.3">
      <c r="A64" s="9">
        <v>63</v>
      </c>
      <c r="B64" s="14" t="s">
        <v>5</v>
      </c>
      <c r="C64" s="22" t="s">
        <v>73</v>
      </c>
      <c r="D64" s="18">
        <v>39539</v>
      </c>
      <c r="E64" s="19">
        <v>306</v>
      </c>
    </row>
    <row r="65" spans="1:5" x14ac:dyDescent="0.3">
      <c r="A65" s="9">
        <v>64</v>
      </c>
      <c r="B65" s="14" t="s">
        <v>7</v>
      </c>
      <c r="C65" s="22" t="s">
        <v>74</v>
      </c>
      <c r="D65" s="18">
        <v>22373</v>
      </c>
      <c r="E65" s="19">
        <v>469</v>
      </c>
    </row>
    <row r="66" spans="1:5" x14ac:dyDescent="0.3">
      <c r="A66" s="9">
        <v>65</v>
      </c>
      <c r="B66" s="14" t="s">
        <v>14</v>
      </c>
      <c r="C66" s="22" t="s">
        <v>75</v>
      </c>
      <c r="D66" s="18">
        <v>33637</v>
      </c>
      <c r="E66" s="19">
        <v>925</v>
      </c>
    </row>
    <row r="67" spans="1:5" x14ac:dyDescent="0.3">
      <c r="A67" s="9">
        <v>66</v>
      </c>
      <c r="B67" s="14" t="s">
        <v>32</v>
      </c>
      <c r="C67" s="22" t="s">
        <v>76</v>
      </c>
      <c r="D67" s="18">
        <v>43011</v>
      </c>
      <c r="E67" s="19">
        <v>952</v>
      </c>
    </row>
    <row r="68" spans="1:5" x14ac:dyDescent="0.3">
      <c r="A68" s="9">
        <v>67</v>
      </c>
      <c r="B68" s="14" t="s">
        <v>5</v>
      </c>
      <c r="C68" s="22" t="s">
        <v>77</v>
      </c>
      <c r="D68" s="18">
        <v>40135</v>
      </c>
      <c r="E68" s="19">
        <v>892</v>
      </c>
    </row>
    <row r="69" spans="1:5" x14ac:dyDescent="0.3">
      <c r="A69" s="9">
        <v>68</v>
      </c>
      <c r="B69" s="14" t="s">
        <v>49</v>
      </c>
      <c r="C69" s="22" t="s">
        <v>78</v>
      </c>
      <c r="D69" s="18">
        <v>24818</v>
      </c>
      <c r="E69" s="19">
        <v>240</v>
      </c>
    </row>
    <row r="70" spans="1:5" x14ac:dyDescent="0.3">
      <c r="A70" s="9">
        <v>69</v>
      </c>
      <c r="B70" s="14" t="s">
        <v>9</v>
      </c>
      <c r="C70" s="22" t="s">
        <v>79</v>
      </c>
      <c r="D70" s="18">
        <v>47171</v>
      </c>
      <c r="E70" s="19">
        <v>713</v>
      </c>
    </row>
    <row r="71" spans="1:5" x14ac:dyDescent="0.3">
      <c r="A71" s="9">
        <v>70</v>
      </c>
      <c r="B71" s="14" t="s">
        <v>32</v>
      </c>
      <c r="C71" s="22" t="s">
        <v>80</v>
      </c>
      <c r="D71" s="18">
        <v>38376</v>
      </c>
      <c r="E71" s="19">
        <v>706</v>
      </c>
    </row>
    <row r="72" spans="1:5" x14ac:dyDescent="0.3">
      <c r="A72" s="9">
        <v>71</v>
      </c>
      <c r="B72" s="14" t="s">
        <v>18</v>
      </c>
      <c r="C72" s="22" t="s">
        <v>81</v>
      </c>
      <c r="D72" s="18">
        <v>28776</v>
      </c>
      <c r="E72" s="19">
        <v>764</v>
      </c>
    </row>
    <row r="73" spans="1:5" x14ac:dyDescent="0.3">
      <c r="A73" s="9">
        <v>72</v>
      </c>
      <c r="B73" s="14" t="s">
        <v>58</v>
      </c>
      <c r="C73" s="22" t="s">
        <v>82</v>
      </c>
      <c r="D73" s="18">
        <v>28926</v>
      </c>
      <c r="E73" s="19">
        <v>271</v>
      </c>
    </row>
    <row r="74" spans="1:5" x14ac:dyDescent="0.3">
      <c r="A74" s="9">
        <v>73</v>
      </c>
      <c r="B74" s="14" t="s">
        <v>7</v>
      </c>
      <c r="C74" s="22" t="s">
        <v>26</v>
      </c>
      <c r="D74" s="18">
        <v>46028</v>
      </c>
      <c r="E74" s="19">
        <v>331</v>
      </c>
    </row>
    <row r="75" spans="1:5" x14ac:dyDescent="0.3">
      <c r="A75" s="9">
        <v>74</v>
      </c>
      <c r="B75" s="14" t="s">
        <v>5</v>
      </c>
      <c r="C75" s="22" t="s">
        <v>83</v>
      </c>
      <c r="D75" s="18">
        <v>30133</v>
      </c>
      <c r="E75" s="19">
        <v>165</v>
      </c>
    </row>
    <row r="76" spans="1:5" x14ac:dyDescent="0.3">
      <c r="A76" s="9">
        <v>75</v>
      </c>
      <c r="B76" s="14" t="s">
        <v>14</v>
      </c>
      <c r="C76" s="22" t="s">
        <v>84</v>
      </c>
      <c r="D76" s="18">
        <v>36241</v>
      </c>
      <c r="E76" s="19">
        <v>753</v>
      </c>
    </row>
    <row r="77" spans="1:5" x14ac:dyDescent="0.3">
      <c r="A77" s="9">
        <v>76</v>
      </c>
      <c r="B77" s="14" t="s">
        <v>9</v>
      </c>
      <c r="C77" s="22" t="s">
        <v>85</v>
      </c>
      <c r="D77" s="18">
        <v>23266</v>
      </c>
      <c r="E77" s="19">
        <v>747</v>
      </c>
    </row>
    <row r="78" spans="1:5" x14ac:dyDescent="0.3">
      <c r="A78" s="9">
        <v>77</v>
      </c>
      <c r="B78" s="14" t="s">
        <v>18</v>
      </c>
      <c r="C78" s="22" t="s">
        <v>46</v>
      </c>
      <c r="D78" s="18">
        <v>30227</v>
      </c>
      <c r="E78" s="19">
        <v>857</v>
      </c>
    </row>
    <row r="79" spans="1:5" x14ac:dyDescent="0.3">
      <c r="A79" s="9">
        <v>78</v>
      </c>
      <c r="B79" s="14" t="s">
        <v>14</v>
      </c>
      <c r="C79" s="22" t="s">
        <v>86</v>
      </c>
      <c r="D79" s="18">
        <v>24398</v>
      </c>
      <c r="E79" s="19">
        <v>184</v>
      </c>
    </row>
    <row r="80" spans="1:5" x14ac:dyDescent="0.3">
      <c r="A80" s="9">
        <v>79</v>
      </c>
      <c r="B80" s="14" t="s">
        <v>32</v>
      </c>
      <c r="C80" s="22" t="s">
        <v>87</v>
      </c>
      <c r="D80" s="18">
        <v>27462</v>
      </c>
      <c r="E80" s="19">
        <v>108</v>
      </c>
    </row>
    <row r="81" spans="1:5" x14ac:dyDescent="0.3">
      <c r="A81" s="9">
        <v>80</v>
      </c>
      <c r="B81" s="14" t="s">
        <v>5</v>
      </c>
      <c r="C81" s="22" t="s">
        <v>66</v>
      </c>
      <c r="D81" s="18">
        <v>23813</v>
      </c>
      <c r="E81" s="19">
        <v>297</v>
      </c>
    </row>
    <row r="82" spans="1:5" x14ac:dyDescent="0.3">
      <c r="A82" s="10">
        <v>81</v>
      </c>
      <c r="B82" s="15" t="s">
        <v>25</v>
      </c>
      <c r="C82" s="23" t="s">
        <v>88</v>
      </c>
      <c r="D82" s="20">
        <v>43510</v>
      </c>
      <c r="E82" s="21">
        <v>755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Nota Belanja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himmatul  azizah</cp:lastModifiedBy>
  <dcterms:created xsi:type="dcterms:W3CDTF">2021-06-28T23:45:37Z</dcterms:created>
  <dcterms:modified xsi:type="dcterms:W3CDTF">2024-09-09T08:51:37Z</dcterms:modified>
</cp:coreProperties>
</file>