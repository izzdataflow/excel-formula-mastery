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Data\Excel\Training\excel-expert\finished\"/>
    </mc:Choice>
  </mc:AlternateContent>
  <xr:revisionPtr revIDLastSave="0" documentId="13_ncr:1_{F8A1683E-0013-4DDE-8F99-A169E4FC35DD}" xr6:coauthVersionLast="47" xr6:coauthVersionMax="47" xr10:uidLastSave="{00000000-0000-0000-0000-000000000000}"/>
  <bookViews>
    <workbookView xWindow="-120" yWindow="-120" windowWidth="29040" windowHeight="15720" xr2:uid="{00000000-000D-0000-FFFF-FFFF00000000}"/>
  </bookViews>
  <sheets>
    <sheet name="Case 3 - Data Processing" sheetId="1" r:id="rId1"/>
  </sheets>
  <definedNames>
    <definedName name="DT_BIRTH">'Case 3 - Data Processing'!$F$3:$F$3002</definedName>
    <definedName name="DT_GENDER">'Case 3 - Data Processing'!$G$3:$G$3002</definedName>
    <definedName name="DT_ID">'Case 3 - Data Processing'!$E$3:$E$3002</definedName>
    <definedName name="DT_NM">'Case 3 - Data Processing'!$D$3:$D$3002</definedName>
    <definedName name="DT_PHONE">LEFT(SUBSTITUTE(SUBSTITUTE(IF(--LEFT('Case 3 - Data Processing'!$H$3:$H$3002,1)=0,REPLACE('Case 3 - Data Processing'!$H$3:$H$3002,1,1,"+62"), IF(--LEFT('Case 3 - Data Processing'!$H$3:$H$3002,1)=8,"+62"&amp;'Case 3 - Data Processing'!$H$3:$H$3002,"+"&amp;'Case 3 - Data Processing'!$H$3:$H$3002))," ",""),"-",""),5)</definedName>
    <definedName name="HARGA_PRODUK">'Case 3 - Data Processing'!$L$7:$L$9</definedName>
    <definedName name="MENTOR_RATE">'Case 3 - Data Processing'!$K$19:$K$21</definedName>
    <definedName name="PHONE_KODE">'Case 3 - Data Processing'!$J$12:$J$16</definedName>
    <definedName name="PRODUK">'Case 3 - Data Processing'!$J$7:$J$9</definedName>
    <definedName name="REG_ACT">'Case 3 - Data Processing'!$S$3:$S$1502</definedName>
    <definedName name="REG_AGE">'Case 3 - Data Processing'!$V$3:$V$1502</definedName>
    <definedName name="REG_DATE">'Case 3 - Data Processing'!$R$3:$R$1502</definedName>
    <definedName name="REG_DISCOUNT">'Case 3 - Data Processing'!$W$3:$W$1502</definedName>
    <definedName name="REG_EMAIL">'Case 3 - Data Processing'!$U$3:$U$1502</definedName>
    <definedName name="REG_ID">'Case 3 - Data Processing'!$O$3:$O$1502</definedName>
    <definedName name="REG_PHONE">'Case 3 - Data Processing'!$T$3:$T$1502</definedName>
    <definedName name="REG_PLAT">'Case 3 - Data Processing'!$Q$3:$Q$1502</definedName>
    <definedName name="REG_PROD">TRIM('Case 3 - Data Processing'!$P$3:$P$1502)</definedName>
    <definedName name="SMS_CHARGE">'Case 3 - Data Processing'!$L$12:$L$16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5" roundtripDataChecksum="+AaJqFL82wX4kJyZQnoFotNNz6Pei/8gVOSJ4w83Ur4="/>
    </ext>
  </extLst>
</workbook>
</file>

<file path=xl/calcChain.xml><?xml version="1.0" encoding="utf-8"?>
<calcChain xmlns="http://schemas.openxmlformats.org/spreadsheetml/2006/main">
  <c r="U4" i="1" l="1"/>
  <c r="AD57" i="1"/>
  <c r="AC57" i="1"/>
  <c r="AB32" i="1"/>
  <c r="AB31" i="1"/>
  <c r="AB30" i="1"/>
  <c r="AB28" i="1"/>
  <c r="AB27" i="1"/>
  <c r="AB26" i="1"/>
  <c r="AA32" i="1"/>
  <c r="AA31" i="1"/>
  <c r="AA30" i="1"/>
  <c r="AA28" i="1"/>
  <c r="AA27" i="1"/>
  <c r="AA26" i="1"/>
  <c r="Z32" i="1"/>
  <c r="Z31" i="1"/>
  <c r="Z30" i="1"/>
  <c r="Z28" i="1"/>
  <c r="Z27" i="1"/>
  <c r="Z26" i="1"/>
  <c r="Z21" i="1"/>
  <c r="Z20"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Z17" i="1"/>
  <c r="Z16" i="1"/>
  <c r="Z13" i="1"/>
  <c r="Z12" i="1"/>
  <c r="Z11" i="1"/>
  <c r="Z8" i="1"/>
  <c r="Z7" i="1"/>
  <c r="Z3" i="1"/>
  <c r="Z4" i="1"/>
  <c r="AF11" i="1" l="1"/>
  <c r="AE11" i="1"/>
  <c r="AB11" i="1"/>
  <c r="AA11" i="1"/>
  <c r="AF12" i="1"/>
  <c r="AE12" i="1"/>
  <c r="AB12" i="1"/>
  <c r="AA12" i="1"/>
  <c r="AF13" i="1"/>
  <c r="AE13" i="1"/>
  <c r="AB13" i="1"/>
  <c r="AA13" i="1"/>
  <c r="V4" i="1"/>
  <c r="V5" i="1"/>
  <c r="V6" i="1"/>
  <c r="V7" i="1"/>
  <c r="W7" i="1" s="1"/>
  <c r="V8" i="1"/>
  <c r="W8" i="1" s="1"/>
  <c r="V9" i="1"/>
  <c r="W9" i="1" s="1"/>
  <c r="V10" i="1"/>
  <c r="W10" i="1" s="1"/>
  <c r="V11" i="1"/>
  <c r="W11" i="1" s="1"/>
  <c r="V12" i="1"/>
  <c r="W12" i="1" s="1"/>
  <c r="V13" i="1"/>
  <c r="W13" i="1" s="1"/>
  <c r="V14" i="1"/>
  <c r="W14" i="1" s="1"/>
  <c r="V15" i="1"/>
  <c r="W15" i="1" s="1"/>
  <c r="V16" i="1"/>
  <c r="W16" i="1" s="1"/>
  <c r="V17" i="1"/>
  <c r="W17" i="1" s="1"/>
  <c r="V18" i="1"/>
  <c r="W18" i="1" s="1"/>
  <c r="V19" i="1"/>
  <c r="W19" i="1" s="1"/>
  <c r="V20" i="1"/>
  <c r="W20" i="1" s="1"/>
  <c r="V21" i="1"/>
  <c r="W21" i="1" s="1"/>
  <c r="V22" i="1"/>
  <c r="W22" i="1" s="1"/>
  <c r="V23" i="1"/>
  <c r="W23" i="1" s="1"/>
  <c r="V24" i="1"/>
  <c r="W24" i="1" s="1"/>
  <c r="V25" i="1"/>
  <c r="W25" i="1" s="1"/>
  <c r="V26" i="1"/>
  <c r="W26" i="1" s="1"/>
  <c r="V27" i="1"/>
  <c r="W27" i="1" s="1"/>
  <c r="V28" i="1"/>
  <c r="W28" i="1" s="1"/>
  <c r="V29" i="1"/>
  <c r="W29" i="1" s="1"/>
  <c r="V30" i="1"/>
  <c r="W30" i="1" s="1"/>
  <c r="V31" i="1"/>
  <c r="W31" i="1" s="1"/>
  <c r="V32" i="1"/>
  <c r="W32" i="1" s="1"/>
  <c r="V33" i="1"/>
  <c r="W33" i="1" s="1"/>
  <c r="V34" i="1"/>
  <c r="W34" i="1" s="1"/>
  <c r="V35" i="1"/>
  <c r="W35" i="1" s="1"/>
  <c r="V36" i="1"/>
  <c r="W36" i="1" s="1"/>
  <c r="V37" i="1"/>
  <c r="W37" i="1" s="1"/>
  <c r="V38" i="1"/>
  <c r="W38" i="1" s="1"/>
  <c r="V39" i="1"/>
  <c r="W39" i="1" s="1"/>
  <c r="V40" i="1"/>
  <c r="W40" i="1" s="1"/>
  <c r="V41" i="1"/>
  <c r="W41" i="1" s="1"/>
  <c r="V42" i="1"/>
  <c r="W42" i="1" s="1"/>
  <c r="V43" i="1"/>
  <c r="W43" i="1" s="1"/>
  <c r="V44" i="1"/>
  <c r="W44" i="1" s="1"/>
  <c r="V45" i="1"/>
  <c r="W45" i="1" s="1"/>
  <c r="V46" i="1"/>
  <c r="W46" i="1" s="1"/>
  <c r="V47" i="1"/>
  <c r="W47" i="1" s="1"/>
  <c r="V48" i="1"/>
  <c r="W48" i="1" s="1"/>
  <c r="V49" i="1"/>
  <c r="W49" i="1" s="1"/>
  <c r="V50" i="1"/>
  <c r="W50" i="1" s="1"/>
  <c r="V51" i="1"/>
  <c r="W51" i="1" s="1"/>
  <c r="V52" i="1"/>
  <c r="W52" i="1" s="1"/>
  <c r="V53" i="1"/>
  <c r="W53" i="1" s="1"/>
  <c r="V54" i="1"/>
  <c r="W54" i="1" s="1"/>
  <c r="V55" i="1"/>
  <c r="W55" i="1" s="1"/>
  <c r="V56" i="1"/>
  <c r="W56" i="1" s="1"/>
  <c r="V57" i="1"/>
  <c r="W57" i="1" s="1"/>
  <c r="V58" i="1"/>
  <c r="W58" i="1" s="1"/>
  <c r="V59" i="1"/>
  <c r="W59" i="1" s="1"/>
  <c r="V60" i="1"/>
  <c r="W60" i="1" s="1"/>
  <c r="V61" i="1"/>
  <c r="W61" i="1" s="1"/>
  <c r="V62" i="1"/>
  <c r="W62" i="1" s="1"/>
  <c r="V63" i="1"/>
  <c r="W63" i="1" s="1"/>
  <c r="V64" i="1"/>
  <c r="W64" i="1" s="1"/>
  <c r="V65" i="1"/>
  <c r="W65" i="1" s="1"/>
  <c r="V66" i="1"/>
  <c r="W66" i="1" s="1"/>
  <c r="V67" i="1"/>
  <c r="W67" i="1" s="1"/>
  <c r="V68" i="1"/>
  <c r="W68" i="1" s="1"/>
  <c r="V69" i="1"/>
  <c r="W69" i="1" s="1"/>
  <c r="V70" i="1"/>
  <c r="W70" i="1" s="1"/>
  <c r="V71" i="1"/>
  <c r="W71" i="1" s="1"/>
  <c r="V72" i="1"/>
  <c r="W72" i="1" s="1"/>
  <c r="V73" i="1"/>
  <c r="W73" i="1" s="1"/>
  <c r="V74" i="1"/>
  <c r="W74" i="1" s="1"/>
  <c r="V75" i="1"/>
  <c r="W75" i="1" s="1"/>
  <c r="V76" i="1"/>
  <c r="W76" i="1" s="1"/>
  <c r="V77" i="1"/>
  <c r="W77" i="1" s="1"/>
  <c r="V78" i="1"/>
  <c r="W78" i="1" s="1"/>
  <c r="V79" i="1"/>
  <c r="W79" i="1" s="1"/>
  <c r="V80" i="1"/>
  <c r="W80" i="1" s="1"/>
  <c r="V81" i="1"/>
  <c r="W81" i="1" s="1"/>
  <c r="V82" i="1"/>
  <c r="W82" i="1" s="1"/>
  <c r="V83" i="1"/>
  <c r="W83" i="1" s="1"/>
  <c r="V84" i="1"/>
  <c r="W84" i="1" s="1"/>
  <c r="V85" i="1"/>
  <c r="W85" i="1" s="1"/>
  <c r="V86" i="1"/>
  <c r="W86" i="1" s="1"/>
  <c r="V87" i="1"/>
  <c r="W87" i="1" s="1"/>
  <c r="V88" i="1"/>
  <c r="W88" i="1" s="1"/>
  <c r="V89" i="1"/>
  <c r="W89" i="1" s="1"/>
  <c r="V90" i="1"/>
  <c r="W90" i="1" s="1"/>
  <c r="V91" i="1"/>
  <c r="W91" i="1" s="1"/>
  <c r="V92" i="1"/>
  <c r="W92" i="1" s="1"/>
  <c r="V93" i="1"/>
  <c r="W93" i="1" s="1"/>
  <c r="V94" i="1"/>
  <c r="W94" i="1" s="1"/>
  <c r="V95" i="1"/>
  <c r="W95" i="1" s="1"/>
  <c r="V96" i="1"/>
  <c r="W96" i="1" s="1"/>
  <c r="V97" i="1"/>
  <c r="W97" i="1" s="1"/>
  <c r="V98" i="1"/>
  <c r="W98" i="1" s="1"/>
  <c r="V99" i="1"/>
  <c r="W99" i="1" s="1"/>
  <c r="V100" i="1"/>
  <c r="W100" i="1" s="1"/>
  <c r="V101" i="1"/>
  <c r="W101" i="1" s="1"/>
  <c r="V102" i="1"/>
  <c r="W102" i="1" s="1"/>
  <c r="V103" i="1"/>
  <c r="W103" i="1" s="1"/>
  <c r="V104" i="1"/>
  <c r="W104" i="1" s="1"/>
  <c r="V105" i="1"/>
  <c r="W105" i="1" s="1"/>
  <c r="V106" i="1"/>
  <c r="W106" i="1" s="1"/>
  <c r="V107" i="1"/>
  <c r="W107" i="1" s="1"/>
  <c r="V108" i="1"/>
  <c r="W108" i="1" s="1"/>
  <c r="V109" i="1"/>
  <c r="W109" i="1" s="1"/>
  <c r="V110" i="1"/>
  <c r="W110" i="1" s="1"/>
  <c r="V111" i="1"/>
  <c r="W111" i="1" s="1"/>
  <c r="V112" i="1"/>
  <c r="W112" i="1" s="1"/>
  <c r="V113" i="1"/>
  <c r="W113" i="1" s="1"/>
  <c r="V114" i="1"/>
  <c r="W114" i="1" s="1"/>
  <c r="V115" i="1"/>
  <c r="W115" i="1" s="1"/>
  <c r="V116" i="1"/>
  <c r="W116" i="1" s="1"/>
  <c r="V117" i="1"/>
  <c r="W117" i="1" s="1"/>
  <c r="V118" i="1"/>
  <c r="W118" i="1" s="1"/>
  <c r="V119" i="1"/>
  <c r="W119" i="1" s="1"/>
  <c r="V120" i="1"/>
  <c r="W120" i="1" s="1"/>
  <c r="V121" i="1"/>
  <c r="W121" i="1" s="1"/>
  <c r="V122" i="1"/>
  <c r="W122" i="1" s="1"/>
  <c r="V123" i="1"/>
  <c r="W123" i="1" s="1"/>
  <c r="V124" i="1"/>
  <c r="W124" i="1" s="1"/>
  <c r="V125" i="1"/>
  <c r="W125" i="1" s="1"/>
  <c r="V126" i="1"/>
  <c r="W126" i="1" s="1"/>
  <c r="V127" i="1"/>
  <c r="W127" i="1" s="1"/>
  <c r="V128" i="1"/>
  <c r="W128" i="1" s="1"/>
  <c r="V129" i="1"/>
  <c r="W129" i="1" s="1"/>
  <c r="V130" i="1"/>
  <c r="W130" i="1" s="1"/>
  <c r="V131" i="1"/>
  <c r="W131" i="1" s="1"/>
  <c r="V132" i="1"/>
  <c r="W132" i="1" s="1"/>
  <c r="V133" i="1"/>
  <c r="W133" i="1" s="1"/>
  <c r="V134" i="1"/>
  <c r="W134" i="1" s="1"/>
  <c r="V135" i="1"/>
  <c r="W135" i="1" s="1"/>
  <c r="V136" i="1"/>
  <c r="W136" i="1" s="1"/>
  <c r="V137" i="1"/>
  <c r="W137" i="1" s="1"/>
  <c r="V138" i="1"/>
  <c r="W138" i="1" s="1"/>
  <c r="V139" i="1"/>
  <c r="W139" i="1" s="1"/>
  <c r="V140" i="1"/>
  <c r="W140" i="1" s="1"/>
  <c r="V141" i="1"/>
  <c r="W141" i="1" s="1"/>
  <c r="V142" i="1"/>
  <c r="W142" i="1" s="1"/>
  <c r="V143" i="1"/>
  <c r="W143" i="1" s="1"/>
  <c r="V144" i="1"/>
  <c r="W144" i="1" s="1"/>
  <c r="V145" i="1"/>
  <c r="W145" i="1" s="1"/>
  <c r="V146" i="1"/>
  <c r="W146" i="1" s="1"/>
  <c r="V147" i="1"/>
  <c r="W147" i="1" s="1"/>
  <c r="V148" i="1"/>
  <c r="W148" i="1" s="1"/>
  <c r="V149" i="1"/>
  <c r="W149" i="1" s="1"/>
  <c r="V150" i="1"/>
  <c r="W150" i="1" s="1"/>
  <c r="V151" i="1"/>
  <c r="W151" i="1" s="1"/>
  <c r="V152" i="1"/>
  <c r="W152" i="1" s="1"/>
  <c r="V153" i="1"/>
  <c r="W153" i="1" s="1"/>
  <c r="V154" i="1"/>
  <c r="W154" i="1" s="1"/>
  <c r="V155" i="1"/>
  <c r="W155" i="1" s="1"/>
  <c r="V156" i="1"/>
  <c r="W156" i="1" s="1"/>
  <c r="V157" i="1"/>
  <c r="W157" i="1" s="1"/>
  <c r="V158" i="1"/>
  <c r="W158" i="1" s="1"/>
  <c r="V159" i="1"/>
  <c r="W159" i="1" s="1"/>
  <c r="V160" i="1"/>
  <c r="W160" i="1" s="1"/>
  <c r="V161" i="1"/>
  <c r="W161" i="1" s="1"/>
  <c r="V162" i="1"/>
  <c r="W162" i="1" s="1"/>
  <c r="V163" i="1"/>
  <c r="W163" i="1" s="1"/>
  <c r="V164" i="1"/>
  <c r="W164" i="1" s="1"/>
  <c r="V165" i="1"/>
  <c r="W165" i="1" s="1"/>
  <c r="V166" i="1"/>
  <c r="W166" i="1" s="1"/>
  <c r="V167" i="1"/>
  <c r="W167" i="1" s="1"/>
  <c r="V168" i="1"/>
  <c r="W168" i="1" s="1"/>
  <c r="V169" i="1"/>
  <c r="W169" i="1" s="1"/>
  <c r="V170" i="1"/>
  <c r="W170" i="1" s="1"/>
  <c r="V171" i="1"/>
  <c r="W171" i="1" s="1"/>
  <c r="V172" i="1"/>
  <c r="W172" i="1" s="1"/>
  <c r="V173" i="1"/>
  <c r="W173" i="1" s="1"/>
  <c r="V174" i="1"/>
  <c r="W174" i="1" s="1"/>
  <c r="V175" i="1"/>
  <c r="W175" i="1" s="1"/>
  <c r="V176" i="1"/>
  <c r="W176" i="1" s="1"/>
  <c r="V177" i="1"/>
  <c r="W177" i="1" s="1"/>
  <c r="V178" i="1"/>
  <c r="W178" i="1" s="1"/>
  <c r="V179" i="1"/>
  <c r="W179" i="1" s="1"/>
  <c r="V180" i="1"/>
  <c r="W180" i="1" s="1"/>
  <c r="V181" i="1"/>
  <c r="W181" i="1" s="1"/>
  <c r="V182" i="1"/>
  <c r="W182" i="1" s="1"/>
  <c r="V183" i="1"/>
  <c r="W183" i="1" s="1"/>
  <c r="V184" i="1"/>
  <c r="W184" i="1" s="1"/>
  <c r="V185" i="1"/>
  <c r="W185" i="1" s="1"/>
  <c r="V186" i="1"/>
  <c r="W186" i="1" s="1"/>
  <c r="V187" i="1"/>
  <c r="W187" i="1" s="1"/>
  <c r="V188" i="1"/>
  <c r="W188" i="1" s="1"/>
  <c r="V189" i="1"/>
  <c r="W189" i="1" s="1"/>
  <c r="V190" i="1"/>
  <c r="W190" i="1" s="1"/>
  <c r="V191" i="1"/>
  <c r="W191" i="1" s="1"/>
  <c r="V192" i="1"/>
  <c r="W192" i="1" s="1"/>
  <c r="V193" i="1"/>
  <c r="W193" i="1" s="1"/>
  <c r="V194" i="1"/>
  <c r="W194" i="1" s="1"/>
  <c r="V195" i="1"/>
  <c r="W195" i="1" s="1"/>
  <c r="V196" i="1"/>
  <c r="W196" i="1" s="1"/>
  <c r="V197" i="1"/>
  <c r="W197" i="1" s="1"/>
  <c r="V198" i="1"/>
  <c r="W198" i="1" s="1"/>
  <c r="V199" i="1"/>
  <c r="W199" i="1" s="1"/>
  <c r="V200" i="1"/>
  <c r="W200" i="1" s="1"/>
  <c r="V201" i="1"/>
  <c r="W201" i="1" s="1"/>
  <c r="V202" i="1"/>
  <c r="W202" i="1" s="1"/>
  <c r="V203" i="1"/>
  <c r="W203" i="1" s="1"/>
  <c r="V204" i="1"/>
  <c r="W204" i="1" s="1"/>
  <c r="V205" i="1"/>
  <c r="W205" i="1" s="1"/>
  <c r="V206" i="1"/>
  <c r="W206" i="1" s="1"/>
  <c r="V207" i="1"/>
  <c r="W207" i="1" s="1"/>
  <c r="V208" i="1"/>
  <c r="W208" i="1" s="1"/>
  <c r="V209" i="1"/>
  <c r="W209" i="1" s="1"/>
  <c r="V210" i="1"/>
  <c r="W210" i="1" s="1"/>
  <c r="V211" i="1"/>
  <c r="W211" i="1" s="1"/>
  <c r="V212" i="1"/>
  <c r="W212" i="1" s="1"/>
  <c r="V213" i="1"/>
  <c r="W213" i="1" s="1"/>
  <c r="V214" i="1"/>
  <c r="W214" i="1" s="1"/>
  <c r="V215" i="1"/>
  <c r="W215" i="1" s="1"/>
  <c r="V216" i="1"/>
  <c r="W216" i="1" s="1"/>
  <c r="V217" i="1"/>
  <c r="W217" i="1" s="1"/>
  <c r="V218" i="1"/>
  <c r="W218" i="1" s="1"/>
  <c r="V219" i="1"/>
  <c r="W219" i="1" s="1"/>
  <c r="V220" i="1"/>
  <c r="W220" i="1" s="1"/>
  <c r="V221" i="1"/>
  <c r="W221" i="1" s="1"/>
  <c r="V222" i="1"/>
  <c r="W222" i="1" s="1"/>
  <c r="V223" i="1"/>
  <c r="W223" i="1" s="1"/>
  <c r="V224" i="1"/>
  <c r="W224" i="1" s="1"/>
  <c r="V225" i="1"/>
  <c r="W225" i="1" s="1"/>
  <c r="V226" i="1"/>
  <c r="W226" i="1" s="1"/>
  <c r="V227" i="1"/>
  <c r="W227" i="1" s="1"/>
  <c r="V228" i="1"/>
  <c r="W228" i="1" s="1"/>
  <c r="V229" i="1"/>
  <c r="W229" i="1" s="1"/>
  <c r="V230" i="1"/>
  <c r="W230" i="1" s="1"/>
  <c r="V231" i="1"/>
  <c r="W231" i="1" s="1"/>
  <c r="V232" i="1"/>
  <c r="W232" i="1" s="1"/>
  <c r="V233" i="1"/>
  <c r="W233" i="1" s="1"/>
  <c r="V234" i="1"/>
  <c r="W234" i="1" s="1"/>
  <c r="V235" i="1"/>
  <c r="W235" i="1" s="1"/>
  <c r="V236" i="1"/>
  <c r="W236" i="1" s="1"/>
  <c r="V237" i="1"/>
  <c r="W237" i="1" s="1"/>
  <c r="V238" i="1"/>
  <c r="W238" i="1" s="1"/>
  <c r="V239" i="1"/>
  <c r="W239" i="1" s="1"/>
  <c r="V240" i="1"/>
  <c r="W240" i="1" s="1"/>
  <c r="V241" i="1"/>
  <c r="W241" i="1" s="1"/>
  <c r="V242" i="1"/>
  <c r="W242" i="1" s="1"/>
  <c r="V243" i="1"/>
  <c r="W243" i="1" s="1"/>
  <c r="V244" i="1"/>
  <c r="W244" i="1" s="1"/>
  <c r="V245" i="1"/>
  <c r="W245" i="1" s="1"/>
  <c r="V246" i="1"/>
  <c r="W246" i="1" s="1"/>
  <c r="V247" i="1"/>
  <c r="W247" i="1" s="1"/>
  <c r="V248" i="1"/>
  <c r="W248" i="1" s="1"/>
  <c r="V249" i="1"/>
  <c r="W249" i="1" s="1"/>
  <c r="V250" i="1"/>
  <c r="W250" i="1" s="1"/>
  <c r="V251" i="1"/>
  <c r="W251" i="1" s="1"/>
  <c r="V252" i="1"/>
  <c r="W252" i="1" s="1"/>
  <c r="V253" i="1"/>
  <c r="W253" i="1" s="1"/>
  <c r="V254" i="1"/>
  <c r="W254" i="1" s="1"/>
  <c r="V255" i="1"/>
  <c r="W255" i="1" s="1"/>
  <c r="V256" i="1"/>
  <c r="W256" i="1" s="1"/>
  <c r="V257" i="1"/>
  <c r="W257" i="1" s="1"/>
  <c r="V258" i="1"/>
  <c r="W258" i="1" s="1"/>
  <c r="V259" i="1"/>
  <c r="W259" i="1" s="1"/>
  <c r="V260" i="1"/>
  <c r="W260" i="1" s="1"/>
  <c r="V261" i="1"/>
  <c r="W261" i="1" s="1"/>
  <c r="V262" i="1"/>
  <c r="W262" i="1" s="1"/>
  <c r="V263" i="1"/>
  <c r="W263" i="1" s="1"/>
  <c r="V264" i="1"/>
  <c r="W264" i="1" s="1"/>
  <c r="V265" i="1"/>
  <c r="W265" i="1" s="1"/>
  <c r="V266" i="1"/>
  <c r="W266" i="1" s="1"/>
  <c r="V267" i="1"/>
  <c r="W267" i="1" s="1"/>
  <c r="V268" i="1"/>
  <c r="W268" i="1" s="1"/>
  <c r="V269" i="1"/>
  <c r="W269" i="1" s="1"/>
  <c r="V270" i="1"/>
  <c r="W270" i="1" s="1"/>
  <c r="V271" i="1"/>
  <c r="W271" i="1" s="1"/>
  <c r="V272" i="1"/>
  <c r="W272" i="1" s="1"/>
  <c r="V273" i="1"/>
  <c r="W273" i="1" s="1"/>
  <c r="V274" i="1"/>
  <c r="W274" i="1" s="1"/>
  <c r="V275" i="1"/>
  <c r="W275" i="1" s="1"/>
  <c r="V276" i="1"/>
  <c r="W276" i="1" s="1"/>
  <c r="V277" i="1"/>
  <c r="W277" i="1" s="1"/>
  <c r="V278" i="1"/>
  <c r="W278" i="1" s="1"/>
  <c r="V279" i="1"/>
  <c r="W279" i="1" s="1"/>
  <c r="V280" i="1"/>
  <c r="W280" i="1" s="1"/>
  <c r="V281" i="1"/>
  <c r="W281" i="1" s="1"/>
  <c r="V282" i="1"/>
  <c r="W282" i="1" s="1"/>
  <c r="V283" i="1"/>
  <c r="W283" i="1" s="1"/>
  <c r="V284" i="1"/>
  <c r="W284" i="1" s="1"/>
  <c r="V285" i="1"/>
  <c r="W285" i="1" s="1"/>
  <c r="V286" i="1"/>
  <c r="W286" i="1" s="1"/>
  <c r="V287" i="1"/>
  <c r="W287" i="1" s="1"/>
  <c r="V288" i="1"/>
  <c r="W288" i="1" s="1"/>
  <c r="V289" i="1"/>
  <c r="W289" i="1" s="1"/>
  <c r="V290" i="1"/>
  <c r="W290" i="1" s="1"/>
  <c r="V291" i="1"/>
  <c r="W291" i="1" s="1"/>
  <c r="V292" i="1"/>
  <c r="W292" i="1" s="1"/>
  <c r="V293" i="1"/>
  <c r="W293" i="1" s="1"/>
  <c r="V294" i="1"/>
  <c r="W294" i="1" s="1"/>
  <c r="V295" i="1"/>
  <c r="W295" i="1" s="1"/>
  <c r="V296" i="1"/>
  <c r="W296" i="1" s="1"/>
  <c r="V297" i="1"/>
  <c r="W297" i="1" s="1"/>
  <c r="V298" i="1"/>
  <c r="W298" i="1" s="1"/>
  <c r="V299" i="1"/>
  <c r="W299" i="1" s="1"/>
  <c r="V300" i="1"/>
  <c r="W300" i="1" s="1"/>
  <c r="V301" i="1"/>
  <c r="W301" i="1" s="1"/>
  <c r="V302" i="1"/>
  <c r="W302" i="1" s="1"/>
  <c r="V303" i="1"/>
  <c r="W303" i="1" s="1"/>
  <c r="V304" i="1"/>
  <c r="W304" i="1" s="1"/>
  <c r="V305" i="1"/>
  <c r="W305" i="1" s="1"/>
  <c r="V306" i="1"/>
  <c r="W306" i="1" s="1"/>
  <c r="V307" i="1"/>
  <c r="W307" i="1" s="1"/>
  <c r="V308" i="1"/>
  <c r="W308" i="1" s="1"/>
  <c r="V309" i="1"/>
  <c r="W309" i="1" s="1"/>
  <c r="V310" i="1"/>
  <c r="W310" i="1" s="1"/>
  <c r="V311" i="1"/>
  <c r="W311" i="1" s="1"/>
  <c r="V312" i="1"/>
  <c r="W312" i="1" s="1"/>
  <c r="V313" i="1"/>
  <c r="W313" i="1" s="1"/>
  <c r="V314" i="1"/>
  <c r="W314" i="1" s="1"/>
  <c r="V315" i="1"/>
  <c r="W315" i="1" s="1"/>
  <c r="V316" i="1"/>
  <c r="W316" i="1" s="1"/>
  <c r="V317" i="1"/>
  <c r="W317" i="1" s="1"/>
  <c r="V318" i="1"/>
  <c r="W318" i="1" s="1"/>
  <c r="V319" i="1"/>
  <c r="W319" i="1" s="1"/>
  <c r="V320" i="1"/>
  <c r="W320" i="1" s="1"/>
  <c r="V321" i="1"/>
  <c r="W321" i="1" s="1"/>
  <c r="V322" i="1"/>
  <c r="W322" i="1" s="1"/>
  <c r="V323" i="1"/>
  <c r="W323" i="1" s="1"/>
  <c r="V324" i="1"/>
  <c r="W324" i="1" s="1"/>
  <c r="V325" i="1"/>
  <c r="W325" i="1" s="1"/>
  <c r="V326" i="1"/>
  <c r="W326" i="1" s="1"/>
  <c r="V327" i="1"/>
  <c r="W327" i="1" s="1"/>
  <c r="V328" i="1"/>
  <c r="W328" i="1" s="1"/>
  <c r="V329" i="1"/>
  <c r="W329" i="1" s="1"/>
  <c r="V330" i="1"/>
  <c r="W330" i="1" s="1"/>
  <c r="V331" i="1"/>
  <c r="W331" i="1" s="1"/>
  <c r="V332" i="1"/>
  <c r="W332" i="1" s="1"/>
  <c r="V333" i="1"/>
  <c r="W333" i="1" s="1"/>
  <c r="V334" i="1"/>
  <c r="W334" i="1" s="1"/>
  <c r="V335" i="1"/>
  <c r="W335" i="1" s="1"/>
  <c r="V336" i="1"/>
  <c r="W336" i="1" s="1"/>
  <c r="V337" i="1"/>
  <c r="W337" i="1" s="1"/>
  <c r="V338" i="1"/>
  <c r="W338" i="1" s="1"/>
  <c r="V339" i="1"/>
  <c r="W339" i="1" s="1"/>
  <c r="V340" i="1"/>
  <c r="V341" i="1"/>
  <c r="W341" i="1" s="1"/>
  <c r="V342" i="1"/>
  <c r="W342" i="1" s="1"/>
  <c r="V343" i="1"/>
  <c r="W343" i="1" s="1"/>
  <c r="V344" i="1"/>
  <c r="W344" i="1" s="1"/>
  <c r="V345" i="1"/>
  <c r="W345" i="1" s="1"/>
  <c r="V346" i="1"/>
  <c r="W346" i="1" s="1"/>
  <c r="V347" i="1"/>
  <c r="W347" i="1" s="1"/>
  <c r="V348" i="1"/>
  <c r="W348" i="1" s="1"/>
  <c r="V349" i="1"/>
  <c r="W349" i="1" s="1"/>
  <c r="V350" i="1"/>
  <c r="W350" i="1" s="1"/>
  <c r="V351" i="1"/>
  <c r="W351" i="1" s="1"/>
  <c r="V352" i="1"/>
  <c r="W352" i="1" s="1"/>
  <c r="V353" i="1"/>
  <c r="W353" i="1" s="1"/>
  <c r="V354" i="1"/>
  <c r="W354" i="1" s="1"/>
  <c r="V355" i="1"/>
  <c r="W355" i="1" s="1"/>
  <c r="V356" i="1"/>
  <c r="W356" i="1" s="1"/>
  <c r="V357" i="1"/>
  <c r="W357" i="1" s="1"/>
  <c r="V358" i="1"/>
  <c r="W358" i="1" s="1"/>
  <c r="V359" i="1"/>
  <c r="W359" i="1" s="1"/>
  <c r="V360" i="1"/>
  <c r="W360" i="1" s="1"/>
  <c r="V361" i="1"/>
  <c r="W361" i="1" s="1"/>
  <c r="V362" i="1"/>
  <c r="W362" i="1" s="1"/>
  <c r="V363" i="1"/>
  <c r="W363" i="1" s="1"/>
  <c r="V364" i="1"/>
  <c r="W364" i="1" s="1"/>
  <c r="V365" i="1"/>
  <c r="W365" i="1" s="1"/>
  <c r="V366" i="1"/>
  <c r="W366" i="1" s="1"/>
  <c r="V367" i="1"/>
  <c r="W367" i="1" s="1"/>
  <c r="V368" i="1"/>
  <c r="W368" i="1" s="1"/>
  <c r="V369" i="1"/>
  <c r="W369" i="1" s="1"/>
  <c r="V370" i="1"/>
  <c r="W370" i="1" s="1"/>
  <c r="V371" i="1"/>
  <c r="W371" i="1" s="1"/>
  <c r="V372" i="1"/>
  <c r="W372" i="1" s="1"/>
  <c r="V373" i="1"/>
  <c r="W373" i="1" s="1"/>
  <c r="V374" i="1"/>
  <c r="W374" i="1" s="1"/>
  <c r="V375" i="1"/>
  <c r="W375" i="1" s="1"/>
  <c r="V376" i="1"/>
  <c r="W376" i="1" s="1"/>
  <c r="V377" i="1"/>
  <c r="W377" i="1" s="1"/>
  <c r="V378" i="1"/>
  <c r="W378" i="1" s="1"/>
  <c r="V379" i="1"/>
  <c r="W379" i="1" s="1"/>
  <c r="V380" i="1"/>
  <c r="W380" i="1" s="1"/>
  <c r="V381" i="1"/>
  <c r="W381" i="1" s="1"/>
  <c r="V382" i="1"/>
  <c r="W382" i="1" s="1"/>
  <c r="V383" i="1"/>
  <c r="W383" i="1" s="1"/>
  <c r="V384" i="1"/>
  <c r="W384" i="1" s="1"/>
  <c r="V385" i="1"/>
  <c r="W385" i="1" s="1"/>
  <c r="V386" i="1"/>
  <c r="W386" i="1" s="1"/>
  <c r="V387" i="1"/>
  <c r="W387" i="1" s="1"/>
  <c r="V388" i="1"/>
  <c r="W388" i="1" s="1"/>
  <c r="V389" i="1"/>
  <c r="W389" i="1" s="1"/>
  <c r="V390" i="1"/>
  <c r="W390" i="1" s="1"/>
  <c r="V391" i="1"/>
  <c r="W391" i="1" s="1"/>
  <c r="V392" i="1"/>
  <c r="W392" i="1" s="1"/>
  <c r="V393" i="1"/>
  <c r="W393" i="1" s="1"/>
  <c r="V394" i="1"/>
  <c r="W394" i="1" s="1"/>
  <c r="V395" i="1"/>
  <c r="W395" i="1" s="1"/>
  <c r="V396" i="1"/>
  <c r="W396" i="1" s="1"/>
  <c r="V397" i="1"/>
  <c r="W397" i="1" s="1"/>
  <c r="V398" i="1"/>
  <c r="W398" i="1" s="1"/>
  <c r="V399" i="1"/>
  <c r="W399" i="1" s="1"/>
  <c r="V400" i="1"/>
  <c r="W400" i="1" s="1"/>
  <c r="V401" i="1"/>
  <c r="W401" i="1" s="1"/>
  <c r="V402" i="1"/>
  <c r="W402" i="1" s="1"/>
  <c r="V403" i="1"/>
  <c r="W403" i="1" s="1"/>
  <c r="V404" i="1"/>
  <c r="W404" i="1" s="1"/>
  <c r="V405" i="1"/>
  <c r="W405" i="1" s="1"/>
  <c r="V406" i="1"/>
  <c r="W406" i="1" s="1"/>
  <c r="V407" i="1"/>
  <c r="W407" i="1" s="1"/>
  <c r="V408" i="1"/>
  <c r="W408" i="1" s="1"/>
  <c r="V409" i="1"/>
  <c r="W409" i="1" s="1"/>
  <c r="V410" i="1"/>
  <c r="W410" i="1" s="1"/>
  <c r="V411" i="1"/>
  <c r="W411" i="1" s="1"/>
  <c r="V412" i="1"/>
  <c r="W412" i="1" s="1"/>
  <c r="V413" i="1"/>
  <c r="W413" i="1" s="1"/>
  <c r="V414" i="1"/>
  <c r="W414" i="1" s="1"/>
  <c r="V415" i="1"/>
  <c r="W415" i="1" s="1"/>
  <c r="V416" i="1"/>
  <c r="W416" i="1" s="1"/>
  <c r="V417" i="1"/>
  <c r="W417" i="1" s="1"/>
  <c r="V418" i="1"/>
  <c r="W418" i="1" s="1"/>
  <c r="V419" i="1"/>
  <c r="W419" i="1" s="1"/>
  <c r="V420" i="1"/>
  <c r="W420" i="1" s="1"/>
  <c r="V421" i="1"/>
  <c r="W421" i="1" s="1"/>
  <c r="V422" i="1"/>
  <c r="W422" i="1" s="1"/>
  <c r="V423" i="1"/>
  <c r="W423" i="1" s="1"/>
  <c r="V424" i="1"/>
  <c r="W424" i="1" s="1"/>
  <c r="V425" i="1"/>
  <c r="W425" i="1" s="1"/>
  <c r="V426" i="1"/>
  <c r="W426" i="1" s="1"/>
  <c r="V427" i="1"/>
  <c r="W427" i="1" s="1"/>
  <c r="V428" i="1"/>
  <c r="W428" i="1" s="1"/>
  <c r="V429" i="1"/>
  <c r="W429" i="1" s="1"/>
  <c r="V430" i="1"/>
  <c r="W430" i="1" s="1"/>
  <c r="V431" i="1"/>
  <c r="W431" i="1" s="1"/>
  <c r="V432" i="1"/>
  <c r="W432" i="1" s="1"/>
  <c r="V433" i="1"/>
  <c r="W433" i="1" s="1"/>
  <c r="V434" i="1"/>
  <c r="W434" i="1" s="1"/>
  <c r="V435" i="1"/>
  <c r="W435" i="1" s="1"/>
  <c r="V436" i="1"/>
  <c r="W436" i="1" s="1"/>
  <c r="V437" i="1"/>
  <c r="W437" i="1" s="1"/>
  <c r="V438" i="1"/>
  <c r="W438" i="1" s="1"/>
  <c r="V439" i="1"/>
  <c r="W439" i="1" s="1"/>
  <c r="V440" i="1"/>
  <c r="W440" i="1" s="1"/>
  <c r="V441" i="1"/>
  <c r="W441" i="1" s="1"/>
  <c r="V442" i="1"/>
  <c r="W442" i="1" s="1"/>
  <c r="V443" i="1"/>
  <c r="W443" i="1" s="1"/>
  <c r="V444" i="1"/>
  <c r="W444" i="1" s="1"/>
  <c r="V445" i="1"/>
  <c r="W445" i="1" s="1"/>
  <c r="V446" i="1"/>
  <c r="W446" i="1" s="1"/>
  <c r="V447" i="1"/>
  <c r="W447" i="1" s="1"/>
  <c r="V448" i="1"/>
  <c r="W448" i="1" s="1"/>
  <c r="V449" i="1"/>
  <c r="W449" i="1" s="1"/>
  <c r="V450" i="1"/>
  <c r="W450" i="1" s="1"/>
  <c r="V451" i="1"/>
  <c r="W451" i="1" s="1"/>
  <c r="V452" i="1"/>
  <c r="W452" i="1" s="1"/>
  <c r="V453" i="1"/>
  <c r="W453" i="1" s="1"/>
  <c r="V454" i="1"/>
  <c r="W454" i="1" s="1"/>
  <c r="V455" i="1"/>
  <c r="W455" i="1" s="1"/>
  <c r="V456" i="1"/>
  <c r="W456" i="1" s="1"/>
  <c r="V457" i="1"/>
  <c r="W457" i="1" s="1"/>
  <c r="V458" i="1"/>
  <c r="W458" i="1" s="1"/>
  <c r="V459" i="1"/>
  <c r="W459" i="1" s="1"/>
  <c r="V460" i="1"/>
  <c r="W460" i="1" s="1"/>
  <c r="V461" i="1"/>
  <c r="W461" i="1" s="1"/>
  <c r="V462" i="1"/>
  <c r="W462" i="1" s="1"/>
  <c r="V463" i="1"/>
  <c r="W463" i="1" s="1"/>
  <c r="V464" i="1"/>
  <c r="W464" i="1" s="1"/>
  <c r="V465" i="1"/>
  <c r="W465" i="1" s="1"/>
  <c r="V466" i="1"/>
  <c r="W466" i="1" s="1"/>
  <c r="V467" i="1"/>
  <c r="W467" i="1" s="1"/>
  <c r="V468" i="1"/>
  <c r="W468" i="1" s="1"/>
  <c r="V469" i="1"/>
  <c r="W469" i="1" s="1"/>
  <c r="V470" i="1"/>
  <c r="W470" i="1" s="1"/>
  <c r="V471" i="1"/>
  <c r="W471" i="1" s="1"/>
  <c r="V472" i="1"/>
  <c r="W472" i="1" s="1"/>
  <c r="V473" i="1"/>
  <c r="W473" i="1" s="1"/>
  <c r="V474" i="1"/>
  <c r="W474" i="1" s="1"/>
  <c r="V475" i="1"/>
  <c r="W475" i="1" s="1"/>
  <c r="V476" i="1"/>
  <c r="W476" i="1" s="1"/>
  <c r="V477" i="1"/>
  <c r="W477" i="1" s="1"/>
  <c r="V478" i="1"/>
  <c r="W478" i="1" s="1"/>
  <c r="V479" i="1"/>
  <c r="W479" i="1" s="1"/>
  <c r="V480" i="1"/>
  <c r="W480" i="1" s="1"/>
  <c r="V481" i="1"/>
  <c r="W481" i="1" s="1"/>
  <c r="V482" i="1"/>
  <c r="W482" i="1" s="1"/>
  <c r="V483" i="1"/>
  <c r="W483" i="1" s="1"/>
  <c r="V484" i="1"/>
  <c r="W484" i="1" s="1"/>
  <c r="V485" i="1"/>
  <c r="W485" i="1" s="1"/>
  <c r="V486" i="1"/>
  <c r="W486" i="1" s="1"/>
  <c r="V487" i="1"/>
  <c r="W487" i="1" s="1"/>
  <c r="V488" i="1"/>
  <c r="W488" i="1" s="1"/>
  <c r="V489" i="1"/>
  <c r="W489" i="1" s="1"/>
  <c r="V490" i="1"/>
  <c r="W490" i="1" s="1"/>
  <c r="V491" i="1"/>
  <c r="W491" i="1" s="1"/>
  <c r="V492" i="1"/>
  <c r="W492" i="1" s="1"/>
  <c r="V493" i="1"/>
  <c r="W493" i="1" s="1"/>
  <c r="V494" i="1"/>
  <c r="W494" i="1" s="1"/>
  <c r="V495" i="1"/>
  <c r="W495" i="1" s="1"/>
  <c r="V496" i="1"/>
  <c r="W496" i="1" s="1"/>
  <c r="V497" i="1"/>
  <c r="W497" i="1" s="1"/>
  <c r="V498" i="1"/>
  <c r="W498" i="1" s="1"/>
  <c r="V499" i="1"/>
  <c r="W499" i="1" s="1"/>
  <c r="V500" i="1"/>
  <c r="W500" i="1" s="1"/>
  <c r="V501" i="1"/>
  <c r="W501" i="1" s="1"/>
  <c r="V502" i="1"/>
  <c r="W502" i="1" s="1"/>
  <c r="V503" i="1"/>
  <c r="W503" i="1" s="1"/>
  <c r="V504" i="1"/>
  <c r="W504" i="1" s="1"/>
  <c r="V505" i="1"/>
  <c r="W505" i="1" s="1"/>
  <c r="V506" i="1"/>
  <c r="W506" i="1" s="1"/>
  <c r="V507" i="1"/>
  <c r="W507" i="1" s="1"/>
  <c r="V508" i="1"/>
  <c r="W508" i="1" s="1"/>
  <c r="V509" i="1"/>
  <c r="W509" i="1" s="1"/>
  <c r="V510" i="1"/>
  <c r="W510" i="1" s="1"/>
  <c r="V511" i="1"/>
  <c r="W511" i="1" s="1"/>
  <c r="V512" i="1"/>
  <c r="W512" i="1" s="1"/>
  <c r="V513" i="1"/>
  <c r="W513" i="1" s="1"/>
  <c r="V514" i="1"/>
  <c r="W514" i="1" s="1"/>
  <c r="V515" i="1"/>
  <c r="W515" i="1" s="1"/>
  <c r="V516" i="1"/>
  <c r="W516" i="1" s="1"/>
  <c r="V517" i="1"/>
  <c r="W517" i="1" s="1"/>
  <c r="V518" i="1"/>
  <c r="W518" i="1" s="1"/>
  <c r="V519" i="1"/>
  <c r="W519" i="1" s="1"/>
  <c r="V520" i="1"/>
  <c r="W520" i="1" s="1"/>
  <c r="V521" i="1"/>
  <c r="W521" i="1" s="1"/>
  <c r="V522" i="1"/>
  <c r="W522" i="1" s="1"/>
  <c r="V523" i="1"/>
  <c r="W523" i="1" s="1"/>
  <c r="V524" i="1"/>
  <c r="W524" i="1" s="1"/>
  <c r="V525" i="1"/>
  <c r="W525" i="1" s="1"/>
  <c r="V526" i="1"/>
  <c r="W526" i="1" s="1"/>
  <c r="V527" i="1"/>
  <c r="W527" i="1" s="1"/>
  <c r="V528" i="1"/>
  <c r="W528" i="1" s="1"/>
  <c r="V529" i="1"/>
  <c r="W529" i="1" s="1"/>
  <c r="V530" i="1"/>
  <c r="W530" i="1" s="1"/>
  <c r="V531" i="1"/>
  <c r="W531" i="1" s="1"/>
  <c r="V532" i="1"/>
  <c r="W532" i="1" s="1"/>
  <c r="V533" i="1"/>
  <c r="W533" i="1" s="1"/>
  <c r="V534" i="1"/>
  <c r="W534" i="1" s="1"/>
  <c r="V535" i="1"/>
  <c r="W535" i="1" s="1"/>
  <c r="V536" i="1"/>
  <c r="W536" i="1" s="1"/>
  <c r="V537" i="1"/>
  <c r="W537" i="1" s="1"/>
  <c r="V538" i="1"/>
  <c r="W538" i="1" s="1"/>
  <c r="V539" i="1"/>
  <c r="W539" i="1" s="1"/>
  <c r="V540" i="1"/>
  <c r="W540" i="1" s="1"/>
  <c r="V541" i="1"/>
  <c r="W541" i="1" s="1"/>
  <c r="V542" i="1"/>
  <c r="W542" i="1" s="1"/>
  <c r="V543" i="1"/>
  <c r="W543" i="1" s="1"/>
  <c r="V544" i="1"/>
  <c r="W544" i="1" s="1"/>
  <c r="V545" i="1"/>
  <c r="W545" i="1" s="1"/>
  <c r="V546" i="1"/>
  <c r="W546" i="1" s="1"/>
  <c r="V547" i="1"/>
  <c r="W547" i="1" s="1"/>
  <c r="V548" i="1"/>
  <c r="W548" i="1" s="1"/>
  <c r="V549" i="1"/>
  <c r="W549" i="1" s="1"/>
  <c r="V550" i="1"/>
  <c r="W550" i="1" s="1"/>
  <c r="V551" i="1"/>
  <c r="W551" i="1" s="1"/>
  <c r="V552" i="1"/>
  <c r="W552" i="1" s="1"/>
  <c r="V553" i="1"/>
  <c r="W553" i="1" s="1"/>
  <c r="V554" i="1"/>
  <c r="W554" i="1" s="1"/>
  <c r="V555" i="1"/>
  <c r="W555" i="1" s="1"/>
  <c r="V556" i="1"/>
  <c r="W556" i="1" s="1"/>
  <c r="V557" i="1"/>
  <c r="W557" i="1" s="1"/>
  <c r="V558" i="1"/>
  <c r="W558" i="1" s="1"/>
  <c r="V559" i="1"/>
  <c r="W559" i="1" s="1"/>
  <c r="V560" i="1"/>
  <c r="W560" i="1" s="1"/>
  <c r="V561" i="1"/>
  <c r="W561" i="1" s="1"/>
  <c r="V562" i="1"/>
  <c r="W562" i="1" s="1"/>
  <c r="V563" i="1"/>
  <c r="W563" i="1" s="1"/>
  <c r="V564" i="1"/>
  <c r="W564" i="1" s="1"/>
  <c r="V565" i="1"/>
  <c r="W565" i="1" s="1"/>
  <c r="V566" i="1"/>
  <c r="W566" i="1" s="1"/>
  <c r="V567" i="1"/>
  <c r="W567" i="1" s="1"/>
  <c r="V568" i="1"/>
  <c r="W568" i="1" s="1"/>
  <c r="V569" i="1"/>
  <c r="W569" i="1" s="1"/>
  <c r="V570" i="1"/>
  <c r="W570" i="1" s="1"/>
  <c r="V571" i="1"/>
  <c r="W571" i="1" s="1"/>
  <c r="V572" i="1"/>
  <c r="W572" i="1" s="1"/>
  <c r="V573" i="1"/>
  <c r="W573" i="1" s="1"/>
  <c r="V574" i="1"/>
  <c r="W574" i="1" s="1"/>
  <c r="V575" i="1"/>
  <c r="W575" i="1" s="1"/>
  <c r="V576" i="1"/>
  <c r="W576" i="1" s="1"/>
  <c r="V577" i="1"/>
  <c r="W577" i="1" s="1"/>
  <c r="V578" i="1"/>
  <c r="W578" i="1" s="1"/>
  <c r="V579" i="1"/>
  <c r="W579" i="1" s="1"/>
  <c r="V580" i="1"/>
  <c r="W580" i="1" s="1"/>
  <c r="V581" i="1"/>
  <c r="W581" i="1" s="1"/>
  <c r="V582" i="1"/>
  <c r="W582" i="1" s="1"/>
  <c r="V583" i="1"/>
  <c r="W583" i="1" s="1"/>
  <c r="V584" i="1"/>
  <c r="W584" i="1" s="1"/>
  <c r="V585" i="1"/>
  <c r="W585" i="1" s="1"/>
  <c r="V586" i="1"/>
  <c r="W586" i="1" s="1"/>
  <c r="V587" i="1"/>
  <c r="W587" i="1" s="1"/>
  <c r="V588" i="1"/>
  <c r="W588" i="1" s="1"/>
  <c r="V589" i="1"/>
  <c r="W589" i="1" s="1"/>
  <c r="V590" i="1"/>
  <c r="W590" i="1" s="1"/>
  <c r="V591" i="1"/>
  <c r="W591" i="1" s="1"/>
  <c r="V592" i="1"/>
  <c r="W592" i="1" s="1"/>
  <c r="V593" i="1"/>
  <c r="W593" i="1" s="1"/>
  <c r="V594" i="1"/>
  <c r="W594" i="1" s="1"/>
  <c r="V595" i="1"/>
  <c r="W595" i="1" s="1"/>
  <c r="V596" i="1"/>
  <c r="W596" i="1" s="1"/>
  <c r="V597" i="1"/>
  <c r="W597" i="1" s="1"/>
  <c r="V598" i="1"/>
  <c r="W598" i="1" s="1"/>
  <c r="V599" i="1"/>
  <c r="W599" i="1" s="1"/>
  <c r="V600" i="1"/>
  <c r="W600" i="1" s="1"/>
  <c r="V601" i="1"/>
  <c r="W601" i="1" s="1"/>
  <c r="V602" i="1"/>
  <c r="W602" i="1" s="1"/>
  <c r="V603" i="1"/>
  <c r="W603" i="1" s="1"/>
  <c r="V604" i="1"/>
  <c r="W604" i="1" s="1"/>
  <c r="V605" i="1"/>
  <c r="W605" i="1" s="1"/>
  <c r="V606" i="1"/>
  <c r="W606" i="1" s="1"/>
  <c r="V607" i="1"/>
  <c r="W607" i="1" s="1"/>
  <c r="V608" i="1"/>
  <c r="W608" i="1" s="1"/>
  <c r="V609" i="1"/>
  <c r="W609" i="1" s="1"/>
  <c r="V610" i="1"/>
  <c r="W610" i="1" s="1"/>
  <c r="V611" i="1"/>
  <c r="W611" i="1" s="1"/>
  <c r="V612" i="1"/>
  <c r="W612" i="1" s="1"/>
  <c r="V613" i="1"/>
  <c r="W613" i="1" s="1"/>
  <c r="V614" i="1"/>
  <c r="W614" i="1" s="1"/>
  <c r="V615" i="1"/>
  <c r="W615" i="1" s="1"/>
  <c r="V616" i="1"/>
  <c r="W616" i="1" s="1"/>
  <c r="V617" i="1"/>
  <c r="W617" i="1" s="1"/>
  <c r="V618" i="1"/>
  <c r="W618" i="1" s="1"/>
  <c r="V619" i="1"/>
  <c r="W619" i="1" s="1"/>
  <c r="V620" i="1"/>
  <c r="W620" i="1" s="1"/>
  <c r="V621" i="1"/>
  <c r="W621" i="1" s="1"/>
  <c r="V622" i="1"/>
  <c r="W622" i="1" s="1"/>
  <c r="V623" i="1"/>
  <c r="W623" i="1" s="1"/>
  <c r="V624" i="1"/>
  <c r="W624" i="1" s="1"/>
  <c r="V625" i="1"/>
  <c r="W625" i="1" s="1"/>
  <c r="V626" i="1"/>
  <c r="W626" i="1" s="1"/>
  <c r="V627" i="1"/>
  <c r="W627" i="1" s="1"/>
  <c r="V628" i="1"/>
  <c r="W628" i="1" s="1"/>
  <c r="V629" i="1"/>
  <c r="W629" i="1" s="1"/>
  <c r="V630" i="1"/>
  <c r="W630" i="1" s="1"/>
  <c r="V631" i="1"/>
  <c r="W631" i="1" s="1"/>
  <c r="V632" i="1"/>
  <c r="W632" i="1" s="1"/>
  <c r="V633" i="1"/>
  <c r="W633" i="1" s="1"/>
  <c r="V634" i="1"/>
  <c r="W634" i="1" s="1"/>
  <c r="V635" i="1"/>
  <c r="W635" i="1" s="1"/>
  <c r="V636" i="1"/>
  <c r="W636" i="1" s="1"/>
  <c r="V637" i="1"/>
  <c r="W637" i="1" s="1"/>
  <c r="V638" i="1"/>
  <c r="W638" i="1" s="1"/>
  <c r="V639" i="1"/>
  <c r="W639" i="1" s="1"/>
  <c r="V640" i="1"/>
  <c r="W640" i="1" s="1"/>
  <c r="V641" i="1"/>
  <c r="W641" i="1" s="1"/>
  <c r="V642" i="1"/>
  <c r="W642" i="1" s="1"/>
  <c r="V643" i="1"/>
  <c r="W643" i="1" s="1"/>
  <c r="V644" i="1"/>
  <c r="W644" i="1" s="1"/>
  <c r="V645" i="1"/>
  <c r="W645" i="1" s="1"/>
  <c r="V646" i="1"/>
  <c r="W646" i="1" s="1"/>
  <c r="V647" i="1"/>
  <c r="W647" i="1" s="1"/>
  <c r="V648" i="1"/>
  <c r="W648" i="1" s="1"/>
  <c r="V649" i="1"/>
  <c r="W649" i="1" s="1"/>
  <c r="V650" i="1"/>
  <c r="W650" i="1" s="1"/>
  <c r="V651" i="1"/>
  <c r="W651" i="1" s="1"/>
  <c r="V652" i="1"/>
  <c r="W652" i="1" s="1"/>
  <c r="V653" i="1"/>
  <c r="W653" i="1" s="1"/>
  <c r="V654" i="1"/>
  <c r="W654" i="1" s="1"/>
  <c r="V655" i="1"/>
  <c r="W655" i="1" s="1"/>
  <c r="V656" i="1"/>
  <c r="W656" i="1" s="1"/>
  <c r="V657" i="1"/>
  <c r="W657" i="1" s="1"/>
  <c r="V658" i="1"/>
  <c r="W658" i="1" s="1"/>
  <c r="V659" i="1"/>
  <c r="W659" i="1" s="1"/>
  <c r="V660" i="1"/>
  <c r="W660" i="1" s="1"/>
  <c r="V661" i="1"/>
  <c r="W661" i="1" s="1"/>
  <c r="V662" i="1"/>
  <c r="W662" i="1" s="1"/>
  <c r="V663" i="1"/>
  <c r="W663" i="1" s="1"/>
  <c r="V664" i="1"/>
  <c r="W664" i="1" s="1"/>
  <c r="V665" i="1"/>
  <c r="W665" i="1" s="1"/>
  <c r="V666" i="1"/>
  <c r="W666" i="1" s="1"/>
  <c r="V667" i="1"/>
  <c r="W667" i="1" s="1"/>
  <c r="V668" i="1"/>
  <c r="W668" i="1" s="1"/>
  <c r="V669" i="1"/>
  <c r="W669" i="1" s="1"/>
  <c r="V670" i="1"/>
  <c r="W670" i="1" s="1"/>
  <c r="V671" i="1"/>
  <c r="W671" i="1" s="1"/>
  <c r="V672" i="1"/>
  <c r="W672" i="1" s="1"/>
  <c r="V673" i="1"/>
  <c r="W673" i="1" s="1"/>
  <c r="V674" i="1"/>
  <c r="W674" i="1" s="1"/>
  <c r="V675" i="1"/>
  <c r="W675" i="1" s="1"/>
  <c r="V676" i="1"/>
  <c r="W676" i="1" s="1"/>
  <c r="V677" i="1"/>
  <c r="W677" i="1" s="1"/>
  <c r="V678" i="1"/>
  <c r="W678" i="1" s="1"/>
  <c r="V679" i="1"/>
  <c r="W679" i="1" s="1"/>
  <c r="V680" i="1"/>
  <c r="W680" i="1" s="1"/>
  <c r="V681" i="1"/>
  <c r="W681" i="1" s="1"/>
  <c r="V682" i="1"/>
  <c r="W682" i="1" s="1"/>
  <c r="V683" i="1"/>
  <c r="W683" i="1" s="1"/>
  <c r="V684" i="1"/>
  <c r="W684" i="1" s="1"/>
  <c r="V685" i="1"/>
  <c r="W685" i="1" s="1"/>
  <c r="V686" i="1"/>
  <c r="W686" i="1" s="1"/>
  <c r="V687" i="1"/>
  <c r="W687" i="1" s="1"/>
  <c r="V688" i="1"/>
  <c r="W688" i="1" s="1"/>
  <c r="V689" i="1"/>
  <c r="W689" i="1" s="1"/>
  <c r="V690" i="1"/>
  <c r="W690" i="1" s="1"/>
  <c r="V691" i="1"/>
  <c r="W691" i="1" s="1"/>
  <c r="V692" i="1"/>
  <c r="W692" i="1" s="1"/>
  <c r="V693" i="1"/>
  <c r="W693" i="1" s="1"/>
  <c r="V694" i="1"/>
  <c r="W694" i="1" s="1"/>
  <c r="V695" i="1"/>
  <c r="W695" i="1" s="1"/>
  <c r="V696" i="1"/>
  <c r="W696" i="1" s="1"/>
  <c r="V697" i="1"/>
  <c r="W697" i="1" s="1"/>
  <c r="V698" i="1"/>
  <c r="W698" i="1" s="1"/>
  <c r="V699" i="1"/>
  <c r="W699" i="1" s="1"/>
  <c r="V700" i="1"/>
  <c r="W700" i="1" s="1"/>
  <c r="V701" i="1"/>
  <c r="W701" i="1" s="1"/>
  <c r="V702" i="1"/>
  <c r="W702" i="1" s="1"/>
  <c r="V703" i="1"/>
  <c r="W703" i="1" s="1"/>
  <c r="V704" i="1"/>
  <c r="W704" i="1" s="1"/>
  <c r="V705" i="1"/>
  <c r="W705" i="1" s="1"/>
  <c r="V706" i="1"/>
  <c r="W706" i="1" s="1"/>
  <c r="V707" i="1"/>
  <c r="W707" i="1" s="1"/>
  <c r="V708" i="1"/>
  <c r="W708" i="1" s="1"/>
  <c r="V709" i="1"/>
  <c r="W709" i="1" s="1"/>
  <c r="V710" i="1"/>
  <c r="W710" i="1" s="1"/>
  <c r="V711" i="1"/>
  <c r="W711" i="1" s="1"/>
  <c r="V712" i="1"/>
  <c r="W712" i="1" s="1"/>
  <c r="V713" i="1"/>
  <c r="W713" i="1" s="1"/>
  <c r="V714" i="1"/>
  <c r="W714" i="1" s="1"/>
  <c r="V715" i="1"/>
  <c r="W715" i="1" s="1"/>
  <c r="V716" i="1"/>
  <c r="W716" i="1" s="1"/>
  <c r="V717" i="1"/>
  <c r="W717" i="1" s="1"/>
  <c r="V718" i="1"/>
  <c r="W718" i="1" s="1"/>
  <c r="V719" i="1"/>
  <c r="W719" i="1" s="1"/>
  <c r="V720" i="1"/>
  <c r="W720" i="1" s="1"/>
  <c r="V721" i="1"/>
  <c r="W721" i="1" s="1"/>
  <c r="V722" i="1"/>
  <c r="W722" i="1" s="1"/>
  <c r="V723" i="1"/>
  <c r="W723" i="1" s="1"/>
  <c r="V724" i="1"/>
  <c r="W724" i="1" s="1"/>
  <c r="V725" i="1"/>
  <c r="W725" i="1" s="1"/>
  <c r="V726" i="1"/>
  <c r="W726" i="1" s="1"/>
  <c r="V727" i="1"/>
  <c r="W727" i="1" s="1"/>
  <c r="V728" i="1"/>
  <c r="W728" i="1" s="1"/>
  <c r="V729" i="1"/>
  <c r="W729" i="1" s="1"/>
  <c r="V730" i="1"/>
  <c r="W730" i="1" s="1"/>
  <c r="V731" i="1"/>
  <c r="W731" i="1" s="1"/>
  <c r="V732" i="1"/>
  <c r="W732" i="1" s="1"/>
  <c r="V733" i="1"/>
  <c r="W733" i="1" s="1"/>
  <c r="V734" i="1"/>
  <c r="W734" i="1" s="1"/>
  <c r="V735" i="1"/>
  <c r="W735" i="1" s="1"/>
  <c r="V736" i="1"/>
  <c r="W736" i="1" s="1"/>
  <c r="V737" i="1"/>
  <c r="W737" i="1" s="1"/>
  <c r="V738" i="1"/>
  <c r="W738" i="1" s="1"/>
  <c r="V739" i="1"/>
  <c r="W739" i="1" s="1"/>
  <c r="V740" i="1"/>
  <c r="W740" i="1" s="1"/>
  <c r="V741" i="1"/>
  <c r="W741" i="1" s="1"/>
  <c r="V742" i="1"/>
  <c r="W742" i="1" s="1"/>
  <c r="V743" i="1"/>
  <c r="W743" i="1" s="1"/>
  <c r="V744" i="1"/>
  <c r="W744" i="1" s="1"/>
  <c r="V745" i="1"/>
  <c r="W745" i="1" s="1"/>
  <c r="V746" i="1"/>
  <c r="W746" i="1" s="1"/>
  <c r="V747" i="1"/>
  <c r="W747" i="1" s="1"/>
  <c r="V748" i="1"/>
  <c r="W748" i="1" s="1"/>
  <c r="V749" i="1"/>
  <c r="W749" i="1" s="1"/>
  <c r="V750" i="1"/>
  <c r="W750" i="1" s="1"/>
  <c r="V751" i="1"/>
  <c r="W751" i="1" s="1"/>
  <c r="V752" i="1"/>
  <c r="W752" i="1" s="1"/>
  <c r="V753" i="1"/>
  <c r="W753" i="1" s="1"/>
  <c r="V754" i="1"/>
  <c r="W754" i="1" s="1"/>
  <c r="V755" i="1"/>
  <c r="W755" i="1" s="1"/>
  <c r="V756" i="1"/>
  <c r="W756" i="1" s="1"/>
  <c r="V757" i="1"/>
  <c r="W757" i="1" s="1"/>
  <c r="V758" i="1"/>
  <c r="W758" i="1" s="1"/>
  <c r="V759" i="1"/>
  <c r="W759" i="1" s="1"/>
  <c r="V760" i="1"/>
  <c r="W760" i="1" s="1"/>
  <c r="V761" i="1"/>
  <c r="W761" i="1" s="1"/>
  <c r="V762" i="1"/>
  <c r="W762" i="1" s="1"/>
  <c r="V763" i="1"/>
  <c r="W763" i="1" s="1"/>
  <c r="V764" i="1"/>
  <c r="W764" i="1" s="1"/>
  <c r="V765" i="1"/>
  <c r="W765" i="1" s="1"/>
  <c r="V766" i="1"/>
  <c r="W766" i="1" s="1"/>
  <c r="V767" i="1"/>
  <c r="W767" i="1" s="1"/>
  <c r="V768" i="1"/>
  <c r="W768" i="1" s="1"/>
  <c r="V769" i="1"/>
  <c r="W769" i="1" s="1"/>
  <c r="V770" i="1"/>
  <c r="W770" i="1" s="1"/>
  <c r="V771" i="1"/>
  <c r="W771" i="1" s="1"/>
  <c r="V772" i="1"/>
  <c r="W772" i="1" s="1"/>
  <c r="V773" i="1"/>
  <c r="W773" i="1" s="1"/>
  <c r="V774" i="1"/>
  <c r="W774" i="1" s="1"/>
  <c r="V775" i="1"/>
  <c r="W775" i="1" s="1"/>
  <c r="V776" i="1"/>
  <c r="W776" i="1" s="1"/>
  <c r="V777" i="1"/>
  <c r="W777" i="1" s="1"/>
  <c r="V778" i="1"/>
  <c r="W778" i="1" s="1"/>
  <c r="V779" i="1"/>
  <c r="W779" i="1" s="1"/>
  <c r="V780" i="1"/>
  <c r="W780" i="1" s="1"/>
  <c r="V781" i="1"/>
  <c r="W781" i="1" s="1"/>
  <c r="V782" i="1"/>
  <c r="W782" i="1" s="1"/>
  <c r="V783" i="1"/>
  <c r="W783" i="1" s="1"/>
  <c r="V784" i="1"/>
  <c r="W784" i="1" s="1"/>
  <c r="V785" i="1"/>
  <c r="W785" i="1" s="1"/>
  <c r="V786" i="1"/>
  <c r="W786" i="1" s="1"/>
  <c r="V787" i="1"/>
  <c r="W787" i="1" s="1"/>
  <c r="V788" i="1"/>
  <c r="W788" i="1" s="1"/>
  <c r="V789" i="1"/>
  <c r="W789" i="1" s="1"/>
  <c r="V790" i="1"/>
  <c r="W790" i="1" s="1"/>
  <c r="V791" i="1"/>
  <c r="W791" i="1" s="1"/>
  <c r="V792" i="1"/>
  <c r="W792" i="1" s="1"/>
  <c r="V793" i="1"/>
  <c r="W793" i="1" s="1"/>
  <c r="V794" i="1"/>
  <c r="W794" i="1" s="1"/>
  <c r="V795" i="1"/>
  <c r="W795" i="1" s="1"/>
  <c r="V796" i="1"/>
  <c r="W796" i="1" s="1"/>
  <c r="V797" i="1"/>
  <c r="W797" i="1" s="1"/>
  <c r="V798" i="1"/>
  <c r="W798" i="1" s="1"/>
  <c r="V799" i="1"/>
  <c r="W799" i="1" s="1"/>
  <c r="V800" i="1"/>
  <c r="W800" i="1" s="1"/>
  <c r="V801" i="1"/>
  <c r="W801" i="1" s="1"/>
  <c r="V802" i="1"/>
  <c r="W802" i="1" s="1"/>
  <c r="V803" i="1"/>
  <c r="W803" i="1" s="1"/>
  <c r="V804" i="1"/>
  <c r="W804" i="1" s="1"/>
  <c r="V805" i="1"/>
  <c r="W805" i="1" s="1"/>
  <c r="V806" i="1"/>
  <c r="W806" i="1" s="1"/>
  <c r="V807" i="1"/>
  <c r="W807" i="1" s="1"/>
  <c r="V808" i="1"/>
  <c r="W808" i="1" s="1"/>
  <c r="V809" i="1"/>
  <c r="W809" i="1" s="1"/>
  <c r="V810" i="1"/>
  <c r="W810" i="1" s="1"/>
  <c r="V811" i="1"/>
  <c r="W811" i="1" s="1"/>
  <c r="V812" i="1"/>
  <c r="W812" i="1" s="1"/>
  <c r="V813" i="1"/>
  <c r="W813" i="1" s="1"/>
  <c r="V814" i="1"/>
  <c r="W814" i="1" s="1"/>
  <c r="V815" i="1"/>
  <c r="W815" i="1" s="1"/>
  <c r="V816" i="1"/>
  <c r="W816" i="1" s="1"/>
  <c r="V817" i="1"/>
  <c r="W817" i="1" s="1"/>
  <c r="V818" i="1"/>
  <c r="W818" i="1" s="1"/>
  <c r="V819" i="1"/>
  <c r="W819" i="1" s="1"/>
  <c r="V820" i="1"/>
  <c r="W820" i="1" s="1"/>
  <c r="V821" i="1"/>
  <c r="W821" i="1" s="1"/>
  <c r="V822" i="1"/>
  <c r="W822" i="1" s="1"/>
  <c r="V823" i="1"/>
  <c r="W823" i="1" s="1"/>
  <c r="V824" i="1"/>
  <c r="W824" i="1" s="1"/>
  <c r="V825" i="1"/>
  <c r="W825" i="1" s="1"/>
  <c r="V826" i="1"/>
  <c r="W826" i="1" s="1"/>
  <c r="V827" i="1"/>
  <c r="W827" i="1" s="1"/>
  <c r="V828" i="1"/>
  <c r="W828" i="1" s="1"/>
  <c r="V829" i="1"/>
  <c r="W829" i="1" s="1"/>
  <c r="V830" i="1"/>
  <c r="W830" i="1" s="1"/>
  <c r="V831" i="1"/>
  <c r="W831" i="1" s="1"/>
  <c r="V832" i="1"/>
  <c r="W832" i="1" s="1"/>
  <c r="V833" i="1"/>
  <c r="W833" i="1" s="1"/>
  <c r="V834" i="1"/>
  <c r="W834" i="1" s="1"/>
  <c r="V835" i="1"/>
  <c r="W835" i="1" s="1"/>
  <c r="V836" i="1"/>
  <c r="W836" i="1" s="1"/>
  <c r="V837" i="1"/>
  <c r="W837" i="1" s="1"/>
  <c r="V838" i="1"/>
  <c r="W838" i="1" s="1"/>
  <c r="V839" i="1"/>
  <c r="W839" i="1" s="1"/>
  <c r="V840" i="1"/>
  <c r="W840" i="1" s="1"/>
  <c r="V841" i="1"/>
  <c r="W841" i="1" s="1"/>
  <c r="V842" i="1"/>
  <c r="W842" i="1" s="1"/>
  <c r="V843" i="1"/>
  <c r="W843" i="1" s="1"/>
  <c r="V844" i="1"/>
  <c r="W844" i="1" s="1"/>
  <c r="V845" i="1"/>
  <c r="W845" i="1" s="1"/>
  <c r="V846" i="1"/>
  <c r="W846" i="1" s="1"/>
  <c r="V847" i="1"/>
  <c r="W847" i="1" s="1"/>
  <c r="V848" i="1"/>
  <c r="W848" i="1" s="1"/>
  <c r="V849" i="1"/>
  <c r="W849" i="1" s="1"/>
  <c r="V850" i="1"/>
  <c r="W850" i="1" s="1"/>
  <c r="V851" i="1"/>
  <c r="W851" i="1" s="1"/>
  <c r="V852" i="1"/>
  <c r="W852" i="1" s="1"/>
  <c r="V853" i="1"/>
  <c r="W853" i="1" s="1"/>
  <c r="V854" i="1"/>
  <c r="W854" i="1" s="1"/>
  <c r="V855" i="1"/>
  <c r="W855" i="1" s="1"/>
  <c r="V856" i="1"/>
  <c r="W856" i="1" s="1"/>
  <c r="V857" i="1"/>
  <c r="W857" i="1" s="1"/>
  <c r="V858" i="1"/>
  <c r="W858" i="1" s="1"/>
  <c r="V859" i="1"/>
  <c r="W859" i="1" s="1"/>
  <c r="V860" i="1"/>
  <c r="W860" i="1" s="1"/>
  <c r="V861" i="1"/>
  <c r="W861" i="1" s="1"/>
  <c r="V862" i="1"/>
  <c r="W862" i="1" s="1"/>
  <c r="V863" i="1"/>
  <c r="W863" i="1" s="1"/>
  <c r="V864" i="1"/>
  <c r="W864" i="1" s="1"/>
  <c r="V865" i="1"/>
  <c r="W865" i="1" s="1"/>
  <c r="V866" i="1"/>
  <c r="W866" i="1" s="1"/>
  <c r="V867" i="1"/>
  <c r="W867" i="1" s="1"/>
  <c r="V868" i="1"/>
  <c r="W868" i="1" s="1"/>
  <c r="V869" i="1"/>
  <c r="W869" i="1" s="1"/>
  <c r="V870" i="1"/>
  <c r="W870" i="1" s="1"/>
  <c r="V871" i="1"/>
  <c r="W871" i="1" s="1"/>
  <c r="V872" i="1"/>
  <c r="W872" i="1" s="1"/>
  <c r="V873" i="1"/>
  <c r="W873" i="1" s="1"/>
  <c r="V874" i="1"/>
  <c r="W874" i="1" s="1"/>
  <c r="V875" i="1"/>
  <c r="W875" i="1" s="1"/>
  <c r="V876" i="1"/>
  <c r="W876" i="1" s="1"/>
  <c r="V877" i="1"/>
  <c r="W877" i="1" s="1"/>
  <c r="V878" i="1"/>
  <c r="W878" i="1" s="1"/>
  <c r="V879" i="1"/>
  <c r="W879" i="1" s="1"/>
  <c r="V880" i="1"/>
  <c r="W880" i="1" s="1"/>
  <c r="V881" i="1"/>
  <c r="W881" i="1" s="1"/>
  <c r="V882" i="1"/>
  <c r="W882" i="1" s="1"/>
  <c r="V883" i="1"/>
  <c r="W883" i="1" s="1"/>
  <c r="V884" i="1"/>
  <c r="W884" i="1" s="1"/>
  <c r="V885" i="1"/>
  <c r="W885" i="1" s="1"/>
  <c r="V886" i="1"/>
  <c r="W886" i="1" s="1"/>
  <c r="V887" i="1"/>
  <c r="W887" i="1" s="1"/>
  <c r="V888" i="1"/>
  <c r="W888" i="1" s="1"/>
  <c r="V889" i="1"/>
  <c r="W889" i="1" s="1"/>
  <c r="V890" i="1"/>
  <c r="W890" i="1" s="1"/>
  <c r="V891" i="1"/>
  <c r="W891" i="1" s="1"/>
  <c r="V892" i="1"/>
  <c r="W892" i="1" s="1"/>
  <c r="V893" i="1"/>
  <c r="W893" i="1" s="1"/>
  <c r="V894" i="1"/>
  <c r="W894" i="1" s="1"/>
  <c r="V895" i="1"/>
  <c r="W895" i="1" s="1"/>
  <c r="V896" i="1"/>
  <c r="W896" i="1" s="1"/>
  <c r="V897" i="1"/>
  <c r="W897" i="1" s="1"/>
  <c r="V898" i="1"/>
  <c r="W898" i="1" s="1"/>
  <c r="V899" i="1"/>
  <c r="W899" i="1" s="1"/>
  <c r="V900" i="1"/>
  <c r="W900" i="1" s="1"/>
  <c r="V901" i="1"/>
  <c r="W901" i="1" s="1"/>
  <c r="V902" i="1"/>
  <c r="W902" i="1" s="1"/>
  <c r="V903" i="1"/>
  <c r="W903" i="1" s="1"/>
  <c r="V904" i="1"/>
  <c r="W904" i="1" s="1"/>
  <c r="V905" i="1"/>
  <c r="W905" i="1" s="1"/>
  <c r="V906" i="1"/>
  <c r="W906" i="1" s="1"/>
  <c r="V907" i="1"/>
  <c r="W907" i="1" s="1"/>
  <c r="V908" i="1"/>
  <c r="W908" i="1" s="1"/>
  <c r="V909" i="1"/>
  <c r="W909" i="1" s="1"/>
  <c r="V910" i="1"/>
  <c r="W910" i="1" s="1"/>
  <c r="V911" i="1"/>
  <c r="W911" i="1" s="1"/>
  <c r="V912" i="1"/>
  <c r="W912" i="1" s="1"/>
  <c r="V913" i="1"/>
  <c r="W913" i="1" s="1"/>
  <c r="V914" i="1"/>
  <c r="W914" i="1" s="1"/>
  <c r="V915" i="1"/>
  <c r="W915" i="1" s="1"/>
  <c r="V916" i="1"/>
  <c r="W916" i="1" s="1"/>
  <c r="V917" i="1"/>
  <c r="W917" i="1" s="1"/>
  <c r="V918" i="1"/>
  <c r="W918" i="1" s="1"/>
  <c r="V919" i="1"/>
  <c r="W919" i="1" s="1"/>
  <c r="V920" i="1"/>
  <c r="W920" i="1" s="1"/>
  <c r="V921" i="1"/>
  <c r="W921" i="1" s="1"/>
  <c r="V922" i="1"/>
  <c r="W922" i="1" s="1"/>
  <c r="V923" i="1"/>
  <c r="W923" i="1" s="1"/>
  <c r="V924" i="1"/>
  <c r="W924" i="1" s="1"/>
  <c r="V925" i="1"/>
  <c r="W925" i="1" s="1"/>
  <c r="V926" i="1"/>
  <c r="W926" i="1" s="1"/>
  <c r="V927" i="1"/>
  <c r="W927" i="1" s="1"/>
  <c r="V928" i="1"/>
  <c r="W928" i="1" s="1"/>
  <c r="V929" i="1"/>
  <c r="W929" i="1" s="1"/>
  <c r="V930" i="1"/>
  <c r="W930" i="1" s="1"/>
  <c r="V931" i="1"/>
  <c r="W931" i="1" s="1"/>
  <c r="V932" i="1"/>
  <c r="W932" i="1" s="1"/>
  <c r="V933" i="1"/>
  <c r="W933" i="1" s="1"/>
  <c r="V934" i="1"/>
  <c r="W934" i="1" s="1"/>
  <c r="V935" i="1"/>
  <c r="W935" i="1" s="1"/>
  <c r="V936" i="1"/>
  <c r="W936" i="1" s="1"/>
  <c r="V937" i="1"/>
  <c r="W937" i="1" s="1"/>
  <c r="V938" i="1"/>
  <c r="W938" i="1" s="1"/>
  <c r="V939" i="1"/>
  <c r="W939" i="1" s="1"/>
  <c r="V940" i="1"/>
  <c r="W940" i="1" s="1"/>
  <c r="V941" i="1"/>
  <c r="W941" i="1" s="1"/>
  <c r="V942" i="1"/>
  <c r="W942" i="1" s="1"/>
  <c r="V943" i="1"/>
  <c r="W943" i="1" s="1"/>
  <c r="V944" i="1"/>
  <c r="W944" i="1" s="1"/>
  <c r="V945" i="1"/>
  <c r="W945" i="1" s="1"/>
  <c r="V946" i="1"/>
  <c r="W946" i="1" s="1"/>
  <c r="V947" i="1"/>
  <c r="W947" i="1" s="1"/>
  <c r="V948" i="1"/>
  <c r="W948" i="1" s="1"/>
  <c r="V949" i="1"/>
  <c r="W949" i="1" s="1"/>
  <c r="V950" i="1"/>
  <c r="W950" i="1" s="1"/>
  <c r="V951" i="1"/>
  <c r="W951" i="1" s="1"/>
  <c r="V952" i="1"/>
  <c r="W952" i="1" s="1"/>
  <c r="V953" i="1"/>
  <c r="W953" i="1" s="1"/>
  <c r="V954" i="1"/>
  <c r="W954" i="1" s="1"/>
  <c r="V955" i="1"/>
  <c r="W955" i="1" s="1"/>
  <c r="V956" i="1"/>
  <c r="W956" i="1" s="1"/>
  <c r="V957" i="1"/>
  <c r="W957" i="1" s="1"/>
  <c r="V958" i="1"/>
  <c r="W958" i="1" s="1"/>
  <c r="V959" i="1"/>
  <c r="W959" i="1" s="1"/>
  <c r="V960" i="1"/>
  <c r="W960" i="1" s="1"/>
  <c r="V961" i="1"/>
  <c r="W961" i="1" s="1"/>
  <c r="V962" i="1"/>
  <c r="W962" i="1" s="1"/>
  <c r="V963" i="1"/>
  <c r="W963" i="1" s="1"/>
  <c r="V964" i="1"/>
  <c r="W964" i="1" s="1"/>
  <c r="V965" i="1"/>
  <c r="W965" i="1" s="1"/>
  <c r="V966" i="1"/>
  <c r="W966" i="1" s="1"/>
  <c r="V967" i="1"/>
  <c r="W967" i="1" s="1"/>
  <c r="V968" i="1"/>
  <c r="W968" i="1" s="1"/>
  <c r="V969" i="1"/>
  <c r="W969" i="1" s="1"/>
  <c r="V970" i="1"/>
  <c r="W970" i="1" s="1"/>
  <c r="V971" i="1"/>
  <c r="W971" i="1" s="1"/>
  <c r="V972" i="1"/>
  <c r="W972" i="1" s="1"/>
  <c r="V973" i="1"/>
  <c r="W973" i="1" s="1"/>
  <c r="V974" i="1"/>
  <c r="W974" i="1" s="1"/>
  <c r="V975" i="1"/>
  <c r="W975" i="1" s="1"/>
  <c r="V976" i="1"/>
  <c r="W976" i="1" s="1"/>
  <c r="V977" i="1"/>
  <c r="W977" i="1" s="1"/>
  <c r="V978" i="1"/>
  <c r="W978" i="1" s="1"/>
  <c r="V979" i="1"/>
  <c r="W979" i="1" s="1"/>
  <c r="V980" i="1"/>
  <c r="W980" i="1" s="1"/>
  <c r="V981" i="1"/>
  <c r="W981" i="1" s="1"/>
  <c r="V982" i="1"/>
  <c r="W982" i="1" s="1"/>
  <c r="V983" i="1"/>
  <c r="W983" i="1" s="1"/>
  <c r="V984" i="1"/>
  <c r="W984" i="1" s="1"/>
  <c r="V985" i="1"/>
  <c r="W985" i="1" s="1"/>
  <c r="V986" i="1"/>
  <c r="W986" i="1" s="1"/>
  <c r="V987" i="1"/>
  <c r="W987" i="1" s="1"/>
  <c r="V988" i="1"/>
  <c r="W988" i="1" s="1"/>
  <c r="V989" i="1"/>
  <c r="W989" i="1" s="1"/>
  <c r="V990" i="1"/>
  <c r="W990" i="1" s="1"/>
  <c r="V991" i="1"/>
  <c r="W991" i="1" s="1"/>
  <c r="V992" i="1"/>
  <c r="W992" i="1" s="1"/>
  <c r="V993" i="1"/>
  <c r="W993" i="1" s="1"/>
  <c r="V994" i="1"/>
  <c r="W994" i="1" s="1"/>
  <c r="V995" i="1"/>
  <c r="W995" i="1" s="1"/>
  <c r="V996" i="1"/>
  <c r="W996" i="1" s="1"/>
  <c r="V997" i="1"/>
  <c r="W997" i="1" s="1"/>
  <c r="V998" i="1"/>
  <c r="W998" i="1" s="1"/>
  <c r="V999" i="1"/>
  <c r="W999" i="1" s="1"/>
  <c r="V1000" i="1"/>
  <c r="W1000" i="1" s="1"/>
  <c r="V1001" i="1"/>
  <c r="W1001" i="1" s="1"/>
  <c r="V1002" i="1"/>
  <c r="W1002" i="1" s="1"/>
  <c r="V1003" i="1"/>
  <c r="W1003" i="1" s="1"/>
  <c r="V1004" i="1"/>
  <c r="W1004" i="1" s="1"/>
  <c r="V1005" i="1"/>
  <c r="W1005" i="1" s="1"/>
  <c r="V1006" i="1"/>
  <c r="W1006" i="1" s="1"/>
  <c r="V1007" i="1"/>
  <c r="W1007" i="1" s="1"/>
  <c r="V1008" i="1"/>
  <c r="W1008" i="1" s="1"/>
  <c r="V1009" i="1"/>
  <c r="W1009" i="1" s="1"/>
  <c r="V1010" i="1"/>
  <c r="W1010" i="1" s="1"/>
  <c r="V1011" i="1"/>
  <c r="W1011" i="1" s="1"/>
  <c r="V1012" i="1"/>
  <c r="W1012" i="1" s="1"/>
  <c r="V1013" i="1"/>
  <c r="W1013" i="1" s="1"/>
  <c r="V1014" i="1"/>
  <c r="W1014" i="1" s="1"/>
  <c r="V1015" i="1"/>
  <c r="W1015" i="1" s="1"/>
  <c r="V1016" i="1"/>
  <c r="W1016" i="1" s="1"/>
  <c r="V1017" i="1"/>
  <c r="W1017" i="1" s="1"/>
  <c r="V1018" i="1"/>
  <c r="W1018" i="1" s="1"/>
  <c r="V1019" i="1"/>
  <c r="W1019" i="1" s="1"/>
  <c r="V1020" i="1"/>
  <c r="W1020" i="1" s="1"/>
  <c r="V1021" i="1"/>
  <c r="W1021" i="1" s="1"/>
  <c r="V1022" i="1"/>
  <c r="W1022" i="1" s="1"/>
  <c r="V1023" i="1"/>
  <c r="W1023" i="1" s="1"/>
  <c r="V1024" i="1"/>
  <c r="W1024" i="1" s="1"/>
  <c r="V1025" i="1"/>
  <c r="W1025" i="1" s="1"/>
  <c r="V1026" i="1"/>
  <c r="W1026" i="1" s="1"/>
  <c r="V1027" i="1"/>
  <c r="W1027" i="1" s="1"/>
  <c r="V1028" i="1"/>
  <c r="W1028" i="1" s="1"/>
  <c r="V1029" i="1"/>
  <c r="W1029" i="1" s="1"/>
  <c r="V1030" i="1"/>
  <c r="W1030" i="1" s="1"/>
  <c r="V1031" i="1"/>
  <c r="W1031" i="1" s="1"/>
  <c r="V1032" i="1"/>
  <c r="W1032" i="1" s="1"/>
  <c r="V1033" i="1"/>
  <c r="W1033" i="1" s="1"/>
  <c r="V1034" i="1"/>
  <c r="W1034" i="1" s="1"/>
  <c r="V1035" i="1"/>
  <c r="W1035" i="1" s="1"/>
  <c r="V1036" i="1"/>
  <c r="W1036" i="1" s="1"/>
  <c r="V1037" i="1"/>
  <c r="W1037" i="1" s="1"/>
  <c r="V1038" i="1"/>
  <c r="W1038" i="1" s="1"/>
  <c r="V1039" i="1"/>
  <c r="W1039" i="1" s="1"/>
  <c r="V1040" i="1"/>
  <c r="W1040" i="1" s="1"/>
  <c r="V1041" i="1"/>
  <c r="W1041" i="1" s="1"/>
  <c r="V1042" i="1"/>
  <c r="W1042" i="1" s="1"/>
  <c r="V1043" i="1"/>
  <c r="W1043" i="1" s="1"/>
  <c r="V1044" i="1"/>
  <c r="W1044" i="1" s="1"/>
  <c r="V1045" i="1"/>
  <c r="W1045" i="1" s="1"/>
  <c r="V1046" i="1"/>
  <c r="W1046" i="1" s="1"/>
  <c r="V1047" i="1"/>
  <c r="W1047" i="1" s="1"/>
  <c r="V1048" i="1"/>
  <c r="W1048" i="1" s="1"/>
  <c r="V1049" i="1"/>
  <c r="W1049" i="1" s="1"/>
  <c r="V1050" i="1"/>
  <c r="W1050" i="1" s="1"/>
  <c r="V1051" i="1"/>
  <c r="W1051" i="1" s="1"/>
  <c r="V1052" i="1"/>
  <c r="W1052" i="1" s="1"/>
  <c r="V1053" i="1"/>
  <c r="W1053" i="1" s="1"/>
  <c r="V1054" i="1"/>
  <c r="W1054" i="1" s="1"/>
  <c r="V1055" i="1"/>
  <c r="W1055" i="1" s="1"/>
  <c r="V1056" i="1"/>
  <c r="W1056" i="1" s="1"/>
  <c r="V1057" i="1"/>
  <c r="W1057" i="1" s="1"/>
  <c r="V1058" i="1"/>
  <c r="W1058" i="1" s="1"/>
  <c r="V1059" i="1"/>
  <c r="W1059" i="1" s="1"/>
  <c r="V1060" i="1"/>
  <c r="W1060" i="1" s="1"/>
  <c r="V1061" i="1"/>
  <c r="W1061" i="1" s="1"/>
  <c r="V1062" i="1"/>
  <c r="W1062" i="1" s="1"/>
  <c r="V1063" i="1"/>
  <c r="W1063" i="1" s="1"/>
  <c r="V1064" i="1"/>
  <c r="W1064" i="1" s="1"/>
  <c r="V1065" i="1"/>
  <c r="W1065" i="1" s="1"/>
  <c r="V1066" i="1"/>
  <c r="W1066" i="1" s="1"/>
  <c r="V1067" i="1"/>
  <c r="W1067" i="1" s="1"/>
  <c r="V1068" i="1"/>
  <c r="W1068" i="1" s="1"/>
  <c r="V1069" i="1"/>
  <c r="W1069" i="1" s="1"/>
  <c r="V1070" i="1"/>
  <c r="W1070" i="1" s="1"/>
  <c r="V1071" i="1"/>
  <c r="W1071" i="1" s="1"/>
  <c r="V1072" i="1"/>
  <c r="W1072" i="1" s="1"/>
  <c r="V1073" i="1"/>
  <c r="W1073" i="1" s="1"/>
  <c r="V1074" i="1"/>
  <c r="W1074" i="1" s="1"/>
  <c r="V1075" i="1"/>
  <c r="W1075" i="1" s="1"/>
  <c r="V1076" i="1"/>
  <c r="W1076" i="1" s="1"/>
  <c r="V1077" i="1"/>
  <c r="W1077" i="1" s="1"/>
  <c r="V1078" i="1"/>
  <c r="W1078" i="1" s="1"/>
  <c r="V1079" i="1"/>
  <c r="W1079" i="1" s="1"/>
  <c r="V1080" i="1"/>
  <c r="W1080" i="1" s="1"/>
  <c r="V1081" i="1"/>
  <c r="W1081" i="1" s="1"/>
  <c r="V1082" i="1"/>
  <c r="W1082" i="1" s="1"/>
  <c r="V1083" i="1"/>
  <c r="W1083" i="1" s="1"/>
  <c r="V1084" i="1"/>
  <c r="W1084" i="1" s="1"/>
  <c r="V1085" i="1"/>
  <c r="W1085" i="1" s="1"/>
  <c r="V1086" i="1"/>
  <c r="W1086" i="1" s="1"/>
  <c r="V1087" i="1"/>
  <c r="W1087" i="1" s="1"/>
  <c r="V1088" i="1"/>
  <c r="W1088" i="1" s="1"/>
  <c r="V1089" i="1"/>
  <c r="W1089" i="1" s="1"/>
  <c r="V1090" i="1"/>
  <c r="W1090" i="1" s="1"/>
  <c r="V1091" i="1"/>
  <c r="W1091" i="1" s="1"/>
  <c r="V1092" i="1"/>
  <c r="W1092" i="1" s="1"/>
  <c r="V1093" i="1"/>
  <c r="W1093" i="1" s="1"/>
  <c r="V1094" i="1"/>
  <c r="W1094" i="1" s="1"/>
  <c r="V1095" i="1"/>
  <c r="W1095" i="1" s="1"/>
  <c r="V1096" i="1"/>
  <c r="W1096" i="1" s="1"/>
  <c r="V1097" i="1"/>
  <c r="W1097" i="1" s="1"/>
  <c r="V1098" i="1"/>
  <c r="W1098" i="1" s="1"/>
  <c r="V1099" i="1"/>
  <c r="W1099" i="1" s="1"/>
  <c r="V1100" i="1"/>
  <c r="W1100" i="1" s="1"/>
  <c r="V1101" i="1"/>
  <c r="W1101" i="1" s="1"/>
  <c r="V1102" i="1"/>
  <c r="W1102" i="1" s="1"/>
  <c r="V1103" i="1"/>
  <c r="W1103" i="1" s="1"/>
  <c r="V1104" i="1"/>
  <c r="W1104" i="1" s="1"/>
  <c r="V1105" i="1"/>
  <c r="W1105" i="1" s="1"/>
  <c r="V1106" i="1"/>
  <c r="W1106" i="1" s="1"/>
  <c r="V1107" i="1"/>
  <c r="W1107" i="1" s="1"/>
  <c r="V1108" i="1"/>
  <c r="W1108" i="1" s="1"/>
  <c r="V1109" i="1"/>
  <c r="W1109" i="1" s="1"/>
  <c r="V1110" i="1"/>
  <c r="W1110" i="1" s="1"/>
  <c r="V1111" i="1"/>
  <c r="W1111" i="1" s="1"/>
  <c r="V1112" i="1"/>
  <c r="W1112" i="1" s="1"/>
  <c r="V1113" i="1"/>
  <c r="W1113" i="1" s="1"/>
  <c r="V1114" i="1"/>
  <c r="W1114" i="1" s="1"/>
  <c r="V1115" i="1"/>
  <c r="W1115" i="1" s="1"/>
  <c r="V1116" i="1"/>
  <c r="W1116" i="1" s="1"/>
  <c r="V1117" i="1"/>
  <c r="W1117" i="1" s="1"/>
  <c r="V1118" i="1"/>
  <c r="W1118" i="1" s="1"/>
  <c r="V1119" i="1"/>
  <c r="W1119" i="1" s="1"/>
  <c r="V1120" i="1"/>
  <c r="W1120" i="1" s="1"/>
  <c r="V1121" i="1"/>
  <c r="W1121" i="1" s="1"/>
  <c r="V1122" i="1"/>
  <c r="W1122" i="1" s="1"/>
  <c r="V1123" i="1"/>
  <c r="W1123" i="1" s="1"/>
  <c r="V1124" i="1"/>
  <c r="W1124" i="1" s="1"/>
  <c r="V1125" i="1"/>
  <c r="W1125" i="1" s="1"/>
  <c r="V1126" i="1"/>
  <c r="W1126" i="1" s="1"/>
  <c r="V1127" i="1"/>
  <c r="W1127" i="1" s="1"/>
  <c r="V1128" i="1"/>
  <c r="W1128" i="1" s="1"/>
  <c r="V1129" i="1"/>
  <c r="W1129" i="1" s="1"/>
  <c r="V1130" i="1"/>
  <c r="W1130" i="1" s="1"/>
  <c r="V1131" i="1"/>
  <c r="W1131" i="1" s="1"/>
  <c r="V1132" i="1"/>
  <c r="W1132" i="1" s="1"/>
  <c r="V1133" i="1"/>
  <c r="W1133" i="1" s="1"/>
  <c r="V1134" i="1"/>
  <c r="W1134" i="1" s="1"/>
  <c r="V1135" i="1"/>
  <c r="W1135" i="1" s="1"/>
  <c r="V1136" i="1"/>
  <c r="W1136" i="1" s="1"/>
  <c r="V1137" i="1"/>
  <c r="W1137" i="1" s="1"/>
  <c r="V1138" i="1"/>
  <c r="W1138" i="1" s="1"/>
  <c r="V1139" i="1"/>
  <c r="W1139" i="1" s="1"/>
  <c r="V1140" i="1"/>
  <c r="W1140" i="1" s="1"/>
  <c r="V1141" i="1"/>
  <c r="W1141" i="1" s="1"/>
  <c r="V1142" i="1"/>
  <c r="W1142" i="1" s="1"/>
  <c r="V1143" i="1"/>
  <c r="W1143" i="1" s="1"/>
  <c r="V1144" i="1"/>
  <c r="W1144" i="1" s="1"/>
  <c r="V1145" i="1"/>
  <c r="W1145" i="1" s="1"/>
  <c r="V1146" i="1"/>
  <c r="W1146" i="1" s="1"/>
  <c r="V1147" i="1"/>
  <c r="W1147" i="1" s="1"/>
  <c r="V1148" i="1"/>
  <c r="W1148" i="1" s="1"/>
  <c r="V1149" i="1"/>
  <c r="W1149" i="1" s="1"/>
  <c r="V1150" i="1"/>
  <c r="W1150" i="1" s="1"/>
  <c r="V1151" i="1"/>
  <c r="W1151" i="1" s="1"/>
  <c r="V1152" i="1"/>
  <c r="W1152" i="1" s="1"/>
  <c r="V1153" i="1"/>
  <c r="W1153" i="1" s="1"/>
  <c r="V1154" i="1"/>
  <c r="W1154" i="1" s="1"/>
  <c r="V1155" i="1"/>
  <c r="W1155" i="1" s="1"/>
  <c r="V1156" i="1"/>
  <c r="W1156" i="1" s="1"/>
  <c r="V1157" i="1"/>
  <c r="W1157" i="1" s="1"/>
  <c r="V1158" i="1"/>
  <c r="W1158" i="1" s="1"/>
  <c r="V1159" i="1"/>
  <c r="W1159" i="1" s="1"/>
  <c r="V1160" i="1"/>
  <c r="W1160" i="1" s="1"/>
  <c r="V1161" i="1"/>
  <c r="W1161" i="1" s="1"/>
  <c r="V1162" i="1"/>
  <c r="W1162" i="1" s="1"/>
  <c r="V1163" i="1"/>
  <c r="W1163" i="1" s="1"/>
  <c r="V1164" i="1"/>
  <c r="W1164" i="1" s="1"/>
  <c r="V1165" i="1"/>
  <c r="W1165" i="1" s="1"/>
  <c r="V1166" i="1"/>
  <c r="W1166" i="1" s="1"/>
  <c r="V1167" i="1"/>
  <c r="W1167" i="1" s="1"/>
  <c r="V1168" i="1"/>
  <c r="W1168" i="1" s="1"/>
  <c r="V1169" i="1"/>
  <c r="W1169" i="1" s="1"/>
  <c r="V1170" i="1"/>
  <c r="W1170" i="1" s="1"/>
  <c r="V1171" i="1"/>
  <c r="W1171" i="1" s="1"/>
  <c r="V1172" i="1"/>
  <c r="W1172" i="1" s="1"/>
  <c r="V1173" i="1"/>
  <c r="W1173" i="1" s="1"/>
  <c r="V1174" i="1"/>
  <c r="W1174" i="1" s="1"/>
  <c r="V1175" i="1"/>
  <c r="W1175" i="1" s="1"/>
  <c r="V1176" i="1"/>
  <c r="W1176" i="1" s="1"/>
  <c r="V1177" i="1"/>
  <c r="W1177" i="1" s="1"/>
  <c r="V1178" i="1"/>
  <c r="W1178" i="1" s="1"/>
  <c r="V1179" i="1"/>
  <c r="W1179" i="1" s="1"/>
  <c r="V1180" i="1"/>
  <c r="W1180" i="1" s="1"/>
  <c r="V1181" i="1"/>
  <c r="W1181" i="1" s="1"/>
  <c r="V1182" i="1"/>
  <c r="W1182" i="1" s="1"/>
  <c r="V1183" i="1"/>
  <c r="W1183" i="1" s="1"/>
  <c r="V1184" i="1"/>
  <c r="W1184" i="1" s="1"/>
  <c r="V1185" i="1"/>
  <c r="W1185" i="1" s="1"/>
  <c r="V1186" i="1"/>
  <c r="W1186" i="1" s="1"/>
  <c r="V1187" i="1"/>
  <c r="W1187" i="1" s="1"/>
  <c r="V1188" i="1"/>
  <c r="W1188" i="1" s="1"/>
  <c r="V1189" i="1"/>
  <c r="W1189" i="1" s="1"/>
  <c r="V1190" i="1"/>
  <c r="W1190" i="1" s="1"/>
  <c r="V1191" i="1"/>
  <c r="W1191" i="1" s="1"/>
  <c r="V1192" i="1"/>
  <c r="W1192" i="1" s="1"/>
  <c r="V1193" i="1"/>
  <c r="W1193" i="1" s="1"/>
  <c r="V1194" i="1"/>
  <c r="W1194" i="1" s="1"/>
  <c r="V1195" i="1"/>
  <c r="W1195" i="1" s="1"/>
  <c r="V1196" i="1"/>
  <c r="W1196" i="1" s="1"/>
  <c r="V1197" i="1"/>
  <c r="W1197" i="1" s="1"/>
  <c r="V1198" i="1"/>
  <c r="W1198" i="1" s="1"/>
  <c r="V1199" i="1"/>
  <c r="W1199" i="1" s="1"/>
  <c r="V1200" i="1"/>
  <c r="W1200" i="1" s="1"/>
  <c r="V1201" i="1"/>
  <c r="W1201" i="1" s="1"/>
  <c r="V1202" i="1"/>
  <c r="W1202" i="1" s="1"/>
  <c r="V1203" i="1"/>
  <c r="W1203" i="1" s="1"/>
  <c r="V1204" i="1"/>
  <c r="W1204" i="1" s="1"/>
  <c r="V1205" i="1"/>
  <c r="W1205" i="1" s="1"/>
  <c r="V1206" i="1"/>
  <c r="W1206" i="1" s="1"/>
  <c r="V1207" i="1"/>
  <c r="W1207" i="1" s="1"/>
  <c r="V1208" i="1"/>
  <c r="W1208" i="1" s="1"/>
  <c r="V1209" i="1"/>
  <c r="W1209" i="1" s="1"/>
  <c r="V1210" i="1"/>
  <c r="W1210" i="1" s="1"/>
  <c r="V1211" i="1"/>
  <c r="W1211" i="1" s="1"/>
  <c r="V1212" i="1"/>
  <c r="W1212" i="1" s="1"/>
  <c r="V1213" i="1"/>
  <c r="W1213" i="1" s="1"/>
  <c r="V1214" i="1"/>
  <c r="W1214" i="1" s="1"/>
  <c r="V1215" i="1"/>
  <c r="W1215" i="1" s="1"/>
  <c r="V1216" i="1"/>
  <c r="W1216" i="1" s="1"/>
  <c r="V1217" i="1"/>
  <c r="W1217" i="1" s="1"/>
  <c r="V1218" i="1"/>
  <c r="W1218" i="1" s="1"/>
  <c r="V1219" i="1"/>
  <c r="W1219" i="1" s="1"/>
  <c r="V1220" i="1"/>
  <c r="W1220" i="1" s="1"/>
  <c r="V1221" i="1"/>
  <c r="W1221" i="1" s="1"/>
  <c r="V1222" i="1"/>
  <c r="W1222" i="1" s="1"/>
  <c r="V1223" i="1"/>
  <c r="W1223" i="1" s="1"/>
  <c r="V1224" i="1"/>
  <c r="W1224" i="1" s="1"/>
  <c r="V1225" i="1"/>
  <c r="W1225" i="1" s="1"/>
  <c r="V1226" i="1"/>
  <c r="W1226" i="1" s="1"/>
  <c r="V1227" i="1"/>
  <c r="W1227" i="1" s="1"/>
  <c r="V1228" i="1"/>
  <c r="W1228" i="1" s="1"/>
  <c r="V1229" i="1"/>
  <c r="W1229" i="1" s="1"/>
  <c r="V1230" i="1"/>
  <c r="W1230" i="1" s="1"/>
  <c r="V1231" i="1"/>
  <c r="W1231" i="1" s="1"/>
  <c r="V1232" i="1"/>
  <c r="W1232" i="1" s="1"/>
  <c r="V1233" i="1"/>
  <c r="W1233" i="1" s="1"/>
  <c r="V1234" i="1"/>
  <c r="W1234" i="1" s="1"/>
  <c r="V1235" i="1"/>
  <c r="W1235" i="1" s="1"/>
  <c r="V1236" i="1"/>
  <c r="W1236" i="1" s="1"/>
  <c r="V1237" i="1"/>
  <c r="W1237" i="1" s="1"/>
  <c r="V1238" i="1"/>
  <c r="W1238" i="1" s="1"/>
  <c r="V1239" i="1"/>
  <c r="W1239" i="1" s="1"/>
  <c r="V1240" i="1"/>
  <c r="W1240" i="1" s="1"/>
  <c r="V1241" i="1"/>
  <c r="W1241" i="1" s="1"/>
  <c r="V1242" i="1"/>
  <c r="W1242" i="1" s="1"/>
  <c r="V1243" i="1"/>
  <c r="W1243" i="1" s="1"/>
  <c r="V1244" i="1"/>
  <c r="W1244" i="1" s="1"/>
  <c r="V1245" i="1"/>
  <c r="W1245" i="1" s="1"/>
  <c r="V1246" i="1"/>
  <c r="W1246" i="1" s="1"/>
  <c r="V1247" i="1"/>
  <c r="W1247" i="1" s="1"/>
  <c r="V1248" i="1"/>
  <c r="W1248" i="1" s="1"/>
  <c r="V1249" i="1"/>
  <c r="W1249" i="1" s="1"/>
  <c r="V1250" i="1"/>
  <c r="W1250" i="1" s="1"/>
  <c r="V1251" i="1"/>
  <c r="W1251" i="1" s="1"/>
  <c r="V1252" i="1"/>
  <c r="W1252" i="1" s="1"/>
  <c r="V1253" i="1"/>
  <c r="W1253" i="1" s="1"/>
  <c r="V1254" i="1"/>
  <c r="W1254" i="1" s="1"/>
  <c r="V1255" i="1"/>
  <c r="W1255" i="1" s="1"/>
  <c r="V1256" i="1"/>
  <c r="W1256" i="1" s="1"/>
  <c r="V1257" i="1"/>
  <c r="W1257" i="1" s="1"/>
  <c r="V1258" i="1"/>
  <c r="W1258" i="1" s="1"/>
  <c r="V1259" i="1"/>
  <c r="W1259" i="1" s="1"/>
  <c r="V1260" i="1"/>
  <c r="W1260" i="1" s="1"/>
  <c r="V1261" i="1"/>
  <c r="W1261" i="1" s="1"/>
  <c r="V1262" i="1"/>
  <c r="W1262" i="1" s="1"/>
  <c r="V1263" i="1"/>
  <c r="W1263" i="1" s="1"/>
  <c r="V1264" i="1"/>
  <c r="W1264" i="1" s="1"/>
  <c r="V1265" i="1"/>
  <c r="W1265" i="1" s="1"/>
  <c r="V1266" i="1"/>
  <c r="W1266" i="1" s="1"/>
  <c r="V1267" i="1"/>
  <c r="W1267" i="1" s="1"/>
  <c r="V1268" i="1"/>
  <c r="W1268" i="1" s="1"/>
  <c r="V1269" i="1"/>
  <c r="W1269" i="1" s="1"/>
  <c r="V1270" i="1"/>
  <c r="W1270" i="1" s="1"/>
  <c r="V1271" i="1"/>
  <c r="W1271" i="1" s="1"/>
  <c r="V1272" i="1"/>
  <c r="W1272" i="1" s="1"/>
  <c r="V1273" i="1"/>
  <c r="W1273" i="1" s="1"/>
  <c r="V1274" i="1"/>
  <c r="W1274" i="1" s="1"/>
  <c r="V1275" i="1"/>
  <c r="W1275" i="1" s="1"/>
  <c r="V1276" i="1"/>
  <c r="W1276" i="1" s="1"/>
  <c r="V1277" i="1"/>
  <c r="W1277" i="1" s="1"/>
  <c r="V1278" i="1"/>
  <c r="W1278" i="1" s="1"/>
  <c r="V1279" i="1"/>
  <c r="W1279" i="1" s="1"/>
  <c r="V1280" i="1"/>
  <c r="W1280" i="1" s="1"/>
  <c r="V1281" i="1"/>
  <c r="W1281" i="1" s="1"/>
  <c r="V1282" i="1"/>
  <c r="W1282" i="1" s="1"/>
  <c r="V1283" i="1"/>
  <c r="W1283" i="1" s="1"/>
  <c r="V1284" i="1"/>
  <c r="W1284" i="1" s="1"/>
  <c r="V1285" i="1"/>
  <c r="W1285" i="1" s="1"/>
  <c r="V1286" i="1"/>
  <c r="W1286" i="1" s="1"/>
  <c r="V1287" i="1"/>
  <c r="W1287" i="1" s="1"/>
  <c r="V1288" i="1"/>
  <c r="W1288" i="1" s="1"/>
  <c r="V1289" i="1"/>
  <c r="W1289" i="1" s="1"/>
  <c r="V1290" i="1"/>
  <c r="W1290" i="1" s="1"/>
  <c r="V1291" i="1"/>
  <c r="W1291" i="1" s="1"/>
  <c r="V1292" i="1"/>
  <c r="W1292" i="1" s="1"/>
  <c r="V1293" i="1"/>
  <c r="W1293" i="1" s="1"/>
  <c r="V1294" i="1"/>
  <c r="W1294" i="1" s="1"/>
  <c r="V1295" i="1"/>
  <c r="W1295" i="1" s="1"/>
  <c r="V1296" i="1"/>
  <c r="W1296" i="1" s="1"/>
  <c r="V1297" i="1"/>
  <c r="W1297" i="1" s="1"/>
  <c r="V1298" i="1"/>
  <c r="W1298" i="1" s="1"/>
  <c r="V1299" i="1"/>
  <c r="W1299" i="1" s="1"/>
  <c r="V1300" i="1"/>
  <c r="W1300" i="1" s="1"/>
  <c r="V1301" i="1"/>
  <c r="W1301" i="1" s="1"/>
  <c r="V1302" i="1"/>
  <c r="W1302" i="1" s="1"/>
  <c r="V1303" i="1"/>
  <c r="W1303" i="1" s="1"/>
  <c r="V1304" i="1"/>
  <c r="W1304" i="1" s="1"/>
  <c r="V1305" i="1"/>
  <c r="W1305" i="1" s="1"/>
  <c r="V1306" i="1"/>
  <c r="W1306" i="1" s="1"/>
  <c r="V1307" i="1"/>
  <c r="W1307" i="1" s="1"/>
  <c r="V1308" i="1"/>
  <c r="W1308" i="1" s="1"/>
  <c r="V1309" i="1"/>
  <c r="W1309" i="1" s="1"/>
  <c r="V1310" i="1"/>
  <c r="W1310" i="1" s="1"/>
  <c r="V1311" i="1"/>
  <c r="W1311" i="1" s="1"/>
  <c r="V1312" i="1"/>
  <c r="W1312" i="1" s="1"/>
  <c r="V1313" i="1"/>
  <c r="W1313" i="1" s="1"/>
  <c r="V1314" i="1"/>
  <c r="W1314" i="1" s="1"/>
  <c r="V1315" i="1"/>
  <c r="W1315" i="1" s="1"/>
  <c r="V1316" i="1"/>
  <c r="W1316" i="1" s="1"/>
  <c r="V1317" i="1"/>
  <c r="W1317" i="1" s="1"/>
  <c r="V1318" i="1"/>
  <c r="W1318" i="1" s="1"/>
  <c r="V1319" i="1"/>
  <c r="W1319" i="1" s="1"/>
  <c r="V1320" i="1"/>
  <c r="W1320" i="1" s="1"/>
  <c r="V1321" i="1"/>
  <c r="W1321" i="1" s="1"/>
  <c r="V1322" i="1"/>
  <c r="W1322" i="1" s="1"/>
  <c r="V1323" i="1"/>
  <c r="W1323" i="1" s="1"/>
  <c r="V1324" i="1"/>
  <c r="W1324" i="1" s="1"/>
  <c r="V1325" i="1"/>
  <c r="W1325" i="1" s="1"/>
  <c r="V1326" i="1"/>
  <c r="W1326" i="1" s="1"/>
  <c r="V1327" i="1"/>
  <c r="W1327" i="1" s="1"/>
  <c r="V1328" i="1"/>
  <c r="W1328" i="1" s="1"/>
  <c r="V1329" i="1"/>
  <c r="W1329" i="1" s="1"/>
  <c r="V1330" i="1"/>
  <c r="W1330" i="1" s="1"/>
  <c r="V1331" i="1"/>
  <c r="W1331" i="1" s="1"/>
  <c r="V1332" i="1"/>
  <c r="W1332" i="1" s="1"/>
  <c r="V1333" i="1"/>
  <c r="W1333" i="1" s="1"/>
  <c r="V1334" i="1"/>
  <c r="W1334" i="1" s="1"/>
  <c r="V1335" i="1"/>
  <c r="W1335" i="1" s="1"/>
  <c r="V1336" i="1"/>
  <c r="W1336" i="1" s="1"/>
  <c r="V1337" i="1"/>
  <c r="W1337" i="1" s="1"/>
  <c r="V1338" i="1"/>
  <c r="W1338" i="1" s="1"/>
  <c r="V1339" i="1"/>
  <c r="W1339" i="1" s="1"/>
  <c r="V1340" i="1"/>
  <c r="W1340" i="1" s="1"/>
  <c r="V1341" i="1"/>
  <c r="W1341" i="1" s="1"/>
  <c r="V1342" i="1"/>
  <c r="W1342" i="1" s="1"/>
  <c r="V1343" i="1"/>
  <c r="W1343" i="1" s="1"/>
  <c r="V1344" i="1"/>
  <c r="W1344" i="1" s="1"/>
  <c r="V1345" i="1"/>
  <c r="W1345" i="1" s="1"/>
  <c r="V1346" i="1"/>
  <c r="W1346" i="1" s="1"/>
  <c r="V1347" i="1"/>
  <c r="W1347" i="1" s="1"/>
  <c r="V1348" i="1"/>
  <c r="W1348" i="1" s="1"/>
  <c r="V1349" i="1"/>
  <c r="W1349" i="1" s="1"/>
  <c r="V1350" i="1"/>
  <c r="W1350" i="1" s="1"/>
  <c r="V1351" i="1"/>
  <c r="W1351" i="1" s="1"/>
  <c r="V1352" i="1"/>
  <c r="W1352" i="1" s="1"/>
  <c r="V1353" i="1"/>
  <c r="W1353" i="1" s="1"/>
  <c r="V1354" i="1"/>
  <c r="W1354" i="1" s="1"/>
  <c r="V1355" i="1"/>
  <c r="W1355" i="1" s="1"/>
  <c r="V1356" i="1"/>
  <c r="W1356" i="1" s="1"/>
  <c r="V1357" i="1"/>
  <c r="W1357" i="1" s="1"/>
  <c r="V1358" i="1"/>
  <c r="W1358" i="1" s="1"/>
  <c r="V1359" i="1"/>
  <c r="W1359" i="1" s="1"/>
  <c r="V1360" i="1"/>
  <c r="W1360" i="1" s="1"/>
  <c r="V1361" i="1"/>
  <c r="W1361" i="1" s="1"/>
  <c r="V1362" i="1"/>
  <c r="W1362" i="1" s="1"/>
  <c r="V1363" i="1"/>
  <c r="W1363" i="1" s="1"/>
  <c r="V1364" i="1"/>
  <c r="W1364" i="1" s="1"/>
  <c r="V1365" i="1"/>
  <c r="W1365" i="1" s="1"/>
  <c r="V1366" i="1"/>
  <c r="W1366" i="1" s="1"/>
  <c r="V1367" i="1"/>
  <c r="W1367" i="1" s="1"/>
  <c r="V1368" i="1"/>
  <c r="W1368" i="1" s="1"/>
  <c r="V1369" i="1"/>
  <c r="W1369" i="1" s="1"/>
  <c r="V1370" i="1"/>
  <c r="W1370" i="1" s="1"/>
  <c r="V1371" i="1"/>
  <c r="W1371" i="1" s="1"/>
  <c r="V1372" i="1"/>
  <c r="W1372" i="1" s="1"/>
  <c r="V1373" i="1"/>
  <c r="W1373" i="1" s="1"/>
  <c r="V1374" i="1"/>
  <c r="W1374" i="1" s="1"/>
  <c r="V1375" i="1"/>
  <c r="W1375" i="1" s="1"/>
  <c r="V1376" i="1"/>
  <c r="W1376" i="1" s="1"/>
  <c r="V1377" i="1"/>
  <c r="W1377" i="1" s="1"/>
  <c r="V1378" i="1"/>
  <c r="W1378" i="1" s="1"/>
  <c r="V1379" i="1"/>
  <c r="W1379" i="1" s="1"/>
  <c r="V1380" i="1"/>
  <c r="W1380" i="1" s="1"/>
  <c r="V1381" i="1"/>
  <c r="W1381" i="1" s="1"/>
  <c r="V1382" i="1"/>
  <c r="W1382" i="1" s="1"/>
  <c r="V1383" i="1"/>
  <c r="W1383" i="1" s="1"/>
  <c r="V1384" i="1"/>
  <c r="W1384" i="1" s="1"/>
  <c r="V1385" i="1"/>
  <c r="W1385" i="1" s="1"/>
  <c r="V1386" i="1"/>
  <c r="W1386" i="1" s="1"/>
  <c r="V1387" i="1"/>
  <c r="W1387" i="1" s="1"/>
  <c r="V1388" i="1"/>
  <c r="W1388" i="1" s="1"/>
  <c r="V1389" i="1"/>
  <c r="W1389" i="1" s="1"/>
  <c r="V1390" i="1"/>
  <c r="W1390" i="1" s="1"/>
  <c r="V1391" i="1"/>
  <c r="W1391" i="1" s="1"/>
  <c r="V1392" i="1"/>
  <c r="W1392" i="1" s="1"/>
  <c r="V1393" i="1"/>
  <c r="W1393" i="1" s="1"/>
  <c r="V1394" i="1"/>
  <c r="W1394" i="1" s="1"/>
  <c r="V1395" i="1"/>
  <c r="W1395" i="1" s="1"/>
  <c r="V1396" i="1"/>
  <c r="W1396" i="1" s="1"/>
  <c r="V1397" i="1"/>
  <c r="W1397" i="1" s="1"/>
  <c r="V1398" i="1"/>
  <c r="W1398" i="1" s="1"/>
  <c r="V1399" i="1"/>
  <c r="W1399" i="1" s="1"/>
  <c r="V1400" i="1"/>
  <c r="W1400" i="1" s="1"/>
  <c r="V1401" i="1"/>
  <c r="W1401" i="1" s="1"/>
  <c r="V1402" i="1"/>
  <c r="W1402" i="1" s="1"/>
  <c r="V1403" i="1"/>
  <c r="W1403" i="1" s="1"/>
  <c r="V1404" i="1"/>
  <c r="W1404" i="1" s="1"/>
  <c r="V1405" i="1"/>
  <c r="W1405" i="1" s="1"/>
  <c r="V1406" i="1"/>
  <c r="W1406" i="1" s="1"/>
  <c r="V1407" i="1"/>
  <c r="W1407" i="1" s="1"/>
  <c r="V1408" i="1"/>
  <c r="W1408" i="1" s="1"/>
  <c r="V1409" i="1"/>
  <c r="W1409" i="1" s="1"/>
  <c r="V1410" i="1"/>
  <c r="W1410" i="1" s="1"/>
  <c r="V1411" i="1"/>
  <c r="W1411" i="1" s="1"/>
  <c r="V1412" i="1"/>
  <c r="W1412" i="1" s="1"/>
  <c r="V1413" i="1"/>
  <c r="W1413" i="1" s="1"/>
  <c r="V1414" i="1"/>
  <c r="W1414" i="1" s="1"/>
  <c r="V1415" i="1"/>
  <c r="W1415" i="1" s="1"/>
  <c r="V1416" i="1"/>
  <c r="W1416" i="1" s="1"/>
  <c r="V1417" i="1"/>
  <c r="W1417" i="1" s="1"/>
  <c r="V1418" i="1"/>
  <c r="W1418" i="1" s="1"/>
  <c r="V1419" i="1"/>
  <c r="W1419" i="1" s="1"/>
  <c r="V1420" i="1"/>
  <c r="W1420" i="1" s="1"/>
  <c r="V1421" i="1"/>
  <c r="W1421" i="1" s="1"/>
  <c r="V1422" i="1"/>
  <c r="W1422" i="1" s="1"/>
  <c r="V1423" i="1"/>
  <c r="W1423" i="1" s="1"/>
  <c r="V1424" i="1"/>
  <c r="W1424" i="1" s="1"/>
  <c r="V1425" i="1"/>
  <c r="W1425" i="1" s="1"/>
  <c r="V1426" i="1"/>
  <c r="W1426" i="1" s="1"/>
  <c r="V1427" i="1"/>
  <c r="W1427" i="1" s="1"/>
  <c r="V1428" i="1"/>
  <c r="W1428" i="1" s="1"/>
  <c r="V1429" i="1"/>
  <c r="W1429" i="1" s="1"/>
  <c r="V1430" i="1"/>
  <c r="W1430" i="1" s="1"/>
  <c r="V1431" i="1"/>
  <c r="W1431" i="1" s="1"/>
  <c r="V1432" i="1"/>
  <c r="W1432" i="1" s="1"/>
  <c r="V1433" i="1"/>
  <c r="W1433" i="1" s="1"/>
  <c r="V1434" i="1"/>
  <c r="W1434" i="1" s="1"/>
  <c r="V1435" i="1"/>
  <c r="W1435" i="1" s="1"/>
  <c r="V1436" i="1"/>
  <c r="W1436" i="1" s="1"/>
  <c r="V1437" i="1"/>
  <c r="W1437" i="1" s="1"/>
  <c r="V1438" i="1"/>
  <c r="W1438" i="1" s="1"/>
  <c r="V1439" i="1"/>
  <c r="W1439" i="1" s="1"/>
  <c r="V1440" i="1"/>
  <c r="W1440" i="1" s="1"/>
  <c r="V1441" i="1"/>
  <c r="W1441" i="1" s="1"/>
  <c r="V1442" i="1"/>
  <c r="W1442" i="1" s="1"/>
  <c r="V1443" i="1"/>
  <c r="W1443" i="1" s="1"/>
  <c r="V1444" i="1"/>
  <c r="W1444" i="1" s="1"/>
  <c r="V1445" i="1"/>
  <c r="W1445" i="1" s="1"/>
  <c r="V1446" i="1"/>
  <c r="W1446" i="1" s="1"/>
  <c r="V1447" i="1"/>
  <c r="W1447" i="1" s="1"/>
  <c r="V1448" i="1"/>
  <c r="W1448" i="1" s="1"/>
  <c r="V1449" i="1"/>
  <c r="W1449" i="1" s="1"/>
  <c r="V1450" i="1"/>
  <c r="W1450" i="1" s="1"/>
  <c r="V1451" i="1"/>
  <c r="W1451" i="1" s="1"/>
  <c r="V1452" i="1"/>
  <c r="W1452" i="1" s="1"/>
  <c r="V1453" i="1"/>
  <c r="W1453" i="1" s="1"/>
  <c r="V1454" i="1"/>
  <c r="W1454" i="1" s="1"/>
  <c r="V1455" i="1"/>
  <c r="W1455" i="1" s="1"/>
  <c r="V1456" i="1"/>
  <c r="W1456" i="1" s="1"/>
  <c r="V1457" i="1"/>
  <c r="W1457" i="1" s="1"/>
  <c r="V1458" i="1"/>
  <c r="W1458" i="1" s="1"/>
  <c r="V1459" i="1"/>
  <c r="W1459" i="1" s="1"/>
  <c r="V1460" i="1"/>
  <c r="W1460" i="1" s="1"/>
  <c r="V1461" i="1"/>
  <c r="W1461" i="1" s="1"/>
  <c r="V1462" i="1"/>
  <c r="W1462" i="1" s="1"/>
  <c r="V1463" i="1"/>
  <c r="W1463" i="1" s="1"/>
  <c r="V1464" i="1"/>
  <c r="W1464" i="1" s="1"/>
  <c r="V1465" i="1"/>
  <c r="W1465" i="1" s="1"/>
  <c r="V1466" i="1"/>
  <c r="W1466" i="1" s="1"/>
  <c r="V1467" i="1"/>
  <c r="W1467" i="1" s="1"/>
  <c r="V1468" i="1"/>
  <c r="W1468" i="1" s="1"/>
  <c r="V1469" i="1"/>
  <c r="W1469" i="1" s="1"/>
  <c r="V1470" i="1"/>
  <c r="W1470" i="1" s="1"/>
  <c r="V1471" i="1"/>
  <c r="W1471" i="1" s="1"/>
  <c r="V1472" i="1"/>
  <c r="W1472" i="1" s="1"/>
  <c r="V1473" i="1"/>
  <c r="W1473" i="1" s="1"/>
  <c r="V1474" i="1"/>
  <c r="W1474" i="1" s="1"/>
  <c r="V1475" i="1"/>
  <c r="W1475" i="1" s="1"/>
  <c r="V1476" i="1"/>
  <c r="W1476" i="1" s="1"/>
  <c r="V1477" i="1"/>
  <c r="W1477" i="1" s="1"/>
  <c r="V1478" i="1"/>
  <c r="W1478" i="1" s="1"/>
  <c r="V1479" i="1"/>
  <c r="W1479" i="1" s="1"/>
  <c r="V1480" i="1"/>
  <c r="W1480" i="1" s="1"/>
  <c r="V1481" i="1"/>
  <c r="W1481" i="1" s="1"/>
  <c r="V1482" i="1"/>
  <c r="W1482" i="1" s="1"/>
  <c r="V1483" i="1"/>
  <c r="W1483" i="1" s="1"/>
  <c r="V1484" i="1"/>
  <c r="W1484" i="1" s="1"/>
  <c r="V1485" i="1"/>
  <c r="W1485" i="1" s="1"/>
  <c r="V1486" i="1"/>
  <c r="W1486" i="1" s="1"/>
  <c r="V1487" i="1"/>
  <c r="W1487" i="1" s="1"/>
  <c r="V1488" i="1"/>
  <c r="W1488" i="1" s="1"/>
  <c r="V1489" i="1"/>
  <c r="W1489" i="1" s="1"/>
  <c r="V1490" i="1"/>
  <c r="W1490" i="1" s="1"/>
  <c r="V1491" i="1"/>
  <c r="W1491" i="1" s="1"/>
  <c r="V1492" i="1"/>
  <c r="W1492" i="1" s="1"/>
  <c r="V1493" i="1"/>
  <c r="W1493" i="1" s="1"/>
  <c r="V1494" i="1"/>
  <c r="W1494" i="1" s="1"/>
  <c r="V1495" i="1"/>
  <c r="W1495" i="1" s="1"/>
  <c r="V1496" i="1"/>
  <c r="W1496" i="1" s="1"/>
  <c r="V1497" i="1"/>
  <c r="W1497" i="1" s="1"/>
  <c r="V1498" i="1"/>
  <c r="W1498" i="1" s="1"/>
  <c r="V1499" i="1"/>
  <c r="W1499" i="1" s="1"/>
  <c r="V1500" i="1"/>
  <c r="W1500" i="1" s="1"/>
  <c r="V1501" i="1"/>
  <c r="W1501" i="1" s="1"/>
  <c r="V1502" i="1"/>
  <c r="W1502" i="1" s="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4" i="1"/>
  <c r="AG13" i="1" l="1" a="1"/>
  <c r="AG13" i="1" s="1"/>
  <c r="AG12" i="1" a="1"/>
  <c r="AG12" i="1" s="1"/>
  <c r="AG11" i="1" a="1"/>
  <c r="AG11" i="1" s="1"/>
  <c r="Z53" i="1"/>
  <c r="AA53" i="1" s="1"/>
  <c r="Z52" i="1"/>
  <c r="AA52" i="1" s="1"/>
  <c r="Z51" i="1"/>
  <c r="AA51" i="1" s="1"/>
  <c r="Z50" i="1"/>
  <c r="AA50" i="1" s="1"/>
  <c r="Z49" i="1"/>
  <c r="AA49" i="1" s="1"/>
  <c r="AH50" i="1"/>
  <c r="W340" i="1"/>
  <c r="AF53" i="1"/>
  <c r="AF52" i="1"/>
  <c r="AF51" i="1"/>
  <c r="AF50" i="1"/>
  <c r="W6" i="1"/>
  <c r="AK53" i="1"/>
  <c r="AK52" i="1"/>
  <c r="AK51" i="1"/>
  <c r="AG50" i="1"/>
  <c r="AK50" i="1"/>
  <c r="AG53" i="1"/>
  <c r="AG52" i="1"/>
  <c r="AG51" i="1"/>
  <c r="W5" i="1"/>
  <c r="AU53" i="1"/>
  <c r="AU52" i="1"/>
  <c r="AU51" i="1"/>
  <c r="AU50" i="1"/>
  <c r="AT53" i="1"/>
  <c r="AT52" i="1"/>
  <c r="AT51" i="1"/>
  <c r="AT50" i="1"/>
  <c r="AS53" i="1"/>
  <c r="AS52" i="1"/>
  <c r="AS51" i="1"/>
  <c r="AS50" i="1"/>
  <c r="AR52" i="1"/>
  <c r="AR53" i="1"/>
  <c r="AR51" i="1"/>
  <c r="AR50" i="1"/>
  <c r="AQ53" i="1"/>
  <c r="AQ52" i="1"/>
  <c r="AQ51" i="1"/>
  <c r="AQ50" i="1"/>
  <c r="AP51" i="1" a="1"/>
  <c r="AP51" i="1" s="1"/>
  <c r="AP53" i="1" a="1"/>
  <c r="AP53" i="1" s="1"/>
  <c r="AP52" i="1" a="1"/>
  <c r="AP52" i="1" s="1"/>
  <c r="AP50" i="1" a="1"/>
  <c r="AP50" i="1" s="1"/>
  <c r="AO53" i="1" a="1"/>
  <c r="AO53" i="1" s="1"/>
  <c r="AO52" i="1" a="1"/>
  <c r="AO52" i="1" s="1"/>
  <c r="AO51" i="1" a="1"/>
  <c r="AO51" i="1" s="1"/>
  <c r="AO50" i="1" a="1"/>
  <c r="AO50" i="1" s="1"/>
  <c r="AN50" i="1"/>
  <c r="AM50" i="1"/>
  <c r="AL53" i="1"/>
  <c r="AL52" i="1"/>
  <c r="AL51" i="1"/>
  <c r="AL50" i="1"/>
  <c r="AJ53" i="1"/>
  <c r="AJ52" i="1"/>
  <c r="AJ51" i="1"/>
  <c r="AJ50" i="1"/>
  <c r="AI53" i="1"/>
  <c r="AI52" i="1"/>
  <c r="AI51" i="1"/>
  <c r="AI50" i="1"/>
  <c r="AH53" i="1"/>
  <c r="AH52" i="1"/>
  <c r="AH51" i="1"/>
  <c r="AE53" i="1"/>
  <c r="AE50" i="1"/>
  <c r="AE51" i="1"/>
  <c r="AE52" i="1"/>
  <c r="AD53" i="1"/>
  <c r="AD52" i="1"/>
  <c r="AD51" i="1"/>
  <c r="AD50" i="1"/>
  <c r="Y57" i="1" a="1"/>
  <c r="AN51" i="1"/>
  <c r="AN52" i="1"/>
  <c r="AM53" i="1"/>
  <c r="AN53" i="1"/>
  <c r="AM51" i="1"/>
  <c r="AM52" i="1"/>
  <c r="W4" i="1"/>
  <c r="AB44" i="1" l="1" a="1"/>
  <c r="AB44" i="1" s="1"/>
  <c r="AB43" i="1" a="1"/>
  <c r="AB43" i="1" s="1"/>
  <c r="AB42" i="1" a="1"/>
  <c r="AB42" i="1" s="1"/>
  <c r="AB40" i="1" a="1"/>
  <c r="AB40" i="1" s="1"/>
  <c r="AB39" i="1" a="1"/>
  <c r="AB39" i="1" s="1"/>
  <c r="AB38" i="1" a="1"/>
  <c r="AB38" i="1" s="1"/>
  <c r="AA44" i="1" a="1"/>
  <c r="AA44" i="1" s="1"/>
  <c r="AA43" i="1" a="1"/>
  <c r="AA43" i="1" s="1"/>
  <c r="AA42" i="1" a="1"/>
  <c r="AA42" i="1" s="1"/>
  <c r="AA40" i="1" a="1"/>
  <c r="AA40" i="1" s="1"/>
  <c r="AA39" i="1" a="1"/>
  <c r="AA39" i="1" s="1"/>
  <c r="AA38" i="1" a="1"/>
  <c r="AA38" i="1" s="1"/>
  <c r="Z44" i="1" a="1"/>
  <c r="Z44" i="1" s="1"/>
  <c r="Z43" i="1" a="1"/>
  <c r="Z43" i="1" s="1"/>
  <c r="Z42" i="1" a="1"/>
  <c r="Z42" i="1" s="1"/>
  <c r="Z40" i="1" a="1"/>
  <c r="Z40" i="1" s="1"/>
  <c r="Z39" i="1" a="1"/>
  <c r="Z39" i="1" s="1"/>
  <c r="Z38" i="1" a="1"/>
  <c r="Z38" i="1" s="1"/>
  <c r="AE57" i="1" s="1"/>
  <c r="AD13" i="1" a="1"/>
  <c r="AD13" i="1" s="1"/>
  <c r="AD12" i="1" a="1"/>
  <c r="AD12" i="1" s="1"/>
  <c r="AD11" i="1" a="1"/>
  <c r="AD11" i="1" s="1"/>
  <c r="AC13" i="1" a="1"/>
  <c r="AC13" i="1" s="1"/>
  <c r="AC12" i="1" a="1"/>
  <c r="AC12" i="1" s="1"/>
  <c r="AC11" i="1" a="1"/>
  <c r="AC11" i="1" s="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Y57" i="1"/>
  <c r="Z57"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<sst xmlns="http://schemas.openxmlformats.org/spreadsheetml/2006/main" count="19650" uniqueCount="9277">
  <si>
    <t>Data Processing</t>
  </si>
  <si>
    <t>Database Table</t>
  </si>
  <si>
    <t>Registration Table</t>
  </si>
  <si>
    <t>Summary</t>
  </si>
  <si>
    <t>DT_NM</t>
  </si>
  <si>
    <t>DT_ID</t>
  </si>
  <si>
    <t>DT_BIRTH</t>
  </si>
  <si>
    <t>DT_GENDER</t>
  </si>
  <si>
    <t>DT_PHONE</t>
  </si>
  <si>
    <t>Job Search Platforms</t>
  </si>
  <si>
    <t>Usage Fee</t>
  </si>
  <si>
    <t>Tax (%)*</t>
  </si>
  <si>
    <t>No</t>
  </si>
  <si>
    <t>REG_ID</t>
  </si>
  <si>
    <t>REG_PROD</t>
  </si>
  <si>
    <t>REG_PLAT</t>
  </si>
  <si>
    <t>REG_DATE</t>
  </si>
  <si>
    <t>REG_ACT</t>
  </si>
  <si>
    <t>REG_PHONE</t>
  </si>
  <si>
    <t>REG_EMAIL</t>
  </si>
  <si>
    <t>REG_AGE</t>
  </si>
  <si>
    <t>REG_DISCOUNT</t>
  </si>
  <si>
    <t>Registration Date</t>
  </si>
  <si>
    <t>Applicants</t>
  </si>
  <si>
    <t>jordynsingh</t>
  </si>
  <si>
    <t>A00-22500</t>
  </si>
  <si>
    <t>10-04-1983</t>
  </si>
  <si>
    <t>Male</t>
  </si>
  <si>
    <t>083214373***</t>
  </si>
  <si>
    <t>Linkedin</t>
  </si>
  <si>
    <t>A00-22764</t>
  </si>
  <si>
    <t>To be an Engineering Specialist</t>
  </si>
  <si>
    <t>LinkedIn</t>
  </si>
  <si>
    <t>+6284261982***</t>
  </si>
  <si>
    <t>tess***@jossmail.com</t>
  </si>
  <si>
    <t>Before March 15, 2021</t>
  </si>
  <si>
    <t>yarelicline</t>
  </si>
  <si>
    <t>A00-22502</t>
  </si>
  <si>
    <t>10-01-2003</t>
  </si>
  <si>
    <t>084227712***</t>
  </si>
  <si>
    <t>Jobseeker</t>
  </si>
  <si>
    <t>A00-25798</t>
  </si>
  <si>
    <t>To be a Sales &amp; Marketing Associate</t>
  </si>
  <si>
    <t>March 15, 2021 and thereafter</t>
  </si>
  <si>
    <t>alexisroy</t>
  </si>
  <si>
    <t>A00-22504</t>
  </si>
  <si>
    <t>10-01-2000</t>
  </si>
  <si>
    <t>083256333***</t>
  </si>
  <si>
    <t>A00-27193</t>
  </si>
  <si>
    <t>carolinaarroyo</t>
  </si>
  <si>
    <t>A00-22505</t>
  </si>
  <si>
    <t>10-03-2001</t>
  </si>
  <si>
    <t>085296514***</t>
  </si>
  <si>
    <t>Product</t>
  </si>
  <si>
    <t>Code</t>
  </si>
  <si>
    <t>Price**</t>
  </si>
  <si>
    <t>A00-24372</t>
  </si>
  <si>
    <t>To be a Qulity Ansurance Manager</t>
  </si>
  <si>
    <t>Registration Platform</t>
  </si>
  <si>
    <t>ishaangallagher</t>
  </si>
  <si>
    <t>A00-22507</t>
  </si>
  <si>
    <t>10-06-1997</t>
  </si>
  <si>
    <t>84228484***</t>
  </si>
  <si>
    <t>SM</t>
  </si>
  <si>
    <t>A00-25050</t>
  </si>
  <si>
    <t>madilynnjones</t>
  </si>
  <si>
    <t>A00-22508</t>
  </si>
  <si>
    <t>10-06-1990</t>
  </si>
  <si>
    <t>Female</t>
  </si>
  <si>
    <t>84247335***</t>
  </si>
  <si>
    <t>QA</t>
  </si>
  <si>
    <t>A00-22835</t>
  </si>
  <si>
    <t>erikaarias</t>
  </si>
  <si>
    <t>A00-22509</t>
  </si>
  <si>
    <t>10-01-1992</t>
  </si>
  <si>
    <t>82233086***</t>
  </si>
  <si>
    <t>ES</t>
  </si>
  <si>
    <t>A00-24754</t>
  </si>
  <si>
    <t>isabelroth</t>
  </si>
  <si>
    <t>A00-22511</t>
  </si>
  <si>
    <t>10-03-1979</t>
  </si>
  <si>
    <t>6282227758***</t>
  </si>
  <si>
    <t>A00-22713</t>
  </si>
  <si>
    <t>Total Price</t>
  </si>
  <si>
    <t xml:space="preserve">Total Platforms Fee </t>
  </si>
  <si>
    <t>Discount ( $ )</t>
  </si>
  <si>
    <t>Total Tax ( $ )</t>
  </si>
  <si>
    <t>Number of Meeting</t>
  </si>
  <si>
    <t>Total Mentor Rate</t>
  </si>
  <si>
    <t>Total SMS Charge</t>
  </si>
  <si>
    <t>ruthdaugherty</t>
  </si>
  <si>
    <t>A00-22512</t>
  </si>
  <si>
    <t>10-04-1996</t>
  </si>
  <si>
    <t>6283239538***</t>
  </si>
  <si>
    <t>Phone Number</t>
  </si>
  <si>
    <t>Provider</t>
  </si>
  <si>
    <t>SMS Charge</t>
  </si>
  <si>
    <t>A00-23665</t>
  </si>
  <si>
    <t>peytonray</t>
  </si>
  <si>
    <t>A00-22513</t>
  </si>
  <si>
    <t>10-02-1979</t>
  </si>
  <si>
    <t>82215165***</t>
  </si>
  <si>
    <t>+6281</t>
  </si>
  <si>
    <t>GoTsel</t>
  </si>
  <si>
    <t>A00-24350</t>
  </si>
  <si>
    <t>karenwerner</t>
  </si>
  <si>
    <t>A00-22514</t>
  </si>
  <si>
    <t>10-01-1986</t>
  </si>
  <si>
    <t>81220030***</t>
  </si>
  <si>
    <t>+6282</t>
  </si>
  <si>
    <t>T-Mobile</t>
  </si>
  <si>
    <t>A00-26651</t>
  </si>
  <si>
    <t>ignacioquinn</t>
  </si>
  <si>
    <t>A00-22517</t>
  </si>
  <si>
    <t>10-04-1995</t>
  </si>
  <si>
    <t>84249719***</t>
  </si>
  <si>
    <t>+6283</t>
  </si>
  <si>
    <t>AT&amp;W</t>
  </si>
  <si>
    <t>A00-25620</t>
  </si>
  <si>
    <t>keithwashington</t>
  </si>
  <si>
    <t>A00-22520</t>
  </si>
  <si>
    <t>10-05-1999</t>
  </si>
  <si>
    <t>6284277592***</t>
  </si>
  <si>
    <t>+6284</t>
  </si>
  <si>
    <t>Xfinity</t>
  </si>
  <si>
    <t>A00-25893</t>
  </si>
  <si>
    <t>Applicant Email Address</t>
  </si>
  <si>
    <t>drakemclean</t>
  </si>
  <si>
    <t>A00-22521</t>
  </si>
  <si>
    <t>10-04-2001</t>
  </si>
  <si>
    <t>6285274391***</t>
  </si>
  <si>
    <t>+6285</t>
  </si>
  <si>
    <t>BlueSat</t>
  </si>
  <si>
    <t>A00-22649</t>
  </si>
  <si>
    <t>@jossmail.com</t>
  </si>
  <si>
    <t>zoeystokes</t>
  </si>
  <si>
    <t>A00-22522</t>
  </si>
  <si>
    <t>10-03-2004</t>
  </si>
  <si>
    <t>0832-59344***</t>
  </si>
  <si>
    <t>A00-22578</t>
  </si>
  <si>
    <t>@yuhuumail.com</t>
  </si>
  <si>
    <t>jakobwright</t>
  </si>
  <si>
    <t>A00-22525</t>
  </si>
  <si>
    <t>10-01-1994</t>
  </si>
  <si>
    <t>0812-63618***</t>
  </si>
  <si>
    <t>Mentor Rate Price*</t>
  </si>
  <si>
    <t>A00-25407</t>
  </si>
  <si>
    <t>benjamindudley</t>
  </si>
  <si>
    <t>A00-22526</t>
  </si>
  <si>
    <t>10-06-1993</t>
  </si>
  <si>
    <t>0842-37249***</t>
  </si>
  <si>
    <t>A00-23625</t>
  </si>
  <si>
    <t>Applicant Gender</t>
  </si>
  <si>
    <t>franklinblake</t>
  </si>
  <si>
    <t>A00-22527</t>
  </si>
  <si>
    <t>0852 23174***</t>
  </si>
  <si>
    <t>A00-26511</t>
  </si>
  <si>
    <t>amiyahosborn</t>
  </si>
  <si>
    <t>A00-22529</t>
  </si>
  <si>
    <t>10-05-1995</t>
  </si>
  <si>
    <t>0852 72552***</t>
  </si>
  <si>
    <t>A00-26979</t>
  </si>
  <si>
    <t>glennharrington</t>
  </si>
  <si>
    <t>A00-22530</t>
  </si>
  <si>
    <t>10-02-1974</t>
  </si>
  <si>
    <t>0822 58171***</t>
  </si>
  <si>
    <t>A00-25264</t>
  </si>
  <si>
    <t>alinewman</t>
  </si>
  <si>
    <t>A00-22532</t>
  </si>
  <si>
    <t>10-04-2004</t>
  </si>
  <si>
    <t>0812 49986***</t>
  </si>
  <si>
    <t>A00-24381</t>
  </si>
  <si>
    <t>Number of Applicants by Platform and Product for Each Activation Date</t>
  </si>
  <si>
    <t>kamoraosborn</t>
  </si>
  <si>
    <t>A00-22534</t>
  </si>
  <si>
    <t>10-06-2002</t>
  </si>
  <si>
    <t>0852-43785***</t>
  </si>
  <si>
    <t>A00-23090</t>
  </si>
  <si>
    <t>Registration Platform &amp; Product</t>
  </si>
  <si>
    <t>Total May</t>
  </si>
  <si>
    <t>Total June</t>
  </si>
  <si>
    <t>nicolashartman</t>
  </si>
  <si>
    <t>A00-22535</t>
  </si>
  <si>
    <t>10-07-1995</t>
  </si>
  <si>
    <t>0822-25834***</t>
  </si>
  <si>
    <t>A00-24069</t>
  </si>
  <si>
    <t>paulinathompson</t>
  </si>
  <si>
    <t>A00-22536</t>
  </si>
  <si>
    <t>10-05-1987</t>
  </si>
  <si>
    <t>832 16315***</t>
  </si>
  <si>
    <t>A00-25316</t>
  </si>
  <si>
    <t>To be an  Engineering Specialist</t>
  </si>
  <si>
    <t>tracechaney</t>
  </si>
  <si>
    <t>A00-22537</t>
  </si>
  <si>
    <t>10-01-1998</t>
  </si>
  <si>
    <t>852 34870***</t>
  </si>
  <si>
    <t>A00-22989</t>
  </si>
  <si>
    <t>To be a  Sales &amp; Marketing Associate</t>
  </si>
  <si>
    <t>indialawson</t>
  </si>
  <si>
    <t>A00-22538</t>
  </si>
  <si>
    <t>10-02-1994</t>
  </si>
  <si>
    <t>081216368***</t>
  </si>
  <si>
    <t>A00-27192</t>
  </si>
  <si>
    <t>To be a  Qulity Ansurance Manager</t>
  </si>
  <si>
    <t>adalynglass</t>
  </si>
  <si>
    <t>A00-22539</t>
  </si>
  <si>
    <t>10-04-1999</t>
  </si>
  <si>
    <t>082264423***</t>
  </si>
  <si>
    <t>A00-25277</t>
  </si>
  <si>
    <t>alejandrostevens</t>
  </si>
  <si>
    <t>A00-22540</t>
  </si>
  <si>
    <t>10-04-1993</t>
  </si>
  <si>
    <t>085222884***</t>
  </si>
  <si>
    <t>A00-25743</t>
  </si>
  <si>
    <t>esmeraldaburnett</t>
  </si>
  <si>
    <t>A00-22541</t>
  </si>
  <si>
    <t>084280601***</t>
  </si>
  <si>
    <t>A00-25848</t>
  </si>
  <si>
    <t>darianleonard</t>
  </si>
  <si>
    <t>A00-22542</t>
  </si>
  <si>
    <t>84286034***</t>
  </si>
  <si>
    <t>A00-23851</t>
  </si>
  <si>
    <t>devonbrooks</t>
  </si>
  <si>
    <t>A00-22543</t>
  </si>
  <si>
    <t>81296068***</t>
  </si>
  <si>
    <t>A00-25525</t>
  </si>
  <si>
    <t>baileehodge</t>
  </si>
  <si>
    <t>A00-22545</t>
  </si>
  <si>
    <t>10-05-1984</t>
  </si>
  <si>
    <t>82262646***</t>
  </si>
  <si>
    <t>A00-24331</t>
  </si>
  <si>
    <t>mosheavila</t>
  </si>
  <si>
    <t>A00-22546</t>
  </si>
  <si>
    <t>10-05-2000</t>
  </si>
  <si>
    <t>6285232481***</t>
  </si>
  <si>
    <t>A00-23738</t>
  </si>
  <si>
    <t>Income that Calculated by Total Product Sold for Each Activation Date</t>
  </si>
  <si>
    <t>jamesvaughn</t>
  </si>
  <si>
    <t>A00-22547</t>
  </si>
  <si>
    <t>10-02-1998</t>
  </si>
  <si>
    <t>6284292622***</t>
  </si>
  <si>
    <t>Registration Platform &amp; Product Income</t>
  </si>
  <si>
    <t>Income*</t>
  </si>
  <si>
    <t>Income in May</t>
  </si>
  <si>
    <t>Income in June</t>
  </si>
  <si>
    <t>madalynnalexander</t>
  </si>
  <si>
    <t>A00-22548</t>
  </si>
  <si>
    <t>81216538***</t>
  </si>
  <si>
    <t>A00-23563</t>
  </si>
  <si>
    <t>karleycopeland</t>
  </si>
  <si>
    <t>A00-22549</t>
  </si>
  <si>
    <t>10-06-1988</t>
  </si>
  <si>
    <t>85212027***</t>
  </si>
  <si>
    <t>A00-23679</t>
  </si>
  <si>
    <t>uriahwarner</t>
  </si>
  <si>
    <t>A00-22550</t>
  </si>
  <si>
    <t>10-05-1992</t>
  </si>
  <si>
    <t>85247665***</t>
  </si>
  <si>
    <t>A00-25938</t>
  </si>
  <si>
    <t>nasirdoyle</t>
  </si>
  <si>
    <t>A00-22551</t>
  </si>
  <si>
    <t>10-01-1999</t>
  </si>
  <si>
    <t>6282247325***</t>
  </si>
  <si>
    <t>A00-27063</t>
  </si>
  <si>
    <t>karensingleton</t>
  </si>
  <si>
    <t>A00-22552</t>
  </si>
  <si>
    <t>10-03-2000</t>
  </si>
  <si>
    <t>6284239308***</t>
  </si>
  <si>
    <t>A00-26289</t>
  </si>
  <si>
    <t>aaravodom</t>
  </si>
  <si>
    <t>A00-22556</t>
  </si>
  <si>
    <t>0822-28351***</t>
  </si>
  <si>
    <t>A00-25504</t>
  </si>
  <si>
    <t>irelandmaldonado</t>
  </si>
  <si>
    <t>A00-22557</t>
  </si>
  <si>
    <t>10-03-1984</t>
  </si>
  <si>
    <t>0822-70148***</t>
  </si>
  <si>
    <t>A00-26965</t>
  </si>
  <si>
    <t>jamaricase</t>
  </si>
  <si>
    <t>A00-22558</t>
  </si>
  <si>
    <t>10-05-2001</t>
  </si>
  <si>
    <t>0822-41469***</t>
  </si>
  <si>
    <t>A00-25568</t>
  </si>
  <si>
    <t>lunaklein</t>
  </si>
  <si>
    <t>A00-22559</t>
  </si>
  <si>
    <t>10-03-1987</t>
  </si>
  <si>
    <t>0832 52154***</t>
  </si>
  <si>
    <t>A00-24608</t>
  </si>
  <si>
    <t>kallietravis</t>
  </si>
  <si>
    <t>A00-22561</t>
  </si>
  <si>
    <t>10-01-2002</t>
  </si>
  <si>
    <t>0822 17105***</t>
  </si>
  <si>
    <t>A00-25091</t>
  </si>
  <si>
    <t>Registration Summary</t>
  </si>
  <si>
    <t>calehernandez</t>
  </si>
  <si>
    <t>A00-22563</t>
  </si>
  <si>
    <t>10-02-1996</t>
  </si>
  <si>
    <t>0822 85881***</t>
  </si>
  <si>
    <t>A00-23398</t>
  </si>
  <si>
    <t>Number of People</t>
  </si>
  <si>
    <t>alexislynch</t>
  </si>
  <si>
    <t>A00-22564</t>
  </si>
  <si>
    <t>10-06-2000</t>
  </si>
  <si>
    <t>0842 52102***</t>
  </si>
  <si>
    <t>A00-24594</t>
  </si>
  <si>
    <t>Phone Provider</t>
  </si>
  <si>
    <t>User</t>
  </si>
  <si>
    <t>Total Charge</t>
  </si>
  <si>
    <t>Age (Summary)</t>
  </si>
  <si>
    <t>Total</t>
  </si>
  <si>
    <t xml:space="preserve">Jobseeker </t>
  </si>
  <si>
    <t>Activation Date (Month)</t>
  </si>
  <si>
    <t>Domain Email</t>
  </si>
  <si>
    <t>Gender</t>
  </si>
  <si>
    <t>leandroweaver</t>
  </si>
  <si>
    <t>A00-22565</t>
  </si>
  <si>
    <t>10-02-1997</t>
  </si>
  <si>
    <t>0822-83752***</t>
  </si>
  <si>
    <t>A00-25736</t>
  </si>
  <si>
    <t>riyastein</t>
  </si>
  <si>
    <t>A00-22566</t>
  </si>
  <si>
    <t>10-04-2000</t>
  </si>
  <si>
    <t>0842-77770***</t>
  </si>
  <si>
    <t>A00-24169</t>
  </si>
  <si>
    <t>≥ 50 s</t>
  </si>
  <si>
    <t>madelynoconnor</t>
  </si>
  <si>
    <t>A00-22567</t>
  </si>
  <si>
    <t>822 94807***</t>
  </si>
  <si>
    <t>A00-26692</t>
  </si>
  <si>
    <t>40 s</t>
  </si>
  <si>
    <t>aliciaatkinson</t>
  </si>
  <si>
    <t>A00-22568</t>
  </si>
  <si>
    <t>10-03-1991</t>
  </si>
  <si>
    <t>852 41601***</t>
  </si>
  <si>
    <t>A00-25494</t>
  </si>
  <si>
    <t>30 s</t>
  </si>
  <si>
    <t>owengraham</t>
  </si>
  <si>
    <t>A00-22569</t>
  </si>
  <si>
    <t>084289389***</t>
  </si>
  <si>
    <t>A00-24017</t>
  </si>
  <si>
    <t>20 s</t>
  </si>
  <si>
    <t>marioroy</t>
  </si>
  <si>
    <t>A00-22573</t>
  </si>
  <si>
    <t>10-06-2001</t>
  </si>
  <si>
    <t>082250530***</t>
  </si>
  <si>
    <t>A00-27118</t>
  </si>
  <si>
    <t>ashleighbridges</t>
  </si>
  <si>
    <t>A00-22574</t>
  </si>
  <si>
    <t>10-03-1998</t>
  </si>
  <si>
    <t>085270273***</t>
  </si>
  <si>
    <t>A00-23628</t>
  </si>
  <si>
    <t>Age of Applicant (non-duplicate age: Format xx year)</t>
  </si>
  <si>
    <t>Amount per Age</t>
  </si>
  <si>
    <t>ezramaxwell</t>
  </si>
  <si>
    <t>A00-22575</t>
  </si>
  <si>
    <t>085264355***</t>
  </si>
  <si>
    <t>A00-26864</t>
  </si>
  <si>
    <t>tristanhaley</t>
  </si>
  <si>
    <t>A00-22576</t>
  </si>
  <si>
    <t>10-04-1991</t>
  </si>
  <si>
    <t>85251622***</t>
  </si>
  <si>
    <t>A00-23608</t>
  </si>
  <si>
    <t>stephanychapman</t>
  </si>
  <si>
    <t>A00-22577</t>
  </si>
  <si>
    <t>85262392***</t>
  </si>
  <si>
    <t>A00-27228</t>
  </si>
  <si>
    <t>harrisonshaw</t>
  </si>
  <si>
    <t>10-03-1975</t>
  </si>
  <si>
    <t>81244139***</t>
  </si>
  <si>
    <t>A00-24307</t>
  </si>
  <si>
    <t>thaddeushester</t>
  </si>
  <si>
    <t>A00-22579</t>
  </si>
  <si>
    <t>10-03-1995</t>
  </si>
  <si>
    <t>6281268631***</t>
  </si>
  <si>
    <t>A00-23596</t>
  </si>
  <si>
    <t>nikolaigross</t>
  </si>
  <si>
    <t>A00-22581</t>
  </si>
  <si>
    <t>6282298266***</t>
  </si>
  <si>
    <t>A00-24115</t>
  </si>
  <si>
    <t>devinsandoval</t>
  </si>
  <si>
    <t>A00-22583</t>
  </si>
  <si>
    <t>10-07-1993</t>
  </si>
  <si>
    <t>82268861***</t>
  </si>
  <si>
    <t>A00-25111</t>
  </si>
  <si>
    <t>caitlincampbell</t>
  </si>
  <si>
    <t>A00-22585</t>
  </si>
  <si>
    <t>10-02-2002</t>
  </si>
  <si>
    <t>82284281***</t>
  </si>
  <si>
    <t>A00-26709</t>
  </si>
  <si>
    <t>kathyfinley</t>
  </si>
  <si>
    <t>A00-22586</t>
  </si>
  <si>
    <t>83265204***</t>
  </si>
  <si>
    <t>A00-24007</t>
  </si>
  <si>
    <t>Omzet</t>
  </si>
  <si>
    <t>Expense</t>
  </si>
  <si>
    <t>Income</t>
  </si>
  <si>
    <t>tonyball</t>
  </si>
  <si>
    <t>A00-22587</t>
  </si>
  <si>
    <t>6282249037***</t>
  </si>
  <si>
    <t>A00-24445</t>
  </si>
  <si>
    <t>marianasalazar</t>
  </si>
  <si>
    <t>A00-22588</t>
  </si>
  <si>
    <t>10-02-1999</t>
  </si>
  <si>
    <t>6282294695***</t>
  </si>
  <si>
    <t>A00-26512</t>
  </si>
  <si>
    <t>roryvelasquez</t>
  </si>
  <si>
    <t>A00-22589</t>
  </si>
  <si>
    <t>10-06-1999</t>
  </si>
  <si>
    <t>0842-87299***</t>
  </si>
  <si>
    <t>A00-24923</t>
  </si>
  <si>
    <t>brooksdavies</t>
  </si>
  <si>
    <t>A00-22590</t>
  </si>
  <si>
    <t>10-03-1994</t>
  </si>
  <si>
    <t>0822-72385***</t>
  </si>
  <si>
    <t>A00-24855</t>
  </si>
  <si>
    <t>paytonfernandez</t>
  </si>
  <si>
    <t>A00-22593</t>
  </si>
  <si>
    <t>10-02-1992</t>
  </si>
  <si>
    <t>0842-37259***</t>
  </si>
  <si>
    <t>A00-23211</t>
  </si>
  <si>
    <t>damarisortega</t>
  </si>
  <si>
    <t>A00-22595</t>
  </si>
  <si>
    <t>10-03-1996</t>
  </si>
  <si>
    <t>0842 84845***</t>
  </si>
  <si>
    <t>A00-24447</t>
  </si>
  <si>
    <t>samhayes</t>
  </si>
  <si>
    <t>A00-22596</t>
  </si>
  <si>
    <t>0842 31406***</t>
  </si>
  <si>
    <t>A00-23571</t>
  </si>
  <si>
    <t>adrianaarias</t>
  </si>
  <si>
    <t>A00-22597</t>
  </si>
  <si>
    <t>0842 52316***</t>
  </si>
  <si>
    <t>A00-23956</t>
  </si>
  <si>
    <t>mollyknight</t>
  </si>
  <si>
    <t>A00-22598</t>
  </si>
  <si>
    <t>0852 40491***</t>
  </si>
  <si>
    <t>A00-24756</t>
  </si>
  <si>
    <t>adrieljames</t>
  </si>
  <si>
    <t>A00-22599</t>
  </si>
  <si>
    <t>10-07-1984</t>
  </si>
  <si>
    <t>0852-69557***</t>
  </si>
  <si>
    <t>A00-23426</t>
  </si>
  <si>
    <t>edwardvargas</t>
  </si>
  <si>
    <t>A00-22600</t>
  </si>
  <si>
    <t>10-03-1999</t>
  </si>
  <si>
    <t>0822-61942***</t>
  </si>
  <si>
    <t>A00-22622</t>
  </si>
  <si>
    <t>alianayork</t>
  </si>
  <si>
    <t>A00-22601</t>
  </si>
  <si>
    <t>832 57697***</t>
  </si>
  <si>
    <t>A00-24281</t>
  </si>
  <si>
    <t>leonardochristensen</t>
  </si>
  <si>
    <t>A00-22604</t>
  </si>
  <si>
    <t>10-06-1996</t>
  </si>
  <si>
    <t>842 88884***</t>
  </si>
  <si>
    <t>A00-26278</t>
  </si>
  <si>
    <t>kathleenlewis</t>
  </si>
  <si>
    <t>A00-22605</t>
  </si>
  <si>
    <t>082218229***</t>
  </si>
  <si>
    <t>A00-23435</t>
  </si>
  <si>
    <t>jovannifletcher</t>
  </si>
  <si>
    <t>A00-22606</t>
  </si>
  <si>
    <t>083281179***</t>
  </si>
  <si>
    <t>A00-23855</t>
  </si>
  <si>
    <t>gilbertorivers</t>
  </si>
  <si>
    <t>A00-22607</t>
  </si>
  <si>
    <t>10-07-1994</t>
  </si>
  <si>
    <t>085247200***</t>
  </si>
  <si>
    <t>A00-22849</t>
  </si>
  <si>
    <t>javierbriggs</t>
  </si>
  <si>
    <t>A00-22609</t>
  </si>
  <si>
    <t>10-05-1997</t>
  </si>
  <si>
    <t>083291489***</t>
  </si>
  <si>
    <t>A00-26734</t>
  </si>
  <si>
    <t>matthiasfitzpatrick</t>
  </si>
  <si>
    <t>A00-22610</t>
  </si>
  <si>
    <t>83284781***</t>
  </si>
  <si>
    <t>A00-26159</t>
  </si>
  <si>
    <t>tatumwarren</t>
  </si>
  <si>
    <t>A00-22612</t>
  </si>
  <si>
    <t>10-07-1991</t>
  </si>
  <si>
    <t>84292486***</t>
  </si>
  <si>
    <t>A00-26751</t>
  </si>
  <si>
    <t>angiehutchinson</t>
  </si>
  <si>
    <t>A00-22620</t>
  </si>
  <si>
    <t>10-05-1996</t>
  </si>
  <si>
    <t>84263794***</t>
  </si>
  <si>
    <t>A00-25886</t>
  </si>
  <si>
    <t>nicolegould</t>
  </si>
  <si>
    <t>A00-22621</t>
  </si>
  <si>
    <t>10-01-1991</t>
  </si>
  <si>
    <t>6285287408***</t>
  </si>
  <si>
    <t>A00-26637</t>
  </si>
  <si>
    <t>jackarellano</t>
  </si>
  <si>
    <t>10-05-1983</t>
  </si>
  <si>
    <t>6282268124***</t>
  </si>
  <si>
    <t>A00-25578</t>
  </si>
  <si>
    <t>dangelohayes</t>
  </si>
  <si>
    <t>A00-22623</t>
  </si>
  <si>
    <t>10-03-1992</t>
  </si>
  <si>
    <t>83275185***</t>
  </si>
  <si>
    <t>A00-27296</t>
  </si>
  <si>
    <t>denissemora</t>
  </si>
  <si>
    <t>A00-22624</t>
  </si>
  <si>
    <t>85219908***</t>
  </si>
  <si>
    <t>A00-27311</t>
  </si>
  <si>
    <t>lucianoirwin</t>
  </si>
  <si>
    <t>A00-22625</t>
  </si>
  <si>
    <t>10-06-1992</t>
  </si>
  <si>
    <t>84251681***</t>
  </si>
  <si>
    <t>hazelweeks</t>
  </si>
  <si>
    <t>A00-22626</t>
  </si>
  <si>
    <t>6281282094***</t>
  </si>
  <si>
    <t>A00-26912</t>
  </si>
  <si>
    <t>shamargay</t>
  </si>
  <si>
    <t>A00-22627</t>
  </si>
  <si>
    <t>6284295753***</t>
  </si>
  <si>
    <t>A00-27460</t>
  </si>
  <si>
    <t>kaelynhatfield</t>
  </si>
  <si>
    <t>A00-22628</t>
  </si>
  <si>
    <t>0812-35532***</t>
  </si>
  <si>
    <t>A00-25777</t>
  </si>
  <si>
    <t>tiannabradshaw</t>
  </si>
  <si>
    <t>A00-22630</t>
  </si>
  <si>
    <t>10-02-2000</t>
  </si>
  <si>
    <t>0822-87536***</t>
  </si>
  <si>
    <t>A00-26298</t>
  </si>
  <si>
    <t>harrisonrichard</t>
  </si>
  <si>
    <t>A00-22633</t>
  </si>
  <si>
    <t>0842-33559***</t>
  </si>
  <si>
    <t>A00-26935</t>
  </si>
  <si>
    <t>ramirobradshaw</t>
  </si>
  <si>
    <t>A00-22634</t>
  </si>
  <si>
    <t>10-02-2003</t>
  </si>
  <si>
    <t>0822 27868***</t>
  </si>
  <si>
    <t>A00-26963</t>
  </si>
  <si>
    <t>miraclelara</t>
  </si>
  <si>
    <t>A00-22635</t>
  </si>
  <si>
    <t>10-01-1997</t>
  </si>
  <si>
    <t>0852 57089***</t>
  </si>
  <si>
    <t>A00-25276</t>
  </si>
  <si>
    <t>briannaadkins</t>
  </si>
  <si>
    <t>A00-22636</t>
  </si>
  <si>
    <t>0822 16247***</t>
  </si>
  <si>
    <t>A00-23882</t>
  </si>
  <si>
    <t>avahbond</t>
  </si>
  <si>
    <t>A00-22637</t>
  </si>
  <si>
    <t>0852 59127***</t>
  </si>
  <si>
    <t>A00-25968</t>
  </si>
  <si>
    <t>kaelbarron</t>
  </si>
  <si>
    <t>A00-22639</t>
  </si>
  <si>
    <t>10-02-1987</t>
  </si>
  <si>
    <t>0832-91801***</t>
  </si>
  <si>
    <t>A00-25838</t>
  </si>
  <si>
    <t>pierrenewton</t>
  </si>
  <si>
    <t>A00-22640</t>
  </si>
  <si>
    <t>10-05-1990</t>
  </si>
  <si>
    <t>0842-81001***</t>
  </si>
  <si>
    <t>A00-24809</t>
  </si>
  <si>
    <t>jazlenerasmussen</t>
  </si>
  <si>
    <t>A00-22641</t>
  </si>
  <si>
    <t>10-04-1992</t>
  </si>
  <si>
    <t>842 15703***</t>
  </si>
  <si>
    <t>A00-26582</t>
  </si>
  <si>
    <t>shyannebenson</t>
  </si>
  <si>
    <t>A00-22642</t>
  </si>
  <si>
    <t>10-03-1997</t>
  </si>
  <si>
    <t>842 68614***</t>
  </si>
  <si>
    <t>A00-24373</t>
  </si>
  <si>
    <t>aaronskinner</t>
  </si>
  <si>
    <t>A00-22643</t>
  </si>
  <si>
    <t>085220234***</t>
  </si>
  <si>
    <t>A00-23184</t>
  </si>
  <si>
    <t>josephinedaugherty</t>
  </si>
  <si>
    <t>A00-22644</t>
  </si>
  <si>
    <t>081295461***</t>
  </si>
  <si>
    <t>A00-23528</t>
  </si>
  <si>
    <t>angeliquebrewer</t>
  </si>
  <si>
    <t>A00-22647</t>
  </si>
  <si>
    <t>082229401***</t>
  </si>
  <si>
    <t>A00-26380</t>
  </si>
  <si>
    <t>liablevins</t>
  </si>
  <si>
    <t>10-02-1975</t>
  </si>
  <si>
    <t>081277680***</t>
  </si>
  <si>
    <t>A00-26727</t>
  </si>
  <si>
    <t>rossallen</t>
  </si>
  <si>
    <t>A00-22650</t>
  </si>
  <si>
    <t>10-02-1990</t>
  </si>
  <si>
    <t>82258116***</t>
  </si>
  <si>
    <t>A00-24106</t>
  </si>
  <si>
    <t>braedonbryan</t>
  </si>
  <si>
    <t>A00-22651</t>
  </si>
  <si>
    <t>10-01-1996</t>
  </si>
  <si>
    <t>82254086***</t>
  </si>
  <si>
    <t>A00-27068</t>
  </si>
  <si>
    <t>jaidynpratt</t>
  </si>
  <si>
    <t>A00-22652</t>
  </si>
  <si>
    <t>10-02-1995</t>
  </si>
  <si>
    <t>82270417***</t>
  </si>
  <si>
    <t>A00-27488</t>
  </si>
  <si>
    <t>deeganbauer</t>
  </si>
  <si>
    <t>A00-22653</t>
  </si>
  <si>
    <t>10-03-2002</t>
  </si>
  <si>
    <t>6284294361***</t>
  </si>
  <si>
    <t>A00-23021</t>
  </si>
  <si>
    <t>donaldmack</t>
  </si>
  <si>
    <t>A00-22655</t>
  </si>
  <si>
    <t>6284252390***</t>
  </si>
  <si>
    <t>A00-24994</t>
  </si>
  <si>
    <t>santinosexton</t>
  </si>
  <si>
    <t>A00-22656</t>
  </si>
  <si>
    <t>81221415***</t>
  </si>
  <si>
    <t>tyshawnpeterson</t>
  </si>
  <si>
    <t>A00-22657</t>
  </si>
  <si>
    <t>10-01-2001</t>
  </si>
  <si>
    <t>81257194***</t>
  </si>
  <si>
    <t>A00-26231</t>
  </si>
  <si>
    <t>anamclean</t>
  </si>
  <si>
    <t>A00-22659</t>
  </si>
  <si>
    <t>83236765***</t>
  </si>
  <si>
    <t>A00-23406</t>
  </si>
  <si>
    <t>leroymcclain</t>
  </si>
  <si>
    <t>A00-22660</t>
  </si>
  <si>
    <t>6285262236***</t>
  </si>
  <si>
    <t>A00-25558</t>
  </si>
  <si>
    <t>marquislin</t>
  </si>
  <si>
    <t>A00-22662</t>
  </si>
  <si>
    <t>10-01-1995</t>
  </si>
  <si>
    <t>6284213342***</t>
  </si>
  <si>
    <t>A00-25625</t>
  </si>
  <si>
    <t>myapotter</t>
  </si>
  <si>
    <t>A00-22664</t>
  </si>
  <si>
    <t>10-07-1986</t>
  </si>
  <si>
    <t>0852-57296***</t>
  </si>
  <si>
    <t>A00-25123</t>
  </si>
  <si>
    <t>michellehester</t>
  </si>
  <si>
    <t>A00-22669</t>
  </si>
  <si>
    <t>0812-29157***</t>
  </si>
  <si>
    <t>A00-25294</t>
  </si>
  <si>
    <t>rickyrocha</t>
  </si>
  <si>
    <t>A00-22670</t>
  </si>
  <si>
    <t>0832-79115***</t>
  </si>
  <si>
    <t>A00-27357</t>
  </si>
  <si>
    <t>danicanixon</t>
  </si>
  <si>
    <t>A00-22671</t>
  </si>
  <si>
    <t>0852 53093***</t>
  </si>
  <si>
    <t>A00-23238</t>
  </si>
  <si>
    <t>aylatrujillo</t>
  </si>
  <si>
    <t>A00-22672</t>
  </si>
  <si>
    <t>0822 93763***</t>
  </si>
  <si>
    <t>A00-24484</t>
  </si>
  <si>
    <t>giulianaarellano</t>
  </si>
  <si>
    <t>A00-22674</t>
  </si>
  <si>
    <t>10-04-1989</t>
  </si>
  <si>
    <t>0822 62849***</t>
  </si>
  <si>
    <t>A00-25008</t>
  </si>
  <si>
    <t>reynagibbs</t>
  </si>
  <si>
    <t>A00-22675</t>
  </si>
  <si>
    <t>0812 45932***</t>
  </si>
  <si>
    <t>A00-25364</t>
  </si>
  <si>
    <t>mikaylagross</t>
  </si>
  <si>
    <t>A00-22681</t>
  </si>
  <si>
    <t>0812-24735***</t>
  </si>
  <si>
    <t>A00-26546</t>
  </si>
  <si>
    <t>dariusgutierrez</t>
  </si>
  <si>
    <t>A00-22682</t>
  </si>
  <si>
    <t>0842-15976***</t>
  </si>
  <si>
    <t>A00-25822</t>
  </si>
  <si>
    <t>kiannawilcox</t>
  </si>
  <si>
    <t>A00-22683</t>
  </si>
  <si>
    <t>10-04-2003</t>
  </si>
  <si>
    <t>822 34496***</t>
  </si>
  <si>
    <t>nathanaelcoleman</t>
  </si>
  <si>
    <t>A00-22684</t>
  </si>
  <si>
    <t>10-02-1991</t>
  </si>
  <si>
    <t>822 97148***</t>
  </si>
  <si>
    <t>A00-23634</t>
  </si>
  <si>
    <t>elizabethmora</t>
  </si>
  <si>
    <t>A00-22685</t>
  </si>
  <si>
    <t>081223465***</t>
  </si>
  <si>
    <t>A00-23213</t>
  </si>
  <si>
    <t>dashawncase</t>
  </si>
  <si>
    <t>A00-22686</t>
  </si>
  <si>
    <t>084288928***</t>
  </si>
  <si>
    <t>A00-25996</t>
  </si>
  <si>
    <t>kaleyduran</t>
  </si>
  <si>
    <t>A00-22687</t>
  </si>
  <si>
    <t>081267046***</t>
  </si>
  <si>
    <t>A00-23083</t>
  </si>
  <si>
    <t>ishaanhouston</t>
  </si>
  <si>
    <t>A00-22688</t>
  </si>
  <si>
    <t>082260507***</t>
  </si>
  <si>
    <t>A00-23086</t>
  </si>
  <si>
    <t>ashlysherman</t>
  </si>
  <si>
    <t>A00-22690</t>
  </si>
  <si>
    <t>81248916***</t>
  </si>
  <si>
    <t>keyonrussell</t>
  </si>
  <si>
    <t>A00-22692</t>
  </si>
  <si>
    <t>85216725***</t>
  </si>
  <si>
    <t>A00-25047</t>
  </si>
  <si>
    <t>javionnixon</t>
  </si>
  <si>
    <t>A00-22698</t>
  </si>
  <si>
    <t>85220214***</t>
  </si>
  <si>
    <t>A00-26876</t>
  </si>
  <si>
    <t>beckettmiddleton</t>
  </si>
  <si>
    <t>A00-22700</t>
  </si>
  <si>
    <t>6284281924***</t>
  </si>
  <si>
    <t>A00-26497</t>
  </si>
  <si>
    <t>melissaduffy</t>
  </si>
  <si>
    <t>A00-22701</t>
  </si>
  <si>
    <t>10-04-1998</t>
  </si>
  <si>
    <t>6281227112***</t>
  </si>
  <si>
    <t>A00-23038</t>
  </si>
  <si>
    <t>talonlane</t>
  </si>
  <si>
    <t>A00-22702</t>
  </si>
  <si>
    <t>10-06-1983</t>
  </si>
  <si>
    <t>82230411***</t>
  </si>
  <si>
    <t>andreaburns</t>
  </si>
  <si>
    <t>A00-22705</t>
  </si>
  <si>
    <t>10-02-1989</t>
  </si>
  <si>
    <t>82231895***</t>
  </si>
  <si>
    <t>A00-23733</t>
  </si>
  <si>
    <t>leilanihuber</t>
  </si>
  <si>
    <t>A00-22706</t>
  </si>
  <si>
    <t>81253394***</t>
  </si>
  <si>
    <t>A00-23237</t>
  </si>
  <si>
    <t>jaidyngrimes</t>
  </si>
  <si>
    <t>A00-22707</t>
  </si>
  <si>
    <t>6283228350***</t>
  </si>
  <si>
    <t>A00-24206</t>
  </si>
  <si>
    <t>darryladams</t>
  </si>
  <si>
    <t>A00-22709</t>
  </si>
  <si>
    <t>6283277474***</t>
  </si>
  <si>
    <t>A00-27219</t>
  </si>
  <si>
    <t>aylazavala</t>
  </si>
  <si>
    <t>0842-25131***</t>
  </si>
  <si>
    <t>A00-26795</t>
  </si>
  <si>
    <t>danegardner</t>
  </si>
  <si>
    <t>A00-22716</t>
  </si>
  <si>
    <t>0842-45943***</t>
  </si>
  <si>
    <t>jakaylabrewer</t>
  </si>
  <si>
    <t>A00-22719</t>
  </si>
  <si>
    <t>10-03-1989</t>
  </si>
  <si>
    <t>0822-20794***</t>
  </si>
  <si>
    <t>A00-25738</t>
  </si>
  <si>
    <t>yeseniafarley</t>
  </si>
  <si>
    <t>A00-22720</t>
  </si>
  <si>
    <t>0842 58688***</t>
  </si>
  <si>
    <t>A00-22740</t>
  </si>
  <si>
    <t>natashaleonard</t>
  </si>
  <si>
    <t>A00-22722</t>
  </si>
  <si>
    <t>10-05-1991</t>
  </si>
  <si>
    <t>0812 96910***</t>
  </si>
  <si>
    <t>A00-25412</t>
  </si>
  <si>
    <t>abrilholder</t>
  </si>
  <si>
    <t>A00-22723</t>
  </si>
  <si>
    <t>0822 24480***</t>
  </si>
  <si>
    <t>A00-26805</t>
  </si>
  <si>
    <t>cordellfields</t>
  </si>
  <si>
    <t>A00-22726</t>
  </si>
  <si>
    <t>0812 16910***</t>
  </si>
  <si>
    <t>A00-25192</t>
  </si>
  <si>
    <t>makaylasanford</t>
  </si>
  <si>
    <t>A00-22727</t>
  </si>
  <si>
    <t>10-04-1990</t>
  </si>
  <si>
    <t>0812-82494***</t>
  </si>
  <si>
    <t>A00-23719</t>
  </si>
  <si>
    <t>taryncarter</t>
  </si>
  <si>
    <t>A00-22729</t>
  </si>
  <si>
    <t>0852-52094***</t>
  </si>
  <si>
    <t>A00-26495</t>
  </si>
  <si>
    <t>janecruz</t>
  </si>
  <si>
    <t>A00-22730</t>
  </si>
  <si>
    <t>812 30188***</t>
  </si>
  <si>
    <t>A00-25319</t>
  </si>
  <si>
    <t>theresaholloway</t>
  </si>
  <si>
    <t>A00-22731</t>
  </si>
  <si>
    <t>832 79736***</t>
  </si>
  <si>
    <t>A00-23224</t>
  </si>
  <si>
    <t>alexuschavez</t>
  </si>
  <si>
    <t>A00-22732</t>
  </si>
  <si>
    <t>10-03-1993</t>
  </si>
  <si>
    <t>084226228***</t>
  </si>
  <si>
    <t>A00-22965</t>
  </si>
  <si>
    <t>saniyastuart</t>
  </si>
  <si>
    <t>A00-22733</t>
  </si>
  <si>
    <t>083262452***</t>
  </si>
  <si>
    <t>A00-23629</t>
  </si>
  <si>
    <t>jayleneclark</t>
  </si>
  <si>
    <t>A00-22736</t>
  </si>
  <si>
    <t>082292637***</t>
  </si>
  <si>
    <t>A00-26516</t>
  </si>
  <si>
    <t>keshawnwalter</t>
  </si>
  <si>
    <t>A00-22737</t>
  </si>
  <si>
    <t>082238359***</t>
  </si>
  <si>
    <t>A00-23284</t>
  </si>
  <si>
    <t>braylenhodges</t>
  </si>
  <si>
    <t>A00-22738</t>
  </si>
  <si>
    <t>81244058***</t>
  </si>
  <si>
    <t>A00-25064</t>
  </si>
  <si>
    <t>geraldnunez</t>
  </si>
  <si>
    <t>A00-22739</t>
  </si>
  <si>
    <t>83263190***</t>
  </si>
  <si>
    <t>A00-25754</t>
  </si>
  <si>
    <t>caitlynhanna</t>
  </si>
  <si>
    <t>10-06-1987</t>
  </si>
  <si>
    <t>84287208***</t>
  </si>
  <si>
    <t>A00-26351</t>
  </si>
  <si>
    <t>karliconrad</t>
  </si>
  <si>
    <t>A00-22741</t>
  </si>
  <si>
    <t>6281221744***</t>
  </si>
  <si>
    <t>A00-24376</t>
  </si>
  <si>
    <t>donavantrevino</t>
  </si>
  <si>
    <t>A00-22744</t>
  </si>
  <si>
    <t>6282221511***</t>
  </si>
  <si>
    <t>A00-24077</t>
  </si>
  <si>
    <t>cadewyatt</t>
  </si>
  <si>
    <t>A00-22746</t>
  </si>
  <si>
    <t>83228609***</t>
  </si>
  <si>
    <t>A00-26135</t>
  </si>
  <si>
    <t>peterbriggs</t>
  </si>
  <si>
    <t>A00-22747</t>
  </si>
  <si>
    <t>84278118***</t>
  </si>
  <si>
    <t>A00-23940</t>
  </si>
  <si>
    <t>alicehanna</t>
  </si>
  <si>
    <t>A00-22748</t>
  </si>
  <si>
    <t>82295367***</t>
  </si>
  <si>
    <t>A00-25067</t>
  </si>
  <si>
    <t>connerlee</t>
  </si>
  <si>
    <t>A00-22749</t>
  </si>
  <si>
    <t>6284245863***</t>
  </si>
  <si>
    <t>A00-25533</t>
  </si>
  <si>
    <t>caelliu</t>
  </si>
  <si>
    <t>A00-22750</t>
  </si>
  <si>
    <t>10-06-1995</t>
  </si>
  <si>
    <t>6281236369***</t>
  </si>
  <si>
    <t>A00-23715</t>
  </si>
  <si>
    <t>isabelalloyd</t>
  </si>
  <si>
    <t>A00-22752</t>
  </si>
  <si>
    <t>0852-27717***</t>
  </si>
  <si>
    <t>A00-23700</t>
  </si>
  <si>
    <t>koltenmason</t>
  </si>
  <si>
    <t>A00-22753</t>
  </si>
  <si>
    <t>0832-38662***</t>
  </si>
  <si>
    <t>A00-23449</t>
  </si>
  <si>
    <t>zechariahbradshaw</t>
  </si>
  <si>
    <t>A00-22754</t>
  </si>
  <si>
    <t>10-05-1993</t>
  </si>
  <si>
    <t>0852-63607***</t>
  </si>
  <si>
    <t>A00-23565</t>
  </si>
  <si>
    <t>gillianmayer</t>
  </si>
  <si>
    <t>A00-22755</t>
  </si>
  <si>
    <t>0822 79432***</t>
  </si>
  <si>
    <t>A00-26200</t>
  </si>
  <si>
    <t>laciorozco</t>
  </si>
  <si>
    <t>A00-22757</t>
  </si>
  <si>
    <t>0842 14254***</t>
  </si>
  <si>
    <t>A00-24787</t>
  </si>
  <si>
    <t>mckenzielam</t>
  </si>
  <si>
    <t>A00-22758</t>
  </si>
  <si>
    <t>0812 59818***</t>
  </si>
  <si>
    <t>A00-26004</t>
  </si>
  <si>
    <t>kaylamitchell</t>
  </si>
  <si>
    <t>A00-22760</t>
  </si>
  <si>
    <t>0832 83659***</t>
  </si>
  <si>
    <t>A00-24657</t>
  </si>
  <si>
    <t>aracelywilliams</t>
  </si>
  <si>
    <t>A00-22762</t>
  </si>
  <si>
    <t>0842-96285***</t>
  </si>
  <si>
    <t>A00-23710</t>
  </si>
  <si>
    <t>To be an   Engineering Specialist</t>
  </si>
  <si>
    <t>irenebradford</t>
  </si>
  <si>
    <t>A00-22763</t>
  </si>
  <si>
    <t>0842-84889***</t>
  </si>
  <si>
    <t>A00-24969</t>
  </si>
  <si>
    <t>To be a   Sales &amp; Marketing Associate</t>
  </si>
  <si>
    <t>tessmiller</t>
  </si>
  <si>
    <t>10-12-1961</t>
  </si>
  <si>
    <t>842 61982***</t>
  </si>
  <si>
    <t>A00-25310</t>
  </si>
  <si>
    <t>To be a   Qulity Ansurance Manager</t>
  </si>
  <si>
    <t>simonstephenson</t>
  </si>
  <si>
    <t>A00-22765</t>
  </si>
  <si>
    <t>822 79659***</t>
  </si>
  <si>
    <t>A00-22898</t>
  </si>
  <si>
    <t>corashields</t>
  </si>
  <si>
    <t>A00-22768</t>
  </si>
  <si>
    <t>10-04-2002</t>
  </si>
  <si>
    <t>084254514***</t>
  </si>
  <si>
    <t>A00-23896</t>
  </si>
  <si>
    <t>caitlinherring</t>
  </si>
  <si>
    <t>A00-22769</t>
  </si>
  <si>
    <t>084288741***</t>
  </si>
  <si>
    <t>A00-27335</t>
  </si>
  <si>
    <t>dalefreeman</t>
  </si>
  <si>
    <t>A00-22770</t>
  </si>
  <si>
    <t>082242204***</t>
  </si>
  <si>
    <t>A00-25663</t>
  </si>
  <si>
    <t>gaugeshepard</t>
  </si>
  <si>
    <t>A00-22776</t>
  </si>
  <si>
    <t>10-06-2003</t>
  </si>
  <si>
    <t>081269226***</t>
  </si>
  <si>
    <t>A00-22924</t>
  </si>
  <si>
    <t>rylanriddle</t>
  </si>
  <si>
    <t>A00-22777</t>
  </si>
  <si>
    <t>83249614***</t>
  </si>
  <si>
    <t>A00-24105</t>
  </si>
  <si>
    <t>angellowery</t>
  </si>
  <si>
    <t>A00-22779</t>
  </si>
  <si>
    <t>10-05-2002</t>
  </si>
  <si>
    <t>81277476***</t>
  </si>
  <si>
    <t>A00-26786</t>
  </si>
  <si>
    <t>nolabuchanan</t>
  </si>
  <si>
    <t>A00-22783</t>
  </si>
  <si>
    <t>84245220***</t>
  </si>
  <si>
    <t>A00-27321</t>
  </si>
  <si>
    <t>xiomarameyers</t>
  </si>
  <si>
    <t>A00-22784</t>
  </si>
  <si>
    <t>6283272781***</t>
  </si>
  <si>
    <t>A00-27466</t>
  </si>
  <si>
    <t>yasminebest</t>
  </si>
  <si>
    <t>A00-22788</t>
  </si>
  <si>
    <t>6282226930***</t>
  </si>
  <si>
    <t>A00-26507</t>
  </si>
  <si>
    <t>coreybullock</t>
  </si>
  <si>
    <t>A00-22789</t>
  </si>
  <si>
    <t>84224000***</t>
  </si>
  <si>
    <t>A00-27177</t>
  </si>
  <si>
    <t>chaceyu</t>
  </si>
  <si>
    <t>A00-22790</t>
  </si>
  <si>
    <t>85294242***</t>
  </si>
  <si>
    <t>A00-25182</t>
  </si>
  <si>
    <t>jesseolson</t>
  </si>
  <si>
    <t>A00-22791</t>
  </si>
  <si>
    <t>10-04-1994</t>
  </si>
  <si>
    <t>82267058***</t>
  </si>
  <si>
    <t>A00-23797</t>
  </si>
  <si>
    <t>erinmayer</t>
  </si>
  <si>
    <t>A00-22793</t>
  </si>
  <si>
    <t>10-04-1988</t>
  </si>
  <si>
    <t>6285255952***</t>
  </si>
  <si>
    <t>A00-27443</t>
  </si>
  <si>
    <t>jennygarrett</t>
  </si>
  <si>
    <t>A00-22795</t>
  </si>
  <si>
    <t>6281292864***</t>
  </si>
  <si>
    <t>A00-26071</t>
  </si>
  <si>
    <t>angelalexander</t>
  </si>
  <si>
    <t>A00-22796</t>
  </si>
  <si>
    <t>0842-76708***</t>
  </si>
  <si>
    <t>A00-24529</t>
  </si>
  <si>
    <t>janetcoffey</t>
  </si>
  <si>
    <t>A00-22797</t>
  </si>
  <si>
    <t>10-02-1993</t>
  </si>
  <si>
    <t>0832-38265***</t>
  </si>
  <si>
    <t>A00-23049</t>
  </si>
  <si>
    <t>yeseniachristensen</t>
  </si>
  <si>
    <t>A00-22799</t>
  </si>
  <si>
    <t>0832-26678***</t>
  </si>
  <si>
    <t>A00-23505</t>
  </si>
  <si>
    <t>raulweiss</t>
  </si>
  <si>
    <t>A00-22801</t>
  </si>
  <si>
    <t>0842 77896***</t>
  </si>
  <si>
    <t>A00-26945</t>
  </si>
  <si>
    <t>madelyncallahan</t>
  </si>
  <si>
    <t>A00-22803</t>
  </si>
  <si>
    <t>0852 20532***</t>
  </si>
  <si>
    <t>A00-25952</t>
  </si>
  <si>
    <t>hailielowe</t>
  </si>
  <si>
    <t>A00-22804</t>
  </si>
  <si>
    <t>10-02-2001</t>
  </si>
  <si>
    <t>0832 87915***</t>
  </si>
  <si>
    <t>A00-26284</t>
  </si>
  <si>
    <t>adityabrennan</t>
  </si>
  <si>
    <t>A00-22805</t>
  </si>
  <si>
    <t>0812 87260***</t>
  </si>
  <si>
    <t>A00-26506</t>
  </si>
  <si>
    <t>stanleybray</t>
  </si>
  <si>
    <t>A00-22806</t>
  </si>
  <si>
    <t>0842-90201***</t>
  </si>
  <si>
    <t>A00-23054</t>
  </si>
  <si>
    <t>monserratluna</t>
  </si>
  <si>
    <t>A00-22811</t>
  </si>
  <si>
    <t>0852-59009***</t>
  </si>
  <si>
    <t>A00-24934</t>
  </si>
  <si>
    <t>rogerrice</t>
  </si>
  <si>
    <t>A00-22813</t>
  </si>
  <si>
    <t>852 75303***</t>
  </si>
  <si>
    <t>A00-25882</t>
  </si>
  <si>
    <t>brynleefarmer</t>
  </si>
  <si>
    <t>A00-22814</t>
  </si>
  <si>
    <t>822 41977***</t>
  </si>
  <si>
    <t>A00-22889</t>
  </si>
  <si>
    <t>lilygutierrez</t>
  </si>
  <si>
    <t>A00-22815</t>
  </si>
  <si>
    <t>081262022***</t>
  </si>
  <si>
    <t>A00-24974</t>
  </si>
  <si>
    <t>chayamcpherson</t>
  </si>
  <si>
    <t>A00-22816</t>
  </si>
  <si>
    <t>085265628***</t>
  </si>
  <si>
    <t>A00-23399</t>
  </si>
  <si>
    <t>mariyahburke</t>
  </si>
  <si>
    <t>A00-22818</t>
  </si>
  <si>
    <t>085269791***</t>
  </si>
  <si>
    <t>A00-23545</t>
  </si>
  <si>
    <t>urijahholder</t>
  </si>
  <si>
    <t>A00-22820</t>
  </si>
  <si>
    <t>085232284***</t>
  </si>
  <si>
    <t>A00-24060</t>
  </si>
  <si>
    <t>reidchandler</t>
  </si>
  <si>
    <t>A00-22824</t>
  </si>
  <si>
    <t>83281329***</t>
  </si>
  <si>
    <t>A00-26434</t>
  </si>
  <si>
    <t>muhammaddickerson</t>
  </si>
  <si>
    <t>A00-22825</t>
  </si>
  <si>
    <t>84245086***</t>
  </si>
  <si>
    <t>A00-24577</t>
  </si>
  <si>
    <t>lincolnwilkins</t>
  </si>
  <si>
    <t>A00-22826</t>
  </si>
  <si>
    <t>82263157***</t>
  </si>
  <si>
    <t>genevieveknapp</t>
  </si>
  <si>
    <t>A00-22829</t>
  </si>
  <si>
    <t>6284246010***</t>
  </si>
  <si>
    <t>A00-24904</t>
  </si>
  <si>
    <t>reaganwiley</t>
  </si>
  <si>
    <t>A00-22830</t>
  </si>
  <si>
    <t>6284289075***</t>
  </si>
  <si>
    <t>A00-27366</t>
  </si>
  <si>
    <t>oswaldovelazquez</t>
  </si>
  <si>
    <t>A00-22831</t>
  </si>
  <si>
    <t>10-04-1984</t>
  </si>
  <si>
    <t>85269996***</t>
  </si>
  <si>
    <t>A00-24056</t>
  </si>
  <si>
    <t>christianhester</t>
  </si>
  <si>
    <t>A00-22832</t>
  </si>
  <si>
    <t>82279031***</t>
  </si>
  <si>
    <t>A00-26379</t>
  </si>
  <si>
    <t>andersonmarquez</t>
  </si>
  <si>
    <t>10-07-1973</t>
  </si>
  <si>
    <t>83297340***</t>
  </si>
  <si>
    <t>A00-24641</t>
  </si>
  <si>
    <t>sydneerangel</t>
  </si>
  <si>
    <t>A00-22837</t>
  </si>
  <si>
    <t>6283271680***</t>
  </si>
  <si>
    <t>A00-25026</t>
  </si>
  <si>
    <t>francisbooth</t>
  </si>
  <si>
    <t>A00-22838</t>
  </si>
  <si>
    <t>6285284532***</t>
  </si>
  <si>
    <t>A00-23331</t>
  </si>
  <si>
    <t>jamyalowe</t>
  </si>
  <si>
    <t>A00-22839</t>
  </si>
  <si>
    <t>0812-33473***</t>
  </si>
  <si>
    <t>A00-27098</t>
  </si>
  <si>
    <t>trentonherring</t>
  </si>
  <si>
    <t>A00-22840</t>
  </si>
  <si>
    <t>0852-72613***</t>
  </si>
  <si>
    <t>A00-23039</t>
  </si>
  <si>
    <t>jaylinlamb</t>
  </si>
  <si>
    <t>A00-22841</t>
  </si>
  <si>
    <t>0832-70851***</t>
  </si>
  <si>
    <t>A00-23870</t>
  </si>
  <si>
    <t>estebanfaulkner</t>
  </si>
  <si>
    <t>A00-22843</t>
  </si>
  <si>
    <t>0822 25712***</t>
  </si>
  <si>
    <t>malakaipeters</t>
  </si>
  <si>
    <t>A00-22844</t>
  </si>
  <si>
    <t>0842 67110***</t>
  </si>
  <si>
    <t>A00-26260</t>
  </si>
  <si>
    <t>lucianahuerta</t>
  </si>
  <si>
    <t>A00-22846</t>
  </si>
  <si>
    <t>0852 65424***</t>
  </si>
  <si>
    <t>A00-24419</t>
  </si>
  <si>
    <t>karinastewart</t>
  </si>
  <si>
    <t>A00-22847</t>
  </si>
  <si>
    <t>0852 51818***</t>
  </si>
  <si>
    <t>A00-24990</t>
  </si>
  <si>
    <t>dixiejimenez</t>
  </si>
  <si>
    <t>0852-38224***</t>
  </si>
  <si>
    <t>A00-23671</t>
  </si>
  <si>
    <t>arnavcampbell</t>
  </si>
  <si>
    <t>A00-22850</t>
  </si>
  <si>
    <t>0812-32157***</t>
  </si>
  <si>
    <t>A00-23119</t>
  </si>
  <si>
    <t>trippcastro</t>
  </si>
  <si>
    <t>A00-22852</t>
  </si>
  <si>
    <t>812 82589***</t>
  </si>
  <si>
    <t>A00-26090</t>
  </si>
  <si>
    <t>kaylenferguson</t>
  </si>
  <si>
    <t>A00-22853</t>
  </si>
  <si>
    <t>10-03-2003</t>
  </si>
  <si>
    <t>812 30070***</t>
  </si>
  <si>
    <t>A00-23704</t>
  </si>
  <si>
    <t>lukaphelps</t>
  </si>
  <si>
    <t>A00-22855</t>
  </si>
  <si>
    <t>10-06-1991</t>
  </si>
  <si>
    <t>083286442***</t>
  </si>
  <si>
    <t>A00-23444</t>
  </si>
  <si>
    <t>amberrichmond</t>
  </si>
  <si>
    <t>A00-22857</t>
  </si>
  <si>
    <t>083214384***</t>
  </si>
  <si>
    <t>A00-22955</t>
  </si>
  <si>
    <t>jasedavidson</t>
  </si>
  <si>
    <t>A00-22858</t>
  </si>
  <si>
    <t>082230019***</t>
  </si>
  <si>
    <t>A00-26545</t>
  </si>
  <si>
    <t>dashawnnunez</t>
  </si>
  <si>
    <t>A00-22861</t>
  </si>
  <si>
    <t>084288108***</t>
  </si>
  <si>
    <t>A00-26851</t>
  </si>
  <si>
    <t>jarrettharrison</t>
  </si>
  <si>
    <t>A00-22862</t>
  </si>
  <si>
    <t>83258225***</t>
  </si>
  <si>
    <t>A00-24593</t>
  </si>
  <si>
    <t>mirandavalenzuela</t>
  </si>
  <si>
    <t>A00-22863</t>
  </si>
  <si>
    <t>82250637***</t>
  </si>
  <si>
    <t>A00-25711</t>
  </si>
  <si>
    <t>brycenflowers</t>
  </si>
  <si>
    <t>A00-22864</t>
  </si>
  <si>
    <t>10-06-1998</t>
  </si>
  <si>
    <t>82273986***</t>
  </si>
  <si>
    <t>A00-26898</t>
  </si>
  <si>
    <t>kathytorres</t>
  </si>
  <si>
    <t>A00-22865</t>
  </si>
  <si>
    <t>6282236336***</t>
  </si>
  <si>
    <t>A00-26412</t>
  </si>
  <si>
    <t>harleyarroyo</t>
  </si>
  <si>
    <t>A00-22870</t>
  </si>
  <si>
    <t>6284231683***</t>
  </si>
  <si>
    <t>A00-23682</t>
  </si>
  <si>
    <t>bridgetshields</t>
  </si>
  <si>
    <t>A00-22872</t>
  </si>
  <si>
    <t>85262520***</t>
  </si>
  <si>
    <t>A00-27479</t>
  </si>
  <si>
    <t>londonlamb</t>
  </si>
  <si>
    <t>A00-22875</t>
  </si>
  <si>
    <t>84253695***</t>
  </si>
  <si>
    <t>A00-26115</t>
  </si>
  <si>
    <t>karabarnes</t>
  </si>
  <si>
    <t>A00-22876</t>
  </si>
  <si>
    <t>81248425***</t>
  </si>
  <si>
    <t>A00-26660</t>
  </si>
  <si>
    <t>gerardobranch</t>
  </si>
  <si>
    <t>A00-22878</t>
  </si>
  <si>
    <t>6282277567***</t>
  </si>
  <si>
    <t>A00-27179</t>
  </si>
  <si>
    <t>reneekhan</t>
  </si>
  <si>
    <t>A00-22879</t>
  </si>
  <si>
    <t>6282273622***</t>
  </si>
  <si>
    <t>A00-27006</t>
  </si>
  <si>
    <t>nylahgreene</t>
  </si>
  <si>
    <t>A00-22880</t>
  </si>
  <si>
    <t>0852-16083***</t>
  </si>
  <si>
    <t>tatecabrera</t>
  </si>
  <si>
    <t>A00-22882</t>
  </si>
  <si>
    <t>0822-44131***</t>
  </si>
  <si>
    <t>A00-27045</t>
  </si>
  <si>
    <t>kamilaharding</t>
  </si>
  <si>
    <t>A00-22885</t>
  </si>
  <si>
    <t>0832-22396***</t>
  </si>
  <si>
    <t>A00-26088</t>
  </si>
  <si>
    <t>jaylahday</t>
  </si>
  <si>
    <t>A00-22886</t>
  </si>
  <si>
    <t>0842 60544***</t>
  </si>
  <si>
    <t>A00-27386</t>
  </si>
  <si>
    <t>ericamcintyre</t>
  </si>
  <si>
    <t>A00-22887</t>
  </si>
  <si>
    <t>10-02-1985</t>
  </si>
  <si>
    <t>0822 82297***</t>
  </si>
  <si>
    <t>josuebuckley</t>
  </si>
  <si>
    <t>10-01-1990</t>
  </si>
  <si>
    <t>0812 88953***</t>
  </si>
  <si>
    <t>A00-23414</t>
  </si>
  <si>
    <t>cobyreeves</t>
  </si>
  <si>
    <t>A00-22892</t>
  </si>
  <si>
    <t>0842 37840***</t>
  </si>
  <si>
    <t>A00-26283</t>
  </si>
  <si>
    <t>andreaanderson</t>
  </si>
  <si>
    <t>A00-22893</t>
  </si>
  <si>
    <t>0812-25260***</t>
  </si>
  <si>
    <t>A00-22981</t>
  </si>
  <si>
    <t>jakemack</t>
  </si>
  <si>
    <t>A00-22895</t>
  </si>
  <si>
    <t>0812-58054***</t>
  </si>
  <si>
    <t>A00-22931</t>
  </si>
  <si>
    <t>gianashah</t>
  </si>
  <si>
    <t>A00-22897</t>
  </si>
  <si>
    <t>832 18274***</t>
  </si>
  <si>
    <t>A00-25113</t>
  </si>
  <si>
    <t>ethenchaney</t>
  </si>
  <si>
    <t>812 65359***</t>
  </si>
  <si>
    <t>A00-23259</t>
  </si>
  <si>
    <t>lillykim</t>
  </si>
  <si>
    <t>A00-22899</t>
  </si>
  <si>
    <t>084269824***</t>
  </si>
  <si>
    <t>A00-23359</t>
  </si>
  <si>
    <t>ryleighcohen</t>
  </si>
  <si>
    <t>A00-22900</t>
  </si>
  <si>
    <t>083256735***</t>
  </si>
  <si>
    <t>A00-24043</t>
  </si>
  <si>
    <t>ishaanhood</t>
  </si>
  <si>
    <t>A00-22901</t>
  </si>
  <si>
    <t>10-04-1997</t>
  </si>
  <si>
    <t>085281552***</t>
  </si>
  <si>
    <t>A00-25099</t>
  </si>
  <si>
    <t>kyleighshort</t>
  </si>
  <si>
    <t>A00-22904</t>
  </si>
  <si>
    <t>084290534***</t>
  </si>
  <si>
    <t>A00-24417</t>
  </si>
  <si>
    <t>camdenparks</t>
  </si>
  <si>
    <t>A00-22905</t>
  </si>
  <si>
    <t>81288946***</t>
  </si>
  <si>
    <t>A00-26939</t>
  </si>
  <si>
    <t>chazsutton</t>
  </si>
  <si>
    <t>A00-22907</t>
  </si>
  <si>
    <t>84294832***</t>
  </si>
  <si>
    <t>A00-26395</t>
  </si>
  <si>
    <t>terrancerubio</t>
  </si>
  <si>
    <t>A00-22909</t>
  </si>
  <si>
    <t>82222800***</t>
  </si>
  <si>
    <t>A00-26975</t>
  </si>
  <si>
    <t>siennaburton</t>
  </si>
  <si>
    <t>A00-22913</t>
  </si>
  <si>
    <t>6284230638***</t>
  </si>
  <si>
    <t>A00-23807</t>
  </si>
  <si>
    <t>neveahbenson</t>
  </si>
  <si>
    <t>A00-22914</t>
  </si>
  <si>
    <t>6282261823***</t>
  </si>
  <si>
    <t>A00-27339</t>
  </si>
  <si>
    <t>leelucas</t>
  </si>
  <si>
    <t>A00-22916</t>
  </si>
  <si>
    <t>81276852***</t>
  </si>
  <si>
    <t>A00-26663</t>
  </si>
  <si>
    <t>baileetran</t>
  </si>
  <si>
    <t>A00-22917</t>
  </si>
  <si>
    <t>85241318***</t>
  </si>
  <si>
    <t>A00-23632</t>
  </si>
  <si>
    <t>jaydarichardson</t>
  </si>
  <si>
    <t>A00-22919</t>
  </si>
  <si>
    <t>84260616***</t>
  </si>
  <si>
    <t>A00-26252</t>
  </si>
  <si>
    <t>alisutton</t>
  </si>
  <si>
    <t>A00-22921</t>
  </si>
  <si>
    <t>6284275966***</t>
  </si>
  <si>
    <t>A00-25288</t>
  </si>
  <si>
    <t>charlessnow</t>
  </si>
  <si>
    <t>6283272092***</t>
  </si>
  <si>
    <t>A00-25512</t>
  </si>
  <si>
    <t>bethanystevens</t>
  </si>
  <si>
    <t>A00-22925</t>
  </si>
  <si>
    <t>0812-81199***</t>
  </si>
  <si>
    <t>A00-23076</t>
  </si>
  <si>
    <t>brooklynnriley</t>
  </si>
  <si>
    <t>A00-22926</t>
  </si>
  <si>
    <t>0822-84276***</t>
  </si>
  <si>
    <t>A00-27292</t>
  </si>
  <si>
    <t>danikabarrera</t>
  </si>
  <si>
    <t>A00-22928</t>
  </si>
  <si>
    <t>0822-96119***</t>
  </si>
  <si>
    <t>A00-26750</t>
  </si>
  <si>
    <t>rogelioalvarado</t>
  </si>
  <si>
    <t>A00-22930</t>
  </si>
  <si>
    <t>0852 22217***</t>
  </si>
  <si>
    <t>A00-23759</t>
  </si>
  <si>
    <t>janessacervantes</t>
  </si>
  <si>
    <t>0812 30143***</t>
  </si>
  <si>
    <t>A00-27355</t>
  </si>
  <si>
    <t>elainamcdowell</t>
  </si>
  <si>
    <t>A00-22932</t>
  </si>
  <si>
    <t>0832 19741***</t>
  </si>
  <si>
    <t>A00-24248</t>
  </si>
  <si>
    <t>savanahmelton</t>
  </si>
  <si>
    <t>A00-22933</t>
  </si>
  <si>
    <t>0812 57100***</t>
  </si>
  <si>
    <t>A00-23802</t>
  </si>
  <si>
    <t>tamaramurillo</t>
  </si>
  <si>
    <t>A00-22934</t>
  </si>
  <si>
    <t>0822-79960***</t>
  </si>
  <si>
    <t>A00-27367</t>
  </si>
  <si>
    <t>ahmadpaul</t>
  </si>
  <si>
    <t>A00-22936</t>
  </si>
  <si>
    <t>0852-28682***</t>
  </si>
  <si>
    <t>A00-24323</t>
  </si>
  <si>
    <t>dorianmeadows</t>
  </si>
  <si>
    <t>A00-22938</t>
  </si>
  <si>
    <t>852 95683***</t>
  </si>
  <si>
    <t>A00-23601</t>
  </si>
  <si>
    <t>amyhouse</t>
  </si>
  <si>
    <t>A00-22939</t>
  </si>
  <si>
    <t>10-07-1982</t>
  </si>
  <si>
    <t>822 88445***</t>
  </si>
  <si>
    <t>A00-25483</t>
  </si>
  <si>
    <t>gissellehendricks</t>
  </si>
  <si>
    <t>A00-22940</t>
  </si>
  <si>
    <t>085265790***</t>
  </si>
  <si>
    <t>keelypowell</t>
  </si>
  <si>
    <t>A00-22944</t>
  </si>
  <si>
    <t>084275456***</t>
  </si>
  <si>
    <t>A00-24151</t>
  </si>
  <si>
    <t>evepowers</t>
  </si>
  <si>
    <t>A00-22949</t>
  </si>
  <si>
    <t>085229314***</t>
  </si>
  <si>
    <t>A00-26181</t>
  </si>
  <si>
    <t>aryanakerr</t>
  </si>
  <si>
    <t>A00-22950</t>
  </si>
  <si>
    <t>085290258***</t>
  </si>
  <si>
    <t>A00-23020</t>
  </si>
  <si>
    <t>javonduarte</t>
  </si>
  <si>
    <t>A00-22952</t>
  </si>
  <si>
    <t>83284876***</t>
  </si>
  <si>
    <t>tianaconley</t>
  </si>
  <si>
    <t>A00-22954</t>
  </si>
  <si>
    <t>81256958***</t>
  </si>
  <si>
    <t>A00-24759</t>
  </si>
  <si>
    <t>yazminhenderson</t>
  </si>
  <si>
    <t>81241668***</t>
  </si>
  <si>
    <t>A00-25252</t>
  </si>
  <si>
    <t>duncanblevins</t>
  </si>
  <si>
    <t>A00-22958</t>
  </si>
  <si>
    <t>10-01-1983</t>
  </si>
  <si>
    <t>6285246643***</t>
  </si>
  <si>
    <t>A00-26978</t>
  </si>
  <si>
    <t>carlyclay</t>
  </si>
  <si>
    <t>A00-22959</t>
  </si>
  <si>
    <t>6283271085***</t>
  </si>
  <si>
    <t>A00-23743</t>
  </si>
  <si>
    <t>rorybradley</t>
  </si>
  <si>
    <t>A00-22960</t>
  </si>
  <si>
    <t>84299140***</t>
  </si>
  <si>
    <t>A00-24382</t>
  </si>
  <si>
    <t>ellisharris</t>
  </si>
  <si>
    <t>A00-22962</t>
  </si>
  <si>
    <t>85261474***</t>
  </si>
  <si>
    <t>A00-24566</t>
  </si>
  <si>
    <t>mckennawolf</t>
  </si>
  <si>
    <t>A00-22963</t>
  </si>
  <si>
    <t>84229378***</t>
  </si>
  <si>
    <t>A00-23004</t>
  </si>
  <si>
    <t>terryhampton</t>
  </si>
  <si>
    <t>A00-22964</t>
  </si>
  <si>
    <t>6284240427***</t>
  </si>
  <si>
    <t>A00-25820</t>
  </si>
  <si>
    <t>selenagiles</t>
  </si>
  <si>
    <t>10-01-1988</t>
  </si>
  <si>
    <t>6285296070***</t>
  </si>
  <si>
    <t>A00-24863</t>
  </si>
  <si>
    <t>iriscowan</t>
  </si>
  <si>
    <t>A00-22966</t>
  </si>
  <si>
    <t>0842-29206***</t>
  </si>
  <si>
    <t>A00-24413</t>
  </si>
  <si>
    <t>timothycervantes</t>
  </si>
  <si>
    <t>A00-22968</t>
  </si>
  <si>
    <t>0842-70924***</t>
  </si>
  <si>
    <t>A00-23165</t>
  </si>
  <si>
    <t>kathymoon</t>
  </si>
  <si>
    <t>A00-22970</t>
  </si>
  <si>
    <t>0822-73126***</t>
  </si>
  <si>
    <t>A00-23876</t>
  </si>
  <si>
    <t>alicefleming</t>
  </si>
  <si>
    <t>A00-22975</t>
  </si>
  <si>
    <t>0832 74059***</t>
  </si>
  <si>
    <t>A00-23814</t>
  </si>
  <si>
    <t>yadiradominguez</t>
  </si>
  <si>
    <t>A00-22978</t>
  </si>
  <si>
    <t>0842 14618***</t>
  </si>
  <si>
    <t>A00-26595</t>
  </si>
  <si>
    <t>laceyfitzgerald</t>
  </si>
  <si>
    <t>A00-22979</t>
  </si>
  <si>
    <t>0832 71358***</t>
  </si>
  <si>
    <t>A00-26054</t>
  </si>
  <si>
    <t>andresrowland</t>
  </si>
  <si>
    <t>A00-22980</t>
  </si>
  <si>
    <t>0822 61654***</t>
  </si>
  <si>
    <t>A00-25802</t>
  </si>
  <si>
    <t>jazminepowers</t>
  </si>
  <si>
    <t>0832-33741***</t>
  </si>
  <si>
    <t>A00-26569</t>
  </si>
  <si>
    <t>charlizeferrell</t>
  </si>
  <si>
    <t>A00-22983</t>
  </si>
  <si>
    <t>0832-26944***</t>
  </si>
  <si>
    <t>A00-23617</t>
  </si>
  <si>
    <t>jaylynnzimmerman</t>
  </si>
  <si>
    <t>A00-22985</t>
  </si>
  <si>
    <t>832 15201***</t>
  </si>
  <si>
    <t>A00-25529</t>
  </si>
  <si>
    <t>talanburke</t>
  </si>
  <si>
    <t>A00-22986</t>
  </si>
  <si>
    <t>832 99529***</t>
  </si>
  <si>
    <t>elliotwatts</t>
  </si>
  <si>
    <t>A00-22988</t>
  </si>
  <si>
    <t>083241872***</t>
  </si>
  <si>
    <t>A00-25891</t>
  </si>
  <si>
    <t>chelseaharrison</t>
  </si>
  <si>
    <t>10-06-1978</t>
  </si>
  <si>
    <t>083230552***</t>
  </si>
  <si>
    <t>A00-24444</t>
  </si>
  <si>
    <t>crystaljoseph</t>
  </si>
  <si>
    <t>A00-22990</t>
  </si>
  <si>
    <t>083285510***</t>
  </si>
  <si>
    <t>A00-26464</t>
  </si>
  <si>
    <t>braydenwu</t>
  </si>
  <si>
    <t>A00-22992</t>
  </si>
  <si>
    <t>082248035***</t>
  </si>
  <si>
    <t>simeondaniels</t>
  </si>
  <si>
    <t>A00-22993</t>
  </si>
  <si>
    <t>82227980***</t>
  </si>
  <si>
    <t>A00-24568</t>
  </si>
  <si>
    <t>trevonnguyen</t>
  </si>
  <si>
    <t>A00-22996</t>
  </si>
  <si>
    <t>83294338***</t>
  </si>
  <si>
    <t>A00-27305</t>
  </si>
  <si>
    <t>jazmynfinley</t>
  </si>
  <si>
    <t>A00-22999</t>
  </si>
  <si>
    <t>85238312***</t>
  </si>
  <si>
    <t>A00-23811</t>
  </si>
  <si>
    <t>kaiaelliott</t>
  </si>
  <si>
    <t>A00-23000</t>
  </si>
  <si>
    <t>6285254502***</t>
  </si>
  <si>
    <t>piercehatfield</t>
  </si>
  <si>
    <t>A00-23003</t>
  </si>
  <si>
    <t>6283240318***</t>
  </si>
  <si>
    <t>A00-23753</t>
  </si>
  <si>
    <t>caydenbentley</t>
  </si>
  <si>
    <t>83268915***</t>
  </si>
  <si>
    <t>A00-23686</t>
  </si>
  <si>
    <t>ralphaguirre</t>
  </si>
  <si>
    <t>A00-23005</t>
  </si>
  <si>
    <t>81264107***</t>
  </si>
  <si>
    <t>A00-27078</t>
  </si>
  <si>
    <t>barbaradyer</t>
  </si>
  <si>
    <t>A00-23006</t>
  </si>
  <si>
    <t>81280628***</t>
  </si>
  <si>
    <t>A00-23550</t>
  </si>
  <si>
    <t>brynleesolomon</t>
  </si>
  <si>
    <t>A00-23007</t>
  </si>
  <si>
    <t>6281255886***</t>
  </si>
  <si>
    <t>A00-23489</t>
  </si>
  <si>
    <t>jaydenclay</t>
  </si>
  <si>
    <t>A00-23009</t>
  </si>
  <si>
    <t>6282258574***</t>
  </si>
  <si>
    <t>To be a  Qulity  Ansurance Manager</t>
  </si>
  <si>
    <t>cheyannecardenas</t>
  </si>
  <si>
    <t>A00-23010</t>
  </si>
  <si>
    <t>0852-26782***</t>
  </si>
  <si>
    <t>A00-26053</t>
  </si>
  <si>
    <t>roselynfuentes</t>
  </si>
  <si>
    <t>A00-23011</t>
  </si>
  <si>
    <t>0822-21454***</t>
  </si>
  <si>
    <t>A00-27429</t>
  </si>
  <si>
    <t>arongreer</t>
  </si>
  <si>
    <t>A00-23012</t>
  </si>
  <si>
    <t>0852-68424***</t>
  </si>
  <si>
    <t>To be a Sales  &amp; Marketing Associate</t>
  </si>
  <si>
    <t>coreyeaton</t>
  </si>
  <si>
    <t>A00-23013</t>
  </si>
  <si>
    <t>0852 55491***</t>
  </si>
  <si>
    <t>A00-24097</t>
  </si>
  <si>
    <t>preciousestrada</t>
  </si>
  <si>
    <t>A00-23014</t>
  </si>
  <si>
    <t>0842 79359***</t>
  </si>
  <si>
    <t>A00-25095</t>
  </si>
  <si>
    <t>vivianariley</t>
  </si>
  <si>
    <t>A00-23015</t>
  </si>
  <si>
    <t>0842 94026***</t>
  </si>
  <si>
    <t>A00-26142</t>
  </si>
  <si>
    <t>joselynwinters</t>
  </si>
  <si>
    <t>A00-23016</t>
  </si>
  <si>
    <t>0842 92041***</t>
  </si>
  <si>
    <t>A00-24677</t>
  </si>
  <si>
    <t>dulcedaniels</t>
  </si>
  <si>
    <t>A00-23018</t>
  </si>
  <si>
    <t>0832-81261***</t>
  </si>
  <si>
    <t>myleselliott</t>
  </si>
  <si>
    <t>A00-23019</t>
  </si>
  <si>
    <t>10-07-1996</t>
  </si>
  <si>
    <t>A00-26192</t>
  </si>
  <si>
    <t>melaniegray</t>
  </si>
  <si>
    <t>832 33629***</t>
  </si>
  <si>
    <t>A00-23333</t>
  </si>
  <si>
    <t>lisagibson</t>
  </si>
  <si>
    <t>812 24796***</t>
  </si>
  <si>
    <t>A00-26092</t>
  </si>
  <si>
    <t>libertyhood</t>
  </si>
  <si>
    <t>A00-23022</t>
  </si>
  <si>
    <t>085278734***</t>
  </si>
  <si>
    <t>A00-23607</t>
  </si>
  <si>
    <t>destinywinters</t>
  </si>
  <si>
    <t>A00-23023</t>
  </si>
  <si>
    <t>084260735***</t>
  </si>
  <si>
    <t>kiratrevino</t>
  </si>
  <si>
    <t>A00-23025</t>
  </si>
  <si>
    <t>084276419***</t>
  </si>
  <si>
    <t>A00-23106</t>
  </si>
  <si>
    <t>jaydincarroll</t>
  </si>
  <si>
    <t>A00-23026</t>
  </si>
  <si>
    <t>085265150***</t>
  </si>
  <si>
    <t>scarlettvaldez</t>
  </si>
  <si>
    <t>A00-23028</t>
  </si>
  <si>
    <t>83223874***</t>
  </si>
  <si>
    <t>A00-26078</t>
  </si>
  <si>
    <t>iristravis</t>
  </si>
  <si>
    <t>A00-23029</t>
  </si>
  <si>
    <t>82237350***</t>
  </si>
  <si>
    <t>A00-23917</t>
  </si>
  <si>
    <t>francismcintyre</t>
  </si>
  <si>
    <t>A00-23031</t>
  </si>
  <si>
    <t>10-01-2004</t>
  </si>
  <si>
    <t>84263965***</t>
  </si>
  <si>
    <t>laineycabrera</t>
  </si>
  <si>
    <t>A00-23033</t>
  </si>
  <si>
    <t>6283286939***</t>
  </si>
  <si>
    <t>A00-23163</t>
  </si>
  <si>
    <t>cortezdavid</t>
  </si>
  <si>
    <t>A00-23034</t>
  </si>
  <si>
    <t>6281252603***</t>
  </si>
  <si>
    <t>A00-26885</t>
  </si>
  <si>
    <t>nathanpittman</t>
  </si>
  <si>
    <t>A00-23035</t>
  </si>
  <si>
    <t>84256128***</t>
  </si>
  <si>
    <t>A00-25817</t>
  </si>
  <si>
    <t>jovanycarpenter</t>
  </si>
  <si>
    <t>A00-23036</t>
  </si>
  <si>
    <t>82252486***</t>
  </si>
  <si>
    <t>A00-23562</t>
  </si>
  <si>
    <t>shaylabest</t>
  </si>
  <si>
    <t>A00-23037</t>
  </si>
  <si>
    <t>10-07-1992</t>
  </si>
  <si>
    <t>84241541***</t>
  </si>
  <si>
    <t>A00-24156</t>
  </si>
  <si>
    <t>kyleighcarney</t>
  </si>
  <si>
    <t>6285258351***</t>
  </si>
  <si>
    <t>alliepittman</t>
  </si>
  <si>
    <t>6284277634***</t>
  </si>
  <si>
    <t>A00-25109</t>
  </si>
  <si>
    <t>bridgethall</t>
  </si>
  <si>
    <t>A00-23040</t>
  </si>
  <si>
    <t>10-05-1998</t>
  </si>
  <si>
    <t>0832-39834***</t>
  </si>
  <si>
    <t>A00-23388</t>
  </si>
  <si>
    <t>tomasmccormick</t>
  </si>
  <si>
    <t>A00-23042</t>
  </si>
  <si>
    <t>0852-61226***</t>
  </si>
  <si>
    <t>A00-24380</t>
  </si>
  <si>
    <t>cierramcguire</t>
  </si>
  <si>
    <t>A00-23044</t>
  </si>
  <si>
    <t>0852-11157***</t>
  </si>
  <si>
    <t>A00-25287</t>
  </si>
  <si>
    <t>quentinmorgan</t>
  </si>
  <si>
    <t>A00-23046</t>
  </si>
  <si>
    <t>0822 36497***</t>
  </si>
  <si>
    <t>A00-26450</t>
  </si>
  <si>
    <t>taylorkline</t>
  </si>
  <si>
    <t>10-05-1989</t>
  </si>
  <si>
    <t>0842 35690***</t>
  </si>
  <si>
    <t>A00-26346</t>
  </si>
  <si>
    <t>karlyclarke</t>
  </si>
  <si>
    <t>A00-23052</t>
  </si>
  <si>
    <t>0822 44290***</t>
  </si>
  <si>
    <t>A00-26603</t>
  </si>
  <si>
    <t>kellenjames</t>
  </si>
  <si>
    <t>A00-23053</t>
  </si>
  <si>
    <t>0842 91194***</t>
  </si>
  <si>
    <t>A00-26297</t>
  </si>
  <si>
    <t>jaxonfletcher</t>
  </si>
  <si>
    <t>10-07-1989</t>
  </si>
  <si>
    <t>0832-90591***</t>
  </si>
  <si>
    <t>A00-26232</t>
  </si>
  <si>
    <t>whitneyvalentine</t>
  </si>
  <si>
    <t>A00-23055</t>
  </si>
  <si>
    <t>0842-57787***</t>
  </si>
  <si>
    <t>A00-23909</t>
  </si>
  <si>
    <t>kristadalton</t>
  </si>
  <si>
    <t>A00-23058</t>
  </si>
  <si>
    <t>10-05-1994</t>
  </si>
  <si>
    <t>812 67492***</t>
  </si>
  <si>
    <t>A00-23697</t>
  </si>
  <si>
    <t>katherinecohen</t>
  </si>
  <si>
    <t>A00-23059</t>
  </si>
  <si>
    <t>832 55048***</t>
  </si>
  <si>
    <t>A00-24938</t>
  </si>
  <si>
    <t>ronanduke</t>
  </si>
  <si>
    <t>A00-23060</t>
  </si>
  <si>
    <t>085254733***</t>
  </si>
  <si>
    <t>A00-27451</t>
  </si>
  <si>
    <t>evelynrios</t>
  </si>
  <si>
    <t>A00-23062</t>
  </si>
  <si>
    <t>085222997***</t>
  </si>
  <si>
    <t>A00-26065</t>
  </si>
  <si>
    <t>averiefowler</t>
  </si>
  <si>
    <t>A00-23063</t>
  </si>
  <si>
    <t>082211742***</t>
  </si>
  <si>
    <t>malachiross</t>
  </si>
  <si>
    <t>A00-23071</t>
  </si>
  <si>
    <t>085244176***</t>
  </si>
  <si>
    <t>A00-24533</t>
  </si>
  <si>
    <t>valeryacevedo</t>
  </si>
  <si>
    <t>A00-23072</t>
  </si>
  <si>
    <t>84261140***</t>
  </si>
  <si>
    <t>A00-24003</t>
  </si>
  <si>
    <t>libertyglenn</t>
  </si>
  <si>
    <t>A00-23075</t>
  </si>
  <si>
    <t>84213209***</t>
  </si>
  <si>
    <t>A00-23189</t>
  </si>
  <si>
    <t>haidenmejia</t>
  </si>
  <si>
    <t>81216256***</t>
  </si>
  <si>
    <t>A00-25926</t>
  </si>
  <si>
    <t>lucianochase</t>
  </si>
  <si>
    <t>A00-23077</t>
  </si>
  <si>
    <t>6285253092***</t>
  </si>
  <si>
    <t>A00-27064</t>
  </si>
  <si>
    <t>darnellbriggs</t>
  </si>
  <si>
    <t>A00-23078</t>
  </si>
  <si>
    <t>6285230750***</t>
  </si>
  <si>
    <t>A00-26682</t>
  </si>
  <si>
    <t>essencebarrett</t>
  </si>
  <si>
    <t>A00-23080</t>
  </si>
  <si>
    <t>82246786***</t>
  </si>
  <si>
    <t>A00-27088</t>
  </si>
  <si>
    <t>averipetersen</t>
  </si>
  <si>
    <t>A00-23082</t>
  </si>
  <si>
    <t>82266351***</t>
  </si>
  <si>
    <t>A00-23990</t>
  </si>
  <si>
    <t>maximilianshepard</t>
  </si>
  <si>
    <t>85266694***</t>
  </si>
  <si>
    <t>A00-27294</t>
  </si>
  <si>
    <t>kayatran</t>
  </si>
  <si>
    <t>A00-23085</t>
  </si>
  <si>
    <t>10-05-2003</t>
  </si>
  <si>
    <t>6283258516***</t>
  </si>
  <si>
    <t>A00-26489</t>
  </si>
  <si>
    <t>gabriellekidd</t>
  </si>
  <si>
    <t>6283279576***</t>
  </si>
  <si>
    <t>A00-23620</t>
  </si>
  <si>
    <t>fletcherpadilla</t>
  </si>
  <si>
    <t>A00-23088</t>
  </si>
  <si>
    <t>0812-91934***</t>
  </si>
  <si>
    <t>malachisingh</t>
  </si>
  <si>
    <t>A00-23089</t>
  </si>
  <si>
    <t>0832-65930***</t>
  </si>
  <si>
    <t>A00-27164</t>
  </si>
  <si>
    <t>tracemarshall</t>
  </si>
  <si>
    <t>10-02-1978</t>
  </si>
  <si>
    <t>0832-94071***</t>
  </si>
  <si>
    <t>A00-26760</t>
  </si>
  <si>
    <t>kaileecasey</t>
  </si>
  <si>
    <t>A00-23092</t>
  </si>
  <si>
    <t>0842 89655***</t>
  </si>
  <si>
    <t>A00-24295</t>
  </si>
  <si>
    <t>edenabbott</t>
  </si>
  <si>
    <t>A00-23093</t>
  </si>
  <si>
    <t>0812 66638***</t>
  </si>
  <si>
    <t>A00-23833</t>
  </si>
  <si>
    <t>michelletodd</t>
  </si>
  <si>
    <t>A00-23094</t>
  </si>
  <si>
    <t>0832 19690***</t>
  </si>
  <si>
    <t>A00-25281</t>
  </si>
  <si>
    <t>lindazhang</t>
  </si>
  <si>
    <t>A00-23095</t>
  </si>
  <si>
    <t>0822 61990***</t>
  </si>
  <si>
    <t>A00-27491</t>
  </si>
  <si>
    <t>carleighlynch</t>
  </si>
  <si>
    <t>A00-23097</t>
  </si>
  <si>
    <t>10-07-1983</t>
  </si>
  <si>
    <t>0832-82152***</t>
  </si>
  <si>
    <t>A00-24660</t>
  </si>
  <si>
    <t>kobewheeler</t>
  </si>
  <si>
    <t>A00-23100</t>
  </si>
  <si>
    <t>0812-77626***</t>
  </si>
  <si>
    <t>A00-23672</t>
  </si>
  <si>
    <t>annikamckinney</t>
  </si>
  <si>
    <t>A00-23103</t>
  </si>
  <si>
    <t>832 34131***</t>
  </si>
  <si>
    <t>A00-24270</t>
  </si>
  <si>
    <t>mathewharmon</t>
  </si>
  <si>
    <t>A00-23104</t>
  </si>
  <si>
    <t>842 74165***</t>
  </si>
  <si>
    <t>A00-26868</t>
  </si>
  <si>
    <t>lisamiller</t>
  </si>
  <si>
    <t>083258577***</t>
  </si>
  <si>
    <t>A00-27048</t>
  </si>
  <si>
    <t>cloemcconnell</t>
  </si>
  <si>
    <t>A00-23107</t>
  </si>
  <si>
    <t>082234942***</t>
  </si>
  <si>
    <t>A00-26110</t>
  </si>
  <si>
    <t>abrilmccann</t>
  </si>
  <si>
    <t>A00-23108</t>
  </si>
  <si>
    <t>084258337***</t>
  </si>
  <si>
    <t>A00-25234</t>
  </si>
  <si>
    <t>dominickgamble</t>
  </si>
  <si>
    <t>A00-23111</t>
  </si>
  <si>
    <t>084237533***</t>
  </si>
  <si>
    <t>A00-26757</t>
  </si>
  <si>
    <t>valentinodavies</t>
  </si>
  <si>
    <t>A00-23112</t>
  </si>
  <si>
    <t>85277027***</t>
  </si>
  <si>
    <t>A00-24948</t>
  </si>
  <si>
    <t>bradleychoi</t>
  </si>
  <si>
    <t>A00-23114</t>
  </si>
  <si>
    <t>83283182***</t>
  </si>
  <si>
    <t>A00-25765</t>
  </si>
  <si>
    <t>alisonpatterson</t>
  </si>
  <si>
    <t>A00-23117</t>
  </si>
  <si>
    <t>84286649***</t>
  </si>
  <si>
    <t>A00-24653</t>
  </si>
  <si>
    <t>hadleygaines</t>
  </si>
  <si>
    <t>A00-23118</t>
  </si>
  <si>
    <t>6281265224***</t>
  </si>
  <si>
    <t>A00-25763</t>
  </si>
  <si>
    <t>reyburch</t>
  </si>
  <si>
    <t>6281286686***</t>
  </si>
  <si>
    <t>A00-24067</t>
  </si>
  <si>
    <t>kayliedean</t>
  </si>
  <si>
    <t>A00-23121</t>
  </si>
  <si>
    <t>85238174***</t>
  </si>
  <si>
    <t>A00-25002</t>
  </si>
  <si>
    <t>rachelandersen</t>
  </si>
  <si>
    <t>A00-23124</t>
  </si>
  <si>
    <t>10-04-1979</t>
  </si>
  <si>
    <t>84280139***</t>
  </si>
  <si>
    <t>A00-27304</t>
  </si>
  <si>
    <t>elliswolf</t>
  </si>
  <si>
    <t>A00-23133</t>
  </si>
  <si>
    <t>85286209***</t>
  </si>
  <si>
    <t>A00-26976</t>
  </si>
  <si>
    <t>lilianaponce</t>
  </si>
  <si>
    <t>A00-23134</t>
  </si>
  <si>
    <t>6282248673***</t>
  </si>
  <si>
    <t>A00-26484</t>
  </si>
  <si>
    <t>johnball</t>
  </si>
  <si>
    <t>A00-23135</t>
  </si>
  <si>
    <t>10-07-1975</t>
  </si>
  <si>
    <t>6282282313***</t>
  </si>
  <si>
    <t>A00-24415</t>
  </si>
  <si>
    <t>joeyponce</t>
  </si>
  <si>
    <t>A00-23136</t>
  </si>
  <si>
    <t>0852-36365***</t>
  </si>
  <si>
    <t>A00-23324</t>
  </si>
  <si>
    <t>ismaelblackwell</t>
  </si>
  <si>
    <t>A00-23140</t>
  </si>
  <si>
    <t>0842-73143***</t>
  </si>
  <si>
    <t>A00-25774</t>
  </si>
  <si>
    <t>briannalandry</t>
  </si>
  <si>
    <t>A00-23141</t>
  </si>
  <si>
    <t>0812-35495***</t>
  </si>
  <si>
    <t>A00-24575</t>
  </si>
  <si>
    <t>jaronarias</t>
  </si>
  <si>
    <t>A00-23143</t>
  </si>
  <si>
    <t>0842 29532***</t>
  </si>
  <si>
    <t>A00-25647</t>
  </si>
  <si>
    <t>kamarimann</t>
  </si>
  <si>
    <t>A00-23146</t>
  </si>
  <si>
    <t>0852 85861***</t>
  </si>
  <si>
    <t>A00-26312</t>
  </si>
  <si>
    <t>brianaferguson</t>
  </si>
  <si>
    <t>A00-23147</t>
  </si>
  <si>
    <t>0842 65825***</t>
  </si>
  <si>
    <t>A00-27267</t>
  </si>
  <si>
    <t>kileymitchell</t>
  </si>
  <si>
    <t>A00-23149</t>
  </si>
  <si>
    <t>0852 60116***</t>
  </si>
  <si>
    <t>A00-26814</t>
  </si>
  <si>
    <t>michelleshea</t>
  </si>
  <si>
    <t>A00-23151</t>
  </si>
  <si>
    <t>0812-58867***</t>
  </si>
  <si>
    <t>A00-24834</t>
  </si>
  <si>
    <t>alisoncallahan</t>
  </si>
  <si>
    <t>A00-23154</t>
  </si>
  <si>
    <t>0842-18221***</t>
  </si>
  <si>
    <t>A00-27158</t>
  </si>
  <si>
    <t>ariannarangel</t>
  </si>
  <si>
    <t>A00-23156</t>
  </si>
  <si>
    <t>842 40876***</t>
  </si>
  <si>
    <t>ernestleon</t>
  </si>
  <si>
    <t>A00-23157</t>
  </si>
  <si>
    <t>842 17620***</t>
  </si>
  <si>
    <t>A00-25401</t>
  </si>
  <si>
    <t>madelynnbates</t>
  </si>
  <si>
    <t>A00-23158</t>
  </si>
  <si>
    <t>081297859***</t>
  </si>
  <si>
    <t>jasminesandoval</t>
  </si>
  <si>
    <t>A00-23160</t>
  </si>
  <si>
    <t>082291533***</t>
  </si>
  <si>
    <t>A00-27185</t>
  </si>
  <si>
    <t>richardalvarado</t>
  </si>
  <si>
    <t>A00-23162</t>
  </si>
  <si>
    <t>083251270***</t>
  </si>
  <si>
    <t>A00-23737</t>
  </si>
  <si>
    <t>kaylennavarro</t>
  </si>
  <si>
    <t>082261725***</t>
  </si>
  <si>
    <t>A00-24615</t>
  </si>
  <si>
    <t>justicehartman</t>
  </si>
  <si>
    <t>A00-23164</t>
  </si>
  <si>
    <t>84262841***</t>
  </si>
  <si>
    <t>A00-25176</t>
  </si>
  <si>
    <t>alianafarrell</t>
  </si>
  <si>
    <t>84261591***</t>
  </si>
  <si>
    <t>A00-24430</t>
  </si>
  <si>
    <t>darrylsteele</t>
  </si>
  <si>
    <t>A00-23168</t>
  </si>
  <si>
    <t>83297471***</t>
  </si>
  <si>
    <t>A00-23208</t>
  </si>
  <si>
    <t>emersoncantrell</t>
  </si>
  <si>
    <t>A00-23170</t>
  </si>
  <si>
    <t>6281252256***</t>
  </si>
  <si>
    <t>A00-24459</t>
  </si>
  <si>
    <t>jamyadrake</t>
  </si>
  <si>
    <t>A00-23171</t>
  </si>
  <si>
    <t>6283287805***</t>
  </si>
  <si>
    <t>A00-24025</t>
  </si>
  <si>
    <t>sydneyknight</t>
  </si>
  <si>
    <t>A00-23174</t>
  </si>
  <si>
    <t>81262724***</t>
  </si>
  <si>
    <t>A00-23408</t>
  </si>
  <si>
    <t>bentleyscott</t>
  </si>
  <si>
    <t>A00-23175</t>
  </si>
  <si>
    <t>84241418***</t>
  </si>
  <si>
    <t>A00-25780</t>
  </si>
  <si>
    <t>marquesbradshaw</t>
  </si>
  <si>
    <t>A00-23178</t>
  </si>
  <si>
    <t>84296689***</t>
  </si>
  <si>
    <t>markbright</t>
  </si>
  <si>
    <t>10-04-1985</t>
  </si>
  <si>
    <t>6285248415***</t>
  </si>
  <si>
    <t>A00-23852</t>
  </si>
  <si>
    <t>claytodd</t>
  </si>
  <si>
    <t>6281243878***</t>
  </si>
  <si>
    <t>coltenhouse</t>
  </si>
  <si>
    <t>A00-23190</t>
  </si>
  <si>
    <t>0832-50515***</t>
  </si>
  <si>
    <t>beckhamcherry</t>
  </si>
  <si>
    <t>A00-23192</t>
  </si>
  <si>
    <t>0832-65823***</t>
  </si>
  <si>
    <t>A00-23307</t>
  </si>
  <si>
    <t>autumnwells</t>
  </si>
  <si>
    <t>A00-23193</t>
  </si>
  <si>
    <t>0842-24270***</t>
  </si>
  <si>
    <t>A00-24559</t>
  </si>
  <si>
    <t>angeliquejarvis</t>
  </si>
  <si>
    <t>A00-23196</t>
  </si>
  <si>
    <t>0822 69482***</t>
  </si>
  <si>
    <t>A00-24119</t>
  </si>
  <si>
    <t>jimmyayers</t>
  </si>
  <si>
    <t>A00-23199</t>
  </si>
  <si>
    <t>0842 46145***</t>
  </si>
  <si>
    <t>A00-25125</t>
  </si>
  <si>
    <t>donaldbruce</t>
  </si>
  <si>
    <t>A00-23201</t>
  </si>
  <si>
    <t>0852 57218***</t>
  </si>
  <si>
    <t>A00-25063</t>
  </si>
  <si>
    <t>casonlambert</t>
  </si>
  <si>
    <t>A00-23202</t>
  </si>
  <si>
    <t>0852 92735***</t>
  </si>
  <si>
    <t>A00-26633</t>
  </si>
  <si>
    <t>abbylandry</t>
  </si>
  <si>
    <t>A00-23204</t>
  </si>
  <si>
    <t>0812-82224***</t>
  </si>
  <si>
    <t>A00-23885</t>
  </si>
  <si>
    <t>dakotamelton</t>
  </si>
  <si>
    <t>0842-50403***</t>
  </si>
  <si>
    <t>A00-23757</t>
  </si>
  <si>
    <t>jordinmcpherson</t>
  </si>
  <si>
    <t>A00-23209</t>
  </si>
  <si>
    <t>852 94336***</t>
  </si>
  <si>
    <t>A00-27336</t>
  </si>
  <si>
    <t>adamontgomery</t>
  </si>
  <si>
    <t>842 97387***</t>
  </si>
  <si>
    <t>quincychaney</t>
  </si>
  <si>
    <t>A00-23212</t>
  </si>
  <si>
    <t>083226144***</t>
  </si>
  <si>
    <t>A00-23434</t>
  </si>
  <si>
    <t>hunterkeller</t>
  </si>
  <si>
    <t>10-01-1987</t>
  </si>
  <si>
    <t>083213252***</t>
  </si>
  <si>
    <t>A00-25351</t>
  </si>
  <si>
    <t>sethroman</t>
  </si>
  <si>
    <t>A00-23214</t>
  </si>
  <si>
    <t>082271689***</t>
  </si>
  <si>
    <t>A00-26889</t>
  </si>
  <si>
    <t>ronanlutz</t>
  </si>
  <si>
    <t>A00-23215</t>
  </si>
  <si>
    <t>082251513***</t>
  </si>
  <si>
    <t>A00-24451</t>
  </si>
  <si>
    <t>havencastro</t>
  </si>
  <si>
    <t>A00-23217</t>
  </si>
  <si>
    <t>84282135***</t>
  </si>
  <si>
    <t>kodyedwards</t>
  </si>
  <si>
    <t>A00-23218</t>
  </si>
  <si>
    <t>10-06-1994</t>
  </si>
  <si>
    <t>84247226***</t>
  </si>
  <si>
    <t>A00-27010</t>
  </si>
  <si>
    <t>franklinhowe</t>
  </si>
  <si>
    <t>A00-23221</t>
  </si>
  <si>
    <t>85256756***</t>
  </si>
  <si>
    <t>A00-24279</t>
  </si>
  <si>
    <t>nasirmercado</t>
  </si>
  <si>
    <t>6285228722***</t>
  </si>
  <si>
    <t>meadowschneider</t>
  </si>
  <si>
    <t>A00-23226</t>
  </si>
  <si>
    <t>6283283560***</t>
  </si>
  <si>
    <t>A00-24493</t>
  </si>
  <si>
    <t>alyviamejia</t>
  </si>
  <si>
    <t>A00-23230</t>
  </si>
  <si>
    <t>84267419***</t>
  </si>
  <si>
    <t>A00-23752</t>
  </si>
  <si>
    <t>ryanfox</t>
  </si>
  <si>
    <t>A00-23231</t>
  </si>
  <si>
    <t>82299498***</t>
  </si>
  <si>
    <t>A00-26375</t>
  </si>
  <si>
    <t>omarihopkins</t>
  </si>
  <si>
    <t>A00-23232</t>
  </si>
  <si>
    <t>83261765***</t>
  </si>
  <si>
    <t>A00-26657</t>
  </si>
  <si>
    <t>kieracherry</t>
  </si>
  <si>
    <t>A00-23235</t>
  </si>
  <si>
    <t>6283236758***</t>
  </si>
  <si>
    <t>A00-25298</t>
  </si>
  <si>
    <t>irisriley</t>
  </si>
  <si>
    <t>6283261147***</t>
  </si>
  <si>
    <t>A00-27012</t>
  </si>
  <si>
    <t>kaylenbennett</t>
  </si>
  <si>
    <t>10-06-1986</t>
  </si>
  <si>
    <t>0822-16397***</t>
  </si>
  <si>
    <t>A00-25679</t>
  </si>
  <si>
    <t>janellewalsh</t>
  </si>
  <si>
    <t>A00-23239</t>
  </si>
  <si>
    <t>0822-55848***</t>
  </si>
  <si>
    <t>A00-27173</t>
  </si>
  <si>
    <t>kaydenkirk</t>
  </si>
  <si>
    <t>A00-23240</t>
  </si>
  <si>
    <t>0812-21707***</t>
  </si>
  <si>
    <t>A00-27082</t>
  </si>
  <si>
    <t>antwanroberson</t>
  </si>
  <si>
    <t>A00-23242</t>
  </si>
  <si>
    <t>0822 33038***</t>
  </si>
  <si>
    <t>A00-26404</t>
  </si>
  <si>
    <t>damienhaney</t>
  </si>
  <si>
    <t>A00-23243</t>
  </si>
  <si>
    <t>0842 79125***</t>
  </si>
  <si>
    <t>A00-23864</t>
  </si>
  <si>
    <t>marquesgomez</t>
  </si>
  <si>
    <t>A00-23244</t>
  </si>
  <si>
    <t>0832 36393***</t>
  </si>
  <si>
    <t>A00-24194</t>
  </si>
  <si>
    <t>bryannaleblanc</t>
  </si>
  <si>
    <t>A00-23245</t>
  </si>
  <si>
    <t>0822 52593***</t>
  </si>
  <si>
    <t>kaleighsantiago</t>
  </si>
  <si>
    <t>A00-23250</t>
  </si>
  <si>
    <t>0812-51460***</t>
  </si>
  <si>
    <t>A00-27163</t>
  </si>
  <si>
    <t>ashleerowe</t>
  </si>
  <si>
    <t>A00-23252</t>
  </si>
  <si>
    <t>0842-52959***</t>
  </si>
  <si>
    <t>A00-27338</t>
  </si>
  <si>
    <t>melissamahoney</t>
  </si>
  <si>
    <t>A00-23253</t>
  </si>
  <si>
    <t>822 46679***</t>
  </si>
  <si>
    <t>A00-23982</t>
  </si>
  <si>
    <t>savionmclean</t>
  </si>
  <si>
    <t>A00-23254</t>
  </si>
  <si>
    <t>822 69070***</t>
  </si>
  <si>
    <t>A00-25792</t>
  </si>
  <si>
    <t>ryanaguirre</t>
  </si>
  <si>
    <t>A00-23255</t>
  </si>
  <si>
    <t>085298758***</t>
  </si>
  <si>
    <t>A00-23954</t>
  </si>
  <si>
    <t>roderickoconnell</t>
  </si>
  <si>
    <t>A00-23256</t>
  </si>
  <si>
    <t>082267772***</t>
  </si>
  <si>
    <t>A00-23652</t>
  </si>
  <si>
    <t>jaylanfigueroa</t>
  </si>
  <si>
    <t>082216193***</t>
  </si>
  <si>
    <t>A00-27018</t>
  </si>
  <si>
    <t>ericnorman</t>
  </si>
  <si>
    <t>A00-23262</t>
  </si>
  <si>
    <t>082228173***</t>
  </si>
  <si>
    <t>A00-26471</t>
  </si>
  <si>
    <t>johnathonblack</t>
  </si>
  <si>
    <t>A00-23263</t>
  </si>
  <si>
    <t>84274950***</t>
  </si>
  <si>
    <t>A00-24339</t>
  </si>
  <si>
    <t>cristalbenjamin</t>
  </si>
  <si>
    <t>A00-23265</t>
  </si>
  <si>
    <t>85277217***</t>
  </si>
  <si>
    <t>A00-26024</t>
  </si>
  <si>
    <t>aidenclayton</t>
  </si>
  <si>
    <t>A00-23268</t>
  </si>
  <si>
    <t>84260640***</t>
  </si>
  <si>
    <t>A00-25856</t>
  </si>
  <si>
    <t>shaundowns</t>
  </si>
  <si>
    <t>A00-23270</t>
  </si>
  <si>
    <t>6285244021***</t>
  </si>
  <si>
    <t>A00-27137</t>
  </si>
  <si>
    <t>emilyrichardson</t>
  </si>
  <si>
    <t>A00-23272</t>
  </si>
  <si>
    <t>6282242383***</t>
  </si>
  <si>
    <t>amirahlyons</t>
  </si>
  <si>
    <t>A00-23273</t>
  </si>
  <si>
    <t>81215576***</t>
  </si>
  <si>
    <t>A00-25247</t>
  </si>
  <si>
    <t>jasewilson</t>
  </si>
  <si>
    <t>A00-23274</t>
  </si>
  <si>
    <t>82288698***</t>
  </si>
  <si>
    <t>A00-24971</t>
  </si>
  <si>
    <t>bridgetdiaz</t>
  </si>
  <si>
    <t>A00-23276</t>
  </si>
  <si>
    <t>82233246***</t>
  </si>
  <si>
    <t>A00-24894</t>
  </si>
  <si>
    <t>nathalycrane</t>
  </si>
  <si>
    <t>A00-23278</t>
  </si>
  <si>
    <t>6285238006***</t>
  </si>
  <si>
    <t>tannercraig</t>
  </si>
  <si>
    <t>A00-23281</t>
  </si>
  <si>
    <t>6284221660***</t>
  </si>
  <si>
    <t>A00-24775</t>
  </si>
  <si>
    <t>malcolmwise</t>
  </si>
  <si>
    <t>0812-13215***</t>
  </si>
  <si>
    <t>A00-26910</t>
  </si>
  <si>
    <t>benrivers</t>
  </si>
  <si>
    <t>A00-23290</t>
  </si>
  <si>
    <t>0852-57254***</t>
  </si>
  <si>
    <t>isaacrichard</t>
  </si>
  <si>
    <t>A00-23292</t>
  </si>
  <si>
    <t>0832-28951***</t>
  </si>
  <si>
    <t>A00-25442</t>
  </si>
  <si>
    <t>desmondharper</t>
  </si>
  <si>
    <t>A00-23294</t>
  </si>
  <si>
    <t>0832 93514***</t>
  </si>
  <si>
    <t>A00-25292</t>
  </si>
  <si>
    <t>justicesmall</t>
  </si>
  <si>
    <t>A00-23295</t>
  </si>
  <si>
    <t>0832 12024***</t>
  </si>
  <si>
    <t>A00-26227</t>
  </si>
  <si>
    <t>aracelipacheco</t>
  </si>
  <si>
    <t>A00-23296</t>
  </si>
  <si>
    <t>0822 55284***</t>
  </si>
  <si>
    <t>A00-24263</t>
  </si>
  <si>
    <t>patriciamarquez</t>
  </si>
  <si>
    <t>A00-23297</t>
  </si>
  <si>
    <t>0812 45251***</t>
  </si>
  <si>
    <t>A00-23740</t>
  </si>
  <si>
    <t>hallegallagher</t>
  </si>
  <si>
    <t>A00-23298</t>
  </si>
  <si>
    <t>0812-79481***</t>
  </si>
  <si>
    <t>A00-26592</t>
  </si>
  <si>
    <t>tessrush</t>
  </si>
  <si>
    <t>A00-23301</t>
  </si>
  <si>
    <t>0842-42042***</t>
  </si>
  <si>
    <t>eliaslin</t>
  </si>
  <si>
    <t>A00-23302</t>
  </si>
  <si>
    <t>832 23362***</t>
  </si>
  <si>
    <t>A00-27033</t>
  </si>
  <si>
    <t>jettwagner</t>
  </si>
  <si>
    <t>A00-23306</t>
  </si>
  <si>
    <t>832 23381***</t>
  </si>
  <si>
    <t>A00-26747</t>
  </si>
  <si>
    <t>nylahcalhoun</t>
  </si>
  <si>
    <t>081277663***</t>
  </si>
  <si>
    <t>A00-25804</t>
  </si>
  <si>
    <t>liamproctor</t>
  </si>
  <si>
    <t>A00-23308</t>
  </si>
  <si>
    <t>082242322***</t>
  </si>
  <si>
    <t>A00-25570</t>
  </si>
  <si>
    <t>hannahvilla</t>
  </si>
  <si>
    <t>A00-23309</t>
  </si>
  <si>
    <t>084274516***</t>
  </si>
  <si>
    <t>rolandojohns</t>
  </si>
  <si>
    <t>A00-23310</t>
  </si>
  <si>
    <t>085225179***</t>
  </si>
  <si>
    <t>A00-26419</t>
  </si>
  <si>
    <t>nadiahayden</t>
  </si>
  <si>
    <t>A00-23311</t>
  </si>
  <si>
    <t>84251983***</t>
  </si>
  <si>
    <t>A00-24423</t>
  </si>
  <si>
    <t>morganmueller</t>
  </si>
  <si>
    <t>A00-23313</t>
  </si>
  <si>
    <t>85227950***</t>
  </si>
  <si>
    <t>A00-23501</t>
  </si>
  <si>
    <t>camerongarner</t>
  </si>
  <si>
    <t>A00-23315</t>
  </si>
  <si>
    <t>85297689***</t>
  </si>
  <si>
    <t>A00-25158</t>
  </si>
  <si>
    <t>sabrinariggs</t>
  </si>
  <si>
    <t>A00-23317</t>
  </si>
  <si>
    <t>6282252177***</t>
  </si>
  <si>
    <t>A00-27194</t>
  </si>
  <si>
    <t>stanleydavila</t>
  </si>
  <si>
    <t>A00-23321</t>
  </si>
  <si>
    <t>6282276442***</t>
  </si>
  <si>
    <t>alejandrogilbert</t>
  </si>
  <si>
    <t>A00-23322</t>
  </si>
  <si>
    <t>85278402***</t>
  </si>
  <si>
    <t>A00-24622</t>
  </si>
  <si>
    <t>elliemarsh</t>
  </si>
  <si>
    <t>81234056***</t>
  </si>
  <si>
    <t>A00-27353</t>
  </si>
  <si>
    <t>travisshaw</t>
  </si>
  <si>
    <t>A00-23325</t>
  </si>
  <si>
    <t>83228735***</t>
  </si>
  <si>
    <t>A00-25841</t>
  </si>
  <si>
    <t>natashacortez</t>
  </si>
  <si>
    <t>A00-23326</t>
  </si>
  <si>
    <t>6281239882***</t>
  </si>
  <si>
    <t>A00-25391</t>
  </si>
  <si>
    <t>larissabarrett</t>
  </si>
  <si>
    <t>A00-23327</t>
  </si>
  <si>
    <t>6284251267***</t>
  </si>
  <si>
    <t>A00-24987</t>
  </si>
  <si>
    <t>jacobyspencer</t>
  </si>
  <si>
    <t>A00-23328</t>
  </si>
  <si>
    <t>0842-51529***</t>
  </si>
  <si>
    <t>A00-25448</t>
  </si>
  <si>
    <t>mikaylaperry</t>
  </si>
  <si>
    <t>0812-36104***</t>
  </si>
  <si>
    <t>A00-27418</t>
  </si>
  <si>
    <t>ayannamaddox</t>
  </si>
  <si>
    <t>0812-38129***</t>
  </si>
  <si>
    <t>A00-25489</t>
  </si>
  <si>
    <t>franciscoharrell</t>
  </si>
  <si>
    <t>A00-23334</t>
  </si>
  <si>
    <t>0822 37795***</t>
  </si>
  <si>
    <t>A00-25737</t>
  </si>
  <si>
    <t>elvisbaird</t>
  </si>
  <si>
    <t>A00-23337</t>
  </si>
  <si>
    <t>0852 15534***</t>
  </si>
  <si>
    <t>A00-26259</t>
  </si>
  <si>
    <t>lucillecantu</t>
  </si>
  <si>
    <t>A00-23340</t>
  </si>
  <si>
    <t>0842 53759***</t>
  </si>
  <si>
    <t>A00-26456</t>
  </si>
  <si>
    <t>tatianafry</t>
  </si>
  <si>
    <t>A00-23345</t>
  </si>
  <si>
    <t>0812 91462***</t>
  </si>
  <si>
    <t>A00-26733</t>
  </si>
  <si>
    <t>iansavage</t>
  </si>
  <si>
    <t>A00-23346</t>
  </si>
  <si>
    <t>10-07-1988</t>
  </si>
  <si>
    <t>0842-33956***</t>
  </si>
  <si>
    <t>A00-24808</t>
  </si>
  <si>
    <t>bradygallagher</t>
  </si>
  <si>
    <t>A00-23348</t>
  </si>
  <si>
    <t>0832-55910***</t>
  </si>
  <si>
    <t>A00-27352</t>
  </si>
  <si>
    <t>yasmingould</t>
  </si>
  <si>
    <t>A00-23349</t>
  </si>
  <si>
    <t>852 39873***</t>
  </si>
  <si>
    <t>A00-26835</t>
  </si>
  <si>
    <t>natalyabennett</t>
  </si>
  <si>
    <t>A00-23350</t>
  </si>
  <si>
    <t>832 90264***</t>
  </si>
  <si>
    <t>A00-25492</t>
  </si>
  <si>
    <t>laurenshea</t>
  </si>
  <si>
    <t>A00-23353</t>
  </si>
  <si>
    <t>082289421***</t>
  </si>
  <si>
    <t>A00-23453</t>
  </si>
  <si>
    <t>lamontbarnes</t>
  </si>
  <si>
    <t>A00-23354</t>
  </si>
  <si>
    <t>082290078***</t>
  </si>
  <si>
    <t>A00-25588</t>
  </si>
  <si>
    <t>desmondgregory</t>
  </si>
  <si>
    <t>A00-23356</t>
  </si>
  <si>
    <t>085230219***</t>
  </si>
  <si>
    <t>A00-25453</t>
  </si>
  <si>
    <t>marinrivera</t>
  </si>
  <si>
    <t>081251901***</t>
  </si>
  <si>
    <t>A00-26425</t>
  </si>
  <si>
    <t>parkerrichard</t>
  </si>
  <si>
    <t>A00-23360</t>
  </si>
  <si>
    <t>85266657***</t>
  </si>
  <si>
    <t>A00-24535</t>
  </si>
  <si>
    <t>lyricmcintosh</t>
  </si>
  <si>
    <t>A00-23362</t>
  </si>
  <si>
    <t>83234769***</t>
  </si>
  <si>
    <t>A00-27055</t>
  </si>
  <si>
    <t>makennabass</t>
  </si>
  <si>
    <t>A00-23363</t>
  </si>
  <si>
    <t>82283282***</t>
  </si>
  <si>
    <t>A00-25056</t>
  </si>
  <si>
    <t>felipelynn</t>
  </si>
  <si>
    <t>A00-23364</t>
  </si>
  <si>
    <t>6283216407***</t>
  </si>
  <si>
    <t>A00-27080</t>
  </si>
  <si>
    <t>nataliapratt</t>
  </si>
  <si>
    <t>A00-23365</t>
  </si>
  <si>
    <t>6283284215***</t>
  </si>
  <si>
    <t>A00-24993</t>
  </si>
  <si>
    <t>mckenziemorgan</t>
  </si>
  <si>
    <t>A00-23370</t>
  </si>
  <si>
    <t>82284523***</t>
  </si>
  <si>
    <t>A00-27499</t>
  </si>
  <si>
    <t>jamesonbass</t>
  </si>
  <si>
    <t>A00-23371</t>
  </si>
  <si>
    <t>84262634***</t>
  </si>
  <si>
    <t>A00-23477</t>
  </si>
  <si>
    <t>amberwatkins</t>
  </si>
  <si>
    <t>A00-23372</t>
  </si>
  <si>
    <t>82218002***</t>
  </si>
  <si>
    <t>A00-24917</t>
  </si>
  <si>
    <t>hallepetersen</t>
  </si>
  <si>
    <t>A00-23374</t>
  </si>
  <si>
    <t>6284241511***</t>
  </si>
  <si>
    <t>A00-25887</t>
  </si>
  <si>
    <t>alissonpatterson</t>
  </si>
  <si>
    <t>A00-23375</t>
  </si>
  <si>
    <t>6281284349***</t>
  </si>
  <si>
    <t>A00-25201</t>
  </si>
  <si>
    <t>devynduran</t>
  </si>
  <si>
    <t>A00-23377</t>
  </si>
  <si>
    <t>0832-89822***</t>
  </si>
  <si>
    <t>A00-26418</t>
  </si>
  <si>
    <t>kyanavery</t>
  </si>
  <si>
    <t>A00-23378</t>
  </si>
  <si>
    <t>0812-53500***</t>
  </si>
  <si>
    <t>A00-24172</t>
  </si>
  <si>
    <t>elenaclayton</t>
  </si>
  <si>
    <t>A00-23381</t>
  </si>
  <si>
    <t>0852-52496***</t>
  </si>
  <si>
    <t>adrielchristensen</t>
  </si>
  <si>
    <t>A00-23384</t>
  </si>
  <si>
    <t>0832 85356***</t>
  </si>
  <si>
    <t>rhiannaking</t>
  </si>
  <si>
    <t>A00-23385</t>
  </si>
  <si>
    <t>0832 75179***</t>
  </si>
  <si>
    <t>A00-25278</t>
  </si>
  <si>
    <t>halleflynn</t>
  </si>
  <si>
    <t>A00-23387</t>
  </si>
  <si>
    <t>0832 75815***</t>
  </si>
  <si>
    <t>A00-25744</t>
  </si>
  <si>
    <t>kendrickabbott</t>
  </si>
  <si>
    <t>0822 85161***</t>
  </si>
  <si>
    <t>A00-24793</t>
  </si>
  <si>
    <t>ernestocruz</t>
  </si>
  <si>
    <t>A00-23389</t>
  </si>
  <si>
    <t>0842-14218***</t>
  </si>
  <si>
    <t>A00-24639</t>
  </si>
  <si>
    <t>lawrencepham</t>
  </si>
  <si>
    <t>A00-23394</t>
  </si>
  <si>
    <t>0842-81223***</t>
  </si>
  <si>
    <t>teresakerr</t>
  </si>
  <si>
    <t>A00-23395</t>
  </si>
  <si>
    <t>852 32661***</t>
  </si>
  <si>
    <t>A00-25430</t>
  </si>
  <si>
    <t>valentinamelendez</t>
  </si>
  <si>
    <t>A00-23396</t>
  </si>
  <si>
    <t>852 68442***</t>
  </si>
  <si>
    <t>A00-24646</t>
  </si>
  <si>
    <t>zechariahshaw</t>
  </si>
  <si>
    <t>A00-23397</t>
  </si>
  <si>
    <t>10-05-2004</t>
  </si>
  <si>
    <t>083287427***</t>
  </si>
  <si>
    <t>marisadennis</t>
  </si>
  <si>
    <t>10-07-1980</t>
  </si>
  <si>
    <t>082234336***</t>
  </si>
  <si>
    <t>A00-26973</t>
  </si>
  <si>
    <t>kamorasnow</t>
  </si>
  <si>
    <t>084294567***</t>
  </si>
  <si>
    <t>A00-24518</t>
  </si>
  <si>
    <t>giulianamckay</t>
  </si>
  <si>
    <t>A00-23401</t>
  </si>
  <si>
    <t>081214917***</t>
  </si>
  <si>
    <t>mireyabarrera</t>
  </si>
  <si>
    <t>A00-23405</t>
  </si>
  <si>
    <t>85277830***</t>
  </si>
  <si>
    <t>A00-25516</t>
  </si>
  <si>
    <t>jamarionorr</t>
  </si>
  <si>
    <t>85242510***</t>
  </si>
  <si>
    <t>A00-24033</t>
  </si>
  <si>
    <t>karalin</t>
  </si>
  <si>
    <t>A00-23407</t>
  </si>
  <si>
    <t>84258569***</t>
  </si>
  <si>
    <t>A00-24239</t>
  </si>
  <si>
    <t>raquelyu</t>
  </si>
  <si>
    <t>6283225711***</t>
  </si>
  <si>
    <t>A00-26801</t>
  </si>
  <si>
    <t>mohammedmeza</t>
  </si>
  <si>
    <t>A00-23411</t>
  </si>
  <si>
    <t>6281244989***</t>
  </si>
  <si>
    <t>A00-26151</t>
  </si>
  <si>
    <t>erikahines</t>
  </si>
  <si>
    <t>A00-23413</t>
  </si>
  <si>
    <t>82284366***</t>
  </si>
  <si>
    <t>A00-24207</t>
  </si>
  <si>
    <t>prestonsims</t>
  </si>
  <si>
    <t>81247614***</t>
  </si>
  <si>
    <t>A00-26840</t>
  </si>
  <si>
    <t>annpope</t>
  </si>
  <si>
    <t>A00-23415</t>
  </si>
  <si>
    <t>83257308***</t>
  </si>
  <si>
    <t>ashermerritt</t>
  </si>
  <si>
    <t>A00-23417</t>
  </si>
  <si>
    <t>6285259714***</t>
  </si>
  <si>
    <t>A00-23904</t>
  </si>
  <si>
    <t>jazlenefitzgerald</t>
  </si>
  <si>
    <t>A00-23418</t>
  </si>
  <si>
    <t>6284241491***</t>
  </si>
  <si>
    <t>leannatyler</t>
  </si>
  <si>
    <t>A00-23422</t>
  </si>
  <si>
    <t>0822-99038***</t>
  </si>
  <si>
    <t>A00-25527</t>
  </si>
  <si>
    <t>mariyahgrimes</t>
  </si>
  <si>
    <t>A00-23423</t>
  </si>
  <si>
    <t>0822-71753***</t>
  </si>
  <si>
    <t>A00-23683</t>
  </si>
  <si>
    <t>raynashepherd</t>
  </si>
  <si>
    <t>A00-23425</t>
  </si>
  <si>
    <t>0812-19202***</t>
  </si>
  <si>
    <t>A00-26014</t>
  </si>
  <si>
    <t>vincentrobles</t>
  </si>
  <si>
    <t>0822 34540***</t>
  </si>
  <si>
    <t>tywalls</t>
  </si>
  <si>
    <t>A00-23427</t>
  </si>
  <si>
    <t>0832 71695***</t>
  </si>
  <si>
    <t>A00-26648</t>
  </si>
  <si>
    <t>lilliegregory</t>
  </si>
  <si>
    <t>A00-23428</t>
  </si>
  <si>
    <t>0832 74981***</t>
  </si>
  <si>
    <t>A00-25475</t>
  </si>
  <si>
    <t>irelandbailey</t>
  </si>
  <si>
    <t>A00-23431</t>
  </si>
  <si>
    <t>0812 67484***</t>
  </si>
  <si>
    <t>A00-25080</t>
  </si>
  <si>
    <t>stellathompson</t>
  </si>
  <si>
    <t>0822-31522***</t>
  </si>
  <si>
    <t>A00-25721</t>
  </si>
  <si>
    <t>angieconrad</t>
  </si>
  <si>
    <t>0812-71290***</t>
  </si>
  <si>
    <t>A00-26411</t>
  </si>
  <si>
    <t>pranavlindsey</t>
  </si>
  <si>
    <t>A00-23436</t>
  </si>
  <si>
    <t>822 87541***</t>
  </si>
  <si>
    <t>kaitlynfox</t>
  </si>
  <si>
    <t>A00-23437</t>
  </si>
  <si>
    <t>812 82418***</t>
  </si>
  <si>
    <t>A00-25455</t>
  </si>
  <si>
    <t>sorendoyle</t>
  </si>
  <si>
    <t>A00-23439</t>
  </si>
  <si>
    <t>10-02-2005</t>
  </si>
  <si>
    <t>084275707***</t>
  </si>
  <si>
    <t>A00-26441</t>
  </si>
  <si>
    <t>alysonsnow</t>
  </si>
  <si>
    <t>A00-23440</t>
  </si>
  <si>
    <t>081283948***</t>
  </si>
  <si>
    <t>A00-25392</t>
  </si>
  <si>
    <t>saniyastevenson</t>
  </si>
  <si>
    <t>A00-23441</t>
  </si>
  <si>
    <t>082227310***</t>
  </si>
  <si>
    <t>A00-25538</t>
  </si>
  <si>
    <t>francesrasmussen</t>
  </si>
  <si>
    <t>A00-23442</t>
  </si>
  <si>
    <t>084264341***</t>
  </si>
  <si>
    <t>nehemiahbrennan</t>
  </si>
  <si>
    <t>A00-23443</t>
  </si>
  <si>
    <t>83249962***</t>
  </si>
  <si>
    <t>A00-24240</t>
  </si>
  <si>
    <t>killianblair</t>
  </si>
  <si>
    <t>83284195***</t>
  </si>
  <si>
    <t>A00-24255</t>
  </si>
  <si>
    <t>rickygarrett</t>
  </si>
  <si>
    <t>A00-23446</t>
  </si>
  <si>
    <t>81217469***</t>
  </si>
  <si>
    <t>A00-23644</t>
  </si>
  <si>
    <t>dakotapatel</t>
  </si>
  <si>
    <t>A00-23447</t>
  </si>
  <si>
    <t>6285256166***</t>
  </si>
  <si>
    <t>A00-25464</t>
  </si>
  <si>
    <t>tiannaturner</t>
  </si>
  <si>
    <t>A00-23448</t>
  </si>
  <si>
    <t>6284257606***</t>
  </si>
  <si>
    <t>A00-27427</t>
  </si>
  <si>
    <t>sloanemalone</t>
  </si>
  <si>
    <t>81284422***</t>
  </si>
  <si>
    <t>A00-27171</t>
  </si>
  <si>
    <t>teaganjimenez</t>
  </si>
  <si>
    <t>A00-23450</t>
  </si>
  <si>
    <t>82221750***</t>
  </si>
  <si>
    <t>A00-24999</t>
  </si>
  <si>
    <t>tamiawilliams</t>
  </si>
  <si>
    <t>A00-23451</t>
  </si>
  <si>
    <t>81223508***</t>
  </si>
  <si>
    <t>A00-25213</t>
  </si>
  <si>
    <t>philipmarshall</t>
  </si>
  <si>
    <t>A00-23452</t>
  </si>
  <si>
    <t>6285299500***</t>
  </si>
  <si>
    <t>A00-26719</t>
  </si>
  <si>
    <t>rileyknapp</t>
  </si>
  <si>
    <t>6282236675***</t>
  </si>
  <si>
    <t>A00-24427</t>
  </si>
  <si>
    <t>maddoxpugh</t>
  </si>
  <si>
    <t>A00-23454</t>
  </si>
  <si>
    <t>0842-20052***</t>
  </si>
  <si>
    <t>A00-25118</t>
  </si>
  <si>
    <t>chandlerkrause</t>
  </si>
  <si>
    <t>A00-23455</t>
  </si>
  <si>
    <t>0832-95839***</t>
  </si>
  <si>
    <t>A00-25344</t>
  </si>
  <si>
    <t>lailaroberts</t>
  </si>
  <si>
    <t>A00-23456</t>
  </si>
  <si>
    <t>0812-89068***</t>
  </si>
  <si>
    <t>A00-26625</t>
  </si>
  <si>
    <t>melanyfleming</t>
  </si>
  <si>
    <t>A00-23457</t>
  </si>
  <si>
    <t>0822 80498***</t>
  </si>
  <si>
    <t>A00-23556</t>
  </si>
  <si>
    <t>alainafields</t>
  </si>
  <si>
    <t>A00-23460</t>
  </si>
  <si>
    <t>0822 50134***</t>
  </si>
  <si>
    <t>A00-27326</t>
  </si>
  <si>
    <t>sarahmolina</t>
  </si>
  <si>
    <t>A00-23463</t>
  </si>
  <si>
    <t>0812 19333***</t>
  </si>
  <si>
    <t>A00-25941</t>
  </si>
  <si>
    <t>scottingram</t>
  </si>
  <si>
    <t>A00-23465</t>
  </si>
  <si>
    <t>0832 32292***</t>
  </si>
  <si>
    <t>A00-23941</t>
  </si>
  <si>
    <t>brynleemurray</t>
  </si>
  <si>
    <t>A00-23466</t>
  </si>
  <si>
    <t>0852-81133***</t>
  </si>
  <si>
    <t>A00-26911</t>
  </si>
  <si>
    <t>giovannizavala</t>
  </si>
  <si>
    <t>A00-23467</t>
  </si>
  <si>
    <t>0812-30963***</t>
  </si>
  <si>
    <t>claudiaguerra</t>
  </si>
  <si>
    <t>A00-23470</t>
  </si>
  <si>
    <t>852 68219***</t>
  </si>
  <si>
    <t>A00-25468</t>
  </si>
  <si>
    <t>jaliyahtapia</t>
  </si>
  <si>
    <t>A00-23471</t>
  </si>
  <si>
    <t>842 36993***</t>
  </si>
  <si>
    <t>marinnorris</t>
  </si>
  <si>
    <t>A00-23472</t>
  </si>
  <si>
    <t>083265686***</t>
  </si>
  <si>
    <t>A00-25032</t>
  </si>
  <si>
    <t>dennismccormick</t>
  </si>
  <si>
    <t>A00-23473</t>
  </si>
  <si>
    <t>083226961***</t>
  </si>
  <si>
    <t>A00-24232</t>
  </si>
  <si>
    <t>malakireyes</t>
  </si>
  <si>
    <t>A00-23474</t>
  </si>
  <si>
    <t>085265299***</t>
  </si>
  <si>
    <t>A00-27480</t>
  </si>
  <si>
    <t>tiffanyfowler</t>
  </si>
  <si>
    <t>A00-23476</t>
  </si>
  <si>
    <t>081258569***</t>
  </si>
  <si>
    <t>A00-23800</t>
  </si>
  <si>
    <t>enzomaddox</t>
  </si>
  <si>
    <t>81269165***</t>
  </si>
  <si>
    <t>A00-26773</t>
  </si>
  <si>
    <t>elvisburnett</t>
  </si>
  <si>
    <t>A00-23478</t>
  </si>
  <si>
    <t>84239867***</t>
  </si>
  <si>
    <t>A00-23527</t>
  </si>
  <si>
    <t>nathanaelduran</t>
  </si>
  <si>
    <t>A00-23479</t>
  </si>
  <si>
    <t>83220456***</t>
  </si>
  <si>
    <t>A00-24490</t>
  </si>
  <si>
    <t>brynleeparks</t>
  </si>
  <si>
    <t>A00-23481</t>
  </si>
  <si>
    <t>6281240341***</t>
  </si>
  <si>
    <t>A00-23898</t>
  </si>
  <si>
    <t>brianahinton</t>
  </si>
  <si>
    <t>A00-23483</t>
  </si>
  <si>
    <t>10-03-1974</t>
  </si>
  <si>
    <t>6285243377***</t>
  </si>
  <si>
    <t>kaidenclayton</t>
  </si>
  <si>
    <t>A00-23484</t>
  </si>
  <si>
    <t>85230149***</t>
  </si>
  <si>
    <t>A00-26852</t>
  </si>
  <si>
    <t>eliezerwhite</t>
  </si>
  <si>
    <t>A00-23486</t>
  </si>
  <si>
    <t>10-06-1980</t>
  </si>
  <si>
    <t>83225339***</t>
  </si>
  <si>
    <t>A00-26807</t>
  </si>
  <si>
    <t>quentinholder</t>
  </si>
  <si>
    <t>84287284***</t>
  </si>
  <si>
    <t>A00-25007</t>
  </si>
  <si>
    <t>xzavierdouglas</t>
  </si>
  <si>
    <t>A00-23492</t>
  </si>
  <si>
    <t>6282293980***</t>
  </si>
  <si>
    <t>malikprice</t>
  </si>
  <si>
    <t>A00-23494</t>
  </si>
  <si>
    <t>6282283970***</t>
  </si>
  <si>
    <t>A00-24513</t>
  </si>
  <si>
    <t>marlenehuynh</t>
  </si>
  <si>
    <t>A00-23495</t>
  </si>
  <si>
    <t>0842-20627***</t>
  </si>
  <si>
    <t>A00-25194</t>
  </si>
  <si>
    <t>omarimichael</t>
  </si>
  <si>
    <t>A00-23497</t>
  </si>
  <si>
    <t>10-06-1985</t>
  </si>
  <si>
    <t>0812-11465***</t>
  </si>
  <si>
    <t>aydendouglas</t>
  </si>
  <si>
    <t>A00-23498</t>
  </si>
  <si>
    <t>0812-86196***</t>
  </si>
  <si>
    <t>A00-25515</t>
  </si>
  <si>
    <t>gregoryharvey</t>
  </si>
  <si>
    <t>A00-23499</t>
  </si>
  <si>
    <t>0812 87276***</t>
  </si>
  <si>
    <t>joshdennis</t>
  </si>
  <si>
    <t>A00-23500</t>
  </si>
  <si>
    <t>0822 39903***</t>
  </si>
  <si>
    <t>A00-24404</t>
  </si>
  <si>
    <t>giovanniboyle</t>
  </si>
  <si>
    <t>0852 85120***</t>
  </si>
  <si>
    <t>A00-25233</t>
  </si>
  <si>
    <t>gideonproctor</t>
  </si>
  <si>
    <t>A00-23503</t>
  </si>
  <si>
    <t>0832 96966***</t>
  </si>
  <si>
    <t>bryanwiley</t>
  </si>
  <si>
    <t>0852-96127***</t>
  </si>
  <si>
    <t>A00-26039</t>
  </si>
  <si>
    <t>julienfarley</t>
  </si>
  <si>
    <t>A00-23508</t>
  </si>
  <si>
    <t>0822-27548***</t>
  </si>
  <si>
    <t>A00-24984</t>
  </si>
  <si>
    <t>marencarter</t>
  </si>
  <si>
    <t>A00-23509</t>
  </si>
  <si>
    <t>822 95707***</t>
  </si>
  <si>
    <t>A00-25706</t>
  </si>
  <si>
    <t>lorenzogeorge</t>
  </si>
  <si>
    <t>A00-23510</t>
  </si>
  <si>
    <t>812 42410***</t>
  </si>
  <si>
    <t>tristiandalton</t>
  </si>
  <si>
    <t>A00-23511</t>
  </si>
  <si>
    <t>085236401***</t>
  </si>
  <si>
    <t>A00-26609</t>
  </si>
  <si>
    <t>cyruslin</t>
  </si>
  <si>
    <t>A00-23514</t>
  </si>
  <si>
    <t>084284005***</t>
  </si>
  <si>
    <t>A00-25436</t>
  </si>
  <si>
    <t>nayelidominguez</t>
  </si>
  <si>
    <t>A00-23516</t>
  </si>
  <si>
    <t>083258070***</t>
  </si>
  <si>
    <t>A00-24261</t>
  </si>
  <si>
    <t>chandlerwilliams</t>
  </si>
  <si>
    <t>A00-23518</t>
  </si>
  <si>
    <t>085269551***</t>
  </si>
  <si>
    <t>A00-25117</t>
  </si>
  <si>
    <t>crystalhaynes</t>
  </si>
  <si>
    <t>A00-23519</t>
  </si>
  <si>
    <t>83239862***</t>
  </si>
  <si>
    <t>A00-23635</t>
  </si>
  <si>
    <t>carolinafrank</t>
  </si>
  <si>
    <t>A00-23520</t>
  </si>
  <si>
    <t>84218277***</t>
  </si>
  <si>
    <t>A00-24630</t>
  </si>
  <si>
    <t>pipernoble</t>
  </si>
  <si>
    <t>A00-23523</t>
  </si>
  <si>
    <t>81242870***</t>
  </si>
  <si>
    <t>A00-24881</t>
  </si>
  <si>
    <t>kevinnguyen</t>
  </si>
  <si>
    <t>A00-23526</t>
  </si>
  <si>
    <t>6285297042***</t>
  </si>
  <si>
    <t>A00-23796</t>
  </si>
  <si>
    <t>seamusfrey</t>
  </si>
  <si>
    <t>6281276829***</t>
  </si>
  <si>
    <t>A00-25684</t>
  </si>
  <si>
    <t>selinacardenas</t>
  </si>
  <si>
    <t>83271859***</t>
  </si>
  <si>
    <t>A00-24824</t>
  </si>
  <si>
    <t>jabariholloway</t>
  </si>
  <si>
    <t>A00-23532</t>
  </si>
  <si>
    <t>85297369***</t>
  </si>
  <si>
    <t>A00-25142</t>
  </si>
  <si>
    <t>deeganpierce</t>
  </si>
  <si>
    <t>A00-23534</t>
  </si>
  <si>
    <t>83219504***</t>
  </si>
  <si>
    <t>A00-24436</t>
  </si>
  <si>
    <t>walkergalvan</t>
  </si>
  <si>
    <t>A00-23535</t>
  </si>
  <si>
    <t>6281295416***</t>
  </si>
  <si>
    <t>A00-27009</t>
  </si>
  <si>
    <t>tristanriley</t>
  </si>
  <si>
    <t>A00-23536</t>
  </si>
  <si>
    <t>6282290319***</t>
  </si>
  <si>
    <t>georgiaarcher</t>
  </si>
  <si>
    <t>A00-23537</t>
  </si>
  <si>
    <t>0822-58984***</t>
  </si>
  <si>
    <t>A00-26523</t>
  </si>
  <si>
    <t>violetnorton</t>
  </si>
  <si>
    <t>A00-23538</t>
  </si>
  <si>
    <t>0832-52626***</t>
  </si>
  <si>
    <t>A00-27170</t>
  </si>
  <si>
    <t>jonahperkins</t>
  </si>
  <si>
    <t>A00-23539</t>
  </si>
  <si>
    <t>0812-27062***</t>
  </si>
  <si>
    <t>nathenriley</t>
  </si>
  <si>
    <t>A00-23540</t>
  </si>
  <si>
    <t>0852 43719***</t>
  </si>
  <si>
    <t>A00-26788</t>
  </si>
  <si>
    <t>vivianmorgan</t>
  </si>
  <si>
    <t>A00-23541</t>
  </si>
  <si>
    <t>0832 53992***</t>
  </si>
  <si>
    <t>A00-24661</t>
  </si>
  <si>
    <t>elliehansen</t>
  </si>
  <si>
    <t>A00-23542</t>
  </si>
  <si>
    <t>0832 28912***</t>
  </si>
  <si>
    <t>A00-24546</t>
  </si>
  <si>
    <t>ryderparsons</t>
  </si>
  <si>
    <t>A00-23544</t>
  </si>
  <si>
    <t>0822 79837***</t>
  </si>
  <si>
    <t>A00-26808</t>
  </si>
  <si>
    <t>emiliabanks</t>
  </si>
  <si>
    <t>0822-12720***</t>
  </si>
  <si>
    <t>A00-24684</t>
  </si>
  <si>
    <t>esperanzahammond</t>
  </si>
  <si>
    <t>A00-23546</t>
  </si>
  <si>
    <t>0822-42753***</t>
  </si>
  <si>
    <t>ginaespinoza</t>
  </si>
  <si>
    <t>A00-23547</t>
  </si>
  <si>
    <t>812 55013***</t>
  </si>
  <si>
    <t>A00-24673</t>
  </si>
  <si>
    <t>antwanmorrow</t>
  </si>
  <si>
    <t>A00-23549</t>
  </si>
  <si>
    <t>852 18259***</t>
  </si>
  <si>
    <t>A00-26627</t>
  </si>
  <si>
    <t>scarlethowe</t>
  </si>
  <si>
    <t>085220362***</t>
  </si>
  <si>
    <t>nickolasphelps</t>
  </si>
  <si>
    <t>A00-23551</t>
  </si>
  <si>
    <t>083276518***</t>
  </si>
  <si>
    <t>damianrusso</t>
  </si>
  <si>
    <t>A00-23552</t>
  </si>
  <si>
    <t>084212869***</t>
  </si>
  <si>
    <t>A00-26547</t>
  </si>
  <si>
    <t>misaelnorton</t>
  </si>
  <si>
    <t>A00-23553</t>
  </si>
  <si>
    <t>085271042***</t>
  </si>
  <si>
    <t>lilianserrano</t>
  </si>
  <si>
    <t>A00-23554</t>
  </si>
  <si>
    <t>83252533***</t>
  </si>
  <si>
    <t>A00-25922</t>
  </si>
  <si>
    <t>kyangilmore</t>
  </si>
  <si>
    <t>A00-23555</t>
  </si>
  <si>
    <t>83223302***</t>
  </si>
  <si>
    <t>A00-27300</t>
  </si>
  <si>
    <t>taniyahrice</t>
  </si>
  <si>
    <t>83253477***</t>
  </si>
  <si>
    <t>A00-26668</t>
  </si>
  <si>
    <t>jaidenobrien</t>
  </si>
  <si>
    <t>A00-23557</t>
  </si>
  <si>
    <t>6281264550***</t>
  </si>
  <si>
    <t>A00-23574</t>
  </si>
  <si>
    <t>jaycekennedy</t>
  </si>
  <si>
    <t>A00-23559</t>
  </si>
  <si>
    <t>6285228866***</t>
  </si>
  <si>
    <t>A00-25896</t>
  </si>
  <si>
    <t>meadowschultz</t>
  </si>
  <si>
    <t>A00-23560</t>
  </si>
  <si>
    <t>83293789***</t>
  </si>
  <si>
    <t>A00-25920</t>
  </si>
  <si>
    <t>braedengentry</t>
  </si>
  <si>
    <t>A00-23561</t>
  </si>
  <si>
    <t>85284963***</t>
  </si>
  <si>
    <t>A00-24489</t>
  </si>
  <si>
    <t>kristinareynolds</t>
  </si>
  <si>
    <t>83253924***</t>
  </si>
  <si>
    <t>philipdelgado</t>
  </si>
  <si>
    <t>6281283053***</t>
  </si>
  <si>
    <t>A00-27199</t>
  </si>
  <si>
    <t>bradymaldonado</t>
  </si>
  <si>
    <t>6281255777***</t>
  </si>
  <si>
    <t>A00-24039</t>
  </si>
  <si>
    <t>terryhaas</t>
  </si>
  <si>
    <t>A00-23567</t>
  </si>
  <si>
    <t>0812-91854***</t>
  </si>
  <si>
    <t>sethmiles</t>
  </si>
  <si>
    <t>A00-23570</t>
  </si>
  <si>
    <t>0852-40596***</t>
  </si>
  <si>
    <t>A00-24725</t>
  </si>
  <si>
    <t>raymondmckenzie</t>
  </si>
  <si>
    <t>0852-40900***</t>
  </si>
  <si>
    <t>A00-24234</t>
  </si>
  <si>
    <t>elianabullock</t>
  </si>
  <si>
    <t>A00-23573</t>
  </si>
  <si>
    <t>0842 24688***</t>
  </si>
  <si>
    <t>A00-26619</t>
  </si>
  <si>
    <t>leonelgonzales</t>
  </si>
  <si>
    <t>0832 32799***</t>
  </si>
  <si>
    <t>A00-24966</t>
  </si>
  <si>
    <t>lindseyjames</t>
  </si>
  <si>
    <t>A00-23577</t>
  </si>
  <si>
    <t>0812 53460***</t>
  </si>
  <si>
    <t>A00-26796</t>
  </si>
  <si>
    <t>chelsealevy</t>
  </si>
  <si>
    <t>A00-23579</t>
  </si>
  <si>
    <t>0822 46190***</t>
  </si>
  <si>
    <t>A00-27169</t>
  </si>
  <si>
    <t>kaylahfigueroa</t>
  </si>
  <si>
    <t>A00-23582</t>
  </si>
  <si>
    <t>0842-72648***</t>
  </si>
  <si>
    <t>amyadams</t>
  </si>
  <si>
    <t>A00-23583</t>
  </si>
  <si>
    <t>0832-68028***</t>
  </si>
  <si>
    <t>dillanmccann</t>
  </si>
  <si>
    <t>A00-23586</t>
  </si>
  <si>
    <t>852 75415***</t>
  </si>
  <si>
    <t>A00-23806</t>
  </si>
  <si>
    <t>jamisonhorne</t>
  </si>
  <si>
    <t>A00-23587</t>
  </si>
  <si>
    <t>822 31087***</t>
  </si>
  <si>
    <t>A00-24829</t>
  </si>
  <si>
    <t>ashantigentry</t>
  </si>
  <si>
    <t>A00-23588</t>
  </si>
  <si>
    <t>082245032***</t>
  </si>
  <si>
    <t>A00-23859</t>
  </si>
  <si>
    <t>jasmineverett</t>
  </si>
  <si>
    <t>A00-23591</t>
  </si>
  <si>
    <t>084221478***</t>
  </si>
  <si>
    <t>A00-25443</t>
  </si>
  <si>
    <t>angelabautista</t>
  </si>
  <si>
    <t>A00-23592</t>
  </si>
  <si>
    <t>084285246***</t>
  </si>
  <si>
    <t>A00-25429</t>
  </si>
  <si>
    <t>bryleehorn</t>
  </si>
  <si>
    <t>A00-23593</t>
  </si>
  <si>
    <t>10-01-1981</t>
  </si>
  <si>
    <t>081232851***</t>
  </si>
  <si>
    <t>beckettgreer</t>
  </si>
  <si>
    <t>10-04-1982</t>
  </si>
  <si>
    <t>85241048***</t>
  </si>
  <si>
    <t>douglasware</t>
  </si>
  <si>
    <t>A00-23597</t>
  </si>
  <si>
    <t>85234576***</t>
  </si>
  <si>
    <t>A00-26173</t>
  </si>
  <si>
    <t>marisollevy</t>
  </si>
  <si>
    <t>A00-23600</t>
  </si>
  <si>
    <t>10-04-1980</t>
  </si>
  <si>
    <t>83286115***</t>
  </si>
  <si>
    <t>A00-26158</t>
  </si>
  <si>
    <t>nataliedrake</t>
  </si>
  <si>
    <t>6285258780***</t>
  </si>
  <si>
    <t>A00-24221</t>
  </si>
  <si>
    <t>abigailmalone</t>
  </si>
  <si>
    <t>A00-23602</t>
  </si>
  <si>
    <t>6285259398***</t>
  </si>
  <si>
    <t>A00-26847</t>
  </si>
  <si>
    <t>barbarasanders</t>
  </si>
  <si>
    <t>A00-23603</t>
  </si>
  <si>
    <t>85211401***</t>
  </si>
  <si>
    <t>A00-26707</t>
  </si>
  <si>
    <t>cooperhall</t>
  </si>
  <si>
    <t>84259302***</t>
  </si>
  <si>
    <t>A00-25847</t>
  </si>
  <si>
    <t>jordynanderson</t>
  </si>
  <si>
    <t>10-03-1982</t>
  </si>
  <si>
    <t>82281999***</t>
  </si>
  <si>
    <t>A00-24838</t>
  </si>
  <si>
    <t>rhysmyers</t>
  </si>
  <si>
    <t>A00-23610</t>
  </si>
  <si>
    <t>6285253449***</t>
  </si>
  <si>
    <t>A00-24555</t>
  </si>
  <si>
    <t>trevonshort</t>
  </si>
  <si>
    <t>A00-23611</t>
  </si>
  <si>
    <t>6285219646***</t>
  </si>
  <si>
    <t>baronwatkins</t>
  </si>
  <si>
    <t>A00-23614</t>
  </si>
  <si>
    <t>0852-46626***</t>
  </si>
  <si>
    <t>A00-25808</t>
  </si>
  <si>
    <t>aedangood</t>
  </si>
  <si>
    <t>A00-23616</t>
  </si>
  <si>
    <t>0852-90642***</t>
  </si>
  <si>
    <t>A00-26610</t>
  </si>
  <si>
    <t>markusbarajas</t>
  </si>
  <si>
    <t>0822-28282***</t>
  </si>
  <si>
    <t>A00-24027</t>
  </si>
  <si>
    <t>meadowheath</t>
  </si>
  <si>
    <t>A00-23618</t>
  </si>
  <si>
    <t>0842 64847***</t>
  </si>
  <si>
    <t>A00-26247</t>
  </si>
  <si>
    <t>brileyjoyce</t>
  </si>
  <si>
    <t>A00-23619</t>
  </si>
  <si>
    <t>0822 38163***</t>
  </si>
  <si>
    <t>miraclemahoney</t>
  </si>
  <si>
    <t>10-01-1993</t>
  </si>
  <si>
    <t>0852 55079***</t>
  </si>
  <si>
    <t>A00-26613</t>
  </si>
  <si>
    <t>raulramos</t>
  </si>
  <si>
    <t>A00-23622</t>
  </si>
  <si>
    <t>0832 37305***</t>
  </si>
  <si>
    <t>A00-26069</t>
  </si>
  <si>
    <t>islariddle</t>
  </si>
  <si>
    <t>A00-23624</t>
  </si>
  <si>
    <t>0822-82592***</t>
  </si>
  <si>
    <t>A00-25581</t>
  </si>
  <si>
    <t>gustavoosborne</t>
  </si>
  <si>
    <t>0822-63902***</t>
  </si>
  <si>
    <t>A00-26303</t>
  </si>
  <si>
    <t>jacquelynsimpson</t>
  </si>
  <si>
    <t>A00-23626</t>
  </si>
  <si>
    <t>812 69119***</t>
  </si>
  <si>
    <t>A00-26458</t>
  </si>
  <si>
    <t>iyanachavez</t>
  </si>
  <si>
    <t>A00-23627</t>
  </si>
  <si>
    <t>832 40003***</t>
  </si>
  <si>
    <t>A00-25797</t>
  </si>
  <si>
    <t>marcusblair</t>
  </si>
  <si>
    <t>10-04-1981</t>
  </si>
  <si>
    <t>085231907***</t>
  </si>
  <si>
    <t>A00-24390</t>
  </si>
  <si>
    <t>averyvelasquez</t>
  </si>
  <si>
    <t>084288232***</t>
  </si>
  <si>
    <t>A00-27114</t>
  </si>
  <si>
    <t>hannahsalas</t>
  </si>
  <si>
    <t>A00-23630</t>
  </si>
  <si>
    <t>085282636***</t>
  </si>
  <si>
    <t>emmamelendez</t>
  </si>
  <si>
    <t>A00-23631</t>
  </si>
  <si>
    <t>082285042***</t>
  </si>
  <si>
    <t>A00-25536</t>
  </si>
  <si>
    <t>tyreepowers</t>
  </si>
  <si>
    <t>85221294***</t>
  </si>
  <si>
    <t>A00-24476</t>
  </si>
  <si>
    <t>francesmolina</t>
  </si>
  <si>
    <t>81291896***</t>
  </si>
  <si>
    <t>A00-25224</t>
  </si>
  <si>
    <t>mohamedstrong</t>
  </si>
  <si>
    <t>82228750***</t>
  </si>
  <si>
    <t>A00-23723</t>
  </si>
  <si>
    <t>mirandasoto</t>
  </si>
  <si>
    <t>A00-23636</t>
  </si>
  <si>
    <t>6284290220***</t>
  </si>
  <si>
    <t>A00-26467</t>
  </si>
  <si>
    <t>helenfarrell</t>
  </si>
  <si>
    <t>A00-23637</t>
  </si>
  <si>
    <t>6285294558***</t>
  </si>
  <si>
    <t>A00-24656</t>
  </si>
  <si>
    <t>emmettlamb</t>
  </si>
  <si>
    <t>A00-23638</t>
  </si>
  <si>
    <t>82284862***</t>
  </si>
  <si>
    <t>aaravbird</t>
  </si>
  <si>
    <t>A00-23639</t>
  </si>
  <si>
    <t>85267026***</t>
  </si>
  <si>
    <t>A00-26865</t>
  </si>
  <si>
    <t>karmaclay</t>
  </si>
  <si>
    <t>A00-23640</t>
  </si>
  <si>
    <t>85214124***</t>
  </si>
  <si>
    <t>A00-23854</t>
  </si>
  <si>
    <t>marysantos</t>
  </si>
  <si>
    <t>A00-23641</t>
  </si>
  <si>
    <t>6282249802***</t>
  </si>
  <si>
    <t>arturopope</t>
  </si>
  <si>
    <t>A00-23642</t>
  </si>
  <si>
    <t>6283285273***</t>
  </si>
  <si>
    <t>A00-26462</t>
  </si>
  <si>
    <t>cassandravaughn</t>
  </si>
  <si>
    <t>A00-23643</t>
  </si>
  <si>
    <t>0852-20303***</t>
  </si>
  <si>
    <t>A00-25547</t>
  </si>
  <si>
    <t>calenielsen</t>
  </si>
  <si>
    <t>0812-99544***</t>
  </si>
  <si>
    <t>A00-25655</t>
  </si>
  <si>
    <t>cullennixon</t>
  </si>
  <si>
    <t>A00-23645</t>
  </si>
  <si>
    <t>0812-32109***</t>
  </si>
  <si>
    <t>A00-24164</t>
  </si>
  <si>
    <t>leilamitchell</t>
  </si>
  <si>
    <t>A00-23647</t>
  </si>
  <si>
    <t>0832 38218***</t>
  </si>
  <si>
    <t>A00-26618</t>
  </si>
  <si>
    <t>alijahmarquez</t>
  </si>
  <si>
    <t>A00-23648</t>
  </si>
  <si>
    <t>0842 12204***</t>
  </si>
  <si>
    <t>A00-23812</t>
  </si>
  <si>
    <t>carleighmccall</t>
  </si>
  <si>
    <t>A00-23651</t>
  </si>
  <si>
    <t>0852 37204***</t>
  </si>
  <si>
    <t>A00-24286</t>
  </si>
  <si>
    <t>reynarichard</t>
  </si>
  <si>
    <t>0822 32849***</t>
  </si>
  <si>
    <t>A00-24454</t>
  </si>
  <si>
    <t>bobbyconway</t>
  </si>
  <si>
    <t>A00-23654</t>
  </si>
  <si>
    <t>0812-21129***</t>
  </si>
  <si>
    <t>A00-26378</t>
  </si>
  <si>
    <t>yulianablankenship</t>
  </si>
  <si>
    <t>A00-23655</t>
  </si>
  <si>
    <t>0852-44606***</t>
  </si>
  <si>
    <t>A00-23913</t>
  </si>
  <si>
    <t>lorenzogarrison</t>
  </si>
  <si>
    <t>A00-23656</t>
  </si>
  <si>
    <t>832 96317***</t>
  </si>
  <si>
    <t>A00-23932</t>
  </si>
  <si>
    <t>zarawest</t>
  </si>
  <si>
    <t>A00-23659</t>
  </si>
  <si>
    <t>812 98141***</t>
  </si>
  <si>
    <t>adanbarton</t>
  </si>
  <si>
    <t>A00-23660</t>
  </si>
  <si>
    <t>084289553***</t>
  </si>
  <si>
    <t>A00-26787</t>
  </si>
  <si>
    <t>taniahebert</t>
  </si>
  <si>
    <t>A00-23661</t>
  </si>
  <si>
    <t>084234440***</t>
  </si>
  <si>
    <t>A00-27458</t>
  </si>
  <si>
    <t>delaneyfitzpatrick</t>
  </si>
  <si>
    <t>A00-23664</t>
  </si>
  <si>
    <t>082283491***</t>
  </si>
  <si>
    <t>A00-23911</t>
  </si>
  <si>
    <t>bridgetgutierrez</t>
  </si>
  <si>
    <t>084275359***</t>
  </si>
  <si>
    <t>A00-25069</t>
  </si>
  <si>
    <t>bryanvaughn</t>
  </si>
  <si>
    <t>A00-23666</t>
  </si>
  <si>
    <t>85282652***</t>
  </si>
  <si>
    <t>yaretzialvarez</t>
  </si>
  <si>
    <t>A00-23668</t>
  </si>
  <si>
    <t>84215408***</t>
  </si>
  <si>
    <t>A00-25045</t>
  </si>
  <si>
    <t>leylayates</t>
  </si>
  <si>
    <t>A00-23669</t>
  </si>
  <si>
    <t>81282080***</t>
  </si>
  <si>
    <t>A00-27408</t>
  </si>
  <si>
    <t>bryannahouston</t>
  </si>
  <si>
    <t>6284261604***</t>
  </si>
  <si>
    <t>A00-26541</t>
  </si>
  <si>
    <t>wilsoncaldwell</t>
  </si>
  <si>
    <t>6284253787***</t>
  </si>
  <si>
    <t>itzelsawyer</t>
  </si>
  <si>
    <t>A00-23674</t>
  </si>
  <si>
    <t>85273390***</t>
  </si>
  <si>
    <t>A00-26690</t>
  </si>
  <si>
    <t>leannaharris</t>
  </si>
  <si>
    <t>83226326***</t>
  </si>
  <si>
    <t>A00-26985</t>
  </si>
  <si>
    <t>enzodoyle</t>
  </si>
  <si>
    <t>A00-23680</t>
  </si>
  <si>
    <t>85259108***</t>
  </si>
  <si>
    <t>pamelarobbins</t>
  </si>
  <si>
    <t>A00-23681</t>
  </si>
  <si>
    <t>6285251595***</t>
  </si>
  <si>
    <t>A00-23948</t>
  </si>
  <si>
    <t>geraldmitchell</t>
  </si>
  <si>
    <t>6281237024***</t>
  </si>
  <si>
    <t>A00-26761</t>
  </si>
  <si>
    <t>adityahoward</t>
  </si>
  <si>
    <t>0852-51236***</t>
  </si>
  <si>
    <t>A00-25549</t>
  </si>
  <si>
    <t>marleeellison</t>
  </si>
  <si>
    <t>A00-23684</t>
  </si>
  <si>
    <t>0842-56836***</t>
  </si>
  <si>
    <t>A00-24233</t>
  </si>
  <si>
    <t>kalebmyers</t>
  </si>
  <si>
    <t>A00-23685</t>
  </si>
  <si>
    <t>0852-91308***</t>
  </si>
  <si>
    <t>A00-26251</t>
  </si>
  <si>
    <t>michelleday</t>
  </si>
  <si>
    <t>0832 71178***</t>
  </si>
  <si>
    <t>peytonboyle</t>
  </si>
  <si>
    <t>A00-23687</t>
  </si>
  <si>
    <t>0822 75666***</t>
  </si>
  <si>
    <t>A00-24491</t>
  </si>
  <si>
    <t>alexisserrano</t>
  </si>
  <si>
    <t>A00-23689</t>
  </si>
  <si>
    <t>0822 12888***</t>
  </si>
  <si>
    <t>silasross</t>
  </si>
  <si>
    <t>A00-23691</t>
  </si>
  <si>
    <t>0852 24555***</t>
  </si>
  <si>
    <t>A00-23986</t>
  </si>
  <si>
    <t>yairstark</t>
  </si>
  <si>
    <t>A00-23693</t>
  </si>
  <si>
    <t>0822-26389***</t>
  </si>
  <si>
    <t>A00-24820</t>
  </si>
  <si>
    <t>sullivanhicks</t>
  </si>
  <si>
    <t>0852-28925***</t>
  </si>
  <si>
    <t>A00-25077</t>
  </si>
  <si>
    <t>yadirahawkins</t>
  </si>
  <si>
    <t>A00-23699</t>
  </si>
  <si>
    <t>822 67095***</t>
  </si>
  <si>
    <t>A00-23880</t>
  </si>
  <si>
    <t>annabellawhite</t>
  </si>
  <si>
    <t>822 57994***</t>
  </si>
  <si>
    <t>A00-25190</t>
  </si>
  <si>
    <t>tessnichols</t>
  </si>
  <si>
    <t>A00-23702</t>
  </si>
  <si>
    <t>082253887***</t>
  </si>
  <si>
    <t>karlamills</t>
  </si>
  <si>
    <t>085258216***</t>
  </si>
  <si>
    <t>A00-25828</t>
  </si>
  <si>
    <t>keithvazquez</t>
  </si>
  <si>
    <t>A00-23705</t>
  </si>
  <si>
    <t>081245469***</t>
  </si>
  <si>
    <t>mylaliu</t>
  </si>
  <si>
    <t>A00-23708</t>
  </si>
  <si>
    <t>081294732***</t>
  </si>
  <si>
    <t>jasiahfoley</t>
  </si>
  <si>
    <t>83225750***</t>
  </si>
  <si>
    <t>A00-24944</t>
  </si>
  <si>
    <t>amarismaxwell</t>
  </si>
  <si>
    <t>A00-23711</t>
  </si>
  <si>
    <t>82275682***</t>
  </si>
  <si>
    <t>janellecervantes</t>
  </si>
  <si>
    <t>85291480***</t>
  </si>
  <si>
    <t>A00-25611</t>
  </si>
  <si>
    <t>tonybyrd</t>
  </si>
  <si>
    <t>A00-23716</t>
  </si>
  <si>
    <t>6283271072***</t>
  </si>
  <si>
    <t>A00-26634</t>
  </si>
  <si>
    <t>trentgrimes</t>
  </si>
  <si>
    <t>10-07-1987</t>
  </si>
  <si>
    <t>6284254759***</t>
  </si>
  <si>
    <t>A00-24957</t>
  </si>
  <si>
    <t>haleighshields</t>
  </si>
  <si>
    <t>85286751***</t>
  </si>
  <si>
    <t>dayanarahumphrey</t>
  </si>
  <si>
    <t>A00-23726</t>
  </si>
  <si>
    <t>81283780***</t>
  </si>
  <si>
    <t>A00-25104</t>
  </si>
  <si>
    <t>brysoncruz</t>
  </si>
  <si>
    <t>A00-23727</t>
  </si>
  <si>
    <t>81256396***</t>
  </si>
  <si>
    <t>A00-26821</t>
  </si>
  <si>
    <t>immanuelmccann</t>
  </si>
  <si>
    <t>A00-23730</t>
  </si>
  <si>
    <t>6282221879***</t>
  </si>
  <si>
    <t>A00-27089</t>
  </si>
  <si>
    <t>rigobertoproctor</t>
  </si>
  <si>
    <t>A00-23732</t>
  </si>
  <si>
    <t>6285261592***</t>
  </si>
  <si>
    <t>A00-25672</t>
  </si>
  <si>
    <t>benjaminschmitt</t>
  </si>
  <si>
    <t>0812-16036***</t>
  </si>
  <si>
    <t>A00-23918</t>
  </si>
  <si>
    <t>maryforbes</t>
  </si>
  <si>
    <t>A00-23736</t>
  </si>
  <si>
    <t>0852-13197***</t>
  </si>
  <si>
    <t>liliahoward</t>
  </si>
  <si>
    <t>0832-23084***</t>
  </si>
  <si>
    <t>A00-26334</t>
  </si>
  <si>
    <t>angelsullivan</t>
  </si>
  <si>
    <t>0822 91857***</t>
  </si>
  <si>
    <t>kianmathews</t>
  </si>
  <si>
    <t>A00-23739</t>
  </si>
  <si>
    <t>0812 19141***</t>
  </si>
  <si>
    <t>A00-26242</t>
  </si>
  <si>
    <t>neilpoole</t>
  </si>
  <si>
    <t>0822 74103***</t>
  </si>
  <si>
    <t>bostonhammond</t>
  </si>
  <si>
    <t>A00-23742</t>
  </si>
  <si>
    <t>0822 82502***</t>
  </si>
  <si>
    <t>A00-24983</t>
  </si>
  <si>
    <t>kendrickrosario</t>
  </si>
  <si>
    <t>0822-29476***</t>
  </si>
  <si>
    <t>A00-27041</t>
  </si>
  <si>
    <t>melissageorge</t>
  </si>
  <si>
    <t>A00-23744</t>
  </si>
  <si>
    <t>0822-16977***</t>
  </si>
  <si>
    <t>A00-24196</t>
  </si>
  <si>
    <t>pablopeck</t>
  </si>
  <si>
    <t>A00-23748</t>
  </si>
  <si>
    <t>842 35193***</t>
  </si>
  <si>
    <t>adriennebray</t>
  </si>
  <si>
    <t>A00-23749</t>
  </si>
  <si>
    <t>822 63199***</t>
  </si>
  <si>
    <t>A00-24632</t>
  </si>
  <si>
    <t>coreyvaldez</t>
  </si>
  <si>
    <t>A00-23750</t>
  </si>
  <si>
    <t>083284792***</t>
  </si>
  <si>
    <t>A00-27257</t>
  </si>
  <si>
    <t>natalyapollard</t>
  </si>
  <si>
    <t>A00-23751</t>
  </si>
  <si>
    <t>083283107***</t>
  </si>
  <si>
    <t>joycehughes</t>
  </si>
  <si>
    <t>084270591***</t>
  </si>
  <si>
    <t>A00-27021</t>
  </si>
  <si>
    <t>skylawhite</t>
  </si>
  <si>
    <t>083250897***</t>
  </si>
  <si>
    <t>A00-26933</t>
  </si>
  <si>
    <t>darrellharrell</t>
  </si>
  <si>
    <t>A00-23754</t>
  </si>
  <si>
    <t>84233432***</t>
  </si>
  <si>
    <t>A00-27313</t>
  </si>
  <si>
    <t>nataliaarmstrong</t>
  </si>
  <si>
    <t>A00-23755</t>
  </si>
  <si>
    <t>83229979***</t>
  </si>
  <si>
    <t>A00-24326</t>
  </si>
  <si>
    <t>karmalane</t>
  </si>
  <si>
    <t>A00-23756</t>
  </si>
  <si>
    <t>81252000***</t>
  </si>
  <si>
    <t>caitlingalloway</t>
  </si>
  <si>
    <t>6281220167***</t>
  </si>
  <si>
    <t>A00-26150</t>
  </si>
  <si>
    <t>roderickyu</t>
  </si>
  <si>
    <t>A00-23758</t>
  </si>
  <si>
    <t>6282265885***</t>
  </si>
  <si>
    <t>A00-26611</t>
  </si>
  <si>
    <t>kaitlynngeorge</t>
  </si>
  <si>
    <t>83271555***</t>
  </si>
  <si>
    <t>A00-27075</t>
  </si>
  <si>
    <t>marissahampton</t>
  </si>
  <si>
    <t>A00-23761</t>
  </si>
  <si>
    <t>84235645***</t>
  </si>
  <si>
    <t>A00-24346</t>
  </si>
  <si>
    <t>londonhess</t>
  </si>
  <si>
    <t>A00-23763</t>
  </si>
  <si>
    <t>84218460***</t>
  </si>
  <si>
    <t>A00-25771</t>
  </si>
  <si>
    <t>kaydenlang</t>
  </si>
  <si>
    <t>A00-23768</t>
  </si>
  <si>
    <t>6283266757***</t>
  </si>
  <si>
    <t>A00-23861</t>
  </si>
  <si>
    <t>cassidypage</t>
  </si>
  <si>
    <t>A00-23772</t>
  </si>
  <si>
    <t>6282281731***</t>
  </si>
  <si>
    <t>edgarzuniga</t>
  </si>
  <si>
    <t>A00-23774</t>
  </si>
  <si>
    <t>0822-38423***</t>
  </si>
  <si>
    <t>A00-23945</t>
  </si>
  <si>
    <t>darnellrobinson</t>
  </si>
  <si>
    <t>A00-23775</t>
  </si>
  <si>
    <t>0852-28405***</t>
  </si>
  <si>
    <t>A00-26398</t>
  </si>
  <si>
    <t>laytondavila</t>
  </si>
  <si>
    <t>A00-23777</t>
  </si>
  <si>
    <t>0812-78155***</t>
  </si>
  <si>
    <t>A00-26381</t>
  </si>
  <si>
    <t>giovannymartin</t>
  </si>
  <si>
    <t>A00-23782</t>
  </si>
  <si>
    <t>0832 81284***</t>
  </si>
  <si>
    <t>A00-27167</t>
  </si>
  <si>
    <t>ceciliatran</t>
  </si>
  <si>
    <t>A00-23784</t>
  </si>
  <si>
    <t>10-06-1974</t>
  </si>
  <si>
    <t>0812 97539***</t>
  </si>
  <si>
    <t>A00-25569</t>
  </si>
  <si>
    <t>donovanknight</t>
  </si>
  <si>
    <t>A00-23785</t>
  </si>
  <si>
    <t>0822 67452***</t>
  </si>
  <si>
    <t>A00-26099</t>
  </si>
  <si>
    <t>thaddeushouston</t>
  </si>
  <si>
    <t>A00-23787</t>
  </si>
  <si>
    <t>0832 72420***</t>
  </si>
  <si>
    <t>A00-25906</t>
  </si>
  <si>
    <t>cloewalsh</t>
  </si>
  <si>
    <t>A00-23789</t>
  </si>
  <si>
    <t>0832-39109***</t>
  </si>
  <si>
    <t>rosedoyle</t>
  </si>
  <si>
    <t>A00-23790</t>
  </si>
  <si>
    <t>0812-81838***</t>
  </si>
  <si>
    <t>A00-27245</t>
  </si>
  <si>
    <t>mareligibbs</t>
  </si>
  <si>
    <t>A00-23792</t>
  </si>
  <si>
    <t>822 26683***</t>
  </si>
  <si>
    <t>A00-26044</t>
  </si>
  <si>
    <t>memphishunter</t>
  </si>
  <si>
    <t>A00-23793</t>
  </si>
  <si>
    <t>852 16393***</t>
  </si>
  <si>
    <t>A00-26501</t>
  </si>
  <si>
    <t>sarahrollins</t>
  </si>
  <si>
    <t>A00-23794</t>
  </si>
  <si>
    <t>082297426***</t>
  </si>
  <si>
    <t>A00-24702</t>
  </si>
  <si>
    <t>camillaoneal</t>
  </si>
  <si>
    <t>081280015***</t>
  </si>
  <si>
    <t>A00-24080</t>
  </si>
  <si>
    <t>kyleedaniels</t>
  </si>
  <si>
    <t>085259165***</t>
  </si>
  <si>
    <t>monicamaxwell</t>
  </si>
  <si>
    <t>A00-23799</t>
  </si>
  <si>
    <t>083272914***</t>
  </si>
  <si>
    <t>A00-26917</t>
  </si>
  <si>
    <t>alaynaellis</t>
  </si>
  <si>
    <t>83241067***</t>
  </si>
  <si>
    <t>A00-27412</t>
  </si>
  <si>
    <t>nikolaidowns</t>
  </si>
  <si>
    <t>A00-23801</t>
  </si>
  <si>
    <t>81213190***</t>
  </si>
  <si>
    <t>A00-24216</t>
  </si>
  <si>
    <t>wilsonconway</t>
  </si>
  <si>
    <t>82266485***</t>
  </si>
  <si>
    <t>A00-26626</t>
  </si>
  <si>
    <t>emmanuelaguirre</t>
  </si>
  <si>
    <t>A00-23804</t>
  </si>
  <si>
    <t>6282258048***</t>
  </si>
  <si>
    <t>A00-27060</t>
  </si>
  <si>
    <t>remingtonhines</t>
  </si>
  <si>
    <t>6282227022***</t>
  </si>
  <si>
    <t>A00-24609</t>
  </si>
  <si>
    <t>atticuspark</t>
  </si>
  <si>
    <t>85222779***</t>
  </si>
  <si>
    <t>A00-24714</t>
  </si>
  <si>
    <t>ellabaxter</t>
  </si>
  <si>
    <t>A00-23809</t>
  </si>
  <si>
    <t>81229017***</t>
  </si>
  <si>
    <t>francoingram</t>
  </si>
  <si>
    <t>81282744***</t>
  </si>
  <si>
    <t>A00-24256</t>
  </si>
  <si>
    <t>tiffanyrichardson</t>
  </si>
  <si>
    <t>6283217677***</t>
  </si>
  <si>
    <t>A00-25350</t>
  </si>
  <si>
    <t>saniyabrown</t>
  </si>
  <si>
    <t>A00-23813</t>
  </si>
  <si>
    <t>6283276299***</t>
  </si>
  <si>
    <t>johnathanmoses</t>
  </si>
  <si>
    <t>0852-19710***</t>
  </si>
  <si>
    <t>jasminehubbard</t>
  </si>
  <si>
    <t>A00-23815</t>
  </si>
  <si>
    <t>0822-54281***</t>
  </si>
  <si>
    <t>A00-26012</t>
  </si>
  <si>
    <t>leiaashley</t>
  </si>
  <si>
    <t>A00-23816</t>
  </si>
  <si>
    <t>0832-62288***</t>
  </si>
  <si>
    <t>miaball</t>
  </si>
  <si>
    <t>A00-23817</t>
  </si>
  <si>
    <t>0842 14099***</t>
  </si>
  <si>
    <t>A00-25265</t>
  </si>
  <si>
    <t>cyruspollard</t>
  </si>
  <si>
    <t>A00-23820</t>
  </si>
  <si>
    <t>0842 28979***</t>
  </si>
  <si>
    <t>miahspencer</t>
  </si>
  <si>
    <t>A00-23822</t>
  </si>
  <si>
    <t>0852 60694***</t>
  </si>
  <si>
    <t>marcospeck</t>
  </si>
  <si>
    <t>A00-23823</t>
  </si>
  <si>
    <t>0812 98933***</t>
  </si>
  <si>
    <t>A00-26195</t>
  </si>
  <si>
    <t>jabarimurray</t>
  </si>
  <si>
    <t>A00-23824</t>
  </si>
  <si>
    <t>0822-96437***</t>
  </si>
  <si>
    <t>tianapeters</t>
  </si>
  <si>
    <t>A00-23826</t>
  </si>
  <si>
    <t>0842-13931***</t>
  </si>
  <si>
    <t>A00-24437</t>
  </si>
  <si>
    <t>joyleonard</t>
  </si>
  <si>
    <t>A00-23832</t>
  </si>
  <si>
    <t>832 33547***</t>
  </si>
  <si>
    <t>A00-25377</t>
  </si>
  <si>
    <t>colesutton</t>
  </si>
  <si>
    <t>812 18829***</t>
  </si>
  <si>
    <t>A00-25058</t>
  </si>
  <si>
    <t>averietravis</t>
  </si>
  <si>
    <t>A00-23835</t>
  </si>
  <si>
    <t>085270870***</t>
  </si>
  <si>
    <t>A00-25159</t>
  </si>
  <si>
    <t>markusruiz</t>
  </si>
  <si>
    <t>A00-23837</t>
  </si>
  <si>
    <t>082289567***</t>
  </si>
  <si>
    <t>brianapark</t>
  </si>
  <si>
    <t>A00-23838</t>
  </si>
  <si>
    <t>085231371***</t>
  </si>
  <si>
    <t>A00-25254</t>
  </si>
  <si>
    <t>terrelldudley</t>
  </si>
  <si>
    <t>A00-23845</t>
  </si>
  <si>
    <t>082290997***</t>
  </si>
  <si>
    <t>A00-26264</t>
  </si>
  <si>
    <t>marcelberry</t>
  </si>
  <si>
    <t>A00-23847</t>
  </si>
  <si>
    <t>85242347***</t>
  </si>
  <si>
    <t>A00-25601</t>
  </si>
  <si>
    <t>yoilah</t>
  </si>
  <si>
    <t>A00-23849</t>
  </si>
  <si>
    <t>81213961***</t>
  </si>
  <si>
    <t>A00-26276</t>
  </si>
  <si>
    <t>baileehowe</t>
  </si>
  <si>
    <t>A00-23850</t>
  </si>
  <si>
    <t>10-02-1986</t>
  </si>
  <si>
    <t>85247247***</t>
  </si>
  <si>
    <t>A00-26107</t>
  </si>
  <si>
    <t>juliaespinoza</t>
  </si>
  <si>
    <t>6281280056***</t>
  </si>
  <si>
    <t>A00-24618</t>
  </si>
  <si>
    <t>paisleyescobar</t>
  </si>
  <si>
    <t>6282242876***</t>
  </si>
  <si>
    <t>A00-26288</t>
  </si>
  <si>
    <t>elainehowe</t>
  </si>
  <si>
    <t>82292412***</t>
  </si>
  <si>
    <t>brittanyferguson</t>
  </si>
  <si>
    <t>85232900***</t>
  </si>
  <si>
    <t>leonelhunter</t>
  </si>
  <si>
    <t>83262949***</t>
  </si>
  <si>
    <t>A00-26947</t>
  </si>
  <si>
    <t>gracewashington</t>
  </si>
  <si>
    <t>6285273721***</t>
  </si>
  <si>
    <t>A00-24877</t>
  </si>
  <si>
    <t>yulianabernard</t>
  </si>
  <si>
    <t>A00-23862</t>
  </si>
  <si>
    <t>6282273536***</t>
  </si>
  <si>
    <t>A00-23905</t>
  </si>
  <si>
    <t>charlizefarrell</t>
  </si>
  <si>
    <t>A00-23863</t>
  </si>
  <si>
    <t>0842-21092***</t>
  </si>
  <si>
    <t>malloryarcher</t>
  </si>
  <si>
    <t>0852-74996***</t>
  </si>
  <si>
    <t>A00-26819</t>
  </si>
  <si>
    <t>maximilliancooke</t>
  </si>
  <si>
    <t>A00-23866</t>
  </si>
  <si>
    <t>10-03-2005</t>
  </si>
  <si>
    <t>0842-73547***</t>
  </si>
  <si>
    <t>cherishgeorge</t>
  </si>
  <si>
    <t>A00-23867</t>
  </si>
  <si>
    <t>0842 51808***</t>
  </si>
  <si>
    <t>A00-25690</t>
  </si>
  <si>
    <t>karliebruce</t>
  </si>
  <si>
    <t>A00-23868</t>
  </si>
  <si>
    <t>0842 94237***</t>
  </si>
  <si>
    <t>A00-24744</t>
  </si>
  <si>
    <t>kaylahbeasley</t>
  </si>
  <si>
    <t>A00-23869</t>
  </si>
  <si>
    <t>0812 44108***</t>
  </si>
  <si>
    <t>A00-27274</t>
  </si>
  <si>
    <t>janetnorman</t>
  </si>
  <si>
    <t>0822 78093***</t>
  </si>
  <si>
    <t>emeliamcmahon</t>
  </si>
  <si>
    <t>A00-23872</t>
  </si>
  <si>
    <t>0832-77400***</t>
  </si>
  <si>
    <t>A00-25830</t>
  </si>
  <si>
    <t>heidygray</t>
  </si>
  <si>
    <t>A00-23873</t>
  </si>
  <si>
    <t>0822-59438***</t>
  </si>
  <si>
    <t>A00-25250</t>
  </si>
  <si>
    <t>jeremydonovan</t>
  </si>
  <si>
    <t>A00-23875</t>
  </si>
  <si>
    <t>852 83554***</t>
  </si>
  <si>
    <t>A00-26073</t>
  </si>
  <si>
    <t>marisolwhitaker</t>
  </si>
  <si>
    <t>832 65443***</t>
  </si>
  <si>
    <t>brodiewalls</t>
  </si>
  <si>
    <t>A00-23878</t>
  </si>
  <si>
    <t>081230678***</t>
  </si>
  <si>
    <t>nicholasblake</t>
  </si>
  <si>
    <t>A00-23879</t>
  </si>
  <si>
    <t>084262576***</t>
  </si>
  <si>
    <t>A00-25035</t>
  </si>
  <si>
    <t>sammyproctor</t>
  </si>
  <si>
    <t>084251159***</t>
  </si>
  <si>
    <t>A00-24001</t>
  </si>
  <si>
    <t>janiyahstevens</t>
  </si>
  <si>
    <t>A00-23881</t>
  </si>
  <si>
    <t>084246709***</t>
  </si>
  <si>
    <t>A00-25390</t>
  </si>
  <si>
    <t>madisonmcfarland</t>
  </si>
  <si>
    <t>84254449***</t>
  </si>
  <si>
    <t>A00-26628</t>
  </si>
  <si>
    <t>valentinalee</t>
  </si>
  <si>
    <t>A00-23883</t>
  </si>
  <si>
    <t>81277068***</t>
  </si>
  <si>
    <t>A00-27242</t>
  </si>
  <si>
    <t>billyshaw</t>
  </si>
  <si>
    <t>A00-23884</t>
  </si>
  <si>
    <t>84246140***</t>
  </si>
  <si>
    <t>abagailgonzalez</t>
  </si>
  <si>
    <t>6284259131***</t>
  </si>
  <si>
    <t>A00-25642</t>
  </si>
  <si>
    <t>nikocooke</t>
  </si>
  <si>
    <t>A00-23886</t>
  </si>
  <si>
    <t>6281224919***</t>
  </si>
  <si>
    <t>dillanmiranda</t>
  </si>
  <si>
    <t>A00-23889</t>
  </si>
  <si>
    <t>84271744***</t>
  </si>
  <si>
    <t>A00-26007</t>
  </si>
  <si>
    <t>isaiahblevins</t>
  </si>
  <si>
    <t>A00-23890</t>
  </si>
  <si>
    <t>85243194***</t>
  </si>
  <si>
    <t>A00-26920</t>
  </si>
  <si>
    <t>eileenlloyd</t>
  </si>
  <si>
    <t>A00-23891</t>
  </si>
  <si>
    <t>85228732***</t>
  </si>
  <si>
    <t>A00-24893</t>
  </si>
  <si>
    <t>caydenmanning</t>
  </si>
  <si>
    <t>A00-23895</t>
  </si>
  <si>
    <t>6282271578***</t>
  </si>
  <si>
    <t>tyreebranch</t>
  </si>
  <si>
    <t>6281245266***</t>
  </si>
  <si>
    <t>kyladuffy</t>
  </si>
  <si>
    <t>0842-79807***</t>
  </si>
  <si>
    <t>A00-26800</t>
  </si>
  <si>
    <t>corbinrusso</t>
  </si>
  <si>
    <t>A00-23902</t>
  </si>
  <si>
    <t>0852-57262***</t>
  </si>
  <si>
    <t>A00-24606</t>
  </si>
  <si>
    <t>gordonsantana</t>
  </si>
  <si>
    <t>0822-24856***</t>
  </si>
  <si>
    <t>lucianawong</t>
  </si>
  <si>
    <t>0812 42053***</t>
  </si>
  <si>
    <t>A00-25855</t>
  </si>
  <si>
    <t>edithmoody</t>
  </si>
  <si>
    <t>A00-23906</t>
  </si>
  <si>
    <t>0852 81931***</t>
  </si>
  <si>
    <t>israelbrady</t>
  </si>
  <si>
    <t>A00-23908</t>
  </si>
  <si>
    <t>0842 89555***</t>
  </si>
  <si>
    <t>A00-25693</t>
  </si>
  <si>
    <t>kristale</t>
  </si>
  <si>
    <t>0842 61747***</t>
  </si>
  <si>
    <t>lilahlane</t>
  </si>
  <si>
    <t>A00-23910</t>
  </si>
  <si>
    <t>0822-72195***</t>
  </si>
  <si>
    <t>A00-26560</t>
  </si>
  <si>
    <t>aubreemanning</t>
  </si>
  <si>
    <t>0822-74253***</t>
  </si>
  <si>
    <t>A00-24244</t>
  </si>
  <si>
    <t>gradygill</t>
  </si>
  <si>
    <t>A00-23912</t>
  </si>
  <si>
    <t>842 73095***</t>
  </si>
  <si>
    <t>A00-27423</t>
  </si>
  <si>
    <t>aliviamooney</t>
  </si>
  <si>
    <t>812 38118***</t>
  </si>
  <si>
    <t>A00-26498</t>
  </si>
  <si>
    <t>elisabethrobinson</t>
  </si>
  <si>
    <t>A00-23914</t>
  </si>
  <si>
    <t>083217328***</t>
  </si>
  <si>
    <t>A00-26496</t>
  </si>
  <si>
    <t>oliverpearson</t>
  </si>
  <si>
    <t>A00-23915</t>
  </si>
  <si>
    <t>083233998***</t>
  </si>
  <si>
    <t>A00-27279</t>
  </si>
  <si>
    <t>arianazhang</t>
  </si>
  <si>
    <t>A00-23916</t>
  </si>
  <si>
    <t>085280906***</t>
  </si>
  <si>
    <t>A00-26620</t>
  </si>
  <si>
    <t>zackaryespinoza</t>
  </si>
  <si>
    <t>083290793***</t>
  </si>
  <si>
    <t>A00-26220</t>
  </si>
  <si>
    <t>braelynmcmillan</t>
  </si>
  <si>
    <t>84225488***</t>
  </si>
  <si>
    <t>maxmckenzie</t>
  </si>
  <si>
    <t>A00-23919</t>
  </si>
  <si>
    <t>82268386***</t>
  </si>
  <si>
    <t>A00-27102</t>
  </si>
  <si>
    <t>francisthomas</t>
  </si>
  <si>
    <t>A00-23921</t>
  </si>
  <si>
    <t>83238334***</t>
  </si>
  <si>
    <t>A00-26915</t>
  </si>
  <si>
    <t>sariahbraun</t>
  </si>
  <si>
    <t>A00-23922</t>
  </si>
  <si>
    <t>6285280733***</t>
  </si>
  <si>
    <t>perlaterrell</t>
  </si>
  <si>
    <t>A00-23923</t>
  </si>
  <si>
    <t>6283293452***</t>
  </si>
  <si>
    <t>felicitysalinas</t>
  </si>
  <si>
    <t>A00-23926</t>
  </si>
  <si>
    <t>82241885***</t>
  </si>
  <si>
    <t>A00-25454</t>
  </si>
  <si>
    <t>alannarobertson</t>
  </si>
  <si>
    <t>A00-23929</t>
  </si>
  <si>
    <t>81250304***</t>
  </si>
  <si>
    <t>A00-25584</t>
  </si>
  <si>
    <t>justiceboyer</t>
  </si>
  <si>
    <t>A00-23930</t>
  </si>
  <si>
    <t>85284394***</t>
  </si>
  <si>
    <t>maceyashley</t>
  </si>
  <si>
    <t>6282291887***</t>
  </si>
  <si>
    <t>tobiasdickson</t>
  </si>
  <si>
    <t>A00-23933</t>
  </si>
  <si>
    <t>6283228828***</t>
  </si>
  <si>
    <t>A00-24275</t>
  </si>
  <si>
    <t>nayeliblackwell</t>
  </si>
  <si>
    <t>A00-23936</t>
  </si>
  <si>
    <t>0822-47725***</t>
  </si>
  <si>
    <t>cedrickirk</t>
  </si>
  <si>
    <t>A00-23939</t>
  </si>
  <si>
    <t>0812-54313***</t>
  </si>
  <si>
    <t>A00-25741</t>
  </si>
  <si>
    <t>perlamorton</t>
  </si>
  <si>
    <t>0832-28311***</t>
  </si>
  <si>
    <t>valeryharding</t>
  </si>
  <si>
    <t>0832 14463***</t>
  </si>
  <si>
    <t>A00-27156</t>
  </si>
  <si>
    <t>kendaltate</t>
  </si>
  <si>
    <t>A00-23942</t>
  </si>
  <si>
    <t>0832 47076***</t>
  </si>
  <si>
    <t>A00-26117</t>
  </si>
  <si>
    <t>haleymccarty</t>
  </si>
  <si>
    <t>A00-23943</t>
  </si>
  <si>
    <t>0852 14672***</t>
  </si>
  <si>
    <t>A00-26311</t>
  </si>
  <si>
    <t>rylandbradford</t>
  </si>
  <si>
    <t>0852 34928***</t>
  </si>
  <si>
    <t>A00-26188</t>
  </si>
  <si>
    <t>mylieleonard</t>
  </si>
  <si>
    <t>A00-23946</t>
  </si>
  <si>
    <t>10-05-1980</t>
  </si>
  <si>
    <t>0812-30629***</t>
  </si>
  <si>
    <t>A00-26328</t>
  </si>
  <si>
    <t>alisontapia</t>
  </si>
  <si>
    <t>A00-23947</t>
  </si>
  <si>
    <t>0822-51013***</t>
  </si>
  <si>
    <t>A00-24836</t>
  </si>
  <si>
    <t>haidenkelly</t>
  </si>
  <si>
    <t>812 84015***</t>
  </si>
  <si>
    <t>jeremychambers</t>
  </si>
  <si>
    <t>A00-23952</t>
  </si>
  <si>
    <t>832 77673***</t>
  </si>
  <si>
    <t>A00-25913</t>
  </si>
  <si>
    <t>shawnhoover</t>
  </si>
  <si>
    <t>083295434***</t>
  </si>
  <si>
    <t>maliaskinner</t>
  </si>
  <si>
    <t>A00-23955</t>
  </si>
  <si>
    <t>084280572***</t>
  </si>
  <si>
    <t>A00-24507</t>
  </si>
  <si>
    <t>selinabaird</t>
  </si>
  <si>
    <t>084231202***</t>
  </si>
  <si>
    <t>A00-25473</t>
  </si>
  <si>
    <t>ronanbarrett</t>
  </si>
  <si>
    <t>A00-23957</t>
  </si>
  <si>
    <t>082263838***</t>
  </si>
  <si>
    <t>A00-24048</t>
  </si>
  <si>
    <t>leticiaowens</t>
  </si>
  <si>
    <t>A00-23961</t>
  </si>
  <si>
    <t>85218818***</t>
  </si>
  <si>
    <t>A00-26270</t>
  </si>
  <si>
    <t>rudybass</t>
  </si>
  <si>
    <t>A00-23965</t>
  </si>
  <si>
    <t>81290695***</t>
  </si>
  <si>
    <t>kaitlinshelton</t>
  </si>
  <si>
    <t>A00-23967</t>
  </si>
  <si>
    <t>81265907***</t>
  </si>
  <si>
    <t>A00-24213</t>
  </si>
  <si>
    <t>aubreeodom</t>
  </si>
  <si>
    <t>A00-23970</t>
  </si>
  <si>
    <t>6285274496***</t>
  </si>
  <si>
    <t>A00-26290</t>
  </si>
  <si>
    <t>juliannebray</t>
  </si>
  <si>
    <t>A00-23972</t>
  </si>
  <si>
    <t>6282268323***</t>
  </si>
  <si>
    <t>A00-25854</t>
  </si>
  <si>
    <t>dannyaguilar</t>
  </si>
  <si>
    <t>A00-23973</t>
  </si>
  <si>
    <t>85222309***</t>
  </si>
  <si>
    <t>bradynrich</t>
  </si>
  <si>
    <t>A00-23977</t>
  </si>
  <si>
    <t>85277765***</t>
  </si>
  <si>
    <t>A00-27108</t>
  </si>
  <si>
    <t>braydonparks</t>
  </si>
  <si>
    <t>A00-23978</t>
  </si>
  <si>
    <t>81285465***</t>
  </si>
  <si>
    <t>A00-27477</t>
  </si>
  <si>
    <t>zoeynovak</t>
  </si>
  <si>
    <t>A00-23979</t>
  </si>
  <si>
    <t>6285261259***</t>
  </si>
  <si>
    <t>A00-24843</t>
  </si>
  <si>
    <t>kamrenfields</t>
  </si>
  <si>
    <t>A00-23980</t>
  </si>
  <si>
    <t>6283272354***</t>
  </si>
  <si>
    <t>waynemorgan</t>
  </si>
  <si>
    <t>0812-19418***</t>
  </si>
  <si>
    <t>A00-26968</t>
  </si>
  <si>
    <t>ceceliafrye</t>
  </si>
  <si>
    <t>A00-23983</t>
  </si>
  <si>
    <t>0852-46441***</t>
  </si>
  <si>
    <t>A00-24294</t>
  </si>
  <si>
    <t>kamroncabrera</t>
  </si>
  <si>
    <t>A00-23984</t>
  </si>
  <si>
    <t>0822-42826***</t>
  </si>
  <si>
    <t>A00-26608</t>
  </si>
  <si>
    <t>estherpatel</t>
  </si>
  <si>
    <t>0852 83592***</t>
  </si>
  <si>
    <t>A00-25546</t>
  </si>
  <si>
    <t>shyannroth</t>
  </si>
  <si>
    <t>0832 19956***</t>
  </si>
  <si>
    <t>johnathonolsen</t>
  </si>
  <si>
    <t>A00-23991</t>
  </si>
  <si>
    <t>0852 93627***</t>
  </si>
  <si>
    <t>A00-26439</t>
  </si>
  <si>
    <t>josecruz</t>
  </si>
  <si>
    <t>A00-23992</t>
  </si>
  <si>
    <t>0852 21182***</t>
  </si>
  <si>
    <t>reidzebel</t>
  </si>
  <si>
    <t>A00-23994</t>
  </si>
  <si>
    <t>0812-95848***</t>
  </si>
  <si>
    <t>A00-25662</t>
  </si>
  <si>
    <t>lorenzomcneil</t>
  </si>
  <si>
    <t>A00-23997</t>
  </si>
  <si>
    <t>0842-57723***</t>
  </si>
  <si>
    <t>A00-27058</t>
  </si>
  <si>
    <t>davonblackwell</t>
  </si>
  <si>
    <t>A00-23999</t>
  </si>
  <si>
    <t>832 19039***</t>
  </si>
  <si>
    <t>A00-25729</t>
  </si>
  <si>
    <t>rogeliogood</t>
  </si>
  <si>
    <t>A00-24000</t>
  </si>
  <si>
    <t>832 25538***</t>
  </si>
  <si>
    <t>A00-26949</t>
  </si>
  <si>
    <t>jonathannash</t>
  </si>
  <si>
    <t>085279874***</t>
  </si>
  <si>
    <t>loganreid</t>
  </si>
  <si>
    <t>A00-24002</t>
  </si>
  <si>
    <t>082254802***</t>
  </si>
  <si>
    <t>adagarner</t>
  </si>
  <si>
    <t>081216676***</t>
  </si>
  <si>
    <t>A00-25989</t>
  </si>
  <si>
    <t>jaidencook</t>
  </si>
  <si>
    <t>10-05-1982</t>
  </si>
  <si>
    <t>081292467***</t>
  </si>
  <si>
    <t>A00-26174</t>
  </si>
  <si>
    <t>kamryngardner</t>
  </si>
  <si>
    <t>A00-24014</t>
  </si>
  <si>
    <t>84284498***</t>
  </si>
  <si>
    <t>nolagoodman</t>
  </si>
  <si>
    <t>A00-24015</t>
  </si>
  <si>
    <t>84261041***</t>
  </si>
  <si>
    <t>A00-27003</t>
  </si>
  <si>
    <t>carlostrickland</t>
  </si>
  <si>
    <t>A00-24016</t>
  </si>
  <si>
    <t>85287740***</t>
  </si>
  <si>
    <t>A00-26376</t>
  </si>
  <si>
    <t>tarynibarra</t>
  </si>
  <si>
    <t>6282248091***</t>
  </si>
  <si>
    <t>A00-24418</t>
  </si>
  <si>
    <t>marahicks</t>
  </si>
  <si>
    <t>A00-24019</t>
  </si>
  <si>
    <t>6285273352***</t>
  </si>
  <si>
    <t>A00-25506</t>
  </si>
  <si>
    <t>milagalvan</t>
  </si>
  <si>
    <t>A00-24020</t>
  </si>
  <si>
    <t>83276025***</t>
  </si>
  <si>
    <t>A00-24462</t>
  </si>
  <si>
    <t>zandercross</t>
  </si>
  <si>
    <t>A00-24022</t>
  </si>
  <si>
    <t>81214355***</t>
  </si>
  <si>
    <t>A00-24823</t>
  </si>
  <si>
    <t>evekeith</t>
  </si>
  <si>
    <t>82283447***</t>
  </si>
  <si>
    <t>A00-25969</t>
  </si>
  <si>
    <t>deangeloandersen</t>
  </si>
  <si>
    <t>A00-24026</t>
  </si>
  <si>
    <t>6283216814***</t>
  </si>
  <si>
    <t>A00-24063</t>
  </si>
  <si>
    <t>jaydablair</t>
  </si>
  <si>
    <t>6282258665***</t>
  </si>
  <si>
    <t>A00-24790</t>
  </si>
  <si>
    <t>wilsonschneider</t>
  </si>
  <si>
    <t>A00-24029</t>
  </si>
  <si>
    <t>0812-43611***</t>
  </si>
  <si>
    <t>A00-25576</t>
  </si>
  <si>
    <t>cortezsutton</t>
  </si>
  <si>
    <t>A00-24030</t>
  </si>
  <si>
    <t>0842-23261***</t>
  </si>
  <si>
    <t>A00-24777</t>
  </si>
  <si>
    <t>oliviaortega</t>
  </si>
  <si>
    <t>A00-24031</t>
  </si>
  <si>
    <t>0832-89898***</t>
  </si>
  <si>
    <t>A00-24246</t>
  </si>
  <si>
    <t>danikastevenson</t>
  </si>
  <si>
    <t>0832 56259***</t>
  </si>
  <si>
    <t>jordenpratt</t>
  </si>
  <si>
    <t>A00-24034</t>
  </si>
  <si>
    <t>0832 59125***</t>
  </si>
  <si>
    <t>A00-25257</t>
  </si>
  <si>
    <t>wendyfernandez</t>
  </si>
  <si>
    <t>A00-24035</t>
  </si>
  <si>
    <t>0852 31143***</t>
  </si>
  <si>
    <t>A00-24967</t>
  </si>
  <si>
    <t>wadeross</t>
  </si>
  <si>
    <t>A00-24037</t>
  </si>
  <si>
    <t>0852 45363***</t>
  </si>
  <si>
    <t>A00-24928</t>
  </si>
  <si>
    <t>clarencelester</t>
  </si>
  <si>
    <t>A00-24038</t>
  </si>
  <si>
    <t>0832-57406***</t>
  </si>
  <si>
    <t>jamesoncamacho</t>
  </si>
  <si>
    <t>0822-21890***</t>
  </si>
  <si>
    <t>A00-26186</t>
  </si>
  <si>
    <t>kelvinhanna</t>
  </si>
  <si>
    <t>A00-24041</t>
  </si>
  <si>
    <t>822 36045***</t>
  </si>
  <si>
    <t>A00-27306</t>
  </si>
  <si>
    <t>briahensley</t>
  </si>
  <si>
    <t>A00-24042</t>
  </si>
  <si>
    <t>852 58794***</t>
  </si>
  <si>
    <t>A00-24878</t>
  </si>
  <si>
    <t>aldofrench</t>
  </si>
  <si>
    <t>085245146***</t>
  </si>
  <si>
    <t>A00-25262</t>
  </si>
  <si>
    <t>abbiejuarez</t>
  </si>
  <si>
    <t>A00-24044</t>
  </si>
  <si>
    <t>085260576***</t>
  </si>
  <si>
    <t>A00-25520</t>
  </si>
  <si>
    <t>alejandrahines</t>
  </si>
  <si>
    <t>085240039***</t>
  </si>
  <si>
    <t>A00-27413</t>
  </si>
  <si>
    <t>rayneheath</t>
  </si>
  <si>
    <t>A00-24052</t>
  </si>
  <si>
    <t>083298495***</t>
  </si>
  <si>
    <t>A00-25062</t>
  </si>
  <si>
    <t>anyaburch</t>
  </si>
  <si>
    <t>A00-24053</t>
  </si>
  <si>
    <t>84227797***</t>
  </si>
  <si>
    <t>A00-24950</t>
  </si>
  <si>
    <t>catherinemccullough</t>
  </si>
  <si>
    <t>A00-24055</t>
  </si>
  <si>
    <t>81292596***</t>
  </si>
  <si>
    <t>A00-25936</t>
  </si>
  <si>
    <t>mattiehouse</t>
  </si>
  <si>
    <t>82254804***</t>
  </si>
  <si>
    <t>marenbecker</t>
  </si>
  <si>
    <t>A00-24059</t>
  </si>
  <si>
    <t>6284256695***</t>
  </si>
  <si>
    <t>A00-24389</t>
  </si>
  <si>
    <t>courtneycochran</t>
  </si>
  <si>
    <t>6281221437***</t>
  </si>
  <si>
    <t>A00-25907</t>
  </si>
  <si>
    <t>kyliemcdowell</t>
  </si>
  <si>
    <t>A00-24062</t>
  </si>
  <si>
    <t>82276187***</t>
  </si>
  <si>
    <t>A00-26022</t>
  </si>
  <si>
    <t>mariyahhumphrey</t>
  </si>
  <si>
    <t>84220888***</t>
  </si>
  <si>
    <t>A00-25371</t>
  </si>
  <si>
    <t>kellenhanna</t>
  </si>
  <si>
    <t>A00-24064</t>
  </si>
  <si>
    <t>83223185***</t>
  </si>
  <si>
    <t>A00-27259</t>
  </si>
  <si>
    <t>daliafrench</t>
  </si>
  <si>
    <t>A00-24066</t>
  </si>
  <si>
    <t>6284242073***</t>
  </si>
  <si>
    <t>A00-24991</t>
  </si>
  <si>
    <t>connorwalter</t>
  </si>
  <si>
    <t>6281272219***</t>
  </si>
  <si>
    <t>A00-26599</t>
  </si>
  <si>
    <t>yairhenderson</t>
  </si>
  <si>
    <t>10-03-1978</t>
  </si>
  <si>
    <t>0812-76280***</t>
  </si>
  <si>
    <t>A00-24686</t>
  </si>
  <si>
    <t>damienwolf</t>
  </si>
  <si>
    <t>A00-24075</t>
  </si>
  <si>
    <t>0842-16990***</t>
  </si>
  <si>
    <t>estebanstevenson</t>
  </si>
  <si>
    <t>0842-15353***</t>
  </si>
  <si>
    <t>A00-25284</t>
  </si>
  <si>
    <t>maciecarr</t>
  </si>
  <si>
    <t>A00-24078</t>
  </si>
  <si>
    <t>0832 13265***</t>
  </si>
  <si>
    <t>A00-24428</t>
  </si>
  <si>
    <t>jaylandavenport</t>
  </si>
  <si>
    <t>0852 90351***</t>
  </si>
  <si>
    <t>A00-27483</t>
  </si>
  <si>
    <t>zoeypierce</t>
  </si>
  <si>
    <t>A00-24081</t>
  </si>
  <si>
    <t>0812 92903***</t>
  </si>
  <si>
    <t>caitlynmayo</t>
  </si>
  <si>
    <t>A00-24083</t>
  </si>
  <si>
    <t>0812 81926***</t>
  </si>
  <si>
    <t>denzelshields</t>
  </si>
  <si>
    <t>A00-24084</t>
  </si>
  <si>
    <t>0822-16839***</t>
  </si>
  <si>
    <t>A00-25110</t>
  </si>
  <si>
    <t>arielmoyer</t>
  </si>
  <si>
    <t>A00-24085</t>
  </si>
  <si>
    <t>0822-70855***</t>
  </si>
  <si>
    <t>isaacdowns</t>
  </si>
  <si>
    <t>A00-24087</t>
  </si>
  <si>
    <t>842 62213***</t>
  </si>
  <si>
    <t>A00-26058</t>
  </si>
  <si>
    <t>maryhuynh</t>
  </si>
  <si>
    <t>A00-24089</t>
  </si>
  <si>
    <t>812 79820***</t>
  </si>
  <si>
    <t>abelhanson</t>
  </si>
  <si>
    <t>A00-24090</t>
  </si>
  <si>
    <t>085246174***</t>
  </si>
  <si>
    <t>A00-24211</t>
  </si>
  <si>
    <t>danebrandt</t>
  </si>
  <si>
    <t>A00-24091</t>
  </si>
  <si>
    <t>084261643***</t>
  </si>
  <si>
    <t>A00-24740</t>
  </si>
  <si>
    <t>katiebishop</t>
  </si>
  <si>
    <t>A00-24093</t>
  </si>
  <si>
    <t>084281582***</t>
  </si>
  <si>
    <t>A00-26753</t>
  </si>
  <si>
    <t>alenamccall</t>
  </si>
  <si>
    <t>084245773***</t>
  </si>
  <si>
    <t>A00-24964</t>
  </si>
  <si>
    <t>yoselincasey</t>
  </si>
  <si>
    <t>A00-24098</t>
  </si>
  <si>
    <t>85288244***</t>
  </si>
  <si>
    <t>A00-26202</t>
  </si>
  <si>
    <t>felixblackburn</t>
  </si>
  <si>
    <t>A00-24101</t>
  </si>
  <si>
    <t>81247442***</t>
  </si>
  <si>
    <t>A00-24662</t>
  </si>
  <si>
    <t>carsennewman</t>
  </si>
  <si>
    <t>82283204***</t>
  </si>
  <si>
    <t>A00-24165</t>
  </si>
  <si>
    <t>ricardoeverett</t>
  </si>
  <si>
    <t>6285215884***</t>
  </si>
  <si>
    <t>A00-26818</t>
  </si>
  <si>
    <t>kierragarcia</t>
  </si>
  <si>
    <t>A00-24107</t>
  </si>
  <si>
    <t>6285255524***</t>
  </si>
  <si>
    <t>A00-26549</t>
  </si>
  <si>
    <t>gustavoandrade</t>
  </si>
  <si>
    <t>A00-24114</t>
  </si>
  <si>
    <t>85236991***</t>
  </si>
  <si>
    <t>A00-24166</t>
  </si>
  <si>
    <t>jovannythompson</t>
  </si>
  <si>
    <t>85241914***</t>
  </si>
  <si>
    <t>A00-26105</t>
  </si>
  <si>
    <t>katelynnmaynard</t>
  </si>
  <si>
    <t>A00-24118</t>
  </si>
  <si>
    <t>85292189***</t>
  </si>
  <si>
    <t>A00-25875</t>
  </si>
  <si>
    <t>islapope</t>
  </si>
  <si>
    <t>6284249381***</t>
  </si>
  <si>
    <t>A00-27025</t>
  </si>
  <si>
    <t>armaniowen</t>
  </si>
  <si>
    <t>A00-24121</t>
  </si>
  <si>
    <t>6285254261***</t>
  </si>
  <si>
    <t>A00-24679</t>
  </si>
  <si>
    <t>micaelahuerta</t>
  </si>
  <si>
    <t>A00-24122</t>
  </si>
  <si>
    <t>0812-21863***</t>
  </si>
  <si>
    <t>A00-26266</t>
  </si>
  <si>
    <t>brianleonard</t>
  </si>
  <si>
    <t>A00-24126</t>
  </si>
  <si>
    <t>0852-24827***</t>
  </si>
  <si>
    <t>A00-25957</t>
  </si>
  <si>
    <t>cashbanks</t>
  </si>
  <si>
    <t>A00-24127</t>
  </si>
  <si>
    <t>0832-57716***</t>
  </si>
  <si>
    <t>A00-26081</t>
  </si>
  <si>
    <t>harleyspears</t>
  </si>
  <si>
    <t>A00-24128</t>
  </si>
  <si>
    <t>0832 14681***</t>
  </si>
  <si>
    <t>A00-26837</t>
  </si>
  <si>
    <t>liamatkinson</t>
  </si>
  <si>
    <t>A00-24133</t>
  </si>
  <si>
    <t>0822 48665***</t>
  </si>
  <si>
    <t>A00-26178</t>
  </si>
  <si>
    <t>royburch</t>
  </si>
  <si>
    <t>A00-24134</t>
  </si>
  <si>
    <t>0832 61296***</t>
  </si>
  <si>
    <t>andreacastillo</t>
  </si>
  <si>
    <t>A00-24139</t>
  </si>
  <si>
    <t>0852 70526***</t>
  </si>
  <si>
    <t>A00-25888</t>
  </si>
  <si>
    <t>zechariahwall</t>
  </si>
  <si>
    <t>A00-24140</t>
  </si>
  <si>
    <t>0822-15340***</t>
  </si>
  <si>
    <t>averirice</t>
  </si>
  <si>
    <t>A00-24141</t>
  </si>
  <si>
    <t>0812-50483***</t>
  </si>
  <si>
    <t>A00-27204</t>
  </si>
  <si>
    <t>carmenknox</t>
  </si>
  <si>
    <t>A00-24144</t>
  </si>
  <si>
    <t>832 25511***</t>
  </si>
  <si>
    <t>curtisrojas</t>
  </si>
  <si>
    <t>A00-24149</t>
  </si>
  <si>
    <t>832 40477***</t>
  </si>
  <si>
    <t>carissacolon</t>
  </si>
  <si>
    <t>083261697***</t>
  </si>
  <si>
    <t>A00-27027</t>
  </si>
  <si>
    <t>ryliebriggs</t>
  </si>
  <si>
    <t>A00-24152</t>
  </si>
  <si>
    <t>082242073***</t>
  </si>
  <si>
    <t>A00-26397</t>
  </si>
  <si>
    <t>ericamcknight</t>
  </si>
  <si>
    <t>A00-24155</t>
  </si>
  <si>
    <t>085244191***</t>
  </si>
  <si>
    <t>A00-27492</t>
  </si>
  <si>
    <t>jabarimoreno</t>
  </si>
  <si>
    <t>085223697***</t>
  </si>
  <si>
    <t>A00-26429</t>
  </si>
  <si>
    <t>madisynhancock</t>
  </si>
  <si>
    <t>A00-24158</t>
  </si>
  <si>
    <t>85247696***</t>
  </si>
  <si>
    <t>aliyashaffer</t>
  </si>
  <si>
    <t>A00-24162</t>
  </si>
  <si>
    <t>83251443***</t>
  </si>
  <si>
    <t>A00-25424</t>
  </si>
  <si>
    <t>franciscosummers</t>
  </si>
  <si>
    <t>A00-24163</t>
  </si>
  <si>
    <t>84284736***</t>
  </si>
  <si>
    <t>kalenorris</t>
  </si>
  <si>
    <t>6282286910***</t>
  </si>
  <si>
    <t>A00-25273</t>
  </si>
  <si>
    <t>reecehartman</t>
  </si>
  <si>
    <t>6285246186***</t>
  </si>
  <si>
    <t>adriennesandoval</t>
  </si>
  <si>
    <t>85257812***</t>
  </si>
  <si>
    <t>A00-26146</t>
  </si>
  <si>
    <t>joshstephenson</t>
  </si>
  <si>
    <t>10-03-1981</t>
  </si>
  <si>
    <t>83264837***</t>
  </si>
  <si>
    <t>A00-25973</t>
  </si>
  <si>
    <t>rylandpark</t>
  </si>
  <si>
    <t>85255354***</t>
  </si>
  <si>
    <t>ellisgreene</t>
  </si>
  <si>
    <t>A00-24173</t>
  </si>
  <si>
    <t>6284221000***</t>
  </si>
  <si>
    <t>A00-26198</t>
  </si>
  <si>
    <t>markhahn</t>
  </si>
  <si>
    <t>A00-24174</t>
  </si>
  <si>
    <t>6282271271***</t>
  </si>
  <si>
    <t>waynebeck</t>
  </si>
  <si>
    <t>A00-24175</t>
  </si>
  <si>
    <t>0812-44773***</t>
  </si>
  <si>
    <t>A00-26299</t>
  </si>
  <si>
    <t>leandrowhitehead</t>
  </si>
  <si>
    <t>A00-24177</t>
  </si>
  <si>
    <t>0812-92624***</t>
  </si>
  <si>
    <t>A00-24222</t>
  </si>
  <si>
    <t>daltongentry</t>
  </si>
  <si>
    <t>A00-24178</t>
  </si>
  <si>
    <t>10-05-1988</t>
  </si>
  <si>
    <t>0852-55972***</t>
  </si>
  <si>
    <t>timothyodom</t>
  </si>
  <si>
    <t>A00-24179</t>
  </si>
  <si>
    <t>0842 86158***</t>
  </si>
  <si>
    <t>A00-26323</t>
  </si>
  <si>
    <t>gretaglover</t>
  </si>
  <si>
    <t>A00-24180</t>
  </si>
  <si>
    <t>0842 37675***</t>
  </si>
  <si>
    <t>A00-26079</t>
  </si>
  <si>
    <t>elliottweber</t>
  </si>
  <si>
    <t>A00-24181</t>
  </si>
  <si>
    <t>0842 41146***</t>
  </si>
  <si>
    <t>A00-26365</t>
  </si>
  <si>
    <t>gunnarbrewer</t>
  </si>
  <si>
    <t>A00-24185</t>
  </si>
  <si>
    <t>0852 70382***</t>
  </si>
  <si>
    <t>sharonmorgan</t>
  </si>
  <si>
    <t>A00-24191</t>
  </si>
  <si>
    <t>0822-86668***</t>
  </si>
  <si>
    <t>A00-25710</t>
  </si>
  <si>
    <t>lindseyjefferson</t>
  </si>
  <si>
    <t>A00-24192</t>
  </si>
  <si>
    <t>0812-35868***</t>
  </si>
  <si>
    <t>A00-26714</t>
  </si>
  <si>
    <t>kelsieunderwood</t>
  </si>
  <si>
    <t>832 46869***</t>
  </si>
  <si>
    <t>braydonkrause</t>
  </si>
  <si>
    <t>A00-24195</t>
  </si>
  <si>
    <t>822 32627***</t>
  </si>
  <si>
    <t>tobybauer</t>
  </si>
  <si>
    <t>085275259***</t>
  </si>
  <si>
    <t>A00-26424</t>
  </si>
  <si>
    <t>paulinavazquez</t>
  </si>
  <si>
    <t>A00-24202</t>
  </si>
  <si>
    <t>085229781***</t>
  </si>
  <si>
    <t>A00-27237</t>
  </si>
  <si>
    <t>abdielblair</t>
  </si>
  <si>
    <t>A00-24203</t>
  </si>
  <si>
    <t>085245542***</t>
  </si>
  <si>
    <t>A00-25978</t>
  </si>
  <si>
    <t>lucilleromero</t>
  </si>
  <si>
    <t>A00-24204</t>
  </si>
  <si>
    <t>081266801***</t>
  </si>
  <si>
    <t>A00-25555</t>
  </si>
  <si>
    <t>rubylutz</t>
  </si>
  <si>
    <t>84282843***</t>
  </si>
  <si>
    <t>paulinastone</t>
  </si>
  <si>
    <t>81272321***</t>
  </si>
  <si>
    <t>madelinehuff</t>
  </si>
  <si>
    <t>A00-24210</t>
  </si>
  <si>
    <t>85252682***</t>
  </si>
  <si>
    <t>karlimeyers</t>
  </si>
  <si>
    <t>6282263757***</t>
  </si>
  <si>
    <t>ethenfritz</t>
  </si>
  <si>
    <t>A00-24212</t>
  </si>
  <si>
    <t>6281297753***</t>
  </si>
  <si>
    <t>alonsocabrera</t>
  </si>
  <si>
    <t>85290596***</t>
  </si>
  <si>
    <t>A00-27097</t>
  </si>
  <si>
    <t>kadenfinley</t>
  </si>
  <si>
    <t>A00-24214</t>
  </si>
  <si>
    <t>82251000***</t>
  </si>
  <si>
    <t>A00-25659</t>
  </si>
  <si>
    <t>walkerschmidt</t>
  </si>
  <si>
    <t>82265863***</t>
  </si>
  <si>
    <t>A00-25658</t>
  </si>
  <si>
    <t>brianabowen</t>
  </si>
  <si>
    <t>A00-24217</t>
  </si>
  <si>
    <t>6283234900***</t>
  </si>
  <si>
    <t>emmali</t>
  </si>
  <si>
    <t>6284257783***</t>
  </si>
  <si>
    <t>A00-26377</t>
  </si>
  <si>
    <t>luciaprince</t>
  </si>
  <si>
    <t>0852-20778***</t>
  </si>
  <si>
    <t>A00-24636</t>
  </si>
  <si>
    <t>brycenroach</t>
  </si>
  <si>
    <t>A00-24223</t>
  </si>
  <si>
    <t>0822-17617***</t>
  </si>
  <si>
    <t>A00-24344</t>
  </si>
  <si>
    <t>malloryewing</t>
  </si>
  <si>
    <t>A00-24225</t>
  </si>
  <si>
    <t>0812-50376***</t>
  </si>
  <si>
    <t>A00-27093</t>
  </si>
  <si>
    <t>reganyates</t>
  </si>
  <si>
    <t>A00-24228</t>
  </si>
  <si>
    <t>0822 95113***</t>
  </si>
  <si>
    <t>A00-25596</t>
  </si>
  <si>
    <t>gaigewalls</t>
  </si>
  <si>
    <t>A00-24229</t>
  </si>
  <si>
    <t>0852 33013***</t>
  </si>
  <si>
    <t>russellnicholson</t>
  </si>
  <si>
    <t>0812 45297***</t>
  </si>
  <si>
    <t>A00-26593</t>
  </si>
  <si>
    <t>sierraoconnor</t>
  </si>
  <si>
    <t>0832 84636***</t>
  </si>
  <si>
    <t>A00-25715</t>
  </si>
  <si>
    <t>christinelawson</t>
  </si>
  <si>
    <t>0842-77047***</t>
  </si>
  <si>
    <t>A00-26580</t>
  </si>
  <si>
    <t>liliannazuniga</t>
  </si>
  <si>
    <t>A00-24236</t>
  </si>
  <si>
    <t>0832-93772***</t>
  </si>
  <si>
    <t>ianfarrell</t>
  </si>
  <si>
    <t>A00-24237</t>
  </si>
  <si>
    <t>822 46930***</t>
  </si>
  <si>
    <t>catalinapreston</t>
  </si>
  <si>
    <t>A00-24238</t>
  </si>
  <si>
    <t>832 18901***</t>
  </si>
  <si>
    <t>A00-27255</t>
  </si>
  <si>
    <t>catherinewoodward</t>
  </si>
  <si>
    <t>081243921***</t>
  </si>
  <si>
    <t>A00-24995</t>
  </si>
  <si>
    <t>ernestogallagher</t>
  </si>
  <si>
    <t>084211894***</t>
  </si>
  <si>
    <t>A00-25384</t>
  </si>
  <si>
    <t>evestanton</t>
  </si>
  <si>
    <t>A00-24241</t>
  </si>
  <si>
    <t>084229946***</t>
  </si>
  <si>
    <t>jovanrobertson</t>
  </si>
  <si>
    <t>A00-24243</t>
  </si>
  <si>
    <t>085295107***</t>
  </si>
  <si>
    <t>A00-25440</t>
  </si>
  <si>
    <t>aspenmathews</t>
  </si>
  <si>
    <t>81281318***</t>
  </si>
  <si>
    <t>loganmoore</t>
  </si>
  <si>
    <t>85249587***</t>
  </si>
  <si>
    <t>A00-24764</t>
  </si>
  <si>
    <t>moniquemorse</t>
  </si>
  <si>
    <t>83268886***</t>
  </si>
  <si>
    <t>trevoreaton</t>
  </si>
  <si>
    <t>A00-24249</t>
  </si>
  <si>
    <t>6281290284***</t>
  </si>
  <si>
    <t>A00-25215</t>
  </si>
  <si>
    <t>quincyfowler</t>
  </si>
  <si>
    <t>A00-24251</t>
  </si>
  <si>
    <t>6283267849***</t>
  </si>
  <si>
    <t>leonbuckley</t>
  </si>
  <si>
    <t>A00-24253</t>
  </si>
  <si>
    <t>84254747***</t>
  </si>
  <si>
    <t>callieparrish</t>
  </si>
  <si>
    <t>84273981***</t>
  </si>
  <si>
    <t>felipepalmer</t>
  </si>
  <si>
    <t>85267780***</t>
  </si>
  <si>
    <t>A00-26954</t>
  </si>
  <si>
    <t>arabellaarcher</t>
  </si>
  <si>
    <t>A00-24257</t>
  </si>
  <si>
    <t>6281221485***</t>
  </si>
  <si>
    <t>A00-25144</t>
  </si>
  <si>
    <t>siennacowan</t>
  </si>
  <si>
    <t>A00-24260</t>
  </si>
  <si>
    <t>6283282102***</t>
  </si>
  <si>
    <t>A00-26924</t>
  </si>
  <si>
    <t>myacosta</t>
  </si>
  <si>
    <t>0812-54770***</t>
  </si>
  <si>
    <t>A00-25868</t>
  </si>
  <si>
    <t>justicecastaneda</t>
  </si>
  <si>
    <t>A00-24262</t>
  </si>
  <si>
    <t>0842-47971***</t>
  </si>
  <si>
    <t>A00-27130</t>
  </si>
  <si>
    <t>clarissaestes</t>
  </si>
  <si>
    <t>0852-48736***</t>
  </si>
  <si>
    <t>tyroneherman</t>
  </si>
  <si>
    <t>A00-24264</t>
  </si>
  <si>
    <t>0822 37175***</t>
  </si>
  <si>
    <t>A00-24651</t>
  </si>
  <si>
    <t>laylahmontoya</t>
  </si>
  <si>
    <t>A00-24268</t>
  </si>
  <si>
    <t>0812 35229***</t>
  </si>
  <si>
    <t>A00-26752</t>
  </si>
  <si>
    <t>titusnash</t>
  </si>
  <si>
    <t>A00-24269</t>
  </si>
  <si>
    <t>0822 87347***</t>
  </si>
  <si>
    <t>ximenawinters</t>
  </si>
  <si>
    <t>0832 29913***</t>
  </si>
  <si>
    <t>A00-27236</t>
  </si>
  <si>
    <t>scarlettmichael</t>
  </si>
  <si>
    <t>A00-24273</t>
  </si>
  <si>
    <t>0852-73932***</t>
  </si>
  <si>
    <t>A00-24274</t>
  </si>
  <si>
    <t>ashleepitts</t>
  </si>
  <si>
    <t>0842-43714***</t>
  </si>
  <si>
    <t>A00-26177</t>
  </si>
  <si>
    <t>dustinmedina</t>
  </si>
  <si>
    <t>812 96252***</t>
  </si>
  <si>
    <t>A00-25353</t>
  </si>
  <si>
    <t>cruzdawson</t>
  </si>
  <si>
    <t>A00-24276</t>
  </si>
  <si>
    <t>832 90311***</t>
  </si>
  <si>
    <t>A00-27320</t>
  </si>
  <si>
    <t>janessasimon</t>
  </si>
  <si>
    <t>A00-24277</t>
  </si>
  <si>
    <t>083223590***</t>
  </si>
  <si>
    <t>A00-25089</t>
  </si>
  <si>
    <t>lindacontreras</t>
  </si>
  <si>
    <t>A00-24278</t>
  </si>
  <si>
    <t>084254280***</t>
  </si>
  <si>
    <t>A00-25299</t>
  </si>
  <si>
    <t>lucilleperez</t>
  </si>
  <si>
    <t>083266752***</t>
  </si>
  <si>
    <t>sagechurch</t>
  </si>
  <si>
    <t>A00-24280</t>
  </si>
  <si>
    <t>081256191***</t>
  </si>
  <si>
    <t>A00-27264</t>
  </si>
  <si>
    <t>phoenixguzman</t>
  </si>
  <si>
    <t>84289557***</t>
  </si>
  <si>
    <t>A00-24650</t>
  </si>
  <si>
    <t>aliciakim</t>
  </si>
  <si>
    <t>A00-24282</t>
  </si>
  <si>
    <t>81279532***</t>
  </si>
  <si>
    <t>angelsandoval</t>
  </si>
  <si>
    <t>84226532***</t>
  </si>
  <si>
    <t>alijahshort</t>
  </si>
  <si>
    <t>A00-24288</t>
  </si>
  <si>
    <t>6282267923***</t>
  </si>
  <si>
    <t>A00-26888</t>
  </si>
  <si>
    <t>joelprince</t>
  </si>
  <si>
    <t>A00-24289</t>
  </si>
  <si>
    <t>6283227708***</t>
  </si>
  <si>
    <t>A00-26469</t>
  </si>
  <si>
    <t>kylefarley</t>
  </si>
  <si>
    <t>82230865***</t>
  </si>
  <si>
    <t>A00-24814</t>
  </si>
  <si>
    <t>travisodom</t>
  </si>
  <si>
    <t>82282229***</t>
  </si>
  <si>
    <t>A00-26482</t>
  </si>
  <si>
    <t>maritzahale</t>
  </si>
  <si>
    <t>A00-24296</t>
  </si>
  <si>
    <t>82216749***</t>
  </si>
  <si>
    <t>A00-25873</t>
  </si>
  <si>
    <t>charlizepotts</t>
  </si>
  <si>
    <t>A00-24297</t>
  </si>
  <si>
    <t>6283257180***</t>
  </si>
  <si>
    <t>A00-27490</t>
  </si>
  <si>
    <t>adolfofitzgerald</t>
  </si>
  <si>
    <t>A00-24299</t>
  </si>
  <si>
    <t>6283231805***</t>
  </si>
  <si>
    <t>jonasholder</t>
  </si>
  <si>
    <t>A00-24300</t>
  </si>
  <si>
    <t>0812-46715***</t>
  </si>
  <si>
    <t>A00-26209</t>
  </si>
  <si>
    <t>kobefrey</t>
  </si>
  <si>
    <t>A00-24302</t>
  </si>
  <si>
    <t>0822-95519***</t>
  </si>
  <si>
    <t>jaylinsnow</t>
  </si>
  <si>
    <t>A00-24304</t>
  </si>
  <si>
    <t>0852-62658***</t>
  </si>
  <si>
    <t>A00-25629</t>
  </si>
  <si>
    <t>sinceremathis</t>
  </si>
  <si>
    <t>0832 26071***</t>
  </si>
  <si>
    <t>elianachase</t>
  </si>
  <si>
    <t>A00-24310</t>
  </si>
  <si>
    <t>0852 78564***</t>
  </si>
  <si>
    <t>A00-24416</t>
  </si>
  <si>
    <t>aylakirk</t>
  </si>
  <si>
    <t>A00-24312</t>
  </si>
  <si>
    <t>0852 67528***</t>
  </si>
  <si>
    <t>hollywagner</t>
  </si>
  <si>
    <t>A00-24315</t>
  </si>
  <si>
    <t>0832 69862***</t>
  </si>
  <si>
    <t>A00-24410</t>
  </si>
  <si>
    <t>jaedencantrell</t>
  </si>
  <si>
    <t>A00-24316</t>
  </si>
  <si>
    <t>0842-91407***</t>
  </si>
  <si>
    <t>A00-25057</t>
  </si>
  <si>
    <t>denissewalsh</t>
  </si>
  <si>
    <t>A00-24319</t>
  </si>
  <si>
    <t>0842-43151***</t>
  </si>
  <si>
    <t>A00-25768</t>
  </si>
  <si>
    <t>tarabass</t>
  </si>
  <si>
    <t>A00-24320</t>
  </si>
  <si>
    <t>852 11988***</t>
  </si>
  <si>
    <t>A00-25090</t>
  </si>
  <si>
    <t>kianacherry</t>
  </si>
  <si>
    <t>A00-24322</t>
  </si>
  <si>
    <t>812 94685***</t>
  </si>
  <si>
    <t>chanelmccarty</t>
  </si>
  <si>
    <t>081251029***</t>
  </si>
  <si>
    <t>A00-24655</t>
  </si>
  <si>
    <t>carlfrank</t>
  </si>
  <si>
    <t>082290266***</t>
  </si>
  <si>
    <t>A00-24561</t>
  </si>
  <si>
    <t>brooksbarrera</t>
  </si>
  <si>
    <t>A00-24330</t>
  </si>
  <si>
    <t>085225331***</t>
  </si>
  <si>
    <t>A00-25653</t>
  </si>
  <si>
    <t>mylesbuck</t>
  </si>
  <si>
    <t>085286512***</t>
  </si>
  <si>
    <t>A00-24446</t>
  </si>
  <si>
    <t>shaniyacampbell</t>
  </si>
  <si>
    <t>A00-24333</t>
  </si>
  <si>
    <t>82266085***</t>
  </si>
  <si>
    <t>leahmcneil</t>
  </si>
  <si>
    <t>A00-24338</t>
  </si>
  <si>
    <t>81246011***</t>
  </si>
  <si>
    <t>A00-25170</t>
  </si>
  <si>
    <t>nikolaskent</t>
  </si>
  <si>
    <t>83232457***</t>
  </si>
  <si>
    <t>baileepeterson</t>
  </si>
  <si>
    <t>A00-24343</t>
  </si>
  <si>
    <t>6283271559***</t>
  </si>
  <si>
    <t>A00-25901</t>
  </si>
  <si>
    <t>rickysolomon</t>
  </si>
  <si>
    <t>6284267521***</t>
  </si>
  <si>
    <t>A00-24958</t>
  </si>
  <si>
    <t>cedrichenson</t>
  </si>
  <si>
    <t>83242849***</t>
  </si>
  <si>
    <t>A00-24822</t>
  </si>
  <si>
    <t>laytonchang</t>
  </si>
  <si>
    <t>A00-24348</t>
  </si>
  <si>
    <t>83279739***</t>
  </si>
  <si>
    <t>A00-27403</t>
  </si>
  <si>
    <t>raelynnjenkins</t>
  </si>
  <si>
    <t>A00-24349</t>
  </si>
  <si>
    <t>83288028***</t>
  </si>
  <si>
    <t>A00-25465</t>
  </si>
  <si>
    <t>meghanmorrow</t>
  </si>
  <si>
    <t>6283221776***</t>
  </si>
  <si>
    <t>kareemclark</t>
  </si>
  <si>
    <t>A00-24354</t>
  </si>
  <si>
    <t>6282284969***</t>
  </si>
  <si>
    <t>A00-24892</t>
  </si>
  <si>
    <t>rodneysawyer</t>
  </si>
  <si>
    <t>A00-24355</t>
  </si>
  <si>
    <t>0812-98526***</t>
  </si>
  <si>
    <t>A00-26127</t>
  </si>
  <si>
    <t>irelandhancock</t>
  </si>
  <si>
    <t>A00-24357</t>
  </si>
  <si>
    <t>0822-93535***</t>
  </si>
  <si>
    <t>mauriciodillon</t>
  </si>
  <si>
    <t>A00-24360</t>
  </si>
  <si>
    <t>0852-70723***</t>
  </si>
  <si>
    <t>A00-26989</t>
  </si>
  <si>
    <t>maliyahcarter</t>
  </si>
  <si>
    <t>A00-24362</t>
  </si>
  <si>
    <t>0842 75083***</t>
  </si>
  <si>
    <t>A00-25039</t>
  </si>
  <si>
    <t>malikmcconnell</t>
  </si>
  <si>
    <t>A00-24363</t>
  </si>
  <si>
    <t>0832 66780***</t>
  </si>
  <si>
    <t>A00-25173</t>
  </si>
  <si>
    <t>claudiaclark</t>
  </si>
  <si>
    <t>A00-24364</t>
  </si>
  <si>
    <t>0822 13302***</t>
  </si>
  <si>
    <t>A00-25898</t>
  </si>
  <si>
    <t>braylenfinley</t>
  </si>
  <si>
    <t>A00-24365</t>
  </si>
  <si>
    <t>0812 87412***</t>
  </si>
  <si>
    <t>A00-24422</t>
  </si>
  <si>
    <t>justiceandrews</t>
  </si>
  <si>
    <t>A00-24367</t>
  </si>
  <si>
    <t>0822-20790***</t>
  </si>
  <si>
    <t>A00-26918</t>
  </si>
  <si>
    <t>dustinsellers</t>
  </si>
  <si>
    <t>A00-24369</t>
  </si>
  <si>
    <t>0842-48494***</t>
  </si>
  <si>
    <t>A00-25507</t>
  </si>
  <si>
    <t>duncanbarnes</t>
  </si>
  <si>
    <t>A00-24370</t>
  </si>
  <si>
    <t>852 95735***</t>
  </si>
  <si>
    <t>A00-27444</t>
  </si>
  <si>
    <t>anyabarnes</t>
  </si>
  <si>
    <t>10-01-1973</t>
  </si>
  <si>
    <t>832 49326***</t>
  </si>
  <si>
    <t>katrinabanks</t>
  </si>
  <si>
    <t>082237769***</t>
  </si>
  <si>
    <t>A00-25337</t>
  </si>
  <si>
    <t>allisonleach</t>
  </si>
  <si>
    <t>A00-24375</t>
  </si>
  <si>
    <t>083242459***</t>
  </si>
  <si>
    <t>garrettmontoya</t>
  </si>
  <si>
    <t>082238237***</t>
  </si>
  <si>
    <t>A00-27290</t>
  </si>
  <si>
    <t>phoenixproctor</t>
  </si>
  <si>
    <t>A00-24378</t>
  </si>
  <si>
    <t>085232582***</t>
  </si>
  <si>
    <t>A00-25628</t>
  </si>
  <si>
    <t>kellybenitez</t>
  </si>
  <si>
    <t>82274783***</t>
  </si>
  <si>
    <t>A00-26500</t>
  </si>
  <si>
    <t>lancepennington</t>
  </si>
  <si>
    <t>10-05-1977</t>
  </si>
  <si>
    <t>83234906***</t>
  </si>
  <si>
    <t>A00-27120</t>
  </si>
  <si>
    <t>ignaciogriffin</t>
  </si>
  <si>
    <t>82268750***</t>
  </si>
  <si>
    <t>kareemcampbell</t>
  </si>
  <si>
    <t>A00-24384</t>
  </si>
  <si>
    <t>6285224771***</t>
  </si>
  <si>
    <t>A00-25031</t>
  </si>
  <si>
    <t>emerylang</t>
  </si>
  <si>
    <t>A00-24385</t>
  </si>
  <si>
    <t>6283219963***</t>
  </si>
  <si>
    <t>A00-25622</t>
  </si>
  <si>
    <t>mckenzieroman</t>
  </si>
  <si>
    <t>A00-24387</t>
  </si>
  <si>
    <t>81289616***</t>
  </si>
  <si>
    <t>A00-27391</t>
  </si>
  <si>
    <t>emilymoyer</t>
  </si>
  <si>
    <t>85227651***</t>
  </si>
  <si>
    <t>A00-26233</t>
  </si>
  <si>
    <t>chasityhoover</t>
  </si>
  <si>
    <t>84274389***</t>
  </si>
  <si>
    <t>A00-25266</t>
  </si>
  <si>
    <t>zoeymonroe</t>
  </si>
  <si>
    <t>A00-24391</t>
  </si>
  <si>
    <t>6283280930***</t>
  </si>
  <si>
    <t>andersonswanson</t>
  </si>
  <si>
    <t>A00-24392</t>
  </si>
  <si>
    <t>6282241513***</t>
  </si>
  <si>
    <t>A00-27176</t>
  </si>
  <si>
    <t>zaidenroberts</t>
  </si>
  <si>
    <t>A00-24397</t>
  </si>
  <si>
    <t>0822-12734***</t>
  </si>
  <si>
    <t>A00-25940</t>
  </si>
  <si>
    <t>reesetaylor</t>
  </si>
  <si>
    <t>A00-24398</t>
  </si>
  <si>
    <t>0852-90152***</t>
  </si>
  <si>
    <t>A00-25698</t>
  </si>
  <si>
    <t>dahliafry</t>
  </si>
  <si>
    <t>A00-24400</t>
  </si>
  <si>
    <t>0852-94237***</t>
  </si>
  <si>
    <t>kamaripennington</t>
  </si>
  <si>
    <t>A00-24401</t>
  </si>
  <si>
    <t>0822 79563***</t>
  </si>
  <si>
    <t>zaniyahlee</t>
  </si>
  <si>
    <t>A00-24402</t>
  </si>
  <si>
    <t>0832 84267***</t>
  </si>
  <si>
    <t>camryndurham</t>
  </si>
  <si>
    <t>A00-24403</t>
  </si>
  <si>
    <t>0822 53786***</t>
  </si>
  <si>
    <t>A00-26990</t>
  </si>
  <si>
    <t>melanyfranco</t>
  </si>
  <si>
    <t>0822 83393***</t>
  </si>
  <si>
    <t>A00-26149</t>
  </si>
  <si>
    <t>annehood</t>
  </si>
  <si>
    <t>A00-24405</t>
  </si>
  <si>
    <t>0832-80707***</t>
  </si>
  <si>
    <t>A00-26437</t>
  </si>
  <si>
    <t>aprilmann</t>
  </si>
  <si>
    <t>0822-20878***</t>
  </si>
  <si>
    <t>jaserichardson</t>
  </si>
  <si>
    <t>832 49313***</t>
  </si>
  <si>
    <t>A00-25206</t>
  </si>
  <si>
    <t>garyescobar</t>
  </si>
  <si>
    <t>852 35760***</t>
  </si>
  <si>
    <t>A00-25865</t>
  </si>
  <si>
    <t>rylandromero</t>
  </si>
  <si>
    <t>082279707***</t>
  </si>
  <si>
    <t>A00-25212</t>
  </si>
  <si>
    <t>ninamyers</t>
  </si>
  <si>
    <t>082270706***</t>
  </si>
  <si>
    <t>markroman</t>
  </si>
  <si>
    <t>081262410***</t>
  </si>
  <si>
    <t>A00-24494</t>
  </si>
  <si>
    <t>sherlynatkinson</t>
  </si>
  <si>
    <t>084236802***</t>
  </si>
  <si>
    <t>A00-25867</t>
  </si>
  <si>
    <t>konnormiranda</t>
  </si>
  <si>
    <t>A00-24420</t>
  </si>
  <si>
    <t>83238170***</t>
  </si>
  <si>
    <t>annabellee</t>
  </si>
  <si>
    <t>84296235***</t>
  </si>
  <si>
    <t>A00-25614</t>
  </si>
  <si>
    <t>brodydudley</t>
  </si>
  <si>
    <t>85251736***</t>
  </si>
  <si>
    <t>A00-25981</t>
  </si>
  <si>
    <t>eliasweeks</t>
  </si>
  <si>
    <t>A00-24424</t>
  </si>
  <si>
    <t>6283251943***</t>
  </si>
  <si>
    <t>A00-25235</t>
  </si>
  <si>
    <t>noemilutz</t>
  </si>
  <si>
    <t>A00-24426</t>
  </si>
  <si>
    <t>6283246475***</t>
  </si>
  <si>
    <t>haileydavis</t>
  </si>
  <si>
    <t>84257630***</t>
  </si>
  <si>
    <t>A00-25068</t>
  </si>
  <si>
    <t>acecox</t>
  </si>
  <si>
    <t>85234514***</t>
  </si>
  <si>
    <t>A00-25106</t>
  </si>
  <si>
    <t>taliyahknox</t>
  </si>
  <si>
    <t>85241621***</t>
  </si>
  <si>
    <t>kadencecuevas</t>
  </si>
  <si>
    <t>A00-24431</t>
  </si>
  <si>
    <t>6283249265***</t>
  </si>
  <si>
    <t>jamirpittman</t>
  </si>
  <si>
    <t>A00-24433</t>
  </si>
  <si>
    <t>6282212996***</t>
  </si>
  <si>
    <t>alfonsobaker</t>
  </si>
  <si>
    <t>A00-24434</t>
  </si>
  <si>
    <t>0842-66547***</t>
  </si>
  <si>
    <t>A00-26157</t>
  </si>
  <si>
    <t>dayanararaymond</t>
  </si>
  <si>
    <t>A00-24435</t>
  </si>
  <si>
    <t>0822-46528***</t>
  </si>
  <si>
    <t>A00-24852</t>
  </si>
  <si>
    <t>noahsimpson</t>
  </si>
  <si>
    <t>0852-38641***</t>
  </si>
  <si>
    <t>A00-27143</t>
  </si>
  <si>
    <t>zoeyterrell</t>
  </si>
  <si>
    <t>0852 76754***</t>
  </si>
  <si>
    <t>A00-26106</t>
  </si>
  <si>
    <t>caseystone</t>
  </si>
  <si>
    <t>A00-24438</t>
  </si>
  <si>
    <t>0822 21771***</t>
  </si>
  <si>
    <t>A00-25806</t>
  </si>
  <si>
    <t>angelofrancis</t>
  </si>
  <si>
    <t>0852 67236***</t>
  </si>
  <si>
    <t>A00-26718</t>
  </si>
  <si>
    <t>leiabranch</t>
  </si>
  <si>
    <t>0832 33133***</t>
  </si>
  <si>
    <t>A00-26137</t>
  </si>
  <si>
    <t>kirstengoodman</t>
  </si>
  <si>
    <t>0832-96814***</t>
  </si>
  <si>
    <t>braylengordon</t>
  </si>
  <si>
    <t>0842-55364***</t>
  </si>
  <si>
    <t>marshallcallahan</t>
  </si>
  <si>
    <t>A00-24448</t>
  </si>
  <si>
    <t>822 21054***</t>
  </si>
  <si>
    <t>laytonnunez</t>
  </si>
  <si>
    <t>A00-24449</t>
  </si>
  <si>
    <t>852 91443***</t>
  </si>
  <si>
    <t>A00-26102</t>
  </si>
  <si>
    <t>armandofigueroa</t>
  </si>
  <si>
    <t>083218517***</t>
  </si>
  <si>
    <t>myarasmussen</t>
  </si>
  <si>
    <t>084247319***</t>
  </si>
  <si>
    <t>A00-26212</t>
  </si>
  <si>
    <t>elysevang</t>
  </si>
  <si>
    <t>A00-24458</t>
  </si>
  <si>
    <t>084227849***</t>
  </si>
  <si>
    <t>A00-27287</t>
  </si>
  <si>
    <t>tatianapace</t>
  </si>
  <si>
    <t>085226773***</t>
  </si>
  <si>
    <t>A00-27037</t>
  </si>
  <si>
    <t>kimoravargas</t>
  </si>
  <si>
    <t>82218729***</t>
  </si>
  <si>
    <t>A00-26275</t>
  </si>
  <si>
    <t>andyvalenzuela</t>
  </si>
  <si>
    <t>A00-24463</t>
  </si>
  <si>
    <t>83224118***</t>
  </si>
  <si>
    <t>A00-25553</t>
  </si>
  <si>
    <t>evelynparsons</t>
  </si>
  <si>
    <t>A00-24464</t>
  </si>
  <si>
    <t>82261437***</t>
  </si>
  <si>
    <t>A00-25657</t>
  </si>
  <si>
    <t>kaileeknapp</t>
  </si>
  <si>
    <t>A00-24466</t>
  </si>
  <si>
    <t>6283249072***</t>
  </si>
  <si>
    <t>essencewilliamson</t>
  </si>
  <si>
    <t>A00-24468</t>
  </si>
  <si>
    <t>6284236300***</t>
  </si>
  <si>
    <t>A00-25470</t>
  </si>
  <si>
    <t>keyongood</t>
  </si>
  <si>
    <t>A00-24469</t>
  </si>
  <si>
    <t>84276617***</t>
  </si>
  <si>
    <t>A00-25761</t>
  </si>
  <si>
    <t>wadeballard</t>
  </si>
  <si>
    <t>A00-24471</t>
  </si>
  <si>
    <t>81282129***</t>
  </si>
  <si>
    <t>A00-26480</t>
  </si>
  <si>
    <t>havencohen</t>
  </si>
  <si>
    <t>A00-24473</t>
  </si>
  <si>
    <t>84291852***</t>
  </si>
  <si>
    <t>A00-25124</t>
  </si>
  <si>
    <t>laurenwalters</t>
  </si>
  <si>
    <t>A00-24475</t>
  </si>
  <si>
    <t>6284263311***</t>
  </si>
  <si>
    <t>A00-25801</t>
  </si>
  <si>
    <t>janetmontes</t>
  </si>
  <si>
    <t>6282238117***</t>
  </si>
  <si>
    <t>brennenayala</t>
  </si>
  <si>
    <t>A00-24481</t>
  </si>
  <si>
    <t>0812-43678***</t>
  </si>
  <si>
    <t>paitynnavarro</t>
  </si>
  <si>
    <t>A00-24483</t>
  </si>
  <si>
    <t>0812-82255***</t>
  </si>
  <si>
    <t>A00-25501</t>
  </si>
  <si>
    <t>genesisdowns</t>
  </si>
  <si>
    <t>0842-77503***</t>
  </si>
  <si>
    <t>A00-26723</t>
  </si>
  <si>
    <t>anabellepace</t>
  </si>
  <si>
    <t>A00-24487</t>
  </si>
  <si>
    <t>0832 79436***</t>
  </si>
  <si>
    <t>A00-26974</t>
  </si>
  <si>
    <t>elliotchang</t>
  </si>
  <si>
    <t>0852 64313***</t>
  </si>
  <si>
    <t>alexasteele</t>
  </si>
  <si>
    <t>0812 30650***</t>
  </si>
  <si>
    <t>A00-26803</t>
  </si>
  <si>
    <t>memphisjimenez</t>
  </si>
  <si>
    <t>0832 26469***</t>
  </si>
  <si>
    <t>joshrandolph</t>
  </si>
  <si>
    <t>0852-15197***</t>
  </si>
  <si>
    <t>remingtonoliver</t>
  </si>
  <si>
    <t>0812-67809***</t>
  </si>
  <si>
    <t>A00-26154</t>
  </si>
  <si>
    <t>kamoragray</t>
  </si>
  <si>
    <t>A00-24495</t>
  </si>
  <si>
    <t>842 65473***</t>
  </si>
  <si>
    <t>abdullahvaughan</t>
  </si>
  <si>
    <t>A00-24496</t>
  </si>
  <si>
    <t>832 53606***</t>
  </si>
  <si>
    <t>A00-25369</t>
  </si>
  <si>
    <t>summermccormick</t>
  </si>
  <si>
    <t>A00-24497</t>
  </si>
  <si>
    <t>081233837***</t>
  </si>
  <si>
    <t>desmondlivingston</t>
  </si>
  <si>
    <t>A00-24501</t>
  </si>
  <si>
    <t>084214669***</t>
  </si>
  <si>
    <t>A00-25899</t>
  </si>
  <si>
    <t>jacquelyncunningham</t>
  </si>
  <si>
    <t>A00-24503</t>
  </si>
  <si>
    <t>081289006***</t>
  </si>
  <si>
    <t>juliuswolf</t>
  </si>
  <si>
    <t>A00-24504</t>
  </si>
  <si>
    <t>085284406***</t>
  </si>
  <si>
    <t>A00-25304</t>
  </si>
  <si>
    <t>jaydonsutton</t>
  </si>
  <si>
    <t>A00-24505</t>
  </si>
  <si>
    <t>83275981***</t>
  </si>
  <si>
    <t>A00-25534</t>
  </si>
  <si>
    <t>maddoxacevedo</t>
  </si>
  <si>
    <t>A00-24506</t>
  </si>
  <si>
    <t>84276338***</t>
  </si>
  <si>
    <t>leewhite</t>
  </si>
  <si>
    <t>83242447***</t>
  </si>
  <si>
    <t>nolantaylor</t>
  </si>
  <si>
    <t>A00-24511</t>
  </si>
  <si>
    <t>6284259709***</t>
  </si>
  <si>
    <t>aimeemcintyre</t>
  </si>
  <si>
    <t>A00-24512</t>
  </si>
  <si>
    <t>6284279075***</t>
  </si>
  <si>
    <t>A00-26134</t>
  </si>
  <si>
    <t>davidnovak</t>
  </si>
  <si>
    <t>82255114***</t>
  </si>
  <si>
    <t>A00-25172</t>
  </si>
  <si>
    <t>jordanbryant</t>
  </si>
  <si>
    <t>A00-24514</t>
  </si>
  <si>
    <t>85239861***</t>
  </si>
  <si>
    <t>A00-25419</t>
  </si>
  <si>
    <t>giovaniirwin</t>
  </si>
  <si>
    <t>A00-24515</t>
  </si>
  <si>
    <t>81227516***</t>
  </si>
  <si>
    <t>A00-27210</t>
  </si>
  <si>
    <t>augustusvance</t>
  </si>
  <si>
    <t>A00-24517</t>
  </si>
  <si>
    <t>6285213963***</t>
  </si>
  <si>
    <t>A00-25174</t>
  </si>
  <si>
    <t>felixnovak</t>
  </si>
  <si>
    <t>6285239288***</t>
  </si>
  <si>
    <t>tristendalton</t>
  </si>
  <si>
    <t>A00-24519</t>
  </si>
  <si>
    <t>0842-85282***</t>
  </si>
  <si>
    <t>A00-26586</t>
  </si>
  <si>
    <t>marcosatkins</t>
  </si>
  <si>
    <t>A00-24523</t>
  </si>
  <si>
    <t>0822-62078***</t>
  </si>
  <si>
    <t>A00-25024</t>
  </si>
  <si>
    <t xml:space="preserve">To be a Qulity Ansurance Manager </t>
  </si>
  <si>
    <t>tommystrickland</t>
  </si>
  <si>
    <t>A00-24526</t>
  </si>
  <si>
    <t>0812-17854***</t>
  </si>
  <si>
    <t>darienduran</t>
  </si>
  <si>
    <t>A00-24528</t>
  </si>
  <si>
    <t>0812 39507***</t>
  </si>
  <si>
    <t>A00-26167</t>
  </si>
  <si>
    <t xml:space="preserve">To be a Sales &amp; Marketing Associate </t>
  </si>
  <si>
    <t>jaliyahmcbride</t>
  </si>
  <si>
    <t>0852 84224***</t>
  </si>
  <si>
    <t>brynnmueller</t>
  </si>
  <si>
    <t>A00-24530</t>
  </si>
  <si>
    <t>0812 54824***</t>
  </si>
  <si>
    <t>A00-26630</t>
  </si>
  <si>
    <t xml:space="preserve">To be an Engineering Specialist </t>
  </si>
  <si>
    <t>santosdonaldson</t>
  </si>
  <si>
    <t>0832 72405***</t>
  </si>
  <si>
    <t>ezrablackwell</t>
  </si>
  <si>
    <t>0852-48460***</t>
  </si>
  <si>
    <t>A00-24658</t>
  </si>
  <si>
    <t>julissavazquez</t>
  </si>
  <si>
    <t>A00-24538</t>
  </si>
  <si>
    <t>0822-66740***</t>
  </si>
  <si>
    <t>A00-27254</t>
  </si>
  <si>
    <t>macikrueger</t>
  </si>
  <si>
    <t>A00-24539</t>
  </si>
  <si>
    <t>832 55983***</t>
  </si>
  <si>
    <t>A00-26576</t>
  </si>
  <si>
    <t>justinknox</t>
  </si>
  <si>
    <t>A00-24540</t>
  </si>
  <si>
    <t>842 53283***</t>
  </si>
  <si>
    <t>A00-27482</t>
  </si>
  <si>
    <t>milomullins</t>
  </si>
  <si>
    <t>A00-24541</t>
  </si>
  <si>
    <t>081274799***</t>
  </si>
  <si>
    <t>A00-26082</t>
  </si>
  <si>
    <t>marcelhendrix</t>
  </si>
  <si>
    <t>081244541***</t>
  </si>
  <si>
    <t>A00-25051</t>
  </si>
  <si>
    <t>aylinhampton</t>
  </si>
  <si>
    <t>A00-24550</t>
  </si>
  <si>
    <t>083268445***</t>
  </si>
  <si>
    <t>A00-27478</t>
  </si>
  <si>
    <t>brycemichael</t>
  </si>
  <si>
    <t>A00-24551</t>
  </si>
  <si>
    <t>081237662***</t>
  </si>
  <si>
    <t>A00-27273</t>
  </si>
  <si>
    <t>lawrenceshah</t>
  </si>
  <si>
    <t>84241217***</t>
  </si>
  <si>
    <t>A00-26059</t>
  </si>
  <si>
    <t>jennabartlett</t>
  </si>
  <si>
    <t>85281636***</t>
  </si>
  <si>
    <t>A00-27283</t>
  </si>
  <si>
    <t>catalinaharrison</t>
  </si>
  <si>
    <t>84216811***</t>
  </si>
  <si>
    <t>kaylacooke</t>
  </si>
  <si>
    <t>A00-24564</t>
  </si>
  <si>
    <t>6283265966***</t>
  </si>
  <si>
    <t>A00-25752</t>
  </si>
  <si>
    <t>stephaniepotts</t>
  </si>
  <si>
    <t>A00-24565</t>
  </si>
  <si>
    <t>6282243008***</t>
  </si>
  <si>
    <t>summerstokes</t>
  </si>
  <si>
    <t>81230963***</t>
  </si>
  <si>
    <t>A00-24625</t>
  </si>
  <si>
    <t>sasharay</t>
  </si>
  <si>
    <t>84215068***</t>
  </si>
  <si>
    <t>yandeldavies</t>
  </si>
  <si>
    <t>A00-24569</t>
  </si>
  <si>
    <t>10-04-1977</t>
  </si>
  <si>
    <t>83255012***</t>
  </si>
  <si>
    <t>harleybarr</t>
  </si>
  <si>
    <t>A00-24570</t>
  </si>
  <si>
    <t>6281237512***</t>
  </si>
  <si>
    <t>tristenpotter</t>
  </si>
  <si>
    <t>A00-24571</t>
  </si>
  <si>
    <t>6283296909***</t>
  </si>
  <si>
    <t>A00-26314</t>
  </si>
  <si>
    <t>owenhartman</t>
  </si>
  <si>
    <t>A00-24572</t>
  </si>
  <si>
    <t>0852-92321***</t>
  </si>
  <si>
    <t>A00-26324</t>
  </si>
  <si>
    <t>daviondunlap</t>
  </si>
  <si>
    <t>A00-24574</t>
  </si>
  <si>
    <t>0832-19380***</t>
  </si>
  <si>
    <t>loreleikrause</t>
  </si>
  <si>
    <t>0812-56693***</t>
  </si>
  <si>
    <t>A00-25725</t>
  </si>
  <si>
    <t>leehines</t>
  </si>
  <si>
    <t>0842 97871***</t>
  </si>
  <si>
    <t>A00-27065</t>
  </si>
  <si>
    <t>addisonwallace</t>
  </si>
  <si>
    <t>A00-24579</t>
  </si>
  <si>
    <t>0842 27661***</t>
  </si>
  <si>
    <t>A00-26352</t>
  </si>
  <si>
    <t>kendalwaller</t>
  </si>
  <si>
    <t>A00-24580</t>
  </si>
  <si>
    <t>0842 33927***</t>
  </si>
  <si>
    <t>A00-25043</t>
  </si>
  <si>
    <t>sheldonblack</t>
  </si>
  <si>
    <t>A00-24581</t>
  </si>
  <si>
    <t>0812 45502***</t>
  </si>
  <si>
    <t>A00-24732</t>
  </si>
  <si>
    <t>portervazquez</t>
  </si>
  <si>
    <t>A00-24583</t>
  </si>
  <si>
    <t>0852-24862***</t>
  </si>
  <si>
    <t>A00-27337</t>
  </si>
  <si>
    <t>donnamcgee</t>
  </si>
  <si>
    <t>A00-24584</t>
  </si>
  <si>
    <t>0852-91240***</t>
  </si>
  <si>
    <t>A00-26475</t>
  </si>
  <si>
    <t>lucyaguilar</t>
  </si>
  <si>
    <t>A00-24585</t>
  </si>
  <si>
    <t>852 16454***</t>
  </si>
  <si>
    <t>A00-27099</t>
  </si>
  <si>
    <t>miracontreras</t>
  </si>
  <si>
    <t>A00-24587</t>
  </si>
  <si>
    <t>852 42714***</t>
  </si>
  <si>
    <t>clintongiles</t>
  </si>
  <si>
    <t>A00-24589</t>
  </si>
  <si>
    <t>081291420***</t>
  </si>
  <si>
    <t>lanceglass</t>
  </si>
  <si>
    <t>A00-24590</t>
  </si>
  <si>
    <t>085265587***</t>
  </si>
  <si>
    <t>yaelfields</t>
  </si>
  <si>
    <t>A00-24591</t>
  </si>
  <si>
    <t>085233311***</t>
  </si>
  <si>
    <t>reedmcknight</t>
  </si>
  <si>
    <t>082242102***</t>
  </si>
  <si>
    <t>armanibray</t>
  </si>
  <si>
    <t>83295708***</t>
  </si>
  <si>
    <t>A00-25242</t>
  </si>
  <si>
    <t>mariemcknight</t>
  </si>
  <si>
    <t>A00-24595</t>
  </si>
  <si>
    <t>81290044***</t>
  </si>
  <si>
    <t>A00-24972</t>
  </si>
  <si>
    <t>judenicholson</t>
  </si>
  <si>
    <t>A00-24596</t>
  </si>
  <si>
    <t>85217052***</t>
  </si>
  <si>
    <t>A00-27138</t>
  </si>
  <si>
    <t>thaddeushenderson</t>
  </si>
  <si>
    <t>A00-24598</t>
  </si>
  <si>
    <t>6284285389***</t>
  </si>
  <si>
    <t>A00-26426</t>
  </si>
  <si>
    <t>rorybryan</t>
  </si>
  <si>
    <t>A00-24599</t>
  </si>
  <si>
    <t>6285275268***</t>
  </si>
  <si>
    <t>A00-25785</t>
  </si>
  <si>
    <t>desiraemacdonald</t>
  </si>
  <si>
    <t>A00-24601</t>
  </si>
  <si>
    <t>84228662***</t>
  </si>
  <si>
    <t>alondrarowe</t>
  </si>
  <si>
    <t>A00-24602</t>
  </si>
  <si>
    <t>84288824***</t>
  </si>
  <si>
    <t>casenelson</t>
  </si>
  <si>
    <t>A00-24603</t>
  </si>
  <si>
    <t>85257637***</t>
  </si>
  <si>
    <t>warrenharper</t>
  </si>
  <si>
    <t>A00-24604</t>
  </si>
  <si>
    <t>6285231544***</t>
  </si>
  <si>
    <t>jacquelinemaxwell</t>
  </si>
  <si>
    <t>A00-24605</t>
  </si>
  <si>
    <t>6282231668***</t>
  </si>
  <si>
    <t>A00-26388</t>
  </si>
  <si>
    <t>zainlyons</t>
  </si>
  <si>
    <t>0842-97998***</t>
  </si>
  <si>
    <t>elainevaldez</t>
  </si>
  <si>
    <t>0842-46916***</t>
  </si>
  <si>
    <t>rebeccanielsen</t>
  </si>
  <si>
    <t>0812-48844***</t>
  </si>
  <si>
    <t>jordenlewis</t>
  </si>
  <si>
    <t>A00-24610</t>
  </si>
  <si>
    <t>0832 69471***</t>
  </si>
  <si>
    <t>A00-27247</t>
  </si>
  <si>
    <t>marcodiaz</t>
  </si>
  <si>
    <t>A00-24612</t>
  </si>
  <si>
    <t>0842 72235***</t>
  </si>
  <si>
    <t>gabrielsingleton</t>
  </si>
  <si>
    <t>A00-24613</t>
  </si>
  <si>
    <t>10-02-2004</t>
  </si>
  <si>
    <t>0842 48710***</t>
  </si>
  <si>
    <t>A00-25150</t>
  </si>
  <si>
    <t>mariyahcosta</t>
  </si>
  <si>
    <t>0832 58007***</t>
  </si>
  <si>
    <t>A00-25402</t>
  </si>
  <si>
    <t>jadalester</t>
  </si>
  <si>
    <t>A00-24616</t>
  </si>
  <si>
    <t>0822-92483***</t>
  </si>
  <si>
    <t>A00-27051</t>
  </si>
  <si>
    <t>garyhumphrey</t>
  </si>
  <si>
    <t>0842-71935***</t>
  </si>
  <si>
    <t>A00-25532</t>
  </si>
  <si>
    <t>soniaparks</t>
  </si>
  <si>
    <t>A00-24619</t>
  </si>
  <si>
    <t>822 58749***</t>
  </si>
  <si>
    <t>selinarichard</t>
  </si>
  <si>
    <t>822 66137***</t>
  </si>
  <si>
    <t>A00-26402</t>
  </si>
  <si>
    <t>claytonmelendez</t>
  </si>
  <si>
    <t>A00-24624</t>
  </si>
  <si>
    <t>085247346***</t>
  </si>
  <si>
    <t>yahirrobbins</t>
  </si>
  <si>
    <t>081289159***</t>
  </si>
  <si>
    <t>A00-27346</t>
  </si>
  <si>
    <t>aliyamills</t>
  </si>
  <si>
    <t>A00-24627</t>
  </si>
  <si>
    <t>084291885***</t>
  </si>
  <si>
    <t>taliawilkerson</t>
  </si>
  <si>
    <t>A00-24629</t>
  </si>
  <si>
    <t>084220763***</t>
  </si>
  <si>
    <t>jadonbenson</t>
  </si>
  <si>
    <t>81216775***</t>
  </si>
  <si>
    <t>A00-26848</t>
  </si>
  <si>
    <t>jaylinmatthews</t>
  </si>
  <si>
    <t>A00-24631</t>
  </si>
  <si>
    <t>81226819***</t>
  </si>
  <si>
    <t>A00-25747</t>
  </si>
  <si>
    <t>ashleycasey</t>
  </si>
  <si>
    <t>82278655***</t>
  </si>
  <si>
    <t>shyannalvarez</t>
  </si>
  <si>
    <t>A00-24634</t>
  </si>
  <si>
    <t>6282211680***</t>
  </si>
  <si>
    <t>adelinemartin</t>
  </si>
  <si>
    <t>A00-24635</t>
  </si>
  <si>
    <t>6284233022***</t>
  </si>
  <si>
    <t>jessiebriggs</t>
  </si>
  <si>
    <t>83237112***</t>
  </si>
  <si>
    <t>jessieblanchard</t>
  </si>
  <si>
    <t>A00-24637</t>
  </si>
  <si>
    <t>81244580***</t>
  </si>
  <si>
    <t>allykeller</t>
  </si>
  <si>
    <t>A00-24638</t>
  </si>
  <si>
    <t>82295435***</t>
  </si>
  <si>
    <t>A00-25904</t>
  </si>
  <si>
    <t>reubenreed</t>
  </si>
  <si>
    <t>6283213620***</t>
  </si>
  <si>
    <t>kaydencarrillo</t>
  </si>
  <si>
    <t>A00-24640</t>
  </si>
  <si>
    <t>6283256582***</t>
  </si>
  <si>
    <t>asapace</t>
  </si>
  <si>
    <t>0842-14276***</t>
  </si>
  <si>
    <t>A00-25178</t>
  </si>
  <si>
    <t>manuelpena</t>
  </si>
  <si>
    <t>A00-24643</t>
  </si>
  <si>
    <t>0832-12019***</t>
  </si>
  <si>
    <t>A00-24932</t>
  </si>
  <si>
    <t>johnathonritter</t>
  </si>
  <si>
    <t>A00-24644</t>
  </si>
  <si>
    <t>0822-23936***</t>
  </si>
  <si>
    <t>A00-25452</t>
  </si>
  <si>
    <t>milogibson</t>
  </si>
  <si>
    <t>0842 41345***</t>
  </si>
  <si>
    <t>maximreed</t>
  </si>
  <si>
    <t>A00-24647</t>
  </si>
  <si>
    <t>0822 31518***</t>
  </si>
  <si>
    <t>hezekiahmcneil</t>
  </si>
  <si>
    <t>A00-24648</t>
  </si>
  <si>
    <t>0842 79790***</t>
  </si>
  <si>
    <t>A00-25833</t>
  </si>
  <si>
    <t>cindymueller</t>
  </si>
  <si>
    <t>0832 31748***</t>
  </si>
  <si>
    <t>A00-26013</t>
  </si>
  <si>
    <t>preciouskirk</t>
  </si>
  <si>
    <t>0822-57047***</t>
  </si>
  <si>
    <t>daviandiaz</t>
  </si>
  <si>
    <t>0842-19439***</t>
  </si>
  <si>
    <t>A00-25209</t>
  </si>
  <si>
    <t>reychaney</t>
  </si>
  <si>
    <t>812 85267***</t>
  </si>
  <si>
    <t>alissakirk</t>
  </si>
  <si>
    <t>812 31779***</t>
  </si>
  <si>
    <t>travisabbott</t>
  </si>
  <si>
    <t>084240477***</t>
  </si>
  <si>
    <t>A00-27246</t>
  </si>
  <si>
    <t>sidneybolton</t>
  </si>
  <si>
    <t>084299313***</t>
  </si>
  <si>
    <t>A00-26051</t>
  </si>
  <si>
    <t>matildarivera</t>
  </si>
  <si>
    <t>A00-24659</t>
  </si>
  <si>
    <t>082261792***</t>
  </si>
  <si>
    <t>A00-27038</t>
  </si>
  <si>
    <t>melinamoody</t>
  </si>
  <si>
    <t>081255942***</t>
  </si>
  <si>
    <t>annabellarowe</t>
  </si>
  <si>
    <t>82217047***</t>
  </si>
  <si>
    <t>A00-25595</t>
  </si>
  <si>
    <t>biancaweber</t>
  </si>
  <si>
    <t>82297042***</t>
  </si>
  <si>
    <t>A00-24761</t>
  </si>
  <si>
    <t>penelopeguzman</t>
  </si>
  <si>
    <t>A00-24663</t>
  </si>
  <si>
    <t>81291652***</t>
  </si>
  <si>
    <t>cayleedavidson</t>
  </si>
  <si>
    <t>A00-24667</t>
  </si>
  <si>
    <t>6282294187***</t>
  </si>
  <si>
    <t>A00-26187</t>
  </si>
  <si>
    <t>kolelutz</t>
  </si>
  <si>
    <t>A00-24669</t>
  </si>
  <si>
    <t>6281224432***</t>
  </si>
  <si>
    <t>kelseyboone</t>
  </si>
  <si>
    <t>A00-24670</t>
  </si>
  <si>
    <t>85242378***</t>
  </si>
  <si>
    <t>leandrosharp</t>
  </si>
  <si>
    <t>A00-24671</t>
  </si>
  <si>
    <t>84279116***</t>
  </si>
  <si>
    <t>douglasnash</t>
  </si>
  <si>
    <t>A00-24672</t>
  </si>
  <si>
    <t>85246964***</t>
  </si>
  <si>
    <t>leehogan</t>
  </si>
  <si>
    <t>6285247511***</t>
  </si>
  <si>
    <t>A00-25651</t>
  </si>
  <si>
    <t>scottpaul</t>
  </si>
  <si>
    <t>A00-24674</t>
  </si>
  <si>
    <t>6282246993***</t>
  </si>
  <si>
    <t>A00-27388</t>
  </si>
  <si>
    <t>karlywest</t>
  </si>
  <si>
    <t>A00-24675</t>
  </si>
  <si>
    <t>0822-43931***</t>
  </si>
  <si>
    <t>A00-24749</t>
  </si>
  <si>
    <t>kristinahurst</t>
  </si>
  <si>
    <t>A00-24676</t>
  </si>
  <si>
    <t>0852-29914***</t>
  </si>
  <si>
    <t>A00-26725</t>
  </si>
  <si>
    <t>lucianabass</t>
  </si>
  <si>
    <t>0832-28724***</t>
  </si>
  <si>
    <t>A00-25654</t>
  </si>
  <si>
    <t>grahambryant</t>
  </si>
  <si>
    <t>0842 61331***</t>
  </si>
  <si>
    <t>estebanmay</t>
  </si>
  <si>
    <t>A00-24680</t>
  </si>
  <si>
    <t>0852 96617***</t>
  </si>
  <si>
    <t>A00-25446</t>
  </si>
  <si>
    <t>kamrenmccarty</t>
  </si>
  <si>
    <t>A00-24681</t>
  </si>
  <si>
    <t>0842 99406***</t>
  </si>
  <si>
    <t>clairerios</t>
  </si>
  <si>
    <t>0832 88021***</t>
  </si>
  <si>
    <t>mikaeladyer</t>
  </si>
  <si>
    <t>0852-60907***</t>
  </si>
  <si>
    <t>mirablackburn</t>
  </si>
  <si>
    <t>A00-24687</t>
  </si>
  <si>
    <t>0822-64366***</t>
  </si>
  <si>
    <t>A00-25824</t>
  </si>
  <si>
    <t>bostonconway</t>
  </si>
  <si>
    <t>A00-24688</t>
  </si>
  <si>
    <t>822 38891***</t>
  </si>
  <si>
    <t>ashleighpetty</t>
  </si>
  <si>
    <t>A00-24690</t>
  </si>
  <si>
    <t>852 71440***</t>
  </si>
  <si>
    <t>aydinsantos</t>
  </si>
  <si>
    <t>A00-24693</t>
  </si>
  <si>
    <t>084293240***</t>
  </si>
  <si>
    <t>A00-26348</t>
  </si>
  <si>
    <t>taniyahsingh</t>
  </si>
  <si>
    <t>A00-24694</t>
  </si>
  <si>
    <t>083239465***</t>
  </si>
  <si>
    <t>A00-25437</t>
  </si>
  <si>
    <t>fionadodson</t>
  </si>
  <si>
    <t>A00-24699</t>
  </si>
  <si>
    <t>081232175***</t>
  </si>
  <si>
    <t>elenahernandez</t>
  </si>
  <si>
    <t>A00-24701</t>
  </si>
  <si>
    <t>085298962***</t>
  </si>
  <si>
    <t>lisamorrison</t>
  </si>
  <si>
    <t>81293588***</t>
  </si>
  <si>
    <t>sethmeza</t>
  </si>
  <si>
    <t>A00-24703</t>
  </si>
  <si>
    <t>85298142***</t>
  </si>
  <si>
    <t>A00-24936</t>
  </si>
  <si>
    <t>shaniyapierce</t>
  </si>
  <si>
    <t>A00-24706</t>
  </si>
  <si>
    <t>85218795***</t>
  </si>
  <si>
    <t>landenmay</t>
  </si>
  <si>
    <t>A00-24710</t>
  </si>
  <si>
    <t>6285276093***</t>
  </si>
  <si>
    <t>apriljarvis</t>
  </si>
  <si>
    <t>A00-24711</t>
  </si>
  <si>
    <t>6284222446***</t>
  </si>
  <si>
    <t>A00-25268</t>
  </si>
  <si>
    <t>jazlynntate</t>
  </si>
  <si>
    <t>81220316***</t>
  </si>
  <si>
    <t>A00-25269</t>
  </si>
  <si>
    <t>jaslynbright</t>
  </si>
  <si>
    <t>A00-24717</t>
  </si>
  <si>
    <t>84257766***</t>
  </si>
  <si>
    <t>A00-25701</t>
  </si>
  <si>
    <t>patrickshelton</t>
  </si>
  <si>
    <t>A00-24718</t>
  </si>
  <si>
    <t>84212125***</t>
  </si>
  <si>
    <t>kileykemp</t>
  </si>
  <si>
    <t>A00-24721</t>
  </si>
  <si>
    <t>6285242899***</t>
  </si>
  <si>
    <t>A00-25733</t>
  </si>
  <si>
    <t>dereonrasmussen</t>
  </si>
  <si>
    <t>A00-24722</t>
  </si>
  <si>
    <t>6284272004***</t>
  </si>
  <si>
    <t>A00-25626</t>
  </si>
  <si>
    <t>princephillips</t>
  </si>
  <si>
    <t>A00-24723</t>
  </si>
  <si>
    <t>0812-38855***</t>
  </si>
  <si>
    <t>juliapennington</t>
  </si>
  <si>
    <t>A00-24724</t>
  </si>
  <si>
    <t>0812-36360***</t>
  </si>
  <si>
    <t>isiahmullins</t>
  </si>
  <si>
    <t>0832-81219***</t>
  </si>
  <si>
    <t>A00-26448</t>
  </si>
  <si>
    <t>erickwalsh</t>
  </si>
  <si>
    <t>A00-24727</t>
  </si>
  <si>
    <t>0852 46281***</t>
  </si>
  <si>
    <t>A00-26720</t>
  </si>
  <si>
    <t>yahircasey</t>
  </si>
  <si>
    <t>A00-24728</t>
  </si>
  <si>
    <t>0832 83569***</t>
  </si>
  <si>
    <t>brandonnielsen</t>
  </si>
  <si>
    <t>A00-24730</t>
  </si>
  <si>
    <t>0822 63472***</t>
  </si>
  <si>
    <t>A00-26237</t>
  </si>
  <si>
    <t>romeobeasley</t>
  </si>
  <si>
    <t>A00-24731</t>
  </si>
  <si>
    <t>0832 61967***</t>
  </si>
  <si>
    <t>donaldhayden</t>
  </si>
  <si>
    <t>0832-76937***</t>
  </si>
  <si>
    <t>emersonmccall</t>
  </si>
  <si>
    <t>A00-24735</t>
  </si>
  <si>
    <t>0842-89966***</t>
  </si>
  <si>
    <t>A00-25689</t>
  </si>
  <si>
    <t>loganfinley</t>
  </si>
  <si>
    <t>A00-24738</t>
  </si>
  <si>
    <t>812 84316***</t>
  </si>
  <si>
    <t>To be a Sales &amp;   Marketing Associate</t>
  </si>
  <si>
    <t>aidynleach</t>
  </si>
  <si>
    <t>A00-24739</t>
  </si>
  <si>
    <t>822 48542***</t>
  </si>
  <si>
    <t>A00-27280</t>
  </si>
  <si>
    <t>hayleyporter</t>
  </si>
  <si>
    <t>082258916***</t>
  </si>
  <si>
    <t>A00-25787</t>
  </si>
  <si>
    <t>jacksonwood</t>
  </si>
  <si>
    <t>A00-24742</t>
  </si>
  <si>
    <t>085231790***</t>
  </si>
  <si>
    <t>vincentclayton</t>
  </si>
  <si>
    <t>A00-24743</t>
  </si>
  <si>
    <t>081258728***</t>
  </si>
  <si>
    <t>finnegansanders</t>
  </si>
  <si>
    <t>081267027***</t>
  </si>
  <si>
    <t>abdullahsutton</t>
  </si>
  <si>
    <t>A00-24745</t>
  </si>
  <si>
    <t>83248630***</t>
  </si>
  <si>
    <t>A00-25193</t>
  </si>
  <si>
    <t>gracelyngregory</t>
  </si>
  <si>
    <t>A00-24747</t>
  </si>
  <si>
    <t>81238063***</t>
  </si>
  <si>
    <t>joselynbarton</t>
  </si>
  <si>
    <t>A00-24748</t>
  </si>
  <si>
    <t>84222961***</t>
  </si>
  <si>
    <t>A00-25872</t>
  </si>
  <si>
    <t>enriquemclean</t>
  </si>
  <si>
    <t>6285236859***</t>
  </si>
  <si>
    <t>A00-26050</t>
  </si>
  <si>
    <t>toddhaney</t>
  </si>
  <si>
    <t>A00-24750</t>
  </si>
  <si>
    <t>6281237337***</t>
  </si>
  <si>
    <t>A00-27223</t>
  </si>
  <si>
    <t>litzystewart</t>
  </si>
  <si>
    <t>A00-24752</t>
  </si>
  <si>
    <t>85248328***</t>
  </si>
  <si>
    <t>A00-26762</t>
  </si>
  <si>
    <t>octaviorandall</t>
  </si>
  <si>
    <t>A00-24753</t>
  </si>
  <si>
    <t>84221727***</t>
  </si>
  <si>
    <t>A00-26243</t>
  </si>
  <si>
    <t>baileyfitzpatrick</t>
  </si>
  <si>
    <t>85262379***</t>
  </si>
  <si>
    <t>coopercollins</t>
  </si>
  <si>
    <t>A00-24755</t>
  </si>
  <si>
    <t>6285236231***</t>
  </si>
  <si>
    <t>A00-27476</t>
  </si>
  <si>
    <t>gagebarrett</t>
  </si>
  <si>
    <t>6285268704***</t>
  </si>
  <si>
    <t>A00-26816</t>
  </si>
  <si>
    <t>marcelball</t>
  </si>
  <si>
    <t>A00-24757</t>
  </si>
  <si>
    <t>0842-18083***</t>
  </si>
  <si>
    <t>A00-24802</t>
  </si>
  <si>
    <t>giannarodriguez</t>
  </si>
  <si>
    <t>A00-24758</t>
  </si>
  <si>
    <t>0832-94577***</t>
  </si>
  <si>
    <t>neveahsilva</t>
  </si>
  <si>
    <t>0832-80254***</t>
  </si>
  <si>
    <t>A00-26006</t>
  </si>
  <si>
    <t>juanmelendez</t>
  </si>
  <si>
    <t>A00-24760</t>
  </si>
  <si>
    <t>0852 27045***</t>
  </si>
  <si>
    <t>kaelvilla</t>
  </si>
  <si>
    <t>0812 56148***</t>
  </si>
  <si>
    <t>A00-26833</t>
  </si>
  <si>
    <t>gracesolis</t>
  </si>
  <si>
    <t>A00-24762</t>
  </si>
  <si>
    <t>0842 11471***</t>
  </si>
  <si>
    <t>A00-27110</t>
  </si>
  <si>
    <t>tylerjohnston</t>
  </si>
  <si>
    <t>A00-24763</t>
  </si>
  <si>
    <t>0822 43841***</t>
  </si>
  <si>
    <t>daliagutierrez</t>
  </si>
  <si>
    <t>0832-73031***</t>
  </si>
  <si>
    <t>jabarikhan</t>
  </si>
  <si>
    <t>A00-24768</t>
  </si>
  <si>
    <t>0822-66577***</t>
  </si>
  <si>
    <t>A00-25079</t>
  </si>
  <si>
    <t>kaliwalter</t>
  </si>
  <si>
    <t>A00-24769</t>
  </si>
  <si>
    <t>812 76931***</t>
  </si>
  <si>
    <t>angelineshepherd</t>
  </si>
  <si>
    <t>A00-24774</t>
  </si>
  <si>
    <t>822 29027***</t>
  </si>
  <si>
    <t>jadenhutchinson</t>
  </si>
  <si>
    <t>082223952***</t>
  </si>
  <si>
    <t>miyabecker</t>
  </si>
  <si>
    <t>A00-24776</t>
  </si>
  <si>
    <t>082296275***</t>
  </si>
  <si>
    <t>A00-24954</t>
  </si>
  <si>
    <t>abdielpugh</t>
  </si>
  <si>
    <t>085212594***</t>
  </si>
  <si>
    <t>A00-25072</t>
  </si>
  <si>
    <t>braydonlambert</t>
  </si>
  <si>
    <t>A00-24778</t>
  </si>
  <si>
    <t>082296713***</t>
  </si>
  <si>
    <t>ninadavid</t>
  </si>
  <si>
    <t>A00-24780</t>
  </si>
  <si>
    <t>83224377***</t>
  </si>
  <si>
    <t>A00-25439</t>
  </si>
  <si>
    <t>kristophermccann</t>
  </si>
  <si>
    <t>A00-24784</t>
  </si>
  <si>
    <t>82289764***</t>
  </si>
  <si>
    <t>A00-25059</t>
  </si>
  <si>
    <t>To be an Engineering  Specialist</t>
  </si>
  <si>
    <t>denisephelps</t>
  </si>
  <si>
    <t>A00-24786</t>
  </si>
  <si>
    <t>85260092***</t>
  </si>
  <si>
    <t>To be a Qulity  Ansurance Manager</t>
  </si>
  <si>
    <t>oscarwhitehead</t>
  </si>
  <si>
    <t>6285288480***</t>
  </si>
  <si>
    <t>A00-26823</t>
  </si>
  <si>
    <t xml:space="preserve">To be a  Qulity  Ansurance Manager </t>
  </si>
  <si>
    <t>kiannawolfe</t>
  </si>
  <si>
    <t>6284254907***</t>
  </si>
  <si>
    <t>judithfitzgerald</t>
  </si>
  <si>
    <t>A00-24791</t>
  </si>
  <si>
    <t>82253220***</t>
  </si>
  <si>
    <t>marinmatthews</t>
  </si>
  <si>
    <t>84211401***</t>
  </si>
  <si>
    <t>A00-27154</t>
  </si>
  <si>
    <t>chadlucas</t>
  </si>
  <si>
    <t>A00-24796</t>
  </si>
  <si>
    <t>84261175***</t>
  </si>
  <si>
    <t>A00-26849</t>
  </si>
  <si>
    <t>kenleyalvarez</t>
  </si>
  <si>
    <t>A00-24797</t>
  </si>
  <si>
    <t>6283216590***</t>
  </si>
  <si>
    <t>A00-25638</t>
  </si>
  <si>
    <t>carlohouse</t>
  </si>
  <si>
    <t>A00-24799</t>
  </si>
  <si>
    <t>6282225270***</t>
  </si>
  <si>
    <t>A00-26563</t>
  </si>
  <si>
    <t>davonritter</t>
  </si>
  <si>
    <t>A00-24801</t>
  </si>
  <si>
    <t>0822-49976***</t>
  </si>
  <si>
    <t>patienceenglish</t>
  </si>
  <si>
    <t>0842-38324***</t>
  </si>
  <si>
    <t>A00-26300</t>
  </si>
  <si>
    <t>irvinhuber</t>
  </si>
  <si>
    <t>A00-24804</t>
  </si>
  <si>
    <t>0842-60514***</t>
  </si>
  <si>
    <t>A00-26977</t>
  </si>
  <si>
    <t>romeoroman</t>
  </si>
  <si>
    <t>0832 48321***</t>
  </si>
  <si>
    <t>A00-25243</t>
  </si>
  <si>
    <t>silasdaugherty</t>
  </si>
  <si>
    <t>0812 21784***</t>
  </si>
  <si>
    <t>simeoncompton</t>
  </si>
  <si>
    <t>0852 94808***</t>
  </si>
  <si>
    <t>A00-24962</t>
  </si>
  <si>
    <t>reeseberry</t>
  </si>
  <si>
    <t>A00-24816</t>
  </si>
  <si>
    <t>0832 50077***</t>
  </si>
  <si>
    <t>A00-26250</t>
  </si>
  <si>
    <t>giovannajacobs</t>
  </si>
  <si>
    <t>A00-24817</t>
  </si>
  <si>
    <t>0822-72242***</t>
  </si>
  <si>
    <t>A00-25282</t>
  </si>
  <si>
    <t>lizbethvilla</t>
  </si>
  <si>
    <t>0822-18657***</t>
  </si>
  <si>
    <t>A00-27387</t>
  </si>
  <si>
    <t>westonmosley</t>
  </si>
  <si>
    <t>A00-24821</t>
  </si>
  <si>
    <t>832 13054***</t>
  </si>
  <si>
    <t>A00-24979</t>
  </si>
  <si>
    <t>amiahlutz</t>
  </si>
  <si>
    <t>852 65337***</t>
  </si>
  <si>
    <t>brennapugh</t>
  </si>
  <si>
    <t>081218607***</t>
  </si>
  <si>
    <t>kenziesharp</t>
  </si>
  <si>
    <t>082273227***</t>
  </si>
  <si>
    <t>A00-25187</t>
  </si>
  <si>
    <t>beckhamwhitney</t>
  </si>
  <si>
    <t>082289241***</t>
  </si>
  <si>
    <t>A00-26636</t>
  </si>
  <si>
    <t>natalyalyons</t>
  </si>
  <si>
    <t>081232853***</t>
  </si>
  <si>
    <t>makailasalinas</t>
  </si>
  <si>
    <t>A00-24835</t>
  </si>
  <si>
    <t>84247411***</t>
  </si>
  <si>
    <t>A00-26129</t>
  </si>
  <si>
    <t>valentinoriggs</t>
  </si>
  <si>
    <t>81270745***</t>
  </si>
  <si>
    <t>A00-25327</t>
  </si>
  <si>
    <t>tracetownsend</t>
  </si>
  <si>
    <t>83261811***</t>
  </si>
  <si>
    <t>demarionwall</t>
  </si>
  <si>
    <t>A00-24839</t>
  </si>
  <si>
    <t>6282283122***</t>
  </si>
  <si>
    <t>A00-25687</t>
  </si>
  <si>
    <t>sagebradley</t>
  </si>
  <si>
    <t>A00-24840</t>
  </si>
  <si>
    <t>6285228898***</t>
  </si>
  <si>
    <t>A00-25770</t>
  </si>
  <si>
    <t>annalisecastro</t>
  </si>
  <si>
    <t>A00-24841</t>
  </si>
  <si>
    <t>84273164***</t>
  </si>
  <si>
    <t>carlyramirez</t>
  </si>
  <si>
    <t>85228427***</t>
  </si>
  <si>
    <t>A00-27457</t>
  </si>
  <si>
    <t>brynleegalloway</t>
  </si>
  <si>
    <t>A00-24846</t>
  </si>
  <si>
    <t>85296496***</t>
  </si>
  <si>
    <t>skylarbrown</t>
  </si>
  <si>
    <t>A00-24847</t>
  </si>
  <si>
    <t>6282291394***</t>
  </si>
  <si>
    <t>allysonbenitez</t>
  </si>
  <si>
    <t>A00-24849</t>
  </si>
  <si>
    <t>6282270069***</t>
  </si>
  <si>
    <t>billywarren</t>
  </si>
  <si>
    <t>0822-26488***</t>
  </si>
  <si>
    <t>jaydinreyes</t>
  </si>
  <si>
    <t>A00-24854</t>
  </si>
  <si>
    <t>0812-99873***</t>
  </si>
  <si>
    <t>A00-25539</t>
  </si>
  <si>
    <t>desireekent</t>
  </si>
  <si>
    <t>0812-98285***</t>
  </si>
  <si>
    <t>A00-26759</t>
  </si>
  <si>
    <t>oscarstrong</t>
  </si>
  <si>
    <t>A00-24856</t>
  </si>
  <si>
    <t>0812 77654***</t>
  </si>
  <si>
    <t>A00-26525</t>
  </si>
  <si>
    <t>marilynarcher</t>
  </si>
  <si>
    <t>A00-24857</t>
  </si>
  <si>
    <t>0852 79344***</t>
  </si>
  <si>
    <t>kolekennedy</t>
  </si>
  <si>
    <t>A00-24859</t>
  </si>
  <si>
    <t>0842 85526***</t>
  </si>
  <si>
    <t>A00-26205</t>
  </si>
  <si>
    <t>braedonayala</t>
  </si>
  <si>
    <t>A00-24861</t>
  </si>
  <si>
    <t>0842 96067***</t>
  </si>
  <si>
    <t>katherinepham</t>
  </si>
  <si>
    <t>A00-24862</t>
  </si>
  <si>
    <t>0852-78539***</t>
  </si>
  <si>
    <t>danahodges</t>
  </si>
  <si>
    <t>0832-53633***</t>
  </si>
  <si>
    <t>A00-26982</t>
  </si>
  <si>
    <t>keonmccormick</t>
  </si>
  <si>
    <t>A00-24867</t>
  </si>
  <si>
    <t>852 71158***</t>
  </si>
  <si>
    <t>A00-25393</t>
  </si>
  <si>
    <t>havenhensley</t>
  </si>
  <si>
    <t>A00-24868</t>
  </si>
  <si>
    <t>822 89688***</t>
  </si>
  <si>
    <t>jasemoyer</t>
  </si>
  <si>
    <t>A00-24869</t>
  </si>
  <si>
    <t>082215858***</t>
  </si>
  <si>
    <t>A00-25510</t>
  </si>
  <si>
    <t>makailawilkins</t>
  </si>
  <si>
    <t>A00-24870</t>
  </si>
  <si>
    <t>081261672***</t>
  </si>
  <si>
    <t>A00-25972</t>
  </si>
  <si>
    <t>kolechoi</t>
  </si>
  <si>
    <t>A00-24871</t>
  </si>
  <si>
    <t>083240362***</t>
  </si>
  <si>
    <t>jonthomas</t>
  </si>
  <si>
    <t>A00-24873</t>
  </si>
  <si>
    <t>084291904***</t>
  </si>
  <si>
    <t>A00-27404</t>
  </si>
  <si>
    <t>kennedymann</t>
  </si>
  <si>
    <t>84220489***</t>
  </si>
  <si>
    <t>winstonrusso</t>
  </si>
  <si>
    <t>85249392***</t>
  </si>
  <si>
    <t>A00-25853</t>
  </si>
  <si>
    <t>dominiccox</t>
  </si>
  <si>
    <t>A00-24880</t>
  </si>
  <si>
    <t>85256804***</t>
  </si>
  <si>
    <t>judepollard</t>
  </si>
  <si>
    <t>6281288682***</t>
  </si>
  <si>
    <t>A00-26858</t>
  </si>
  <si>
    <t>jacksonbernard</t>
  </si>
  <si>
    <t>A00-24884</t>
  </si>
  <si>
    <t>6282212657***</t>
  </si>
  <si>
    <t>A00-26521</t>
  </si>
  <si>
    <t>daviancain</t>
  </si>
  <si>
    <t>A00-24885</t>
  </si>
  <si>
    <t>85225362***</t>
  </si>
  <si>
    <t>A00-26706</t>
  </si>
  <si>
    <t>pameladrake</t>
  </si>
  <si>
    <t>A00-24887</t>
  </si>
  <si>
    <t>84229971***</t>
  </si>
  <si>
    <t>A00-24978</t>
  </si>
  <si>
    <t>hughshaffer</t>
  </si>
  <si>
    <t>A00-24889</t>
  </si>
  <si>
    <t>83236690***</t>
  </si>
  <si>
    <t>tristonmcpherson</t>
  </si>
  <si>
    <t>6282272535***</t>
  </si>
  <si>
    <t>javonmack</t>
  </si>
  <si>
    <t>6284295106***</t>
  </si>
  <si>
    <t>A00-26601</t>
  </si>
  <si>
    <t>remingtonfrancis</t>
  </si>
  <si>
    <t>0852-55259***</t>
  </si>
  <si>
    <t>jadielbuckley</t>
  </si>
  <si>
    <t>A00-24896</t>
  </si>
  <si>
    <t>0812-64134***</t>
  </si>
  <si>
    <t>ashlyarroyo</t>
  </si>
  <si>
    <t>A00-24897</t>
  </si>
  <si>
    <t>0812-45183***</t>
  </si>
  <si>
    <t>kailadickerson</t>
  </si>
  <si>
    <t>A00-24898</t>
  </si>
  <si>
    <t>0832 80836***</t>
  </si>
  <si>
    <t>lacimelendez</t>
  </si>
  <si>
    <t>A00-24900</t>
  </si>
  <si>
    <t>0852 49832***</t>
  </si>
  <si>
    <t>maliyahknight</t>
  </si>
  <si>
    <t>A00-24901</t>
  </si>
  <si>
    <t>0832 81155***</t>
  </si>
  <si>
    <t>A00-27465</t>
  </si>
  <si>
    <t>declanbarr</t>
  </si>
  <si>
    <t>A00-24903</t>
  </si>
  <si>
    <t>0842 85640***</t>
  </si>
  <si>
    <t>A00-26606</t>
  </si>
  <si>
    <t>caracohen</t>
  </si>
  <si>
    <t>0832-20093***</t>
  </si>
  <si>
    <t>cristopherwallace</t>
  </si>
  <si>
    <t>A00-24905</t>
  </si>
  <si>
    <t>0832-61428***</t>
  </si>
  <si>
    <t>A00-25674</t>
  </si>
  <si>
    <t>haleighjuarez</t>
  </si>
  <si>
    <t>A00-24906</t>
  </si>
  <si>
    <t>852 36393***</t>
  </si>
  <si>
    <t>A00-26873</t>
  </si>
  <si>
    <t>codycrane</t>
  </si>
  <si>
    <t>832 60306***</t>
  </si>
  <si>
    <t>stanleyodonnell</t>
  </si>
  <si>
    <t>A00-24918</t>
  </si>
  <si>
    <t>082265670***</t>
  </si>
  <si>
    <t>A00-25668</t>
  </si>
  <si>
    <t>lolawoodard</t>
  </si>
  <si>
    <t>A00-24919</t>
  </si>
  <si>
    <t>083263333***</t>
  </si>
  <si>
    <t>mollytyler</t>
  </si>
  <si>
    <t>A00-24920</t>
  </si>
  <si>
    <t>10-06-1971</t>
  </si>
  <si>
    <t>081221423***</t>
  </si>
  <si>
    <t>christinewhitehead</t>
  </si>
  <si>
    <t>085250589***</t>
  </si>
  <si>
    <t>A00-25823</t>
  </si>
  <si>
    <t>stephensexton</t>
  </si>
  <si>
    <t>A00-24925</t>
  </si>
  <si>
    <t>84240217***</t>
  </si>
  <si>
    <t>raidenmullins</t>
  </si>
  <si>
    <t>84277354***</t>
  </si>
  <si>
    <t>A00-26789</t>
  </si>
  <si>
    <t>kaelhartman</t>
  </si>
  <si>
    <t>A00-24929</t>
  </si>
  <si>
    <t>81282884***</t>
  </si>
  <si>
    <t>A00-25623</t>
  </si>
  <si>
    <t>jocelynhuynh</t>
  </si>
  <si>
    <t>6281216050***</t>
  </si>
  <si>
    <t>A00-26210</t>
  </si>
  <si>
    <t>jaylucero</t>
  </si>
  <si>
    <t>6285265246***</t>
  </si>
  <si>
    <t>adrielbass</t>
  </si>
  <si>
    <t>85235670***</t>
  </si>
  <si>
    <t>A00-26049</t>
  </si>
  <si>
    <t>gabriellebenjamin</t>
  </si>
  <si>
    <t>84238209***</t>
  </si>
  <si>
    <t>A00-27234</t>
  </si>
  <si>
    <t>gavynbraun</t>
  </si>
  <si>
    <t>A00-24939</t>
  </si>
  <si>
    <t>82232984***</t>
  </si>
  <si>
    <t>A00-27243</t>
  </si>
  <si>
    <t>janelleclayton</t>
  </si>
  <si>
    <t>A00-24940</t>
  </si>
  <si>
    <t>6281299773***</t>
  </si>
  <si>
    <t>A00-26774</t>
  </si>
  <si>
    <t>darnelldiaz</t>
  </si>
  <si>
    <t>A00-24941</t>
  </si>
  <si>
    <t>6283216154***</t>
  </si>
  <si>
    <t>laceychang</t>
  </si>
  <si>
    <t>0842-16635***</t>
  </si>
  <si>
    <t>andersondavila</t>
  </si>
  <si>
    <t>0812-80472***</t>
  </si>
  <si>
    <t>A00-25166</t>
  </si>
  <si>
    <t>yasminekelly</t>
  </si>
  <si>
    <t>A00-24949</t>
  </si>
  <si>
    <t>0812-51825***</t>
  </si>
  <si>
    <t>A00-25977</t>
  </si>
  <si>
    <t>coreyrandall</t>
  </si>
  <si>
    <t>0812 15801***</t>
  </si>
  <si>
    <t>jayloncampos</t>
  </si>
  <si>
    <t>A00-24952</t>
  </si>
  <si>
    <t>0842 86907***</t>
  </si>
  <si>
    <t>A00-26894</t>
  </si>
  <si>
    <t>aileenmarks</t>
  </si>
  <si>
    <t>A00-24953</t>
  </si>
  <si>
    <t>0822 95730***</t>
  </si>
  <si>
    <t>A00-27437</t>
  </si>
  <si>
    <t>memphisschmitt</t>
  </si>
  <si>
    <t>0852 60901***</t>
  </si>
  <si>
    <t>paulpadilla</t>
  </si>
  <si>
    <t>0832-37374***</t>
  </si>
  <si>
    <t>A00-26942</t>
  </si>
  <si>
    <t>jayleencooper</t>
  </si>
  <si>
    <t>0842-59318***</t>
  </si>
  <si>
    <t>katelynnfreeman</t>
  </si>
  <si>
    <t>A00-24960</t>
  </si>
  <si>
    <t>812 77386***</t>
  </si>
  <si>
    <t>monicali</t>
  </si>
  <si>
    <t>A00-24961</t>
  </si>
  <si>
    <t>852 50645***</t>
  </si>
  <si>
    <t>aprilbrooks</t>
  </si>
  <si>
    <t>082289126***</t>
  </si>
  <si>
    <t>carsonfrost</t>
  </si>
  <si>
    <t>084235609***</t>
  </si>
  <si>
    <t>kaitlinsanders</t>
  </si>
  <si>
    <t>084292459***</t>
  </si>
  <si>
    <t>A00-26207</t>
  </si>
  <si>
    <t>alissonpatton</t>
  </si>
  <si>
    <t>081277852***</t>
  </si>
  <si>
    <t>A00-26515</t>
  </si>
  <si>
    <t>zaydenbecker</t>
  </si>
  <si>
    <t>A00-24968</t>
  </si>
  <si>
    <t>84296209***</t>
  </si>
  <si>
    <t>kymaniaustin</t>
  </si>
  <si>
    <t>84284178***</t>
  </si>
  <si>
    <t>A00-25720</t>
  </si>
  <si>
    <t>vivianmassey</t>
  </si>
  <si>
    <t>85240265***</t>
  </si>
  <si>
    <t>morganwallace</t>
  </si>
  <si>
    <t>6281297679***</t>
  </si>
  <si>
    <t>A00-27229</t>
  </si>
  <si>
    <t>dereoncarpenter</t>
  </si>
  <si>
    <t>A00-24973</t>
  </si>
  <si>
    <t>6285246441***</t>
  </si>
  <si>
    <t>A00-26139</t>
  </si>
  <si>
    <t>semajcervantes</t>
  </si>
  <si>
    <t>82256018***</t>
  </si>
  <si>
    <t>bradenvaldez</t>
  </si>
  <si>
    <t>83287855***</t>
  </si>
  <si>
    <t>A00-26326</t>
  </si>
  <si>
    <t>jaydinvelasquez</t>
  </si>
  <si>
    <t>84226108***</t>
  </si>
  <si>
    <t>A00-26097</t>
  </si>
  <si>
    <t>allanpeterson</t>
  </si>
  <si>
    <t>A00-24982</t>
  </si>
  <si>
    <t>6281216686***</t>
  </si>
  <si>
    <t>maribelchen</t>
  </si>
  <si>
    <t>6284298204***</t>
  </si>
  <si>
    <t>caitlinkeller</t>
  </si>
  <si>
    <t>0852-64331***</t>
  </si>
  <si>
    <t>A00-25418</t>
  </si>
  <si>
    <t>carloshuber</t>
  </si>
  <si>
    <t>A00-24986</t>
  </si>
  <si>
    <t>0852-58169***</t>
  </si>
  <si>
    <t>ernestmolina</t>
  </si>
  <si>
    <t>0852-89657***</t>
  </si>
  <si>
    <t>karliepetty</t>
  </si>
  <si>
    <t>A00-24989</t>
  </si>
  <si>
    <t>0832 16038***</t>
  </si>
  <si>
    <t>cassidybartlett</t>
  </si>
  <si>
    <t>0852 67364***</t>
  </si>
  <si>
    <t>A00-26098</t>
  </si>
  <si>
    <t>kamorarice</t>
  </si>
  <si>
    <t>0822 88030***</t>
  </si>
  <si>
    <t>lilliannaeverett</t>
  </si>
  <si>
    <t>A00-24992</t>
  </si>
  <si>
    <t>0822 82808***</t>
  </si>
  <si>
    <t>hudsonbrewer</t>
  </si>
  <si>
    <t>0832-38090***</t>
  </si>
  <si>
    <t>jamalmorales</t>
  </si>
  <si>
    <t>0832-72811***</t>
  </si>
  <si>
    <t>A00-26688</t>
  </si>
  <si>
    <t>ellenvalenzuela</t>
  </si>
  <si>
    <t>852 62377***</t>
  </si>
  <si>
    <t>rishicobb</t>
  </si>
  <si>
    <t>A00-24996</t>
  </si>
  <si>
    <t>842 48192***</t>
  </si>
  <si>
    <t>alenajefferson</t>
  </si>
  <si>
    <t>A00-24998</t>
  </si>
  <si>
    <t>081253078***</t>
  </si>
  <si>
    <t>tysonburch</t>
  </si>
  <si>
    <t>083272791***</t>
  </si>
  <si>
    <t>A00-25519</t>
  </si>
  <si>
    <t>kamaribowers</t>
  </si>
  <si>
    <t>A00-25000</t>
  </si>
  <si>
    <t>085269507***</t>
  </si>
  <si>
    <t>sydneyconley</t>
  </si>
  <si>
    <t>A00-25001</t>
  </si>
  <si>
    <t>084279916***</t>
  </si>
  <si>
    <t>shaunjordan</t>
  </si>
  <si>
    <t>82212548***</t>
  </si>
  <si>
    <t>A00-27363</t>
  </si>
  <si>
    <t>carlofuentes</t>
  </si>
  <si>
    <t>A00-25004</t>
  </si>
  <si>
    <t>83250676***</t>
  </si>
  <si>
    <t>A00-26478</t>
  </si>
  <si>
    <t>beauhamilton</t>
  </si>
  <si>
    <t>84295080***</t>
  </si>
  <si>
    <t>quentinatkins</t>
  </si>
  <si>
    <t>6285283318***</t>
  </si>
  <si>
    <t>jaspermartin</t>
  </si>
  <si>
    <t>A00-25010</t>
  </si>
  <si>
    <t>6285286391***</t>
  </si>
  <si>
    <t>jazlenegoodman</t>
  </si>
  <si>
    <t>A00-25012</t>
  </si>
  <si>
    <t>81277553***</t>
  </si>
  <si>
    <t>A00-27226</t>
  </si>
  <si>
    <t>estebanrosario</t>
  </si>
  <si>
    <t>A00-25014</t>
  </si>
  <si>
    <t>83218554***</t>
  </si>
  <si>
    <t>A00-25161</t>
  </si>
  <si>
    <t>aileenmullen</t>
  </si>
  <si>
    <t>A00-25017</t>
  </si>
  <si>
    <t>84287315***</t>
  </si>
  <si>
    <t>A00-26875</t>
  </si>
  <si>
    <t>delilahhooper</t>
  </si>
  <si>
    <t>A00-25022</t>
  </si>
  <si>
    <t>6283288390***</t>
  </si>
  <si>
    <t>tobyholden</t>
  </si>
  <si>
    <t>A00-25023</t>
  </si>
  <si>
    <t>6282297190***</t>
  </si>
  <si>
    <t>shirleydecker</t>
  </si>
  <si>
    <t>0842-78030***</t>
  </si>
  <si>
    <t>A00-27052</t>
  </si>
  <si>
    <t>shauncallahan</t>
  </si>
  <si>
    <t>0812-90084***</t>
  </si>
  <si>
    <t>carlosyork</t>
  </si>
  <si>
    <t>A00-25029</t>
  </si>
  <si>
    <t>0812-20486***</t>
  </si>
  <si>
    <t>emiliaherrera</t>
  </si>
  <si>
    <t>0842 27691***</t>
  </si>
  <si>
    <t>dontemayo</t>
  </si>
  <si>
    <t>0812 34151***</t>
  </si>
  <si>
    <t>A00-26644</t>
  </si>
  <si>
    <t>brentsexton</t>
  </si>
  <si>
    <t>A00-25033</t>
  </si>
  <si>
    <t>0852 74010***</t>
  </si>
  <si>
    <t>antoncurtis</t>
  </si>
  <si>
    <t>0812 84000***</t>
  </si>
  <si>
    <t>rodolfonolan</t>
  </si>
  <si>
    <t>0812-19243***</t>
  </si>
  <si>
    <t>A00-27188</t>
  </si>
  <si>
    <t>kaylynngallagher</t>
  </si>
  <si>
    <t>0832-24360***</t>
  </si>
  <si>
    <t>A00-26565</t>
  </si>
  <si>
    <t>brooklynelliott</t>
  </si>
  <si>
    <t>A00-25044</t>
  </si>
  <si>
    <t>822 37722***</t>
  </si>
  <si>
    <t>A00-26631</t>
  </si>
  <si>
    <t>rosemarylloyd</t>
  </si>
  <si>
    <t>832 30491***</t>
  </si>
  <si>
    <t>chrisball</t>
  </si>
  <si>
    <t>084228326***</t>
  </si>
  <si>
    <t>brycenchristian</t>
  </si>
  <si>
    <t>A00-25048</t>
  </si>
  <si>
    <t>083228356***</t>
  </si>
  <si>
    <t>jakobblake</t>
  </si>
  <si>
    <t>084273214***</t>
  </si>
  <si>
    <t>walterwagner</t>
  </si>
  <si>
    <t>084298872***</t>
  </si>
  <si>
    <t>aldenpetersen</t>
  </si>
  <si>
    <t>A00-25052</t>
  </si>
  <si>
    <t>81235363***</t>
  </si>
  <si>
    <t>damariacevedo</t>
  </si>
  <si>
    <t>A00-25055</t>
  </si>
  <si>
    <t>85233087***</t>
  </si>
  <si>
    <t>jazmyndunn</t>
  </si>
  <si>
    <t>82238268***</t>
  </si>
  <si>
    <t>blakewagner</t>
  </si>
  <si>
    <t>6281240284***</t>
  </si>
  <si>
    <t>reubenvaldez</t>
  </si>
  <si>
    <t>6283251752***</t>
  </si>
  <si>
    <t>hezekiahstanton</t>
  </si>
  <si>
    <t>85281576***</t>
  </si>
  <si>
    <t>hunterdavid</t>
  </si>
  <si>
    <t>A00-25060</t>
  </si>
  <si>
    <t>85216934***</t>
  </si>
  <si>
    <t>harmonyfrazier</t>
  </si>
  <si>
    <t>85250155***</t>
  </si>
  <si>
    <t>elliepeters</t>
  </si>
  <si>
    <t>6281231967***</t>
  </si>
  <si>
    <t>damiandodson</t>
  </si>
  <si>
    <t>6282239576***</t>
  </si>
  <si>
    <t>chrispena</t>
  </si>
  <si>
    <t>A00-25065</t>
  </si>
  <si>
    <t>0832-51674***</t>
  </si>
  <si>
    <t>peterlester</t>
  </si>
  <si>
    <t>A00-25066</t>
  </si>
  <si>
    <t>0842-66632***</t>
  </si>
  <si>
    <t>juliannadickson</t>
  </si>
  <si>
    <t>0842-88166***</t>
  </si>
  <si>
    <t>shilohdavila</t>
  </si>
  <si>
    <t>0822 90559***</t>
  </si>
  <si>
    <t>irvinberg</t>
  </si>
  <si>
    <t>0842 68167***</t>
  </si>
  <si>
    <t>derrickbooker</t>
  </si>
  <si>
    <t>A00-25071</t>
  </si>
  <si>
    <t>0822 92570***</t>
  </si>
  <si>
    <t>amaremclaughlin</t>
  </si>
  <si>
    <t>0812 64778***</t>
  </si>
  <si>
    <t>sharonguerrero</t>
  </si>
  <si>
    <t>A00-25073</t>
  </si>
  <si>
    <t>0812-61239***</t>
  </si>
  <si>
    <t>jadenbuck</t>
  </si>
  <si>
    <t>A00-25075</t>
  </si>
  <si>
    <t>0852-46352***</t>
  </si>
  <si>
    <t>shaniyaarias</t>
  </si>
  <si>
    <t>842 36733***</t>
  </si>
  <si>
    <t>aaliyahkaiser</t>
  </si>
  <si>
    <t>A00-25078</t>
  </si>
  <si>
    <t>812 86191***</t>
  </si>
  <si>
    <t>braydonstone</t>
  </si>
  <si>
    <t>082295378***</t>
  </si>
  <si>
    <t>juliannapetty</t>
  </si>
  <si>
    <t>082212398***</t>
  </si>
  <si>
    <t>andrespoole</t>
  </si>
  <si>
    <t>A00-25081</t>
  </si>
  <si>
    <t>085274424***</t>
  </si>
  <si>
    <t>xaviersaunders</t>
  </si>
  <si>
    <t>A00-25082</t>
  </si>
  <si>
    <t>084265546***</t>
  </si>
  <si>
    <t>raquelwalters</t>
  </si>
  <si>
    <t>A00-25084</t>
  </si>
  <si>
    <t>10-05-1985</t>
  </si>
  <si>
    <t>85255758***</t>
  </si>
  <si>
    <t>jesussanford</t>
  </si>
  <si>
    <t>A00-25085</t>
  </si>
  <si>
    <t>82214038***</t>
  </si>
  <si>
    <t>edithhouston</t>
  </si>
  <si>
    <t>81274676***</t>
  </si>
  <si>
    <t>keagansimpson</t>
  </si>
  <si>
    <t>6282233267***</t>
  </si>
  <si>
    <t>brooksmcmillan</t>
  </si>
  <si>
    <t>6285283214***</t>
  </si>
  <si>
    <t>joselynlutz</t>
  </si>
  <si>
    <t>A00-25093</t>
  </si>
  <si>
    <t>85286778***</t>
  </si>
  <si>
    <t>leticialeon</t>
  </si>
  <si>
    <t>A00-25094</t>
  </si>
  <si>
    <t>84261502***</t>
  </si>
  <si>
    <t>zoiewolf</t>
  </si>
  <si>
    <t>83214669***</t>
  </si>
  <si>
    <t>coltenmorris</t>
  </si>
  <si>
    <t>A00-25096</t>
  </si>
  <si>
    <t>6281292052***</t>
  </si>
  <si>
    <t>sabrinastephenson</t>
  </si>
  <si>
    <t>6285221849***</t>
  </si>
  <si>
    <t>clairemccarty</t>
  </si>
  <si>
    <t>0842-33232***</t>
  </si>
  <si>
    <t>austinmarsh</t>
  </si>
  <si>
    <t>A00-25105</t>
  </si>
  <si>
    <t>0842-48129***</t>
  </si>
  <si>
    <t>addisynluna</t>
  </si>
  <si>
    <t>0852-45973***</t>
  </si>
  <si>
    <t>aracelimayo</t>
  </si>
  <si>
    <t>0852 28329***</t>
  </si>
  <si>
    <t>aliakent</t>
  </si>
  <si>
    <t>0832 50245***</t>
  </si>
  <si>
    <t>sanaibuck</t>
  </si>
  <si>
    <t>0842 75372***</t>
  </si>
  <si>
    <t>vincentmoon</t>
  </si>
  <si>
    <t>0852 89603***</t>
  </si>
  <si>
    <t>izayahlynch</t>
  </si>
  <si>
    <t>A00-25115</t>
  </si>
  <si>
    <t>0852-34058***</t>
  </si>
  <si>
    <t>tatumblanchard</t>
  </si>
  <si>
    <t>A00-25116</t>
  </si>
  <si>
    <t>0822-51407***</t>
  </si>
  <si>
    <t>reidmanning</t>
  </si>
  <si>
    <t>812 31000***</t>
  </si>
  <si>
    <t>maximobenitez</t>
  </si>
  <si>
    <t>832 30630***</t>
  </si>
  <si>
    <t>jaylynnrobbins</t>
  </si>
  <si>
    <t>A00-25122</t>
  </si>
  <si>
    <t>081281076***</t>
  </si>
  <si>
    <t>jocelynnhurst</t>
  </si>
  <si>
    <t>081235262***</t>
  </si>
  <si>
    <t>camillecase</t>
  </si>
  <si>
    <t>083213966***</t>
  </si>
  <si>
    <t>tonyadkins</t>
  </si>
  <si>
    <t>084233935***</t>
  </si>
  <si>
    <t>teresaadams</t>
  </si>
  <si>
    <t>A00-25126</t>
  </si>
  <si>
    <t>85245237***</t>
  </si>
  <si>
    <t>paytonaustin</t>
  </si>
  <si>
    <t>A00-25131</t>
  </si>
  <si>
    <t>85245707***</t>
  </si>
  <si>
    <t>kasonchavez</t>
  </si>
  <si>
    <t>A00-25132</t>
  </si>
  <si>
    <t>81226488***</t>
  </si>
  <si>
    <t>emilieanthony</t>
  </si>
  <si>
    <t>A00-25133</t>
  </si>
  <si>
    <t>6285252093***</t>
  </si>
  <si>
    <t>carsennelson</t>
  </si>
  <si>
    <t>A00-25135</t>
  </si>
  <si>
    <t>6283219984***</t>
  </si>
  <si>
    <t>juliusstephens</t>
  </si>
  <si>
    <t>A00-25136</t>
  </si>
  <si>
    <t>85237626***</t>
  </si>
  <si>
    <t>everettbutler</t>
  </si>
  <si>
    <t>A00-25137</t>
  </si>
  <si>
    <t>81247984***</t>
  </si>
  <si>
    <t>maracortez</t>
  </si>
  <si>
    <t>A00-25139</t>
  </si>
  <si>
    <t>83234003***</t>
  </si>
  <si>
    <t>owenvasquez</t>
  </si>
  <si>
    <t>6285259785***</t>
  </si>
  <si>
    <t>kelvinnguyen</t>
  </si>
  <si>
    <t>6282214267***</t>
  </si>
  <si>
    <t>lilliangaines</t>
  </si>
  <si>
    <t>A00-25145</t>
  </si>
  <si>
    <t>0822-59158***</t>
  </si>
  <si>
    <t>lizethguerrero</t>
  </si>
  <si>
    <t>A00-25146</t>
  </si>
  <si>
    <t>0832-98967***</t>
  </si>
  <si>
    <t>nashsparks</t>
  </si>
  <si>
    <t>A00-25147</t>
  </si>
  <si>
    <t>0822-94439***</t>
  </si>
  <si>
    <t>ellenbright</t>
  </si>
  <si>
    <t>A00-25149</t>
  </si>
  <si>
    <t>0812 98001***</t>
  </si>
  <si>
    <t>demetriushancock</t>
  </si>
  <si>
    <t>0842 26236***</t>
  </si>
  <si>
    <t>chacevega</t>
  </si>
  <si>
    <t>A00-25151</t>
  </si>
  <si>
    <t>0832 40193***</t>
  </si>
  <si>
    <t>ryannross</t>
  </si>
  <si>
    <t>A00-25152</t>
  </si>
  <si>
    <t>0812 34911***</t>
  </si>
  <si>
    <t>elainematthews</t>
  </si>
  <si>
    <t>A00-25153</t>
  </si>
  <si>
    <t>0812-56699***</t>
  </si>
  <si>
    <t>dallasgraham</t>
  </si>
  <si>
    <t>A00-25155</t>
  </si>
  <si>
    <t>0822-90921***</t>
  </si>
  <si>
    <t>cooperalvarez</t>
  </si>
  <si>
    <t>822 90244***</t>
  </si>
  <si>
    <t>annswanson</t>
  </si>
  <si>
    <t>812 31879***</t>
  </si>
  <si>
    <t>chanceraymond</t>
  </si>
  <si>
    <t>A00-25160</t>
  </si>
  <si>
    <t>081275445***</t>
  </si>
  <si>
    <t>kendralucas</t>
  </si>
  <si>
    <t>082266487***</t>
  </si>
  <si>
    <t>deshawncalhoun</t>
  </si>
  <si>
    <t>A00-25162</t>
  </si>
  <si>
    <t>081257819***</t>
  </si>
  <si>
    <t>isabellameyers</t>
  </si>
  <si>
    <t>A00-25164</t>
  </si>
  <si>
    <t>081219453***</t>
  </si>
  <si>
    <t>jaydenhendrix</t>
  </si>
  <si>
    <t>A00-25165</t>
  </si>
  <si>
    <t>81234149***</t>
  </si>
  <si>
    <t>chanelmorton</t>
  </si>
  <si>
    <t>84267477***</t>
  </si>
  <si>
    <t>rykersantos</t>
  </si>
  <si>
    <t>A00-25167</t>
  </si>
  <si>
    <t>83255046***</t>
  </si>
  <si>
    <t>keiramoody</t>
  </si>
  <si>
    <t>A00-25168</t>
  </si>
  <si>
    <t>6281287214***</t>
  </si>
  <si>
    <t>nicodougherty</t>
  </si>
  <si>
    <t>6285295290***</t>
  </si>
  <si>
    <t>miriamoconnor</t>
  </si>
  <si>
    <t>A00-25171</t>
  </si>
  <si>
    <t>83259466***</t>
  </si>
  <si>
    <t>karenwillis</t>
  </si>
  <si>
    <t>84296373***</t>
  </si>
  <si>
    <t>brielledunlap</t>
  </si>
  <si>
    <t>82242096***</t>
  </si>
  <si>
    <t>marcelvelazquez</t>
  </si>
  <si>
    <t>6285290143***</t>
  </si>
  <si>
    <t>aubreysampson</t>
  </si>
  <si>
    <t>6285255648***</t>
  </si>
  <si>
    <t>kenziewalton</t>
  </si>
  <si>
    <t>0822-62178***</t>
  </si>
  <si>
    <t>andresbarrera</t>
  </si>
  <si>
    <t>0852-43001***</t>
  </si>
  <si>
    <t>brendonvillanueva</t>
  </si>
  <si>
    <t>A00-25183</t>
  </si>
  <si>
    <t>0812-33080***</t>
  </si>
  <si>
    <t>stephaniebernard</t>
  </si>
  <si>
    <t>A00-25184</t>
  </si>
  <si>
    <t>0822 14343***</t>
  </si>
  <si>
    <t>heidiharrington</t>
  </si>
  <si>
    <t>A00-25185</t>
  </si>
  <si>
    <t>0842 37241***</t>
  </si>
  <si>
    <t>amaricain</t>
  </si>
  <si>
    <t>A00-25186</t>
  </si>
  <si>
    <t>0812 23592***</t>
  </si>
  <si>
    <t>elishaperkins</t>
  </si>
  <si>
    <t>0832 58252***</t>
  </si>
  <si>
    <t>marcomontes</t>
  </si>
  <si>
    <t>0852-12280***</t>
  </si>
  <si>
    <t>kalliechambers</t>
  </si>
  <si>
    <t>A00-25191</t>
  </si>
  <si>
    <t>0832-96376***</t>
  </si>
  <si>
    <t>isaacray</t>
  </si>
  <si>
    <t>822 63478***</t>
  </si>
  <si>
    <t>jacksonhahn</t>
  </si>
  <si>
    <t>842 15854***</t>
  </si>
  <si>
    <t>nasirday</t>
  </si>
  <si>
    <t>082243384***</t>
  </si>
  <si>
    <t>alannahayden</t>
  </si>
  <si>
    <t>A00-25196</t>
  </si>
  <si>
    <t>084263327***</t>
  </si>
  <si>
    <t>scarlettbecker</t>
  </si>
  <si>
    <t>A00-25199</t>
  </si>
  <si>
    <t>083234091***</t>
  </si>
  <si>
    <t>manuelstevens</t>
  </si>
  <si>
    <t>082295055***</t>
  </si>
  <si>
    <t>cristianporter</t>
  </si>
  <si>
    <t>A00-25202</t>
  </si>
  <si>
    <t>84290403***</t>
  </si>
  <si>
    <t>kaseyhays</t>
  </si>
  <si>
    <t>A00-25203</t>
  </si>
  <si>
    <t>84264546***</t>
  </si>
  <si>
    <t>destineyvincent</t>
  </si>
  <si>
    <t>82224557***</t>
  </si>
  <si>
    <t>lilianbuchanan</t>
  </si>
  <si>
    <t>A00-25207</t>
  </si>
  <si>
    <t>6284229527***</t>
  </si>
  <si>
    <t>leonelbenitez</t>
  </si>
  <si>
    <t>A00-25208</t>
  </si>
  <si>
    <t>6282217606***</t>
  </si>
  <si>
    <t>trentongalvan</t>
  </si>
  <si>
    <t>81286177***</t>
  </si>
  <si>
    <t>gianahaney</t>
  </si>
  <si>
    <t>A00-25211</t>
  </si>
  <si>
    <t>81273450***</t>
  </si>
  <si>
    <t>dalehanna</t>
  </si>
  <si>
    <t>82230070***</t>
  </si>
  <si>
    <t>eileenmclean</t>
  </si>
  <si>
    <t>6285222867***</t>
  </si>
  <si>
    <t>lukamolina</t>
  </si>
  <si>
    <t>A00-25214</t>
  </si>
  <si>
    <t>6285277558***</t>
  </si>
  <si>
    <t>tiasosa</t>
  </si>
  <si>
    <t>0812-97334***</t>
  </si>
  <si>
    <t>briaramirez</t>
  </si>
  <si>
    <t>A00-25217</t>
  </si>
  <si>
    <t>0832-46733***</t>
  </si>
  <si>
    <t>rubyobrien</t>
  </si>
  <si>
    <t>A00-25220</t>
  </si>
  <si>
    <t>0832-33384***</t>
  </si>
  <si>
    <t>lukasfaulkner</t>
  </si>
  <si>
    <t>A00-25221</t>
  </si>
  <si>
    <t>0852 80914***</t>
  </si>
  <si>
    <t>kyliekent</t>
  </si>
  <si>
    <t>A00-25223</t>
  </si>
  <si>
    <t>10-07-1976</t>
  </si>
  <si>
    <t>0812 75601***</t>
  </si>
  <si>
    <t>tobiasandrade</t>
  </si>
  <si>
    <t>0842 42071***</t>
  </si>
  <si>
    <t>amiyacordova</t>
  </si>
  <si>
    <t>A00-25228</t>
  </si>
  <si>
    <t>0812 68560***</t>
  </si>
  <si>
    <t>lilyanawatts</t>
  </si>
  <si>
    <t>A00-25229</t>
  </si>
  <si>
    <t>0832-29933***</t>
  </si>
  <si>
    <t>aleenaholt</t>
  </si>
  <si>
    <t>A00-25231</t>
  </si>
  <si>
    <t>0822-83598***</t>
  </si>
  <si>
    <t>bayleehampton</t>
  </si>
  <si>
    <t>832 51743***</t>
  </si>
  <si>
    <t>reubengillespie</t>
  </si>
  <si>
    <t>832 48077***</t>
  </si>
  <si>
    <t>karlyweber</t>
  </si>
  <si>
    <t>082226891***</t>
  </si>
  <si>
    <t>daxvillanueva</t>
  </si>
  <si>
    <t>A00-25236</t>
  </si>
  <si>
    <t>081223556***</t>
  </si>
  <si>
    <t>kassidymaddox</t>
  </si>
  <si>
    <t>A00-25240</t>
  </si>
  <si>
    <t>085262120***</t>
  </si>
  <si>
    <t>danacrane</t>
  </si>
  <si>
    <t>084246623***</t>
  </si>
  <si>
    <t>allissonkhan</t>
  </si>
  <si>
    <t>85241128***</t>
  </si>
  <si>
    <t>jonmarsh</t>
  </si>
  <si>
    <t>A00-25245</t>
  </si>
  <si>
    <t>81266687***</t>
  </si>
  <si>
    <t>jayceeorozco</t>
  </si>
  <si>
    <t>82259504***</t>
  </si>
  <si>
    <t>thomasbuck</t>
  </si>
  <si>
    <t>6284224323***</t>
  </si>
  <si>
    <t>ariellawalsh</t>
  </si>
  <si>
    <t>A00-25251</t>
  </si>
  <si>
    <t>6282241977***</t>
  </si>
  <si>
    <t>kolbyblanchard</t>
  </si>
  <si>
    <t>82248379***</t>
  </si>
  <si>
    <t>kaseyfernandez</t>
  </si>
  <si>
    <t>85241101***</t>
  </si>
  <si>
    <t>stanleybuck</t>
  </si>
  <si>
    <t>A00-25255</t>
  </si>
  <si>
    <t>85298050***</t>
  </si>
  <si>
    <t>jasecarroll</t>
  </si>
  <si>
    <t>6285247804***</t>
  </si>
  <si>
    <t>owensaunders</t>
  </si>
  <si>
    <t>A00-25260</t>
  </si>
  <si>
    <t>6283242658***</t>
  </si>
  <si>
    <t>julioboyer</t>
  </si>
  <si>
    <t>0812-12536***</t>
  </si>
  <si>
    <t>antoineobrien</t>
  </si>
  <si>
    <t>0842-82423***</t>
  </si>
  <si>
    <t>skyesteele</t>
  </si>
  <si>
    <t>0852-66840***</t>
  </si>
  <si>
    <t>enzogarner</t>
  </si>
  <si>
    <t>0852 36713***</t>
  </si>
  <si>
    <t>luciansmall</t>
  </si>
  <si>
    <t>0832 20388***</t>
  </si>
  <si>
    <t>kinsleywilkerson</t>
  </si>
  <si>
    <t>0842 71336***</t>
  </si>
  <si>
    <t>janiahrowland</t>
  </si>
  <si>
    <t>A00-25271</t>
  </si>
  <si>
    <t>0842 86152***</t>
  </si>
  <si>
    <t>terrancepeters</t>
  </si>
  <si>
    <t>0852-55651***</t>
  </si>
  <si>
    <t>owensosa</t>
  </si>
  <si>
    <t>A00-25274</t>
  </si>
  <si>
    <t>0842-50136***</t>
  </si>
  <si>
    <t>danicahendrix</t>
  </si>
  <si>
    <t>832 26538***</t>
  </si>
  <si>
    <t>kasonodom</t>
  </si>
  <si>
    <t>852 29367***</t>
  </si>
  <si>
    <t>gillianstuart</t>
  </si>
  <si>
    <t>084242780***</t>
  </si>
  <si>
    <t>sariahjohnson</t>
  </si>
  <si>
    <t>082250297***</t>
  </si>
  <si>
    <t>kaelynatkinson</t>
  </si>
  <si>
    <t>081289690***</t>
  </si>
  <si>
    <t>lilaholmes</t>
  </si>
  <si>
    <t>084253319***</t>
  </si>
  <si>
    <t>kaitlynnbenitez</t>
  </si>
  <si>
    <t>A00-25285</t>
  </si>
  <si>
    <t>85298357***</t>
  </si>
  <si>
    <t>brooklynncooper</t>
  </si>
  <si>
    <t>84241628***</t>
  </si>
  <si>
    <t>micahkhan</t>
  </si>
  <si>
    <t>81281340***</t>
  </si>
  <si>
    <t>dawsoncantu</t>
  </si>
  <si>
    <t>A00-25289</t>
  </si>
  <si>
    <t>6284275053***</t>
  </si>
  <si>
    <t>cierramorse</t>
  </si>
  <si>
    <t>A00-25290</t>
  </si>
  <si>
    <t>6281280909***</t>
  </si>
  <si>
    <t>lydiadillon</t>
  </si>
  <si>
    <t>81297766***</t>
  </si>
  <si>
    <t>samuelaguilar</t>
  </si>
  <si>
    <t>83265605***</t>
  </si>
  <si>
    <t>christianreeves</t>
  </si>
  <si>
    <t>83285086***</t>
  </si>
  <si>
    <t>saradeleon</t>
  </si>
  <si>
    <t>6282228133***</t>
  </si>
  <si>
    <t>aniyafletcher</t>
  </si>
  <si>
    <t>A00-25300</t>
  </si>
  <si>
    <t>6281276556***</t>
  </si>
  <si>
    <t>jaylapreston</t>
  </si>
  <si>
    <t>A00-25302</t>
  </si>
  <si>
    <t>0812-45019***</t>
  </si>
  <si>
    <t>nigelherrera</t>
  </si>
  <si>
    <t>0822-89637***</t>
  </si>
  <si>
    <t>marconash</t>
  </si>
  <si>
    <t>A00-25307</t>
  </si>
  <si>
    <t>0822-55803***</t>
  </si>
  <si>
    <t>leslieandrade</t>
  </si>
  <si>
    <t>A00-25309</t>
  </si>
  <si>
    <t>0812 54734***</t>
  </si>
  <si>
    <t>dextermercer</t>
  </si>
  <si>
    <t>0812 78749***</t>
  </si>
  <si>
    <t>averymathis</t>
  </si>
  <si>
    <t>A00-25311</t>
  </si>
  <si>
    <t>0832 46989***</t>
  </si>
  <si>
    <t>semajmoss</t>
  </si>
  <si>
    <t>A00-25313</t>
  </si>
  <si>
    <t>0822 73950***</t>
  </si>
  <si>
    <t>augustbarr</t>
  </si>
  <si>
    <t>A00-25314</t>
  </si>
  <si>
    <t>0852-89578***</t>
  </si>
  <si>
    <t>elvisserrano</t>
  </si>
  <si>
    <t>0832-39193***</t>
  </si>
  <si>
    <t>rebekahroth</t>
  </si>
  <si>
    <t>822 85982***</t>
  </si>
  <si>
    <t>marquisechoi</t>
  </si>
  <si>
    <t>A00-25320</t>
  </si>
  <si>
    <t>812 87732***</t>
  </si>
  <si>
    <t>karleeli</t>
  </si>
  <si>
    <t>A00-25323</t>
  </si>
  <si>
    <t>081228223***</t>
  </si>
  <si>
    <t>kaneholloway</t>
  </si>
  <si>
    <t>082256798***</t>
  </si>
  <si>
    <t>lorenzoweber</t>
  </si>
  <si>
    <t>A00-25333</t>
  </si>
  <si>
    <t>085263185***</t>
  </si>
  <si>
    <t>glennclarke</t>
  </si>
  <si>
    <t>A00-25334</t>
  </si>
  <si>
    <t>085229871***</t>
  </si>
  <si>
    <t>omarihenry</t>
  </si>
  <si>
    <t>83274873***</t>
  </si>
  <si>
    <t>kalenavarro</t>
  </si>
  <si>
    <t>A00-25340</t>
  </si>
  <si>
    <t>82276664***</t>
  </si>
  <si>
    <t>reubenlynn</t>
  </si>
  <si>
    <t>A00-25342</t>
  </si>
  <si>
    <t>83260754***</t>
  </si>
  <si>
    <t>pedroporter</t>
  </si>
  <si>
    <t>6285287820***</t>
  </si>
  <si>
    <t>leslybarry</t>
  </si>
  <si>
    <t>A00-25346</t>
  </si>
  <si>
    <t>10-06-2004</t>
  </si>
  <si>
    <t>6283235705***</t>
  </si>
  <si>
    <t>arjunmitchell</t>
  </si>
  <si>
    <t>A00-25347</t>
  </si>
  <si>
    <t>81269704***</t>
  </si>
  <si>
    <t>bronsonsims</t>
  </si>
  <si>
    <t>A00-25349</t>
  </si>
  <si>
    <t>83286394***</t>
  </si>
  <si>
    <t>theodoreacosta</t>
  </si>
  <si>
    <t>81271675***</t>
  </si>
  <si>
    <t>tristinholden</t>
  </si>
  <si>
    <t>6281213219***</t>
  </si>
  <si>
    <t>carsonnunez</t>
  </si>
  <si>
    <t>6281260493***</t>
  </si>
  <si>
    <t>israelpruitt</t>
  </si>
  <si>
    <t>A00-25354</t>
  </si>
  <si>
    <t>0842-24708***</t>
  </si>
  <si>
    <t>jadenmills</t>
  </si>
  <si>
    <t>A00-25355</t>
  </si>
  <si>
    <t>0812-25338***</t>
  </si>
  <si>
    <t>dariusbarry</t>
  </si>
  <si>
    <t>A00-25357</t>
  </si>
  <si>
    <t>0832-53228***</t>
  </si>
  <si>
    <t>crystalzavala</t>
  </si>
  <si>
    <t>A00-25358</t>
  </si>
  <si>
    <t>0832 93189***</t>
  </si>
  <si>
    <t>judithmontes</t>
  </si>
  <si>
    <t>A00-25363</t>
  </si>
  <si>
    <t>0812 21412***</t>
  </si>
  <si>
    <t>lilianmcconnell</t>
  </si>
  <si>
    <t>0852 38686***</t>
  </si>
  <si>
    <t>trevindelgado</t>
  </si>
  <si>
    <t>A00-25365</t>
  </si>
  <si>
    <t>0842 42693***</t>
  </si>
  <si>
    <t>mauriciopoole</t>
  </si>
  <si>
    <t>A00-25367</t>
  </si>
  <si>
    <t>0852-31537***</t>
  </si>
  <si>
    <t>jaylahirwin</t>
  </si>
  <si>
    <t>0842-21394***</t>
  </si>
  <si>
    <t>allanriley</t>
  </si>
  <si>
    <t>A00-25370</t>
  </si>
  <si>
    <t>822 58862***</t>
  </si>
  <si>
    <t>jonathongibson</t>
  </si>
  <si>
    <t>812 43897***</t>
  </si>
  <si>
    <t>mirandarogers</t>
  </si>
  <si>
    <t>A00-25372</t>
  </si>
  <si>
    <t>085245654***</t>
  </si>
  <si>
    <t>lacibarnett</t>
  </si>
  <si>
    <t>A00-25374</t>
  </si>
  <si>
    <t>085228320***</t>
  </si>
  <si>
    <t>rowanmullins</t>
  </si>
  <si>
    <t>A00-25375</t>
  </si>
  <si>
    <t>084284294***</t>
  </si>
  <si>
    <t>sherlynwall</t>
  </si>
  <si>
    <t>084211933***</t>
  </si>
  <si>
    <t>hannahpollard</t>
  </si>
  <si>
    <t>A00-25378</t>
  </si>
  <si>
    <t>83218686***</t>
  </si>
  <si>
    <t>paytenvang</t>
  </si>
  <si>
    <t>A00-25381</t>
  </si>
  <si>
    <t>83217388***</t>
  </si>
  <si>
    <t>sinceremoyer</t>
  </si>
  <si>
    <t>A00-25383</t>
  </si>
  <si>
    <t>81239947***</t>
  </si>
  <si>
    <t>isiscervantes</t>
  </si>
  <si>
    <t>6284211389***</t>
  </si>
  <si>
    <t>jordanfranklin</t>
  </si>
  <si>
    <t>A00-25386</t>
  </si>
  <si>
    <t>6285245030***</t>
  </si>
  <si>
    <t>belindacannon</t>
  </si>
  <si>
    <t>A00-25387</t>
  </si>
  <si>
    <t>84216068***</t>
  </si>
  <si>
    <t>lailahmorrow</t>
  </si>
  <si>
    <t>A00-25388</t>
  </si>
  <si>
    <t>81283433***</t>
  </si>
  <si>
    <t>alyssavalenzuela</t>
  </si>
  <si>
    <t>82278941***</t>
  </si>
  <si>
    <t>jenniferclayton</t>
  </si>
  <si>
    <t>6285289317***</t>
  </si>
  <si>
    <t>zechariahhart</t>
  </si>
  <si>
    <t>6283211911***</t>
  </si>
  <si>
    <t>keirayu</t>
  </si>
  <si>
    <t>0842-48412***</t>
  </si>
  <si>
    <t>karleyvang</t>
  </si>
  <si>
    <t>A00-25394</t>
  </si>
  <si>
    <t>0842-90728***</t>
  </si>
  <si>
    <t>laytonmcclain</t>
  </si>
  <si>
    <t>A00-25395</t>
  </si>
  <si>
    <t>0812-63910***</t>
  </si>
  <si>
    <t>sherlynsuarez</t>
  </si>
  <si>
    <t>A00-25398</t>
  </si>
  <si>
    <t>0832 18121***</t>
  </si>
  <si>
    <t>yosefguerrero</t>
  </si>
  <si>
    <t>A00-25399</t>
  </si>
  <si>
    <t>0832 39147***</t>
  </si>
  <si>
    <t>rohanhendricks</t>
  </si>
  <si>
    <t>0832 87456***</t>
  </si>
  <si>
    <t>alonsomccullough</t>
  </si>
  <si>
    <t>0812 29765***</t>
  </si>
  <si>
    <t>ernestorich</t>
  </si>
  <si>
    <t>A00-25404</t>
  </si>
  <si>
    <t>0832-34746***</t>
  </si>
  <si>
    <t>trystanharmon</t>
  </si>
  <si>
    <t>A00-25405</t>
  </si>
  <si>
    <t>0842-99211***</t>
  </si>
  <si>
    <t>abrilduffy</t>
  </si>
  <si>
    <t>812 48630***</t>
  </si>
  <si>
    <t>kylerogers</t>
  </si>
  <si>
    <t>A00-25408</t>
  </si>
  <si>
    <t>812 80950***</t>
  </si>
  <si>
    <t>sethcox</t>
  </si>
  <si>
    <t>A00-25410</t>
  </si>
  <si>
    <t>081275582***</t>
  </si>
  <si>
    <t>lucillehenson</t>
  </si>
  <si>
    <t>085219203***</t>
  </si>
  <si>
    <t>leticiabridges</t>
  </si>
  <si>
    <t>A00-25415</t>
  </si>
  <si>
    <t>083250588***</t>
  </si>
  <si>
    <t>perlacannon</t>
  </si>
  <si>
    <t>A00-25416</t>
  </si>
  <si>
    <t>083216052***</t>
  </si>
  <si>
    <t>jazlynpayne</t>
  </si>
  <si>
    <t>82273880***</t>
  </si>
  <si>
    <t>maryjanebeasley</t>
  </si>
  <si>
    <t>84287075***</t>
  </si>
  <si>
    <t>adelynhaas</t>
  </si>
  <si>
    <t>84255349***</t>
  </si>
  <si>
    <t>marcelolucero</t>
  </si>
  <si>
    <t>A00-25425</t>
  </si>
  <si>
    <t>6285272816***</t>
  </si>
  <si>
    <t>maximoestrada</t>
  </si>
  <si>
    <t>A00-25426</t>
  </si>
  <si>
    <t>6282235146***</t>
  </si>
  <si>
    <t>markusschwartz</t>
  </si>
  <si>
    <t>A00-25428</t>
  </si>
  <si>
    <t>85251847***</t>
  </si>
  <si>
    <t>dominiquedavis</t>
  </si>
  <si>
    <t>81225872***</t>
  </si>
  <si>
    <t>dominiqueingram</t>
  </si>
  <si>
    <t>81292484***</t>
  </si>
  <si>
    <t>waylongibson</t>
  </si>
  <si>
    <t>A00-25432</t>
  </si>
  <si>
    <t>6283292186***</t>
  </si>
  <si>
    <t>judahcoffey</t>
  </si>
  <si>
    <t>A00-25435</t>
  </si>
  <si>
    <t>6284253781***</t>
  </si>
  <si>
    <t>billydurham</t>
  </si>
  <si>
    <t>0822-68140***</t>
  </si>
  <si>
    <t>kadynmarks</t>
  </si>
  <si>
    <t>0832-79976***</t>
  </si>
  <si>
    <t>campbellmckenzie</t>
  </si>
  <si>
    <t>A00-25438</t>
  </si>
  <si>
    <t>0822-62748***</t>
  </si>
  <si>
    <t>jilliangarner</t>
  </si>
  <si>
    <t>0832 77019***</t>
  </si>
  <si>
    <t>keelygalvan</t>
  </si>
  <si>
    <t>0812 59388***</t>
  </si>
  <si>
    <t>erikamooney</t>
  </si>
  <si>
    <t>A00-25441</t>
  </si>
  <si>
    <t>0832 98804***</t>
  </si>
  <si>
    <t>bryannapalmer</t>
  </si>
  <si>
    <t>0812 94215***</t>
  </si>
  <si>
    <t>shilohblackburn</t>
  </si>
  <si>
    <t>0832-26853***</t>
  </si>
  <si>
    <t>aaliyahbautista</t>
  </si>
  <si>
    <t>A00-25444</t>
  </si>
  <si>
    <t>0822-42898***</t>
  </si>
  <si>
    <t>lisablanchard</t>
  </si>
  <si>
    <t>A00-25445</t>
  </si>
  <si>
    <t>822 54695***</t>
  </si>
  <si>
    <t>kylacompton</t>
  </si>
  <si>
    <t>812 63950***</t>
  </si>
  <si>
    <t>marelifloyd</t>
  </si>
  <si>
    <t>A00-25447</t>
  </si>
  <si>
    <t>085246271***</t>
  </si>
  <si>
    <t>sharonpena</t>
  </si>
  <si>
    <t>082217244***</t>
  </si>
  <si>
    <t>quincydelacruz</t>
  </si>
  <si>
    <t>A00-25449</t>
  </si>
  <si>
    <t>084299350***</t>
  </si>
  <si>
    <t>donnasutton</t>
  </si>
  <si>
    <t>A00-25450</t>
  </si>
  <si>
    <t>082272762***</t>
  </si>
  <si>
    <t>tiajohnston</t>
  </si>
  <si>
    <t>A00-25451</t>
  </si>
  <si>
    <t>81214517***</t>
  </si>
  <si>
    <t>enzogreene</t>
  </si>
  <si>
    <t>84235457***</t>
  </si>
  <si>
    <t>elainemcdaniel</t>
  </si>
  <si>
    <t>82285141***</t>
  </si>
  <si>
    <t>micahfritz</t>
  </si>
  <si>
    <t>6283287671***</t>
  </si>
  <si>
    <t>nickolaschan</t>
  </si>
  <si>
    <t>6283216453***</t>
  </si>
  <si>
    <t>raidenwalters</t>
  </si>
  <si>
    <t>A00-25459</t>
  </si>
  <si>
    <t>81238016***</t>
  </si>
  <si>
    <t>rafaelgardner</t>
  </si>
  <si>
    <t>85288796***</t>
  </si>
  <si>
    <t>elisabethgood</t>
  </si>
  <si>
    <t>85286485***</t>
  </si>
  <si>
    <t>jaydanwarren</t>
  </si>
  <si>
    <t>A00-25466</t>
  </si>
  <si>
    <t>6283271523***</t>
  </si>
  <si>
    <t>aliyawolf</t>
  </si>
  <si>
    <t>A00-25467</t>
  </si>
  <si>
    <t>6285269290***</t>
  </si>
  <si>
    <t>meghanpineda</t>
  </si>
  <si>
    <t>0822-48150***</t>
  </si>
  <si>
    <t>gunnerbartlett</t>
  </si>
  <si>
    <t>0812-43922***</t>
  </si>
  <si>
    <t>toricrosby</t>
  </si>
  <si>
    <t>0822-14257***</t>
  </si>
  <si>
    <t>jacobbowman</t>
  </si>
  <si>
    <t>0822 33978***</t>
  </si>
  <si>
    <t>jasenavarro</t>
  </si>
  <si>
    <t>A00-25479</t>
  </si>
  <si>
    <t>0822 25157***</t>
  </si>
  <si>
    <t>georgelarson</t>
  </si>
  <si>
    <t>A00-25480</t>
  </si>
  <si>
    <t>0832 98291***</t>
  </si>
  <si>
    <t>tobiasgraham</t>
  </si>
  <si>
    <t>A00-25481</t>
  </si>
  <si>
    <t>0842 91386***</t>
  </si>
  <si>
    <t>jaceycox</t>
  </si>
  <si>
    <t>0812-80526***</t>
  </si>
  <si>
    <t>quincyshea</t>
  </si>
  <si>
    <t>A00-25484</t>
  </si>
  <si>
    <t>0822-50047***</t>
  </si>
  <si>
    <t>jaycepittman</t>
  </si>
  <si>
    <t>A00-25488</t>
  </si>
  <si>
    <t>852 54824***</t>
  </si>
  <si>
    <t>aubreycarpenter</t>
  </si>
  <si>
    <t>842 83940***</t>
  </si>
  <si>
    <t>dayanarichards</t>
  </si>
  <si>
    <t>082288551***</t>
  </si>
  <si>
    <t>lillianagibson</t>
  </si>
  <si>
    <t>A00-25493</t>
  </si>
  <si>
    <t>085217887***</t>
  </si>
  <si>
    <t>lucakeith</t>
  </si>
  <si>
    <t>085216351***</t>
  </si>
  <si>
    <t>lolamcpherson</t>
  </si>
  <si>
    <t>A00-25496</t>
  </si>
  <si>
    <t>084286190***</t>
  </si>
  <si>
    <t>derrickcrawford</t>
  </si>
  <si>
    <t>A00-25497</t>
  </si>
  <si>
    <t>83233447***</t>
  </si>
  <si>
    <t>layneduke</t>
  </si>
  <si>
    <t>A00-25500</t>
  </si>
  <si>
    <t>83212147***</t>
  </si>
  <si>
    <t>saulcrane</t>
  </si>
  <si>
    <t>84249447***</t>
  </si>
  <si>
    <t>paxtonzavala</t>
  </si>
  <si>
    <t>A00-25502</t>
  </si>
  <si>
    <t>6281268752***</t>
  </si>
  <si>
    <t>sophiaholder</t>
  </si>
  <si>
    <t>A00-25503</t>
  </si>
  <si>
    <t>6282231512***</t>
  </si>
  <si>
    <t>lucianocarroll</t>
  </si>
  <si>
    <t>81273793***</t>
  </si>
  <si>
    <t>corbintapia</t>
  </si>
  <si>
    <t>84230242***</t>
  </si>
  <si>
    <t>kendallbond</t>
  </si>
  <si>
    <t>81271026***</t>
  </si>
  <si>
    <t>tracehensley</t>
  </si>
  <si>
    <t>A00-25509</t>
  </si>
  <si>
    <t>6284286377***</t>
  </si>
  <si>
    <t>gianahorne</t>
  </si>
  <si>
    <t>6283241757***</t>
  </si>
  <si>
    <t>quincyvillegas</t>
  </si>
  <si>
    <t>0822-36702***</t>
  </si>
  <si>
    <t>fatimaolson</t>
  </si>
  <si>
    <t>A00-25513</t>
  </si>
  <si>
    <t>0822-51505***</t>
  </si>
  <si>
    <t>averieblake</t>
  </si>
  <si>
    <t>A00-25514</t>
  </si>
  <si>
    <t>0832-90340***</t>
  </si>
  <si>
    <t>terrancedaniel</t>
  </si>
  <si>
    <t>0832 59068***</t>
  </si>
  <si>
    <t>hayleylowery</t>
  </si>
  <si>
    <t>0822 57966***</t>
  </si>
  <si>
    <t>waylonporter</t>
  </si>
  <si>
    <t>A00-25517</t>
  </si>
  <si>
    <t>0822 79397***</t>
  </si>
  <si>
    <t>santinostafford</t>
  </si>
  <si>
    <t>A00-25518</t>
  </si>
  <si>
    <t>0852 32210***</t>
  </si>
  <si>
    <t>ashleysandoval</t>
  </si>
  <si>
    <t>0832-96525***</t>
  </si>
  <si>
    <t>amiradean</t>
  </si>
  <si>
    <t>0832-80568***</t>
  </si>
  <si>
    <t>chazmcknight</t>
  </si>
  <si>
    <t>A00-25523</t>
  </si>
  <si>
    <t>812 85551***</t>
  </si>
  <si>
    <t>tomasfinley</t>
  </si>
  <si>
    <t>A00-25524</t>
  </si>
  <si>
    <t>812 53057***</t>
  </si>
  <si>
    <t>beatricevance</t>
  </si>
  <si>
    <t>084251720***</t>
  </si>
  <si>
    <t>emersonhunter</t>
  </si>
  <si>
    <t>A00-25526</t>
  </si>
  <si>
    <t>085279010***</t>
  </si>
  <si>
    <t>chaimvillegas</t>
  </si>
  <si>
    <t>081295974***</t>
  </si>
  <si>
    <t>carterritter</t>
  </si>
  <si>
    <t>084292748***</t>
  </si>
  <si>
    <t>ezraharrison</t>
  </si>
  <si>
    <t>A00-25530</t>
  </si>
  <si>
    <t>82249562***</t>
  </si>
  <si>
    <t>rodolfoallison</t>
  </si>
  <si>
    <t>81289048***</t>
  </si>
  <si>
    <t>isaidavid</t>
  </si>
  <si>
    <t>85282001***</t>
  </si>
  <si>
    <t>maliawright</t>
  </si>
  <si>
    <t>6282299437***</t>
  </si>
  <si>
    <t>kelsiemorales</t>
  </si>
  <si>
    <t>6282236661***</t>
  </si>
  <si>
    <t>sasharoberson</t>
  </si>
  <si>
    <t>84234801***</t>
  </si>
  <si>
    <t>zackerystark</t>
  </si>
  <si>
    <t>82295456***</t>
  </si>
  <si>
    <t>meghanbraun</t>
  </si>
  <si>
    <t>A00-25541</t>
  </si>
  <si>
    <t>84249686***</t>
  </si>
  <si>
    <t>maryjanedixon</t>
  </si>
  <si>
    <t>A00-25545</t>
  </si>
  <si>
    <t>10-01-1982</t>
  </si>
  <si>
    <t>6285280625***</t>
  </si>
  <si>
    <t>gaigehiggins</t>
  </si>
  <si>
    <t>6284299637***</t>
  </si>
  <si>
    <t>jaylanbolton</t>
  </si>
  <si>
    <t>0852-88922***</t>
  </si>
  <si>
    <t>alihodges</t>
  </si>
  <si>
    <t>A00-25548</t>
  </si>
  <si>
    <t>0852-99728***</t>
  </si>
  <si>
    <t>octaviozavala</t>
  </si>
  <si>
    <t>0812-89978***</t>
  </si>
  <si>
    <t>shirleysullivan</t>
  </si>
  <si>
    <t>A00-25551</t>
  </si>
  <si>
    <t>0822 92725***</t>
  </si>
  <si>
    <t>javionolson</t>
  </si>
  <si>
    <t>0832 87702***</t>
  </si>
  <si>
    <t>elizabethmoyer</t>
  </si>
  <si>
    <t>0842 79458***</t>
  </si>
  <si>
    <t>matildapennington</t>
  </si>
  <si>
    <t>A00-25556</t>
  </si>
  <si>
    <t>0852 87365***</t>
  </si>
  <si>
    <t>maxwellshea</t>
  </si>
  <si>
    <t>A00-25557</t>
  </si>
  <si>
    <t>0842-15460***</t>
  </si>
  <si>
    <t>porterhart</t>
  </si>
  <si>
    <t>0832-22774***</t>
  </si>
  <si>
    <t>anastasiamclean</t>
  </si>
  <si>
    <t>A00-25561</t>
  </si>
  <si>
    <t>822 98277***</t>
  </si>
  <si>
    <t>coltonwaters</t>
  </si>
  <si>
    <t>A00-25563</t>
  </si>
  <si>
    <t>832 56705***</t>
  </si>
  <si>
    <t>octavionorton</t>
  </si>
  <si>
    <t>A00-25566</t>
  </si>
  <si>
    <t>082259094***</t>
  </si>
  <si>
    <t>lawsonblack</t>
  </si>
  <si>
    <t>A00-25567</t>
  </si>
  <si>
    <t>085276612***</t>
  </si>
  <si>
    <t>ryannoble</t>
  </si>
  <si>
    <t>081221411***</t>
  </si>
  <si>
    <t>zackarycowan</t>
  </si>
  <si>
    <t>083271731***</t>
  </si>
  <si>
    <t>edenyoder</t>
  </si>
  <si>
    <t>81241973***</t>
  </si>
  <si>
    <t>terrellramos</t>
  </si>
  <si>
    <t>A00-25572</t>
  </si>
  <si>
    <t>84241117***</t>
  </si>
  <si>
    <t>joevega</t>
  </si>
  <si>
    <t>A00-25573</t>
  </si>
  <si>
    <t>85274031***</t>
  </si>
  <si>
    <t>aliceknapp</t>
  </si>
  <si>
    <t>A00-25574</t>
  </si>
  <si>
    <t>6284297678***</t>
  </si>
  <si>
    <t>stephanybaird</t>
  </si>
  <si>
    <t>6282276046***</t>
  </si>
  <si>
    <t>felixholloway</t>
  </si>
  <si>
    <t>82239698***</t>
  </si>
  <si>
    <t>santiagocoffey</t>
  </si>
  <si>
    <t>A00-25580</t>
  </si>
  <si>
    <t>84238318***</t>
  </si>
  <si>
    <t>ernestmorse</t>
  </si>
  <si>
    <t>81224591***</t>
  </si>
  <si>
    <t>hugowalsh</t>
  </si>
  <si>
    <t>A00-25583</t>
  </si>
  <si>
    <t>6283291472***</t>
  </si>
  <si>
    <t>cassiekramer</t>
  </si>
  <si>
    <t>6283238491***</t>
  </si>
  <si>
    <t>allysonarnold</t>
  </si>
  <si>
    <t>0832-20471***</t>
  </si>
  <si>
    <t>jerryforbes</t>
  </si>
  <si>
    <t>A00-25589</t>
  </si>
  <si>
    <t>0812-86621***</t>
  </si>
  <si>
    <t>laurelnorman</t>
  </si>
  <si>
    <t>A00-25590</t>
  </si>
  <si>
    <t>0832-40928***</t>
  </si>
  <si>
    <t>marcelocuevas</t>
  </si>
  <si>
    <t>0852 88628***</t>
  </si>
  <si>
    <t>mauricecarlson</t>
  </si>
  <si>
    <t>0852 34754***</t>
  </si>
  <si>
    <t>clarenceprice</t>
  </si>
  <si>
    <t>A00-25597</t>
  </si>
  <si>
    <t>0832 75890***</t>
  </si>
  <si>
    <t>krishwatts</t>
  </si>
  <si>
    <t>A00-25598</t>
  </si>
  <si>
    <t>0822 98882***</t>
  </si>
  <si>
    <t>dulcemartin</t>
  </si>
  <si>
    <t>A00-25599</t>
  </si>
  <si>
    <t>0812-92960***</t>
  </si>
  <si>
    <t>adengill</t>
  </si>
  <si>
    <t>0852-83786***</t>
  </si>
  <si>
    <t>emersonrush</t>
  </si>
  <si>
    <t>A00-25603</t>
  </si>
  <si>
    <t>822 27731***</t>
  </si>
  <si>
    <t>kyleconner</t>
  </si>
  <si>
    <t>A00-25608</t>
  </si>
  <si>
    <t>842 26326***</t>
  </si>
  <si>
    <t>bransoncherry</t>
  </si>
  <si>
    <t>081243897***</t>
  </si>
  <si>
    <t>mikaelawinters</t>
  </si>
  <si>
    <t>082212785***</t>
  </si>
  <si>
    <t>karsynrichards</t>
  </si>
  <si>
    <t>A00-25617</t>
  </si>
  <si>
    <t>081285856***</t>
  </si>
  <si>
    <t>bryanbaldwin</t>
  </si>
  <si>
    <t>082265494***</t>
  </si>
  <si>
    <t>kianadudley</t>
  </si>
  <si>
    <t>82246548***</t>
  </si>
  <si>
    <t>kaylahshort</t>
  </si>
  <si>
    <t>82212445***</t>
  </si>
  <si>
    <t>elilevy</t>
  </si>
  <si>
    <t>A00-25624</t>
  </si>
  <si>
    <t>85263735***</t>
  </si>
  <si>
    <t>jeromegutierrez</t>
  </si>
  <si>
    <t>6282229837***</t>
  </si>
  <si>
    <t>rebekahsheppard</t>
  </si>
  <si>
    <t>6282251791***</t>
  </si>
  <si>
    <t>mauricestephenson</t>
  </si>
  <si>
    <t>A00-25627</t>
  </si>
  <si>
    <t>83291820***</t>
  </si>
  <si>
    <t>jayceeoconnor</t>
  </si>
  <si>
    <t>85212131***</t>
  </si>
  <si>
    <t>katrinablanchard</t>
  </si>
  <si>
    <t>83214872***</t>
  </si>
  <si>
    <t>maverickpark</t>
  </si>
  <si>
    <t>A00-25631</t>
  </si>
  <si>
    <t>10-07-1990</t>
  </si>
  <si>
    <t>6282226890***</t>
  </si>
  <si>
    <t>paulinamyers</t>
  </si>
  <si>
    <t>A00-25632</t>
  </si>
  <si>
    <t>6281279977***</t>
  </si>
  <si>
    <t>miloschaefer</t>
  </si>
  <si>
    <t>A00-25634</t>
  </si>
  <si>
    <t>0842-31814***</t>
  </si>
  <si>
    <t>desiraecox</t>
  </si>
  <si>
    <t>A00-25637</t>
  </si>
  <si>
    <t>0832-67535***</t>
  </si>
  <si>
    <t>karlipollard</t>
  </si>
  <si>
    <t>0852-66417***</t>
  </si>
  <si>
    <t>izayahchase</t>
  </si>
  <si>
    <t>0822 31639***</t>
  </si>
  <si>
    <t>abigailshah</t>
  </si>
  <si>
    <t>A00-25646</t>
  </si>
  <si>
    <t>0832 94367***</t>
  </si>
  <si>
    <t>sonnyjohnson</t>
  </si>
  <si>
    <t>0832 48369***</t>
  </si>
  <si>
    <t>adadeh101</t>
  </si>
  <si>
    <t>A00-25648</t>
  </si>
  <si>
    <t>0832 30152***</t>
  </si>
  <si>
    <t>yairmack</t>
  </si>
  <si>
    <t>A00-25650</t>
  </si>
  <si>
    <t>0832-34574***</t>
  </si>
  <si>
    <t>daisybruce</t>
  </si>
  <si>
    <t>0842-69333***</t>
  </si>
  <si>
    <t>kanebradshaw</t>
  </si>
  <si>
    <t>A00-25652</t>
  </si>
  <si>
    <t>832 63571***</t>
  </si>
  <si>
    <t>alejandraneal</t>
  </si>
  <si>
    <t>852 58110***</t>
  </si>
  <si>
    <t>kaylabrown</t>
  </si>
  <si>
    <t>083232122***</t>
  </si>
  <si>
    <t>mayrarobbins</t>
  </si>
  <si>
    <t>084252070***</t>
  </si>
  <si>
    <t>jasongaines</t>
  </si>
  <si>
    <t>A00-25656</t>
  </si>
  <si>
    <t>083289469***</t>
  </si>
  <si>
    <t>sanaawyatt</t>
  </si>
  <si>
    <t>083278698***</t>
  </si>
  <si>
    <t>adriennehamilton</t>
  </si>
  <si>
    <t>84262891***</t>
  </si>
  <si>
    <t>breannamullins</t>
  </si>
  <si>
    <t>83299198***</t>
  </si>
  <si>
    <t>kylersaunders</t>
  </si>
  <si>
    <t>85255720***</t>
  </si>
  <si>
    <t>samirschaefer</t>
  </si>
  <si>
    <t>6282290048***</t>
  </si>
  <si>
    <t>brielleschroeder</t>
  </si>
  <si>
    <t>6282277590***</t>
  </si>
  <si>
    <t>jaylynnpowell</t>
  </si>
  <si>
    <t>A00-25669</t>
  </si>
  <si>
    <t>81238158***</t>
  </si>
  <si>
    <t>alannagillespie</t>
  </si>
  <si>
    <t>A00-25670</t>
  </si>
  <si>
    <t>81219807***</t>
  </si>
  <si>
    <t>gwendolynjoseph</t>
  </si>
  <si>
    <t>A00-25671</t>
  </si>
  <si>
    <t>81277838***</t>
  </si>
  <si>
    <t>alexzanderliu</t>
  </si>
  <si>
    <t>6285219973***</t>
  </si>
  <si>
    <t>uriahmcmillan</t>
  </si>
  <si>
    <t>A00-25673</t>
  </si>
  <si>
    <t>6284283192***</t>
  </si>
  <si>
    <t>fletchermassey</t>
  </si>
  <si>
    <t>0852-70380***</t>
  </si>
  <si>
    <t>blainemacias</t>
  </si>
  <si>
    <t>A00-25675</t>
  </si>
  <si>
    <t>0832-25475***</t>
  </si>
  <si>
    <t>maggiewheeler</t>
  </si>
  <si>
    <t>A00-25676</t>
  </si>
  <si>
    <t>0842-58831***</t>
  </si>
  <si>
    <t>javionscott</t>
  </si>
  <si>
    <t>A00-25677</t>
  </si>
  <si>
    <t>0832 85942***</t>
  </si>
  <si>
    <t>joselynspencer</t>
  </si>
  <si>
    <t>0812 25817***</t>
  </si>
  <si>
    <t>destinypollard</t>
  </si>
  <si>
    <t>A00-25682</t>
  </si>
  <si>
    <t>0842 66403***</t>
  </si>
  <si>
    <t>brooklynnshea</t>
  </si>
  <si>
    <t>A00-25683</t>
  </si>
  <si>
    <t>0852 87220***</t>
  </si>
  <si>
    <t>katrinahiggins</t>
  </si>
  <si>
    <t>0822-31052***</t>
  </si>
  <si>
    <t>maribelbrandt</t>
  </si>
  <si>
    <t>A00-25686</t>
  </si>
  <si>
    <t>0842-25987***</t>
  </si>
  <si>
    <t>dominiccunningham</t>
  </si>
  <si>
    <t>832 28833***</t>
  </si>
  <si>
    <t>jadielpugh</t>
  </si>
  <si>
    <t>852 46225***</t>
  </si>
  <si>
    <t>makailascott</t>
  </si>
  <si>
    <t>085227596***</t>
  </si>
  <si>
    <t>ronanwilcox</t>
  </si>
  <si>
    <t>A00-25692</t>
  </si>
  <si>
    <t>082254047***</t>
  </si>
  <si>
    <t>cohenmcbride</t>
  </si>
  <si>
    <t>082270576***</t>
  </si>
  <si>
    <t>izayahbullock</t>
  </si>
  <si>
    <t>A00-25694</t>
  </si>
  <si>
    <t>081286517***</t>
  </si>
  <si>
    <t>maleahthornton</t>
  </si>
  <si>
    <t>A00-25695</t>
  </si>
  <si>
    <t>85286269***</t>
  </si>
  <si>
    <t>charleewalter</t>
  </si>
  <si>
    <t>A00-25696</t>
  </si>
  <si>
    <t>83224069***</t>
  </si>
  <si>
    <t>zackdixon</t>
  </si>
  <si>
    <t>81274645***</t>
  </si>
  <si>
    <t>paisleymiranda</t>
  </si>
  <si>
    <t>6283270278***</t>
  </si>
  <si>
    <t>miguelcalderon</t>
  </si>
  <si>
    <t>A00-25702</t>
  </si>
  <si>
    <t>6284230998***</t>
  </si>
  <si>
    <t>diegoschroeder</t>
  </si>
  <si>
    <t>A00-25704</t>
  </si>
  <si>
    <t>85244428***</t>
  </si>
  <si>
    <t>davonbridges</t>
  </si>
  <si>
    <t>83259343***</t>
  </si>
  <si>
    <t>franceslane</t>
  </si>
  <si>
    <t>A00-25708</t>
  </si>
  <si>
    <t>84217941***</t>
  </si>
  <si>
    <t>marqueslogan</t>
  </si>
  <si>
    <t>6283261166***</t>
  </si>
  <si>
    <t>kristenbray</t>
  </si>
  <si>
    <t>6281229861***</t>
  </si>
  <si>
    <t>ceceliareid</t>
  </si>
  <si>
    <t>A00-25713</t>
  </si>
  <si>
    <t>0822-16713***</t>
  </si>
  <si>
    <t>franceshays</t>
  </si>
  <si>
    <t>0852-67537***</t>
  </si>
  <si>
    <t>omarigillespie</t>
  </si>
  <si>
    <t>A00-25716</t>
  </si>
  <si>
    <t>0812-79615***</t>
  </si>
  <si>
    <t>elisestanton</t>
  </si>
  <si>
    <t>A00-25717</t>
  </si>
  <si>
    <t>0832 41151***</t>
  </si>
  <si>
    <t>walkerfisher</t>
  </si>
  <si>
    <t>A00-25718</t>
  </si>
  <si>
    <t>0842 53992***</t>
  </si>
  <si>
    <t>collinbrowning</t>
  </si>
  <si>
    <t>0842 12316***</t>
  </si>
  <si>
    <t>kirstensherman</t>
  </si>
  <si>
    <t>0812 28565***</t>
  </si>
  <si>
    <t>bryantmayo</t>
  </si>
  <si>
    <t>A00-25723</t>
  </si>
  <si>
    <t>0812-32929***</t>
  </si>
  <si>
    <t>lylahammond</t>
  </si>
  <si>
    <t>0812-97733***</t>
  </si>
  <si>
    <t>aileenpeterson</t>
  </si>
  <si>
    <t>A00-25728</t>
  </si>
  <si>
    <t>832 33283***</t>
  </si>
  <si>
    <t>deeganbarnes</t>
  </si>
  <si>
    <t>832 28372***</t>
  </si>
  <si>
    <t>allyhaney</t>
  </si>
  <si>
    <t>A00-25731</t>
  </si>
  <si>
    <t>084265948***</t>
  </si>
  <si>
    <t>viviancruz</t>
  </si>
  <si>
    <t>082213095***</t>
  </si>
  <si>
    <t>carlieswanson</t>
  </si>
  <si>
    <t>083297633***</t>
  </si>
  <si>
    <t>skylarhensley</t>
  </si>
  <si>
    <t>082220848***</t>
  </si>
  <si>
    <t>darionberry</t>
  </si>
  <si>
    <t>81279461***</t>
  </si>
  <si>
    <t>jazminfreeman</t>
  </si>
  <si>
    <t>82276871***</t>
  </si>
  <si>
    <t>avahvalencia</t>
  </si>
  <si>
    <t>A00-25742</t>
  </si>
  <si>
    <t>10-06-1961</t>
  </si>
  <si>
    <t>84294119***</t>
  </si>
  <si>
    <t>sambarajas</t>
  </si>
  <si>
    <t>6281220213***</t>
  </si>
  <si>
    <t>zachariahhuerta</t>
  </si>
  <si>
    <t>6282293510***</t>
  </si>
  <si>
    <t>mohamedhuffman</t>
  </si>
  <si>
    <t>A00-25745</t>
  </si>
  <si>
    <t>85294300***</t>
  </si>
  <si>
    <t>jadynriley</t>
  </si>
  <si>
    <t>83213748***</t>
  </si>
  <si>
    <t>monicahardin</t>
  </si>
  <si>
    <t>A00-25748</t>
  </si>
  <si>
    <t>82228985***</t>
  </si>
  <si>
    <t>rorynavarro</t>
  </si>
  <si>
    <t>A00-25750</t>
  </si>
  <si>
    <t>6283294885***</t>
  </si>
  <si>
    <t>frederickzuniga</t>
  </si>
  <si>
    <t>6285228222***</t>
  </si>
  <si>
    <t>joshuasalinas</t>
  </si>
  <si>
    <t>A00-25753</t>
  </si>
  <si>
    <t>0852-61958***</t>
  </si>
  <si>
    <t>germanmontgomery</t>
  </si>
  <si>
    <t>0822-31137***</t>
  </si>
  <si>
    <t>hannadalton</t>
  </si>
  <si>
    <t>A00-25760</t>
  </si>
  <si>
    <t>0822-90480***</t>
  </si>
  <si>
    <t>colinhenson</t>
  </si>
  <si>
    <t>0822 57300***</t>
  </si>
  <si>
    <t>leiarogers</t>
  </si>
  <si>
    <t>A00-25762</t>
  </si>
  <si>
    <t>0812 51781***</t>
  </si>
  <si>
    <t>keltonnewman</t>
  </si>
  <si>
    <t>0842 68713***</t>
  </si>
  <si>
    <t>sidneywallace</t>
  </si>
  <si>
    <t>0812 23625***</t>
  </si>
  <si>
    <t>raynedougherty</t>
  </si>
  <si>
    <t>0812-94829***</t>
  </si>
  <si>
    <t>ramonpittman</t>
  </si>
  <si>
    <t>A00-25769</t>
  </si>
  <si>
    <t>0812-62168***</t>
  </si>
  <si>
    <t>harmonyshepard</t>
  </si>
  <si>
    <t>822 38311***</t>
  </si>
  <si>
    <t>camrynacosta</t>
  </si>
  <si>
    <t>852 47106***</t>
  </si>
  <si>
    <t>talanmichael</t>
  </si>
  <si>
    <t>A00-25772</t>
  </si>
  <si>
    <t>081221144***</t>
  </si>
  <si>
    <t>brendenlogan</t>
  </si>
  <si>
    <t>A00-25773</t>
  </si>
  <si>
    <t>084241087***</t>
  </si>
  <si>
    <t>elizaingram</t>
  </si>
  <si>
    <t>081260639***</t>
  </si>
  <si>
    <t>pedroburgess</t>
  </si>
  <si>
    <t>A00-25776</t>
  </si>
  <si>
    <t>081214194***</t>
  </si>
  <si>
    <t>ryleightravis</t>
  </si>
  <si>
    <t>84245231***</t>
  </si>
  <si>
    <t>ethanreyes</t>
  </si>
  <si>
    <t>84271416***</t>
  </si>
  <si>
    <t>porterriley</t>
  </si>
  <si>
    <t>A00-25781</t>
  </si>
  <si>
    <t>81270787***</t>
  </si>
  <si>
    <t>bryannagould</t>
  </si>
  <si>
    <t>A00-25782</t>
  </si>
  <si>
    <t>6285291504***</t>
  </si>
  <si>
    <t>cameronvalentine</t>
  </si>
  <si>
    <t>A00-25783</t>
  </si>
  <si>
    <t>6284284225***</t>
  </si>
  <si>
    <t>mariohatfield</t>
  </si>
  <si>
    <t>A00-25784</t>
  </si>
  <si>
    <t>81227402***</t>
  </si>
  <si>
    <t>rebeccajefferson</t>
  </si>
  <si>
    <t>84298391***</t>
  </si>
  <si>
    <t>jaysonmercer</t>
  </si>
  <si>
    <t>A00-25786</t>
  </si>
  <si>
    <t>85276315***</t>
  </si>
  <si>
    <t>julioperry</t>
  </si>
  <si>
    <t>6285250164***</t>
  </si>
  <si>
    <t>brendatrevino</t>
  </si>
  <si>
    <t>A00-25788</t>
  </si>
  <si>
    <t>6285250614***</t>
  </si>
  <si>
    <t>davidsosa</t>
  </si>
  <si>
    <t>0852-90755***</t>
  </si>
  <si>
    <t>penelopepayne</t>
  </si>
  <si>
    <t>A00-25795</t>
  </si>
  <si>
    <t>0822-28505***</t>
  </si>
  <si>
    <t>anahicalderon</t>
  </si>
  <si>
    <t>A00-25796</t>
  </si>
  <si>
    <t>0852-78370***</t>
  </si>
  <si>
    <t>leedavid</t>
  </si>
  <si>
    <t>0812 45092***</t>
  </si>
  <si>
    <t>lillianawhitney</t>
  </si>
  <si>
    <t>10-01-1971</t>
  </si>
  <si>
    <t>0842 92801***</t>
  </si>
  <si>
    <t>justineduke</t>
  </si>
  <si>
    <t>0822 50227***</t>
  </si>
  <si>
    <t>meghanstout</t>
  </si>
  <si>
    <t>0842 45966***</t>
  </si>
  <si>
    <t>keltonshah</t>
  </si>
  <si>
    <t>A00-25803</t>
  </si>
  <si>
    <t>0852-12186***</t>
  </si>
  <si>
    <t>randallreilly</t>
  </si>
  <si>
    <t>0852-59787***</t>
  </si>
  <si>
    <t>izabellaproctor</t>
  </si>
  <si>
    <t>812 62606***</t>
  </si>
  <si>
    <t>kristinheath</t>
  </si>
  <si>
    <t>822 99252***</t>
  </si>
  <si>
    <t>alanacardenas</t>
  </si>
  <si>
    <t>A00-25814</t>
  </si>
  <si>
    <t>082211787***</t>
  </si>
  <si>
    <t>laurelfox</t>
  </si>
  <si>
    <t>085237572***</t>
  </si>
  <si>
    <t>noelkrause</t>
  </si>
  <si>
    <t>081231769***</t>
  </si>
  <si>
    <t>zaramonroe</t>
  </si>
  <si>
    <t>A00-25821</t>
  </si>
  <si>
    <t>084231237***</t>
  </si>
  <si>
    <t>darienmeyers</t>
  </si>
  <si>
    <t>84282403***</t>
  </si>
  <si>
    <t>nathanellison</t>
  </si>
  <si>
    <t>85277366***</t>
  </si>
  <si>
    <t>theodorebarber</t>
  </si>
  <si>
    <t>84229791***</t>
  </si>
  <si>
    <t>annabellechan</t>
  </si>
  <si>
    <t>A00-25825</t>
  </si>
  <si>
    <t>6282221612***</t>
  </si>
  <si>
    <t>lilyfrench</t>
  </si>
  <si>
    <t>A00-25826</t>
  </si>
  <si>
    <t>6283262952***</t>
  </si>
  <si>
    <t>matthewmanning</t>
  </si>
  <si>
    <t>A00-25827</t>
  </si>
  <si>
    <t>81286356***</t>
  </si>
  <si>
    <t>sabrinalozano</t>
  </si>
  <si>
    <t>83256733***</t>
  </si>
  <si>
    <t>tylerwhitaker</t>
  </si>
  <si>
    <t>82279897***</t>
  </si>
  <si>
    <t>jaidynwalter</t>
  </si>
  <si>
    <t>A00-25832</t>
  </si>
  <si>
    <t>6284293311***</t>
  </si>
  <si>
    <t>jaylynpreston</t>
  </si>
  <si>
    <t>6284256853***</t>
  </si>
  <si>
    <t>karahester</t>
  </si>
  <si>
    <t>A00-25834</t>
  </si>
  <si>
    <t>0812-35938***</t>
  </si>
  <si>
    <t>konnerpace</t>
  </si>
  <si>
    <t>A00-25836</t>
  </si>
  <si>
    <t>0852-94889***</t>
  </si>
  <si>
    <t>yoselinpark</t>
  </si>
  <si>
    <t>0822-60568***</t>
  </si>
  <si>
    <t>hassanrasmussen</t>
  </si>
  <si>
    <t>A00-25839</t>
  </si>
  <si>
    <t>0842 54113***</t>
  </si>
  <si>
    <t>kassandraconner</t>
  </si>
  <si>
    <t>0822 35435***</t>
  </si>
  <si>
    <t>josiewebster</t>
  </si>
  <si>
    <t>A00-25842</t>
  </si>
  <si>
    <t>0852 94671***</t>
  </si>
  <si>
    <t>annamorales</t>
  </si>
  <si>
    <t>A00-25843</t>
  </si>
  <si>
    <t>0842 87320***</t>
  </si>
  <si>
    <t>fisherwhitney</t>
  </si>
  <si>
    <t>A00-25845</t>
  </si>
  <si>
    <t>0832-83781***</t>
  </si>
  <si>
    <t>cannonbooth</t>
  </si>
  <si>
    <t>0822-32575***</t>
  </si>
  <si>
    <t>hezekiahhodges</t>
  </si>
  <si>
    <t>822 38305***</t>
  </si>
  <si>
    <t>miguelchang</t>
  </si>
  <si>
    <t>A00-25849</t>
  </si>
  <si>
    <t>832 36533***</t>
  </si>
  <si>
    <t>ainsleylittle</t>
  </si>
  <si>
    <t>A00-25851</t>
  </si>
  <si>
    <t>081269691***</t>
  </si>
  <si>
    <t>yaretzisingh</t>
  </si>
  <si>
    <t>A00-25852</t>
  </si>
  <si>
    <t>085269952***</t>
  </si>
  <si>
    <t>aracelikemp</t>
  </si>
  <si>
    <t>082266993***</t>
  </si>
  <si>
    <t>jadielneal</t>
  </si>
  <si>
    <t>083212800***</t>
  </si>
  <si>
    <t>ryleecabrera</t>
  </si>
  <si>
    <t>84244983***</t>
  </si>
  <si>
    <t>braidenmcdowell</t>
  </si>
  <si>
    <t>81226660***</t>
  </si>
  <si>
    <t>aiyanagillespie</t>
  </si>
  <si>
    <t>A00-25858</t>
  </si>
  <si>
    <t>81222109***</t>
  </si>
  <si>
    <t>haydenblake</t>
  </si>
  <si>
    <t>A00-25861</t>
  </si>
  <si>
    <t>6283260050***</t>
  </si>
  <si>
    <t>marliebonilla</t>
  </si>
  <si>
    <t>A00-25863</t>
  </si>
  <si>
    <t>6282224389***</t>
  </si>
  <si>
    <t>karlahaney</t>
  </si>
  <si>
    <t>84238758***</t>
  </si>
  <si>
    <t>kelseylucero</t>
  </si>
  <si>
    <t>A00-25866</t>
  </si>
  <si>
    <t>82299595***</t>
  </si>
  <si>
    <t>graysonknight</t>
  </si>
  <si>
    <t>85256570***</t>
  </si>
  <si>
    <t>mckennaschmitt</t>
  </si>
  <si>
    <t>6282213037***</t>
  </si>
  <si>
    <t>laurelkirk</t>
  </si>
  <si>
    <t>A00-25869</t>
  </si>
  <si>
    <t>6285219840***</t>
  </si>
  <si>
    <t>lancevalencia</t>
  </si>
  <si>
    <t>A00-25871</t>
  </si>
  <si>
    <t>0842-95576***</t>
  </si>
  <si>
    <t>bethanymartinez</t>
  </si>
  <si>
    <t>0842-81913***</t>
  </si>
  <si>
    <t>ryleedelgado</t>
  </si>
  <si>
    <t>0812-16503***</t>
  </si>
  <si>
    <t>bryantarroyo</t>
  </si>
  <si>
    <t>A00-25874</t>
  </si>
  <si>
    <t>0842 11987***</t>
  </si>
  <si>
    <t>indiahart</t>
  </si>
  <si>
    <t>0832 31206***</t>
  </si>
  <si>
    <t>eanjackson</t>
  </si>
  <si>
    <t>A00-25876</t>
  </si>
  <si>
    <t>0842 93477***</t>
  </si>
  <si>
    <t>sheawolfe</t>
  </si>
  <si>
    <t>A00-25877</t>
  </si>
  <si>
    <t>0832 38666***</t>
  </si>
  <si>
    <t>frankiehatfield</t>
  </si>
  <si>
    <t>A00-25881</t>
  </si>
  <si>
    <t>0822-43909***</t>
  </si>
  <si>
    <t>carlygallagher</t>
  </si>
  <si>
    <t>0822-50935***</t>
  </si>
  <si>
    <t>samsonlarson</t>
  </si>
  <si>
    <t>832 76948***</t>
  </si>
  <si>
    <t>madelineallen</t>
  </si>
  <si>
    <t>842 86660***</t>
  </si>
  <si>
    <t>leonkidd</t>
  </si>
  <si>
    <t>085268834***</t>
  </si>
  <si>
    <t>tanyavillegas</t>
  </si>
  <si>
    <t>084234799***</t>
  </si>
  <si>
    <t>daliarichard</t>
  </si>
  <si>
    <t>085225175***</t>
  </si>
  <si>
    <t>ezequielzhang</t>
  </si>
  <si>
    <t>081222271***</t>
  </si>
  <si>
    <t>sofianorris</t>
  </si>
  <si>
    <t>84292596***</t>
  </si>
  <si>
    <t>dawsonruiz</t>
  </si>
  <si>
    <t>82223006***</t>
  </si>
  <si>
    <t>cedrickrause</t>
  </si>
  <si>
    <t>A00-25900</t>
  </si>
  <si>
    <t>81270841***</t>
  </si>
  <si>
    <t>quintonstrickland</t>
  </si>
  <si>
    <t>6282218957***</t>
  </si>
  <si>
    <t>efrainmann</t>
  </si>
  <si>
    <t>A00-25903</t>
  </si>
  <si>
    <t>6283281483***</t>
  </si>
  <si>
    <t>josuemayer</t>
  </si>
  <si>
    <t>81240200***</t>
  </si>
  <si>
    <t>anndalton</t>
  </si>
  <si>
    <t>A00-25905</t>
  </si>
  <si>
    <t>82299051***</t>
  </si>
  <si>
    <t>joelgarrison</t>
  </si>
  <si>
    <t>85293821***</t>
  </si>
  <si>
    <t>colingreen</t>
  </si>
  <si>
    <t>6284213937***</t>
  </si>
  <si>
    <t>casetravis</t>
  </si>
  <si>
    <t>A00-25908</t>
  </si>
  <si>
    <t>6282278626***</t>
  </si>
  <si>
    <t>michealgillespie</t>
  </si>
  <si>
    <t>A00-25909</t>
  </si>
  <si>
    <t>0822-46613***</t>
  </si>
  <si>
    <t>ezequielknight</t>
  </si>
  <si>
    <t>A00-25911</t>
  </si>
  <si>
    <t>0852-67102***</t>
  </si>
  <si>
    <t>madilynnhodges</t>
  </si>
  <si>
    <t>A00-25912</t>
  </si>
  <si>
    <t>0812-59951***</t>
  </si>
  <si>
    <t>meghanrosales</t>
  </si>
  <si>
    <t>0832 16781***</t>
  </si>
  <si>
    <t>charlieyoder</t>
  </si>
  <si>
    <t>A00-25918</t>
  </si>
  <si>
    <t>0812 31790***</t>
  </si>
  <si>
    <t>leannalarsen</t>
  </si>
  <si>
    <t>A00-25919</t>
  </si>
  <si>
    <t>0832 52921***</t>
  </si>
  <si>
    <t>nashlong</t>
  </si>
  <si>
    <t>0822 29648***</t>
  </si>
  <si>
    <t>abrilgalvan</t>
  </si>
  <si>
    <t>A00-25921</t>
  </si>
  <si>
    <t>0822-11351***</t>
  </si>
  <si>
    <t>mathewpotts</t>
  </si>
  <si>
    <t>0832-51717***</t>
  </si>
  <si>
    <t>chancemckay</t>
  </si>
  <si>
    <t>A00-25923</t>
  </si>
  <si>
    <t>832 84750***</t>
  </si>
  <si>
    <t>nathengarrett</t>
  </si>
  <si>
    <t>A00-25924</t>
  </si>
  <si>
    <t>812 75715***</t>
  </si>
  <si>
    <t>brentonmann</t>
  </si>
  <si>
    <t>084252904***</t>
  </si>
  <si>
    <t>riyavang</t>
  </si>
  <si>
    <t>A00-25929</t>
  </si>
  <si>
    <t>084242724***</t>
  </si>
  <si>
    <t>leylastrickland</t>
  </si>
  <si>
    <t>A00-25931</t>
  </si>
  <si>
    <t>084252210***</t>
  </si>
  <si>
    <t>valentinoblackburn</t>
  </si>
  <si>
    <t>A00-25932</t>
  </si>
  <si>
    <t>084266516***</t>
  </si>
  <si>
    <t>talianeal</t>
  </si>
  <si>
    <t>A00-25933</t>
  </si>
  <si>
    <t>83271141***</t>
  </si>
  <si>
    <t>vanrollins</t>
  </si>
  <si>
    <t>82266278***</t>
  </si>
  <si>
    <t>arelibentley</t>
  </si>
  <si>
    <t>A00-25937</t>
  </si>
  <si>
    <t>85228834***</t>
  </si>
  <si>
    <t>juliotrujillo</t>
  </si>
  <si>
    <t>6282271789***</t>
  </si>
  <si>
    <t>marygreene</t>
  </si>
  <si>
    <t>6282268720***</t>
  </si>
  <si>
    <t>brennennixon</t>
  </si>
  <si>
    <t>83222741***</t>
  </si>
  <si>
    <t>terrypowers</t>
  </si>
  <si>
    <t>A00-25943</t>
  </si>
  <si>
    <t>85283197***</t>
  </si>
  <si>
    <t>briangreene</t>
  </si>
  <si>
    <t>A00-25947</t>
  </si>
  <si>
    <t>82282792***</t>
  </si>
  <si>
    <t>pranavgreer</t>
  </si>
  <si>
    <t>A00-25950</t>
  </si>
  <si>
    <t>6282267473***</t>
  </si>
  <si>
    <t>margaretholland</t>
  </si>
  <si>
    <t>6281252130***</t>
  </si>
  <si>
    <t>quinnmarks</t>
  </si>
  <si>
    <t>A00-25953</t>
  </si>
  <si>
    <t>0822-40192***</t>
  </si>
  <si>
    <t>esperanzahicks</t>
  </si>
  <si>
    <t>A00-25954</t>
  </si>
  <si>
    <t>0832-30050***</t>
  </si>
  <si>
    <t>eriktravis</t>
  </si>
  <si>
    <t>A00-25956</t>
  </si>
  <si>
    <t>0812-90352***</t>
  </si>
  <si>
    <t>kamrynsanders</t>
  </si>
  <si>
    <t>0832 95339***</t>
  </si>
  <si>
    <t>yulianaellison</t>
  </si>
  <si>
    <t>A00-25960</t>
  </si>
  <si>
    <t>0832 55376***</t>
  </si>
  <si>
    <t>maxwellmichael</t>
  </si>
  <si>
    <t>A00-25963</t>
  </si>
  <si>
    <t>0822 75167***</t>
  </si>
  <si>
    <t>mayrajones</t>
  </si>
  <si>
    <t>A00-25965</t>
  </si>
  <si>
    <t>0842 23807***</t>
  </si>
  <si>
    <t>kennethroth</t>
  </si>
  <si>
    <t>A00-25966</t>
  </si>
  <si>
    <t>0852-83498***</t>
  </si>
  <si>
    <t>colingraham</t>
  </si>
  <si>
    <t>0852-38707***</t>
  </si>
  <si>
    <t>amirasalinas</t>
  </si>
  <si>
    <t>852 94142***</t>
  </si>
  <si>
    <t>kayleyconner</t>
  </si>
  <si>
    <t>A00-25971</t>
  </si>
  <si>
    <t>822 98288***</t>
  </si>
  <si>
    <t>juniorwarner</t>
  </si>
  <si>
    <t>083292298***</t>
  </si>
  <si>
    <t>michaelboyle</t>
  </si>
  <si>
    <t>081251671***</t>
  </si>
  <si>
    <t>kaedencastaneda</t>
  </si>
  <si>
    <t>A00-25976</t>
  </si>
  <si>
    <t>082239012***</t>
  </si>
  <si>
    <t>haidencantu</t>
  </si>
  <si>
    <t>081284826***</t>
  </si>
  <si>
    <t>evanorozco</t>
  </si>
  <si>
    <t>82238931***</t>
  </si>
  <si>
    <t>fionapearson</t>
  </si>
  <si>
    <t>A00-25979</t>
  </si>
  <si>
    <t>elainapowers</t>
  </si>
  <si>
    <t>A00-25980</t>
  </si>
  <si>
    <t>83237291***</t>
  </si>
  <si>
    <t>killianromero</t>
  </si>
  <si>
    <t>6281294499***</t>
  </si>
  <si>
    <t>baronwagner</t>
  </si>
  <si>
    <t>A00-25982</t>
  </si>
  <si>
    <t>6281225166***</t>
  </si>
  <si>
    <t>clairepalmer</t>
  </si>
  <si>
    <t>A00-25984</t>
  </si>
  <si>
    <t>81276155***</t>
  </si>
  <si>
    <t>karleewilliamson</t>
  </si>
  <si>
    <t>A00-25987</t>
  </si>
  <si>
    <t>82225776***</t>
  </si>
  <si>
    <t>linahill</t>
  </si>
  <si>
    <t>85256406***</t>
  </si>
  <si>
    <t>jayleenmclaughlin</t>
  </si>
  <si>
    <t>A00-25994</t>
  </si>
  <si>
    <t>6284290663***</t>
  </si>
  <si>
    <t>allyrogers</t>
  </si>
  <si>
    <t>6283224769***</t>
  </si>
  <si>
    <t>mackenzieroberts</t>
  </si>
  <si>
    <t>A00-25997</t>
  </si>
  <si>
    <t>0852-82306***</t>
  </si>
  <si>
    <t>makailagardner</t>
  </si>
  <si>
    <t>A00-25999</t>
  </si>
  <si>
    <t>0822-14488***</t>
  </si>
  <si>
    <t>isabellahumphrey</t>
  </si>
  <si>
    <t>A00-26003</t>
  </si>
  <si>
    <t>0812-83780***</t>
  </si>
  <si>
    <t>rhettkirk</t>
  </si>
  <si>
    <t>0852 73615***</t>
  </si>
  <si>
    <t>milomckenzie</t>
  </si>
  <si>
    <t>0852 44701***</t>
  </si>
  <si>
    <t>brennenlivingston</t>
  </si>
  <si>
    <t>0842 57385***</t>
  </si>
  <si>
    <t>aryanaknapp</t>
  </si>
  <si>
    <t>A00-26010</t>
  </si>
  <si>
    <t>0842 92541***</t>
  </si>
  <si>
    <t>lucianohampton</t>
  </si>
  <si>
    <t>A00-26011</t>
  </si>
  <si>
    <t>0822-53194***</t>
  </si>
  <si>
    <t>ryderavila</t>
  </si>
  <si>
    <t>0852-83587***</t>
  </si>
  <si>
    <t>mckennaelliott</t>
  </si>
  <si>
    <t>812 28827***</t>
  </si>
  <si>
    <t>summersanford</t>
  </si>
  <si>
    <t>852 17442***</t>
  </si>
  <si>
    <t>eanwright</t>
  </si>
  <si>
    <t>A00-26015</t>
  </si>
  <si>
    <t>084250257***</t>
  </si>
  <si>
    <t>palomaferrell</t>
  </si>
  <si>
    <t>A00-26016</t>
  </si>
  <si>
    <t>085251442***</t>
  </si>
  <si>
    <t>carleighlamb</t>
  </si>
  <si>
    <t>A00-26017</t>
  </si>
  <si>
    <t>082220403***</t>
  </si>
  <si>
    <t>priscilladonaldson</t>
  </si>
  <si>
    <t>A00-26021</t>
  </si>
  <si>
    <t>084233781***</t>
  </si>
  <si>
    <t>cierramendoza</t>
  </si>
  <si>
    <t>84236060***</t>
  </si>
  <si>
    <t>pipercarr</t>
  </si>
  <si>
    <t>85235567***</t>
  </si>
  <si>
    <t>maciedwards</t>
  </si>
  <si>
    <t>A00-26026</t>
  </si>
  <si>
    <t>85279917***</t>
  </si>
  <si>
    <t>jovanbrewer</t>
  </si>
  <si>
    <t>A00-26030</t>
  </si>
  <si>
    <t>6284218030***</t>
  </si>
  <si>
    <t>angelinerivera</t>
  </si>
  <si>
    <t>A00-26032</t>
  </si>
  <si>
    <t>6283216312***</t>
  </si>
  <si>
    <t>kayleemcknight</t>
  </si>
  <si>
    <t>A00-26034</t>
  </si>
  <si>
    <t>81268770***</t>
  </si>
  <si>
    <t>miraclediaz</t>
  </si>
  <si>
    <t>A00-26037</t>
  </si>
  <si>
    <t>82236231***</t>
  </si>
  <si>
    <t>atticuscollins</t>
  </si>
  <si>
    <t>A00-26038</t>
  </si>
  <si>
    <t>85299558***</t>
  </si>
  <si>
    <t>charlizerodgers</t>
  </si>
  <si>
    <t>6282216692***</t>
  </si>
  <si>
    <t>helenmoran</t>
  </si>
  <si>
    <t>6281284588***</t>
  </si>
  <si>
    <t>dayanaravance</t>
  </si>
  <si>
    <t>0832-32441***</t>
  </si>
  <si>
    <t>connormalone</t>
  </si>
  <si>
    <t>0812-39566***</t>
  </si>
  <si>
    <t>ellegriffith</t>
  </si>
  <si>
    <t>0822-64019***</t>
  </si>
  <si>
    <t>emileeweaver</t>
  </si>
  <si>
    <t>0832 53529***</t>
  </si>
  <si>
    <t>reganaguilar</t>
  </si>
  <si>
    <t>0852 64392***</t>
  </si>
  <si>
    <t>cobyroberson</t>
  </si>
  <si>
    <t>A00-26056</t>
  </si>
  <si>
    <t>0822 39952***</t>
  </si>
  <si>
    <t>yaelkaiser</t>
  </si>
  <si>
    <t>A00-26057</t>
  </si>
  <si>
    <t>0822 90569***</t>
  </si>
  <si>
    <t>kellypowers</t>
  </si>
  <si>
    <t>0822-60830***</t>
  </si>
  <si>
    <t>kennamullins</t>
  </si>
  <si>
    <t>0832-16564***</t>
  </si>
  <si>
    <t>precioushebert</t>
  </si>
  <si>
    <t>A00-26061</t>
  </si>
  <si>
    <t>832 68779***</t>
  </si>
  <si>
    <t>baronlawson</t>
  </si>
  <si>
    <t>A00-26064</t>
  </si>
  <si>
    <t>832 54964***</t>
  </si>
  <si>
    <t>lancebailey</t>
  </si>
  <si>
    <t>085223432***</t>
  </si>
  <si>
    <t>tomascalhoun</t>
  </si>
  <si>
    <t>A00-26066</t>
  </si>
  <si>
    <t>083260359***</t>
  </si>
  <si>
    <t>myamorton</t>
  </si>
  <si>
    <t>A00-26068</t>
  </si>
  <si>
    <t>085256263***</t>
  </si>
  <si>
    <t>joeferrell</t>
  </si>
  <si>
    <t>082298216***</t>
  </si>
  <si>
    <t>beckhammunoz</t>
  </si>
  <si>
    <t>82282060***</t>
  </si>
  <si>
    <t>tamaraflowers</t>
  </si>
  <si>
    <t>83290230***</t>
  </si>
  <si>
    <t>antonwalton</t>
  </si>
  <si>
    <t>A00-26076</t>
  </si>
  <si>
    <t>82247901***</t>
  </si>
  <si>
    <t>brycenchavez</t>
  </si>
  <si>
    <t>A00-26077</t>
  </si>
  <si>
    <t>6285212692***</t>
  </si>
  <si>
    <t>saullynn</t>
  </si>
  <si>
    <t>6282268108***</t>
  </si>
  <si>
    <t>kamryngallegos</t>
  </si>
  <si>
    <t>84296276***</t>
  </si>
  <si>
    <t>rileyoconnell</t>
  </si>
  <si>
    <t>85264808***</t>
  </si>
  <si>
    <t>linabradley</t>
  </si>
  <si>
    <t>83267644***</t>
  </si>
  <si>
    <t>laytonfischer</t>
  </si>
  <si>
    <t>A00-26084</t>
  </si>
  <si>
    <t>6285279438***</t>
  </si>
  <si>
    <t>yaellowe</t>
  </si>
  <si>
    <t>A00-26085</t>
  </si>
  <si>
    <t>6283232584***</t>
  </si>
  <si>
    <t>karleyholloway</t>
  </si>
  <si>
    <t>A00-26086</t>
  </si>
  <si>
    <t>0852-67130***</t>
  </si>
  <si>
    <t>aidanthompson</t>
  </si>
  <si>
    <t>0832-67833***</t>
  </si>
  <si>
    <t>vancefoley</t>
  </si>
  <si>
    <t>0812-34562***</t>
  </si>
  <si>
    <t>thaliawu</t>
  </si>
  <si>
    <t>0832 11924***</t>
  </si>
  <si>
    <t>ellisdiaz</t>
  </si>
  <si>
    <t>A00-26093</t>
  </si>
  <si>
    <t>0812 94954***</t>
  </si>
  <si>
    <t>reecepatrick</t>
  </si>
  <si>
    <t>A00-26095</t>
  </si>
  <si>
    <t>0842 92669***</t>
  </si>
  <si>
    <t>jaidynlam</t>
  </si>
  <si>
    <t>0822 41052***</t>
  </si>
  <si>
    <t>maiakaufman</t>
  </si>
  <si>
    <t>0842-97695***</t>
  </si>
  <si>
    <t>andrewjuarez</t>
  </si>
  <si>
    <t>0812-74690***</t>
  </si>
  <si>
    <t>danielahaney</t>
  </si>
  <si>
    <t>A00-26100</t>
  </si>
  <si>
    <t>842 18055***</t>
  </si>
  <si>
    <t>amelialuna</t>
  </si>
  <si>
    <t>A00-26101</t>
  </si>
  <si>
    <t>852 48256***</t>
  </si>
  <si>
    <t>karleerobbins</t>
  </si>
  <si>
    <t>084215383***</t>
  </si>
  <si>
    <t>abrahammcintosh</t>
  </si>
  <si>
    <t>085238244***</t>
  </si>
  <si>
    <t>jasiahjackson</t>
  </si>
  <si>
    <t>085294279***</t>
  </si>
  <si>
    <t>bellasantos</t>
  </si>
  <si>
    <t>082260986***</t>
  </si>
  <si>
    <t>raynehoover</t>
  </si>
  <si>
    <t>83261677***</t>
  </si>
  <si>
    <t>ericserrano</t>
  </si>
  <si>
    <t>A00-26112</t>
  </si>
  <si>
    <t>82291577***</t>
  </si>
  <si>
    <t>tiagood</t>
  </si>
  <si>
    <t>84216301***</t>
  </si>
  <si>
    <t>kaseywise</t>
  </si>
  <si>
    <t>6281254536***</t>
  </si>
  <si>
    <t>jaspergiles</t>
  </si>
  <si>
    <t>A00-26118</t>
  </si>
  <si>
    <t>6284219461***</t>
  </si>
  <si>
    <t>roycedunn</t>
  </si>
  <si>
    <t>A00-26121</t>
  </si>
  <si>
    <t>84215146***</t>
  </si>
  <si>
    <t>stevemahoney</t>
  </si>
  <si>
    <t>A00-26122</t>
  </si>
  <si>
    <t>84220003***</t>
  </si>
  <si>
    <t>aronavery</t>
  </si>
  <si>
    <t>83215855***</t>
  </si>
  <si>
    <t>laurynrivas</t>
  </si>
  <si>
    <t>6284220563***</t>
  </si>
  <si>
    <t>dextersavage</t>
  </si>
  <si>
    <t>A00-26130</t>
  </si>
  <si>
    <t>6282269175***</t>
  </si>
  <si>
    <t>zariapaul</t>
  </si>
  <si>
    <t>A00-26131</t>
  </si>
  <si>
    <t>10-06-2006</t>
  </si>
  <si>
    <t>0822-60272***</t>
  </si>
  <si>
    <t>maxmartinez</t>
  </si>
  <si>
    <t>A00-26133</t>
  </si>
  <si>
    <t>0822-65927***</t>
  </si>
  <si>
    <t>alanaschmidt</t>
  </si>
  <si>
    <t>0822-71572***</t>
  </si>
  <si>
    <t>abelwilcox</t>
  </si>
  <si>
    <t>0822 78930***</t>
  </si>
  <si>
    <t>carsoncervantes</t>
  </si>
  <si>
    <t>0812 71268***</t>
  </si>
  <si>
    <t>jadenlawrence</t>
  </si>
  <si>
    <t>0832 23279***</t>
  </si>
  <si>
    <t>jaylahhoffman</t>
  </si>
  <si>
    <t>A00-26140</t>
  </si>
  <si>
    <t>0812 96492***</t>
  </si>
  <si>
    <t>daviancole</t>
  </si>
  <si>
    <t>A00-26141</t>
  </si>
  <si>
    <t>0852-51183***</t>
  </si>
  <si>
    <t>toriolson</t>
  </si>
  <si>
    <t>0822-14674***</t>
  </si>
  <si>
    <t>keaganpage</t>
  </si>
  <si>
    <t>A00-26145</t>
  </si>
  <si>
    <t>852 53989***</t>
  </si>
  <si>
    <t>alexissimon</t>
  </si>
  <si>
    <t>832 88644***</t>
  </si>
  <si>
    <t>raynekoch</t>
  </si>
  <si>
    <t>A00-26148</t>
  </si>
  <si>
    <t>081255725***</t>
  </si>
  <si>
    <t>marinmoss</t>
  </si>
  <si>
    <t>082269645***</t>
  </si>
  <si>
    <t>nickolaswarner</t>
  </si>
  <si>
    <t>081263941***</t>
  </si>
  <si>
    <t>jabariharding</t>
  </si>
  <si>
    <t>083234306***</t>
  </si>
  <si>
    <t>taylorross</t>
  </si>
  <si>
    <t>82218886***</t>
  </si>
  <si>
    <t>daltonwilkerson</t>
  </si>
  <si>
    <t>84260179***</t>
  </si>
  <si>
    <t>ellielynch</t>
  </si>
  <si>
    <t>83261988***</t>
  </si>
  <si>
    <t>darianolson</t>
  </si>
  <si>
    <t>6282268693***</t>
  </si>
  <si>
    <t>spencermichael</t>
  </si>
  <si>
    <t>A00-26161</t>
  </si>
  <si>
    <t>6281259064***</t>
  </si>
  <si>
    <t>eviebrowning</t>
  </si>
  <si>
    <t>A00-26162</t>
  </si>
  <si>
    <t>85215882***</t>
  </si>
  <si>
    <t>jesseatkinson</t>
  </si>
  <si>
    <t>A00-26166</t>
  </si>
  <si>
    <t>81275664***</t>
  </si>
  <si>
    <t>nikolascarson</t>
  </si>
  <si>
    <t>82279701***</t>
  </si>
  <si>
    <t>kayleyle</t>
  </si>
  <si>
    <t>A00-26168</t>
  </si>
  <si>
    <t>6281236217***</t>
  </si>
  <si>
    <t>desireeparrish</t>
  </si>
  <si>
    <t>A00-26170</t>
  </si>
  <si>
    <t>6282230554***</t>
  </si>
  <si>
    <t>scottpowers</t>
  </si>
  <si>
    <t>A00-26171</t>
  </si>
  <si>
    <t>0852-87781***</t>
  </si>
  <si>
    <t>malikcrawford</t>
  </si>
  <si>
    <t>0812-84822***</t>
  </si>
  <si>
    <t>brodiefernandez</t>
  </si>
  <si>
    <t>0842-63052***</t>
  </si>
  <si>
    <t>kaylynlawrence</t>
  </si>
  <si>
    <t>A00-26175</t>
  </si>
  <si>
    <t>0842 50229***</t>
  </si>
  <si>
    <t>killianlong</t>
  </si>
  <si>
    <t>A00-26176</t>
  </si>
  <si>
    <t>0832 29368***</t>
  </si>
  <si>
    <t>damienclay</t>
  </si>
  <si>
    <t>0842 42241***</t>
  </si>
  <si>
    <t>chaseschwartz</t>
  </si>
  <si>
    <t>0842 47340***</t>
  </si>
  <si>
    <t>gunnarcurtis</t>
  </si>
  <si>
    <t>A00-26179</t>
  </si>
  <si>
    <t>0852-79602***</t>
  </si>
  <si>
    <t>jasiahburch</t>
  </si>
  <si>
    <t>0852-38634***</t>
  </si>
  <si>
    <t>kristablake</t>
  </si>
  <si>
    <t>A00-26184</t>
  </si>
  <si>
    <t>852 11551***</t>
  </si>
  <si>
    <t>daltonstokes</t>
  </si>
  <si>
    <t>832 13428***</t>
  </si>
  <si>
    <t>daniellastokes</t>
  </si>
  <si>
    <t>081269266***</t>
  </si>
  <si>
    <t>kayleylong</t>
  </si>
  <si>
    <t>085273028***</t>
  </si>
  <si>
    <t>amaracobb</t>
  </si>
  <si>
    <t>A00-26189</t>
  </si>
  <si>
    <t>084216444***</t>
  </si>
  <si>
    <t>lyricpotter</t>
  </si>
  <si>
    <t>A00-26191</t>
  </si>
  <si>
    <t>085229468***</t>
  </si>
  <si>
    <t>stacywilkerson</t>
  </si>
  <si>
    <t>82283461***</t>
  </si>
  <si>
    <t>lincolnnoble</t>
  </si>
  <si>
    <t>A00-26194</t>
  </si>
  <si>
    <t>83257011***</t>
  </si>
  <si>
    <t>mauricioruiz</t>
  </si>
  <si>
    <t>84218027***</t>
  </si>
  <si>
    <t>randytownsend</t>
  </si>
  <si>
    <t>A00-26196</t>
  </si>
  <si>
    <t>6283290107***</t>
  </si>
  <si>
    <t>britneytaylor</t>
  </si>
  <si>
    <t>6284267514***</t>
  </si>
  <si>
    <t>luismcconnell</t>
  </si>
  <si>
    <t>83220606***</t>
  </si>
  <si>
    <t>jesuswall</t>
  </si>
  <si>
    <t>A00-26201</t>
  </si>
  <si>
    <t>82254153***</t>
  </si>
  <si>
    <t>winstonpotter</t>
  </si>
  <si>
    <t>85242849***</t>
  </si>
  <si>
    <t>nikhilreese</t>
  </si>
  <si>
    <t>6282232720***</t>
  </si>
  <si>
    <t>willhouse</t>
  </si>
  <si>
    <t>6285282181***</t>
  </si>
  <si>
    <t>tommygreen</t>
  </si>
  <si>
    <t>0832-32018***</t>
  </si>
  <si>
    <t>eleanorwells</t>
  </si>
  <si>
    <t>0822-33035***</t>
  </si>
  <si>
    <t>averilee</t>
  </si>
  <si>
    <t>A00-26211</t>
  </si>
  <si>
    <t>0812-75066***</t>
  </si>
  <si>
    <t>dennishampton</t>
  </si>
  <si>
    <t>0822 60276***</t>
  </si>
  <si>
    <t>brockreilly</t>
  </si>
  <si>
    <t>A00-26214</t>
  </si>
  <si>
    <t>0812 11652***</t>
  </si>
  <si>
    <t>salvadorgilmore</t>
  </si>
  <si>
    <t>A00-26215</t>
  </si>
  <si>
    <t>0822 85771***</t>
  </si>
  <si>
    <t>amarijames</t>
  </si>
  <si>
    <t>A00-26216</t>
  </si>
  <si>
    <t>0832 52202***</t>
  </si>
  <si>
    <t>jamesonfry</t>
  </si>
  <si>
    <t>A00-26218</t>
  </si>
  <si>
    <t>0832-17654***</t>
  </si>
  <si>
    <t>laytonbraun</t>
  </si>
  <si>
    <t>0842-47583***</t>
  </si>
  <si>
    <t>skylarzimmerman</t>
  </si>
  <si>
    <t>A00-26222</t>
  </si>
  <si>
    <t>822 17703***</t>
  </si>
  <si>
    <t>taniyaleach</t>
  </si>
  <si>
    <t>A00-26225</t>
  </si>
  <si>
    <t>842 88094***</t>
  </si>
  <si>
    <t>tyreeyork</t>
  </si>
  <si>
    <t>083264534***</t>
  </si>
  <si>
    <t>juliencline</t>
  </si>
  <si>
    <t>081258504***</t>
  </si>
  <si>
    <t>nataliariddle</t>
  </si>
  <si>
    <t>083214892***</t>
  </si>
  <si>
    <t>santiagovaughan</t>
  </si>
  <si>
    <t>085230888***</t>
  </si>
  <si>
    <t>miguelwelch</t>
  </si>
  <si>
    <t>A00-26236</t>
  </si>
  <si>
    <t>82226503***</t>
  </si>
  <si>
    <t>noelrodgers</t>
  </si>
  <si>
    <t>85264386***</t>
  </si>
  <si>
    <t>kiaradecker</t>
  </si>
  <si>
    <t>A00-26240</t>
  </si>
  <si>
    <t>85273139***</t>
  </si>
  <si>
    <t>reynaherrera</t>
  </si>
  <si>
    <t>A00-26241</t>
  </si>
  <si>
    <t>6285267831***</t>
  </si>
  <si>
    <t>hadassahtorres</t>
  </si>
  <si>
    <t>6283238879***</t>
  </si>
  <si>
    <t>victoriasanford</t>
  </si>
  <si>
    <t>81267847***</t>
  </si>
  <si>
    <t>uriahrandolph</t>
  </si>
  <si>
    <t>A00-26245</t>
  </si>
  <si>
    <t>81228824***</t>
  </si>
  <si>
    <t>keirabaker</t>
  </si>
  <si>
    <t>A00-26246</t>
  </si>
  <si>
    <t>82230481***</t>
  </si>
  <si>
    <t>melissaescobar</t>
  </si>
  <si>
    <t>6283244396***</t>
  </si>
  <si>
    <t>mirandagreer</t>
  </si>
  <si>
    <t>A00-26248</t>
  </si>
  <si>
    <t>6285246942***</t>
  </si>
  <si>
    <t>bellayoder</t>
  </si>
  <si>
    <t>A00-26249</t>
  </si>
  <si>
    <t>0842-89357***</t>
  </si>
  <si>
    <t>mikaelaward</t>
  </si>
  <si>
    <t>0812-61803***</t>
  </si>
  <si>
    <t>alivalenzuela</t>
  </si>
  <si>
    <t>0822-40605***</t>
  </si>
  <si>
    <t>abbeyfitzpatrick</t>
  </si>
  <si>
    <t>0832 71959***</t>
  </si>
  <si>
    <t>norabauer</t>
  </si>
  <si>
    <t>A00-26256</t>
  </si>
  <si>
    <t>0812 70877***</t>
  </si>
  <si>
    <t>ryliesmith</t>
  </si>
  <si>
    <t>A00-26257</t>
  </si>
  <si>
    <t>0842 11186***</t>
  </si>
  <si>
    <t>georgegalloway</t>
  </si>
  <si>
    <t>0852 86352***</t>
  </si>
  <si>
    <t>kaylynnlucas</t>
  </si>
  <si>
    <t>0812-83881***</t>
  </si>
  <si>
    <t>kameronroy</t>
  </si>
  <si>
    <t>A00-26261</t>
  </si>
  <si>
    <t>0832-93423***</t>
  </si>
  <si>
    <t>jayceali</t>
  </si>
  <si>
    <t>A00-26262</t>
  </si>
  <si>
    <t>812 25795***</t>
  </si>
  <si>
    <t>zionarnold</t>
  </si>
  <si>
    <t>A00-26263</t>
  </si>
  <si>
    <t>832 28528***</t>
  </si>
  <si>
    <t>ceciliarivers</t>
  </si>
  <si>
    <t>083228941***</t>
  </si>
  <si>
    <t>brodiegates</t>
  </si>
  <si>
    <t>084237486***</t>
  </si>
  <si>
    <t>tristanclayton</t>
  </si>
  <si>
    <t>A00-26268</t>
  </si>
  <si>
    <t>084254123***</t>
  </si>
  <si>
    <t>mercedesglenn</t>
  </si>
  <si>
    <t>A00-26269</t>
  </si>
  <si>
    <t>085296098***</t>
  </si>
  <si>
    <t>waylonsellers</t>
  </si>
  <si>
    <t>85243637***</t>
  </si>
  <si>
    <t>averierowe</t>
  </si>
  <si>
    <t>A00-26271</t>
  </si>
  <si>
    <t>84293585***</t>
  </si>
  <si>
    <t>mckaylagross</t>
  </si>
  <si>
    <t>82236263***</t>
  </si>
  <si>
    <t>sonnyferguson</t>
  </si>
  <si>
    <t>6281259070***</t>
  </si>
  <si>
    <t>marcoskirby</t>
  </si>
  <si>
    <t>6281253835***</t>
  </si>
  <si>
    <t>dominickkane</t>
  </si>
  <si>
    <t>A00-26279</t>
  </si>
  <si>
    <t>82299679***</t>
  </si>
  <si>
    <t>peytonwong</t>
  </si>
  <si>
    <t>83262800***</t>
  </si>
  <si>
    <t>abigaylecarrillo</t>
  </si>
  <si>
    <t>83279898***</t>
  </si>
  <si>
    <t>meadowmcmillan</t>
  </si>
  <si>
    <t>A00-26286</t>
  </si>
  <si>
    <t>6284213725***</t>
  </si>
  <si>
    <t>laneoliver</t>
  </si>
  <si>
    <t>A00-26287</t>
  </si>
  <si>
    <t>6285299554***</t>
  </si>
  <si>
    <t>dillansparks</t>
  </si>
  <si>
    <t>0842-35847***</t>
  </si>
  <si>
    <t>cristophercarey</t>
  </si>
  <si>
    <t>0822-64983***</t>
  </si>
  <si>
    <t>kendalldeleon</t>
  </si>
  <si>
    <t>0842-21488***</t>
  </si>
  <si>
    <t>dayamiali</t>
  </si>
  <si>
    <t>A00-26291</t>
  </si>
  <si>
    <t>0822 56432***</t>
  </si>
  <si>
    <t>devinmorales</t>
  </si>
  <si>
    <t>A00-26293</t>
  </si>
  <si>
    <t>0822 30235***</t>
  </si>
  <si>
    <t>jaquelinemercado</t>
  </si>
  <si>
    <t>A00-26295</t>
  </si>
  <si>
    <t>0822 17086***</t>
  </si>
  <si>
    <t>keatonpeterson</t>
  </si>
  <si>
    <t>0822 56072***</t>
  </si>
  <si>
    <t>colemansingleton</t>
  </si>
  <si>
    <t>0822-37080***</t>
  </si>
  <si>
    <t>natalielloyd</t>
  </si>
  <si>
    <t>0842-80245***</t>
  </si>
  <si>
    <t>lilianharris</t>
  </si>
  <si>
    <t>822 96781***</t>
  </si>
  <si>
    <t>ellakelley</t>
  </si>
  <si>
    <t>A00-26302</t>
  </si>
  <si>
    <t>812 41005***</t>
  </si>
  <si>
    <t>madilyncooke</t>
  </si>
  <si>
    <t>084244888***</t>
  </si>
  <si>
    <t>nylaphillips</t>
  </si>
  <si>
    <t>A00-26304</t>
  </si>
  <si>
    <t>082245866***</t>
  </si>
  <si>
    <t>samarasosa</t>
  </si>
  <si>
    <t>A00-26306</t>
  </si>
  <si>
    <t>085214543***</t>
  </si>
  <si>
    <t>zavierhubbard</t>
  </si>
  <si>
    <t>084262152***</t>
  </si>
  <si>
    <t>angiearcher</t>
  </si>
  <si>
    <t>84260557***</t>
  </si>
  <si>
    <t>nathendorsey</t>
  </si>
  <si>
    <t>85293117***</t>
  </si>
  <si>
    <t>lilliannacase</t>
  </si>
  <si>
    <t>85283036***</t>
  </si>
  <si>
    <t>johnnygould</t>
  </si>
  <si>
    <t>6283221932***</t>
  </si>
  <si>
    <t>jazlynramirez</t>
  </si>
  <si>
    <t>6282240523***</t>
  </si>
  <si>
    <t>tyreeshaw</t>
  </si>
  <si>
    <t>82239171***</t>
  </si>
  <si>
    <t>francesdavenport</t>
  </si>
  <si>
    <t>A00-26330</t>
  </si>
  <si>
    <t>83248195***</t>
  </si>
  <si>
    <t>shyannewood</t>
  </si>
  <si>
    <t>A00-26333</t>
  </si>
  <si>
    <t>81295419***</t>
  </si>
  <si>
    <t>ansleynichols</t>
  </si>
  <si>
    <t>6285222157***</t>
  </si>
  <si>
    <t>beckhammoody</t>
  </si>
  <si>
    <t>A00-26337</t>
  </si>
  <si>
    <t>6285268607***</t>
  </si>
  <si>
    <t>almaclay</t>
  </si>
  <si>
    <t>A00-26340</t>
  </si>
  <si>
    <t>0822-26918***</t>
  </si>
  <si>
    <t>presleybraun</t>
  </si>
  <si>
    <t>A00-26342</t>
  </si>
  <si>
    <t>0842-33988***</t>
  </si>
  <si>
    <t>nicolascase</t>
  </si>
  <si>
    <t>A00-26343</t>
  </si>
  <si>
    <t>0842-24961***</t>
  </si>
  <si>
    <t>damarionconway</t>
  </si>
  <si>
    <t>0842 76184***</t>
  </si>
  <si>
    <t>zariaoneal</t>
  </si>
  <si>
    <t>A00-26347</t>
  </si>
  <si>
    <t>0832 40262***</t>
  </si>
  <si>
    <t>arianaoconnell</t>
  </si>
  <si>
    <t>0852 90167***</t>
  </si>
  <si>
    <t>dakotahurley</t>
  </si>
  <si>
    <t>A00-26349</t>
  </si>
  <si>
    <t>0842 48084***</t>
  </si>
  <si>
    <t>larrypitts</t>
  </si>
  <si>
    <t>A00-26350</t>
  </si>
  <si>
    <t>0832-62023***</t>
  </si>
  <si>
    <t>moiseslara</t>
  </si>
  <si>
    <t>0852-59107***</t>
  </si>
  <si>
    <t>kamrongarcia</t>
  </si>
  <si>
    <t>822 19052***</t>
  </si>
  <si>
    <t>ahmadberger</t>
  </si>
  <si>
    <t>A00-26353</t>
  </si>
  <si>
    <t>812 26006***</t>
  </si>
  <si>
    <t>cassiusmiddleton</t>
  </si>
  <si>
    <t>A00-26359</t>
  </si>
  <si>
    <t>081257261***</t>
  </si>
  <si>
    <t>zavierellis</t>
  </si>
  <si>
    <t>A00-26360</t>
  </si>
  <si>
    <t>084231040***</t>
  </si>
  <si>
    <t>nathanarcher</t>
  </si>
  <si>
    <t>A00-26361</t>
  </si>
  <si>
    <t>085288097***</t>
  </si>
  <si>
    <t>clairemartinez</t>
  </si>
  <si>
    <t>A00-26363</t>
  </si>
  <si>
    <t>085265135***</t>
  </si>
  <si>
    <t>jetthardy</t>
  </si>
  <si>
    <t>82268319***</t>
  </si>
  <si>
    <t>asiagomez</t>
  </si>
  <si>
    <t>A00-26366</t>
  </si>
  <si>
    <t>82267776***</t>
  </si>
  <si>
    <t>lucianohayes</t>
  </si>
  <si>
    <t>A00-26370</t>
  </si>
  <si>
    <t>83296227***</t>
  </si>
  <si>
    <t>abigailparks</t>
  </si>
  <si>
    <t>A00-26374</t>
  </si>
  <si>
    <t>6283241989***</t>
  </si>
  <si>
    <t>aydinhale</t>
  </si>
  <si>
    <t>6284265582***</t>
  </si>
  <si>
    <t>glennmorris</t>
  </si>
  <si>
    <t>83293116***</t>
  </si>
  <si>
    <t>aedanmcgee</t>
  </si>
  <si>
    <t>81223608***</t>
  </si>
  <si>
    <t>rowanmiller</t>
  </si>
  <si>
    <t>83250895***</t>
  </si>
  <si>
    <t>colemanrobertson</t>
  </si>
  <si>
    <t>6282252807***</t>
  </si>
  <si>
    <t>brockyork</t>
  </si>
  <si>
    <t>6284258511***</t>
  </si>
  <si>
    <t>samarabaker</t>
  </si>
  <si>
    <t>0812-78608***</t>
  </si>
  <si>
    <t>shaynahaley</t>
  </si>
  <si>
    <t>A00-26383</t>
  </si>
  <si>
    <t>0852-30049***</t>
  </si>
  <si>
    <t>abdielharrell</t>
  </si>
  <si>
    <t>A00-26385</t>
  </si>
  <si>
    <t>0852-98029***</t>
  </si>
  <si>
    <t>ishaanharding</t>
  </si>
  <si>
    <t>A00-26386</t>
  </si>
  <si>
    <t>0822 48983***</t>
  </si>
  <si>
    <t>camrynbradshaw</t>
  </si>
  <si>
    <t>A00-26387</t>
  </si>
  <si>
    <t>0832 35487***</t>
  </si>
  <si>
    <t>alysonrobles</t>
  </si>
  <si>
    <t>0812 64666***</t>
  </si>
  <si>
    <t>kathleenmejia</t>
  </si>
  <si>
    <t>A00-26393</t>
  </si>
  <si>
    <t>0812 86795***</t>
  </si>
  <si>
    <t>leonidascastro</t>
  </si>
  <si>
    <t>A00-26394</t>
  </si>
  <si>
    <t>0852-52189***</t>
  </si>
  <si>
    <t>rubigonzalez</t>
  </si>
  <si>
    <t>0822-33076***</t>
  </si>
  <si>
    <t>rorytodd</t>
  </si>
  <si>
    <t>822 57039***</t>
  </si>
  <si>
    <t>reesewhite</t>
  </si>
  <si>
    <t>812 55117***</t>
  </si>
  <si>
    <t>elsagreer</t>
  </si>
  <si>
    <t>A00-26400</t>
  </si>
  <si>
    <t>081250488***</t>
  </si>
  <si>
    <t>jenniferfox</t>
  </si>
  <si>
    <t>A00-26401</t>
  </si>
  <si>
    <t>082249051***</t>
  </si>
  <si>
    <t>rylandkelley</t>
  </si>
  <si>
    <t>081288586***</t>
  </si>
  <si>
    <t>kanemercado</t>
  </si>
  <si>
    <t>085253138***</t>
  </si>
  <si>
    <t>hailiesaunders</t>
  </si>
  <si>
    <t>A00-26406</t>
  </si>
  <si>
    <t>82238992***</t>
  </si>
  <si>
    <t>emeliafry</t>
  </si>
  <si>
    <t>A00-26408</t>
  </si>
  <si>
    <t>84239171***</t>
  </si>
  <si>
    <t>braedonbarnes</t>
  </si>
  <si>
    <t>A00-26410</t>
  </si>
  <si>
    <t>85268519***</t>
  </si>
  <si>
    <t>sashaburns</t>
  </si>
  <si>
    <t>6285269050***</t>
  </si>
  <si>
    <t>jamiyalutz</t>
  </si>
  <si>
    <t>6282245388***</t>
  </si>
  <si>
    <t>rogeliobarr</t>
  </si>
  <si>
    <t>A00-26414</t>
  </si>
  <si>
    <t>81213367***</t>
  </si>
  <si>
    <t>jasminmoyer</t>
  </si>
  <si>
    <t>81219530***</t>
  </si>
  <si>
    <t>charliebrady</t>
  </si>
  <si>
    <t>85235692***</t>
  </si>
  <si>
    <t>mercedesgood</t>
  </si>
  <si>
    <t>A00-26420</t>
  </si>
  <si>
    <t>6283252687***</t>
  </si>
  <si>
    <t>kristianmyers</t>
  </si>
  <si>
    <t>A00-26421</t>
  </si>
  <si>
    <t>6285296477***</t>
  </si>
  <si>
    <t>selahbarber</t>
  </si>
  <si>
    <t>A00-26422</t>
  </si>
  <si>
    <t>0812-43474***</t>
  </si>
  <si>
    <t>ryleighlowe</t>
  </si>
  <si>
    <t>0852-93808***</t>
  </si>
  <si>
    <t>hannahjimenez</t>
  </si>
  <si>
    <t>0832-24829***</t>
  </si>
  <si>
    <t>haydenjones</t>
  </si>
  <si>
    <t>0832 88550***</t>
  </si>
  <si>
    <t>viviantyler</t>
  </si>
  <si>
    <t>A00-26427</t>
  </si>
  <si>
    <t>0822 28492***</t>
  </si>
  <si>
    <t>bransonrasmussen</t>
  </si>
  <si>
    <t>0812 28855***</t>
  </si>
  <si>
    <t>elisekoch</t>
  </si>
  <si>
    <t>A00-26430</t>
  </si>
  <si>
    <t>0842 66057***</t>
  </si>
  <si>
    <t>taylorlawrence</t>
  </si>
  <si>
    <t>0842-11837***</t>
  </si>
  <si>
    <t>jairolambert</t>
  </si>
  <si>
    <t>A00-26435</t>
  </si>
  <si>
    <t>0832-25062***</t>
  </si>
  <si>
    <t>valeriabright</t>
  </si>
  <si>
    <t>852 11324***</t>
  </si>
  <si>
    <t>angelakeller</t>
  </si>
  <si>
    <t>822 52307***</t>
  </si>
  <si>
    <t>rodneyhodges</t>
  </si>
  <si>
    <t>082292843***</t>
  </si>
  <si>
    <t>walkermeza</t>
  </si>
  <si>
    <t>A00-26442</t>
  </si>
  <si>
    <t>081292154***</t>
  </si>
  <si>
    <t>sophiecuevas</t>
  </si>
  <si>
    <t>A00-26443</t>
  </si>
  <si>
    <t>082246065***</t>
  </si>
  <si>
    <t>aliyahbell</t>
  </si>
  <si>
    <t>A00-26444</t>
  </si>
  <si>
    <t>085256882***</t>
  </si>
  <si>
    <t>ivanward</t>
  </si>
  <si>
    <t>A00-26445</t>
  </si>
  <si>
    <t>85294847***</t>
  </si>
  <si>
    <t>kamiladunn</t>
  </si>
  <si>
    <t>A00-26446</t>
  </si>
  <si>
    <t>82214665***</t>
  </si>
  <si>
    <t>natalyahouston</t>
  </si>
  <si>
    <t>83282571***</t>
  </si>
  <si>
    <t>benjaminhaas</t>
  </si>
  <si>
    <t>A00-26449</t>
  </si>
  <si>
    <t>6281255278***</t>
  </si>
  <si>
    <t>marelysharp</t>
  </si>
  <si>
    <t>6284215979***</t>
  </si>
  <si>
    <t>ashershields</t>
  </si>
  <si>
    <t>A00-26452</t>
  </si>
  <si>
    <t>81267074***</t>
  </si>
  <si>
    <t>trippray</t>
  </si>
  <si>
    <t>A00-26453</t>
  </si>
  <si>
    <t>83225910***</t>
  </si>
  <si>
    <t>dravenhuffman</t>
  </si>
  <si>
    <t>A00-26454</t>
  </si>
  <si>
    <t>83290504***</t>
  </si>
  <si>
    <t>jaidynhatfield</t>
  </si>
  <si>
    <t>A00-26455</t>
  </si>
  <si>
    <t>6284249610***</t>
  </si>
  <si>
    <t>zanewalls</t>
  </si>
  <si>
    <t>6283284208***</t>
  </si>
  <si>
    <t>elizabethgill</t>
  </si>
  <si>
    <t>A00-26457</t>
  </si>
  <si>
    <t>0852-86040***</t>
  </si>
  <si>
    <t>haylieholden</t>
  </si>
  <si>
    <t>0822-56727***</t>
  </si>
  <si>
    <t>arielmccoy</t>
  </si>
  <si>
    <t>A00-26461</t>
  </si>
  <si>
    <t>0832-28743***</t>
  </si>
  <si>
    <t>terryweber</t>
  </si>
  <si>
    <t>0852 45742***</t>
  </si>
  <si>
    <t>anastasiajuarez</t>
  </si>
  <si>
    <t>A00-26463</t>
  </si>
  <si>
    <t>0852 76370***</t>
  </si>
  <si>
    <t>darienray</t>
  </si>
  <si>
    <t>0832 30179***</t>
  </si>
  <si>
    <t>finleyhouston</t>
  </si>
  <si>
    <t>A00-26465</t>
  </si>
  <si>
    <t>0812 30622***</t>
  </si>
  <si>
    <t>frederickgarrison</t>
  </si>
  <si>
    <t>A00-26466</t>
  </si>
  <si>
    <t>0832-40864***</t>
  </si>
  <si>
    <t>arielkeller</t>
  </si>
  <si>
    <t>0832-72125***</t>
  </si>
  <si>
    <t>jaquelineblankenship</t>
  </si>
  <si>
    <t>A00-26468</t>
  </si>
  <si>
    <t>822 45567***</t>
  </si>
  <si>
    <t>lilyanaallison</t>
  </si>
  <si>
    <t>842 57663***</t>
  </si>
  <si>
    <t>daltonliu</t>
  </si>
  <si>
    <t>085249480***</t>
  </si>
  <si>
    <t>ashleyhumphrey</t>
  </si>
  <si>
    <t>A00-26472</t>
  </si>
  <si>
    <t>081222930***</t>
  </si>
  <si>
    <t>katelyncook</t>
  </si>
  <si>
    <t>083290264***</t>
  </si>
  <si>
    <t>julissajones</t>
  </si>
  <si>
    <t>084253445***</t>
  </si>
  <si>
    <t>stacyleach</t>
  </si>
  <si>
    <t>A00-26479</t>
  </si>
  <si>
    <t>83252402***</t>
  </si>
  <si>
    <t>allisonfritz</t>
  </si>
  <si>
    <t>83214587***</t>
  </si>
  <si>
    <t>cedricgilmore</t>
  </si>
  <si>
    <t>81225227***</t>
  </si>
  <si>
    <t>francolloyd</t>
  </si>
  <si>
    <t>6285225424***</t>
  </si>
  <si>
    <t>ernestofrost</t>
  </si>
  <si>
    <t>A00-26486</t>
  </si>
  <si>
    <t>6282268039***</t>
  </si>
  <si>
    <t>kymanidougherty</t>
  </si>
  <si>
    <t>81234815***</t>
  </si>
  <si>
    <t>mollyho</t>
  </si>
  <si>
    <t>A00-26490</t>
  </si>
  <si>
    <t>83235129***</t>
  </si>
  <si>
    <t>kailynkey</t>
  </si>
  <si>
    <t>A00-26492</t>
  </si>
  <si>
    <t>84279721***</t>
  </si>
  <si>
    <t>eviecooke</t>
  </si>
  <si>
    <t>A00-26494</t>
  </si>
  <si>
    <t>10-01-1984</t>
  </si>
  <si>
    <t>6285246571***</t>
  </si>
  <si>
    <t>brennabarker</t>
  </si>
  <si>
    <t>6283238941***</t>
  </si>
  <si>
    <t>javionpeters</t>
  </si>
  <si>
    <t>0832-88070***</t>
  </si>
  <si>
    <t>sierramelendez</t>
  </si>
  <si>
    <t>0832-20215***</t>
  </si>
  <si>
    <t>heidichavez</t>
  </si>
  <si>
    <t>0842-57083***</t>
  </si>
  <si>
    <t>cloemclean</t>
  </si>
  <si>
    <t>0852 49445***</t>
  </si>
  <si>
    <t>tycasey</t>
  </si>
  <si>
    <t>0842 58478***</t>
  </si>
  <si>
    <t>faithmeadows</t>
  </si>
  <si>
    <t>A00-26502</t>
  </si>
  <si>
    <t>0812 30292***</t>
  </si>
  <si>
    <t>justinshaffer</t>
  </si>
  <si>
    <t>0852 57311***</t>
  </si>
  <si>
    <t>leonidasbray</t>
  </si>
  <si>
    <t>0822-22449***</t>
  </si>
  <si>
    <t>oliverroberts</t>
  </si>
  <si>
    <t>A00-26508</t>
  </si>
  <si>
    <t>0812-20096***</t>
  </si>
  <si>
    <t>giulianawarner</t>
  </si>
  <si>
    <t>852 60287***</t>
  </si>
  <si>
    <t>jonfarmer</t>
  </si>
  <si>
    <t>852 26606***</t>
  </si>
  <si>
    <t>adisonmcconnell</t>
  </si>
  <si>
    <t>A00-26514</t>
  </si>
  <si>
    <t>085244627***</t>
  </si>
  <si>
    <t>peytonchavez</t>
  </si>
  <si>
    <t>085287487***</t>
  </si>
  <si>
    <t>adrielriley</t>
  </si>
  <si>
    <t>083297453***</t>
  </si>
  <si>
    <t>kaitlynbuck</t>
  </si>
  <si>
    <t>A00-26520</t>
  </si>
  <si>
    <t>081292165***</t>
  </si>
  <si>
    <t>londonstark</t>
  </si>
  <si>
    <t>82287656***</t>
  </si>
  <si>
    <t>alvinmooney</t>
  </si>
  <si>
    <t>84232707***</t>
  </si>
  <si>
    <t>ariellalowery</t>
  </si>
  <si>
    <t>A00-26524</t>
  </si>
  <si>
    <t>85270132***</t>
  </si>
  <si>
    <t>gabrielbuckley</t>
  </si>
  <si>
    <t>6285232398***</t>
  </si>
  <si>
    <t>baileylove</t>
  </si>
  <si>
    <t>A00-26528</t>
  </si>
  <si>
    <t>6282251366***</t>
  </si>
  <si>
    <t>mathewclark</t>
  </si>
  <si>
    <t>A00-26530</t>
  </si>
  <si>
    <t>84222353***</t>
  </si>
  <si>
    <t>kaylyntaylor</t>
  </si>
  <si>
    <t>A00-26531</t>
  </si>
  <si>
    <t>85299356***</t>
  </si>
  <si>
    <t>curtiswinters</t>
  </si>
  <si>
    <t>A00-26534</t>
  </si>
  <si>
    <t>85248237***</t>
  </si>
  <si>
    <t>matthiashart</t>
  </si>
  <si>
    <t>A00-26537</t>
  </si>
  <si>
    <t>6285233737***</t>
  </si>
  <si>
    <t>alvinbrooks</t>
  </si>
  <si>
    <t>A00-26540</t>
  </si>
  <si>
    <t>6282255987***</t>
  </si>
  <si>
    <t>darienrivas</t>
  </si>
  <si>
    <t>0832-26523***</t>
  </si>
  <si>
    <t>walkermills</t>
  </si>
  <si>
    <t>A00-26543</t>
  </si>
  <si>
    <t>0812-58493***</t>
  </si>
  <si>
    <t>jillianmcclain</t>
  </si>
  <si>
    <t>A00-26544</t>
  </si>
  <si>
    <t>0842-60047***</t>
  </si>
  <si>
    <t>ryanlevy</t>
  </si>
  <si>
    <t>0822 69553***</t>
  </si>
  <si>
    <t>oscarrice</t>
  </si>
  <si>
    <t>0842 69187***</t>
  </si>
  <si>
    <t>nylapaul</t>
  </si>
  <si>
    <t>0832 91411***</t>
  </si>
  <si>
    <t>kayadavila</t>
  </si>
  <si>
    <t>0812 95668***</t>
  </si>
  <si>
    <t>urijahcook</t>
  </si>
  <si>
    <t>A00-26550</t>
  </si>
  <si>
    <t>0852-75383***</t>
  </si>
  <si>
    <t>minaponce</t>
  </si>
  <si>
    <t>A00-26551</t>
  </si>
  <si>
    <t>0832-98401***</t>
  </si>
  <si>
    <t>elizamcneil</t>
  </si>
  <si>
    <t>A00-26554</t>
  </si>
  <si>
    <t>842 96655***</t>
  </si>
  <si>
    <t>priscillaray</t>
  </si>
  <si>
    <t>A00-26555</t>
  </si>
  <si>
    <t>842 77694***</t>
  </si>
  <si>
    <t>tyresethornton</t>
  </si>
  <si>
    <t>A00-26557</t>
  </si>
  <si>
    <t>083224263***</t>
  </si>
  <si>
    <t>janaewhite</t>
  </si>
  <si>
    <t>A00-26558</t>
  </si>
  <si>
    <t>084269707***</t>
  </si>
  <si>
    <t>coltdunlap</t>
  </si>
  <si>
    <t>083275243***</t>
  </si>
  <si>
    <t>reginacuevas</t>
  </si>
  <si>
    <t>081223833***</t>
  </si>
  <si>
    <t>leilanipayne</t>
  </si>
  <si>
    <t>A00-26564</t>
  </si>
  <si>
    <t>85252667***</t>
  </si>
  <si>
    <t>karmadudley</t>
  </si>
  <si>
    <t>83220742***</t>
  </si>
  <si>
    <t>eliannamason</t>
  </si>
  <si>
    <t>A00-26566</t>
  </si>
  <si>
    <t>85290631***</t>
  </si>
  <si>
    <t>jovanshea</t>
  </si>
  <si>
    <t>A00-26567</t>
  </si>
  <si>
    <t>6282280511***</t>
  </si>
  <si>
    <t>tomashayes</t>
  </si>
  <si>
    <t>6284294504***</t>
  </si>
  <si>
    <t>jadynarias</t>
  </si>
  <si>
    <t>A00-26570</t>
  </si>
  <si>
    <t>83274772***</t>
  </si>
  <si>
    <t>jaydoncurry</t>
  </si>
  <si>
    <t>A00-26572</t>
  </si>
  <si>
    <t>83292477***</t>
  </si>
  <si>
    <t>laurajoyce</t>
  </si>
  <si>
    <t>A00-26573</t>
  </si>
  <si>
    <t>82242790***</t>
  </si>
  <si>
    <t>hallenoble</t>
  </si>
  <si>
    <t>6284263982***</t>
  </si>
  <si>
    <t>alexzanderjennings</t>
  </si>
  <si>
    <t>A00-26579</t>
  </si>
  <si>
    <t>6282213671***</t>
  </si>
  <si>
    <t>tannerwatts</t>
  </si>
  <si>
    <t>0812-86247***</t>
  </si>
  <si>
    <t>amiahcervantes</t>
  </si>
  <si>
    <t>0842-92914***</t>
  </si>
  <si>
    <t>jaslenesolomon</t>
  </si>
  <si>
    <t>0852-86670***</t>
  </si>
  <si>
    <t>alanirush</t>
  </si>
  <si>
    <t>A00-26587</t>
  </si>
  <si>
    <t>0822 12394***</t>
  </si>
  <si>
    <t>denissejuarez</t>
  </si>
  <si>
    <t>A00-26589</t>
  </si>
  <si>
    <t>0812 47501***</t>
  </si>
  <si>
    <t>willowmiles</t>
  </si>
  <si>
    <t>A00-26590</t>
  </si>
  <si>
    <t>0852 55834***</t>
  </si>
  <si>
    <t>conorboyd</t>
  </si>
  <si>
    <t>0812 24098***</t>
  </si>
  <si>
    <t>keeganmack</t>
  </si>
  <si>
    <t>0812-85504***</t>
  </si>
  <si>
    <t>nyasiasanders</t>
  </si>
  <si>
    <t>A00-26594</t>
  </si>
  <si>
    <t>0812-17301***</t>
  </si>
  <si>
    <t>leiamcmahon</t>
  </si>
  <si>
    <t>812 96477***</t>
  </si>
  <si>
    <t>rachaelholloway</t>
  </si>
  <si>
    <t>822 71546***</t>
  </si>
  <si>
    <t>lizethmathews</t>
  </si>
  <si>
    <t>081252705***</t>
  </si>
  <si>
    <t>allieshelton</t>
  </si>
  <si>
    <t>084211935***</t>
  </si>
  <si>
    <t>ricardobutler</t>
  </si>
  <si>
    <t>084245681***</t>
  </si>
  <si>
    <t>jamariodonnell</t>
  </si>
  <si>
    <t>081235409***</t>
  </si>
  <si>
    <t>natalyalee</t>
  </si>
  <si>
    <t>83239394***</t>
  </si>
  <si>
    <t>jaidengiles</t>
  </si>
  <si>
    <t>82217496***</t>
  </si>
  <si>
    <t>amandaweeks</t>
  </si>
  <si>
    <t>81263925***</t>
  </si>
  <si>
    <t>glennduncan</t>
  </si>
  <si>
    <t>6281253523***</t>
  </si>
  <si>
    <t>kaliyahshah</t>
  </si>
  <si>
    <t>A00-26614</t>
  </si>
  <si>
    <t>6285219001***</t>
  </si>
  <si>
    <t>alisaharding</t>
  </si>
  <si>
    <t>A00-26617</t>
  </si>
  <si>
    <t>85246708***</t>
  </si>
  <si>
    <t>anahiarmstrong</t>
  </si>
  <si>
    <t>85237037***</t>
  </si>
  <si>
    <t>aidyncastillo</t>
  </si>
  <si>
    <t>84298899***</t>
  </si>
  <si>
    <t>craigstrong</t>
  </si>
  <si>
    <t>6285236772***</t>
  </si>
  <si>
    <t>denzelfritz</t>
  </si>
  <si>
    <t>6284230088***</t>
  </si>
  <si>
    <t>kyradaniels</t>
  </si>
  <si>
    <t>0822-75444***</t>
  </si>
  <si>
    <t>grantbeasley</t>
  </si>
  <si>
    <t>0812-98114***</t>
  </si>
  <si>
    <t>amirahmichael</t>
  </si>
  <si>
    <t>0822-60218***</t>
  </si>
  <si>
    <t>adamgordon</t>
  </si>
  <si>
    <t>0852 38452***</t>
  </si>
  <si>
    <t>joslynfarmer</t>
  </si>
  <si>
    <t>0822 24598***</t>
  </si>
  <si>
    <t>sherlynboone</t>
  </si>
  <si>
    <t>A00-26632</t>
  </si>
  <si>
    <t>0832 26545***</t>
  </si>
  <si>
    <t>brentlin</t>
  </si>
  <si>
    <t>0852 55862***</t>
  </si>
  <si>
    <t>lennonhooper</t>
  </si>
  <si>
    <t>0832-53521***</t>
  </si>
  <si>
    <t>gregorymassey</t>
  </si>
  <si>
    <t>0832-35120***</t>
  </si>
  <si>
    <t>dominiquebaxter</t>
  </si>
  <si>
    <t>822 60111***</t>
  </si>
  <si>
    <t>jaylenestone</t>
  </si>
  <si>
    <t>A00-26642</t>
  </si>
  <si>
    <t>842 91407***</t>
  </si>
  <si>
    <t>milomarshall</t>
  </si>
  <si>
    <t>082286885***</t>
  </si>
  <si>
    <t>santiagomcconnell</t>
  </si>
  <si>
    <t>A00-26646</t>
  </si>
  <si>
    <t>083249916***</t>
  </si>
  <si>
    <t>trentmckinney</t>
  </si>
  <si>
    <t>083253017***</t>
  </si>
  <si>
    <t>marquisemarquez</t>
  </si>
  <si>
    <t>A00-26649</t>
  </si>
  <si>
    <t>084250293***</t>
  </si>
  <si>
    <t>haydenanthony</t>
  </si>
  <si>
    <t>A00-26650</t>
  </si>
  <si>
    <t>84271225***</t>
  </si>
  <si>
    <t>claystrickland</t>
  </si>
  <si>
    <t>85276649***</t>
  </si>
  <si>
    <t>madilynrodriguez</t>
  </si>
  <si>
    <t>A00-26652</t>
  </si>
  <si>
    <t>81256593***</t>
  </si>
  <si>
    <t>andersonpotts</t>
  </si>
  <si>
    <t>A00-26653</t>
  </si>
  <si>
    <t>6284228796***</t>
  </si>
  <si>
    <t>edenmerritt</t>
  </si>
  <si>
    <t>A00-26656</t>
  </si>
  <si>
    <t>6281258382***</t>
  </si>
  <si>
    <t>liliananeal</t>
  </si>
  <si>
    <t>81220553***</t>
  </si>
  <si>
    <t>adalyncordova</t>
  </si>
  <si>
    <t>A00-26658</t>
  </si>
  <si>
    <t>82244582***</t>
  </si>
  <si>
    <t>grahamreese</t>
  </si>
  <si>
    <t>84245894***</t>
  </si>
  <si>
    <t>matthewwoods</t>
  </si>
  <si>
    <t>A00-26662</t>
  </si>
  <si>
    <t>6283251636***</t>
  </si>
  <si>
    <t>arturoburton</t>
  </si>
  <si>
    <t>6282274444***</t>
  </si>
  <si>
    <t>sienajackson</t>
  </si>
  <si>
    <t>A00-26664</t>
  </si>
  <si>
    <t>0832-40474***</t>
  </si>
  <si>
    <t>angelinagates</t>
  </si>
  <si>
    <t>0852-54878***</t>
  </si>
  <si>
    <t>sylviaunderwood</t>
  </si>
  <si>
    <t>A00-26676</t>
  </si>
  <si>
    <t>0822-48915***</t>
  </si>
  <si>
    <t>kennedychambers</t>
  </si>
  <si>
    <t>A00-26677</t>
  </si>
  <si>
    <t>0812 74044***</t>
  </si>
  <si>
    <t>edwinerickson</t>
  </si>
  <si>
    <t>A00-26678</t>
  </si>
  <si>
    <t>0832 75965***</t>
  </si>
  <si>
    <t>anikahudson</t>
  </si>
  <si>
    <t>A00-26679</t>
  </si>
  <si>
    <t>0832 62216***</t>
  </si>
  <si>
    <t>tamaraboyle</t>
  </si>
  <si>
    <t>A00-26680</t>
  </si>
  <si>
    <t>0822 15931***</t>
  </si>
  <si>
    <t>enzobeasley</t>
  </si>
  <si>
    <t>0852-76690***</t>
  </si>
  <si>
    <t>alexafarrell</t>
  </si>
  <si>
    <t>0852-94819***</t>
  </si>
  <si>
    <t>beckettstevens</t>
  </si>
  <si>
    <t>842 49488***</t>
  </si>
  <si>
    <t>natalielucero</t>
  </si>
  <si>
    <t>A00-26691</t>
  </si>
  <si>
    <t>832 34946***</t>
  </si>
  <si>
    <t>annabellaolson</t>
  </si>
  <si>
    <t>083280454***</t>
  </si>
  <si>
    <t>isiahford</t>
  </si>
  <si>
    <t>A00-26693</t>
  </si>
  <si>
    <t>084268692***</t>
  </si>
  <si>
    <t>christinefry</t>
  </si>
  <si>
    <t>A00-26696</t>
  </si>
  <si>
    <t>082217537***</t>
  </si>
  <si>
    <t>jalenhayes</t>
  </si>
  <si>
    <t>A00-26698</t>
  </si>
  <si>
    <t>085215793***</t>
  </si>
  <si>
    <t>braedenburke</t>
  </si>
  <si>
    <t>A00-26699</t>
  </si>
  <si>
    <t>85233317***</t>
  </si>
  <si>
    <t>vanhess</t>
  </si>
  <si>
    <t>A00-26702</t>
  </si>
  <si>
    <t>85231483***</t>
  </si>
  <si>
    <t>declanbuckley</t>
  </si>
  <si>
    <t>A00-26705</t>
  </si>
  <si>
    <t>84292201***</t>
  </si>
  <si>
    <t>desmondmiranda</t>
  </si>
  <si>
    <t>6283252254***</t>
  </si>
  <si>
    <t>peytonhooper</t>
  </si>
  <si>
    <t>6283222852***</t>
  </si>
  <si>
    <t>kyanleach</t>
  </si>
  <si>
    <t>83228765***</t>
  </si>
  <si>
    <t>rihannahenson</t>
  </si>
  <si>
    <t>A00-26711</t>
  </si>
  <si>
    <t>82275952***</t>
  </si>
  <si>
    <t>ameliesexton</t>
  </si>
  <si>
    <t>81266652***</t>
  </si>
  <si>
    <t>elsawhitaker</t>
  </si>
  <si>
    <t>A00-26715</t>
  </si>
  <si>
    <t>6283261097***</t>
  </si>
  <si>
    <t>amarissellers</t>
  </si>
  <si>
    <t>A00-26716</t>
  </si>
  <si>
    <t>6281260132***</t>
  </si>
  <si>
    <t>calehooper</t>
  </si>
  <si>
    <t>A00-26717</t>
  </si>
  <si>
    <t>0842-18803***</t>
  </si>
  <si>
    <t>jamiyaeverett</t>
  </si>
  <si>
    <t>0842-98363***</t>
  </si>
  <si>
    <t>kelsiemay</t>
  </si>
  <si>
    <t>0812-41042***</t>
  </si>
  <si>
    <t>brycevelazquez</t>
  </si>
  <si>
    <t>0852 62557***</t>
  </si>
  <si>
    <t>jazlynchandler</t>
  </si>
  <si>
    <t>0852 26732***</t>
  </si>
  <si>
    <t>alissamorrow</t>
  </si>
  <si>
    <t>A00-26724</t>
  </si>
  <si>
    <t>0832 74185***</t>
  </si>
  <si>
    <t>ibrahimmartinez</t>
  </si>
  <si>
    <t>0812 26315***</t>
  </si>
  <si>
    <t>leticiawang</t>
  </si>
  <si>
    <t>A00-26726</t>
  </si>
  <si>
    <t>0812-39235***</t>
  </si>
  <si>
    <t>cadencepineda</t>
  </si>
  <si>
    <t>0852-67843***</t>
  </si>
  <si>
    <t>delilahmurray</t>
  </si>
  <si>
    <t>A00-26728</t>
  </si>
  <si>
    <t>852 18650***</t>
  </si>
  <si>
    <t>nehemiahhuffman</t>
  </si>
  <si>
    <t>A00-26729</t>
  </si>
  <si>
    <t>832 87049***</t>
  </si>
  <si>
    <t>jeremyholland</t>
  </si>
  <si>
    <t>A00-26732</t>
  </si>
  <si>
    <t>083212569***</t>
  </si>
  <si>
    <t>leeterry</t>
  </si>
  <si>
    <t>081280617***</t>
  </si>
  <si>
    <t>cheyennecarney</t>
  </si>
  <si>
    <t>084229654***</t>
  </si>
  <si>
    <t>camillemacdonald</t>
  </si>
  <si>
    <t>A00-26735</t>
  </si>
  <si>
    <t>083283272***</t>
  </si>
  <si>
    <t>skylarochoa</t>
  </si>
  <si>
    <t>A00-26739</t>
  </si>
  <si>
    <t>82213085***</t>
  </si>
  <si>
    <t>stanleywright</t>
  </si>
  <si>
    <t>A00-26745</t>
  </si>
  <si>
    <t>85231639***</t>
  </si>
  <si>
    <t>kellywiley</t>
  </si>
  <si>
    <t>A00-26746</t>
  </si>
  <si>
    <t>82217194***</t>
  </si>
  <si>
    <t>esperanzachaney</t>
  </si>
  <si>
    <t>6285275730***</t>
  </si>
  <si>
    <t>mauricebradford</t>
  </si>
  <si>
    <t>A00-26748</t>
  </si>
  <si>
    <t>6284224402***</t>
  </si>
  <si>
    <t>jacquelynnewman</t>
  </si>
  <si>
    <t>A00-26749</t>
  </si>
  <si>
    <t>85289191***</t>
  </si>
  <si>
    <t>armanistark</t>
  </si>
  <si>
    <t>83296640***</t>
  </si>
  <si>
    <t>enzoedwards</t>
  </si>
  <si>
    <t>83259844***</t>
  </si>
  <si>
    <t>aadentrevino</t>
  </si>
  <si>
    <t>6281259470***</t>
  </si>
  <si>
    <t>jasehall</t>
  </si>
  <si>
    <t>6282292870***</t>
  </si>
  <si>
    <t>lyricdillon</t>
  </si>
  <si>
    <t>A00-26756</t>
  </si>
  <si>
    <t>0812-70293***</t>
  </si>
  <si>
    <t>eastonkrueger</t>
  </si>
  <si>
    <t>0822-76379***</t>
  </si>
  <si>
    <t>romangoodman</t>
  </si>
  <si>
    <t>0852-54761***</t>
  </si>
  <si>
    <t>cassiusweiss</t>
  </si>
  <si>
    <t>0842 20866***</t>
  </si>
  <si>
    <t>abramrusso</t>
  </si>
  <si>
    <t>0852 89730***</t>
  </si>
  <si>
    <t>tommymoody</t>
  </si>
  <si>
    <t>0832 89380***</t>
  </si>
  <si>
    <t>yairtran</t>
  </si>
  <si>
    <t>A00-26763</t>
  </si>
  <si>
    <t>0852 45166***</t>
  </si>
  <si>
    <t>moriahaguirre</t>
  </si>
  <si>
    <t>A00-26765</t>
  </si>
  <si>
    <t>0832-53212***</t>
  </si>
  <si>
    <t>jaxevans</t>
  </si>
  <si>
    <t>A00-26766</t>
  </si>
  <si>
    <t>0852-36699***</t>
  </si>
  <si>
    <t>abelshah</t>
  </si>
  <si>
    <t>A00-26767</t>
  </si>
  <si>
    <t>852 59371***</t>
  </si>
  <si>
    <t>delaneygross</t>
  </si>
  <si>
    <t>A00-26768</t>
  </si>
  <si>
    <t>832 40284***</t>
  </si>
  <si>
    <t>micaelaferguson</t>
  </si>
  <si>
    <t>A00-26772</t>
  </si>
  <si>
    <t>081281285***</t>
  </si>
  <si>
    <t>demetriusstokes</t>
  </si>
  <si>
    <t>084267740***</t>
  </si>
  <si>
    <t>skylerbautista</t>
  </si>
  <si>
    <t>083285348***</t>
  </si>
  <si>
    <t>amaremccullough</t>
  </si>
  <si>
    <t>A00-26775</t>
  </si>
  <si>
    <t>084220282***</t>
  </si>
  <si>
    <t>adanhensley</t>
  </si>
  <si>
    <t>A00-26776</t>
  </si>
  <si>
    <t>85229921***</t>
  </si>
  <si>
    <t>antoineshaffer</t>
  </si>
  <si>
    <t>A00-26777</t>
  </si>
  <si>
    <t>81270730***</t>
  </si>
  <si>
    <t>leroyperez</t>
  </si>
  <si>
    <t>A00-26781</t>
  </si>
  <si>
    <t>82292682***</t>
  </si>
  <si>
    <t>theresamcgrath</t>
  </si>
  <si>
    <t>A00-26782</t>
  </si>
  <si>
    <t>6282269955***</t>
  </si>
  <si>
    <t>kaliyahbonilla</t>
  </si>
  <si>
    <t>A00-26783</t>
  </si>
  <si>
    <t>6282259499***</t>
  </si>
  <si>
    <t>ezrabrooks</t>
  </si>
  <si>
    <t>83278892***</t>
  </si>
  <si>
    <t>juliannemejia</t>
  </si>
  <si>
    <t>83260029***</t>
  </si>
  <si>
    <t>yahircline</t>
  </si>
  <si>
    <t>85285312***</t>
  </si>
  <si>
    <t>mileyochoa</t>
  </si>
  <si>
    <t>6283225680***</t>
  </si>
  <si>
    <t>armandogalvan</t>
  </si>
  <si>
    <t>A00-26793</t>
  </si>
  <si>
    <t>6283282032***</t>
  </si>
  <si>
    <t>kaitlynhayes</t>
  </si>
  <si>
    <t>A00-26794</t>
  </si>
  <si>
    <t>0852-84591***</t>
  </si>
  <si>
    <t>lylacole</t>
  </si>
  <si>
    <t>0832-53396***</t>
  </si>
  <si>
    <t>paigeforbes</t>
  </si>
  <si>
    <t>0832-33508***</t>
  </si>
  <si>
    <t>jennagraves</t>
  </si>
  <si>
    <t>A00-26797</t>
  </si>
  <si>
    <t>0842 55930***</t>
  </si>
  <si>
    <t>mekhimaldonado</t>
  </si>
  <si>
    <t>0852 38879***</t>
  </si>
  <si>
    <t>taliamclean</t>
  </si>
  <si>
    <t>0812 90148***</t>
  </si>
  <si>
    <t>vansingleton</t>
  </si>
  <si>
    <t>0812 37356***</t>
  </si>
  <si>
    <t>lesliejoseph</t>
  </si>
  <si>
    <t>0852-44879***</t>
  </si>
  <si>
    <t>judahrichard</t>
  </si>
  <si>
    <t>A00-26806</t>
  </si>
  <si>
    <t>0852-29612***</t>
  </si>
  <si>
    <t>damiancooke</t>
  </si>
  <si>
    <t>822 22408***</t>
  </si>
  <si>
    <t>averyirwin</t>
  </si>
  <si>
    <t>842 20505***</t>
  </si>
  <si>
    <t>kaitlynkelley</t>
  </si>
  <si>
    <t>A00-26810</t>
  </si>
  <si>
    <t>084286333***</t>
  </si>
  <si>
    <t>delilahpollard</t>
  </si>
  <si>
    <t>A00-26811</t>
  </si>
  <si>
    <t>084237843***</t>
  </si>
  <si>
    <t>stephenmolina</t>
  </si>
  <si>
    <t>A00-26812</t>
  </si>
  <si>
    <t>082276574***</t>
  </si>
  <si>
    <t>jennywalls</t>
  </si>
  <si>
    <t>A00-26813</t>
  </si>
  <si>
    <t>10-04-2009</t>
  </si>
  <si>
    <t>085290942***</t>
  </si>
  <si>
    <t>genevievehorn</t>
  </si>
  <si>
    <t>83221665***</t>
  </si>
  <si>
    <t>alliesolis</t>
  </si>
  <si>
    <t>A00-26815</t>
  </si>
  <si>
    <t>81221113***</t>
  </si>
  <si>
    <t>josiahraymond</t>
  </si>
  <si>
    <t>82252676***</t>
  </si>
  <si>
    <t>shayleezavala</t>
  </si>
  <si>
    <t>6281260789***</t>
  </si>
  <si>
    <t>agustinreilly</t>
  </si>
  <si>
    <t>6285221789***</t>
  </si>
  <si>
    <t>tamiaharrington</t>
  </si>
  <si>
    <t>A00-26820</t>
  </si>
  <si>
    <t>81250102***</t>
  </si>
  <si>
    <t>carolinepatel</t>
  </si>
  <si>
    <t>83270992***</t>
  </si>
  <si>
    <t>lailahfrank</t>
  </si>
  <si>
    <t>A00-26822</t>
  </si>
  <si>
    <t>83274346***</t>
  </si>
  <si>
    <t>ginahanna</t>
  </si>
  <si>
    <t>6282229529***</t>
  </si>
  <si>
    <t>aminadavila</t>
  </si>
  <si>
    <t>A00-26825</t>
  </si>
  <si>
    <t>6284249284***</t>
  </si>
  <si>
    <t>cheyannerodgers</t>
  </si>
  <si>
    <t>A00-26827</t>
  </si>
  <si>
    <t>0812-15422***</t>
  </si>
  <si>
    <t>brooksbishop</t>
  </si>
  <si>
    <t>A00-26829</t>
  </si>
  <si>
    <t>0812-19357***</t>
  </si>
  <si>
    <t>ryannfletcher</t>
  </si>
  <si>
    <t>A00-26830</t>
  </si>
  <si>
    <t>0842-76677***</t>
  </si>
  <si>
    <t>mariaroberts</t>
  </si>
  <si>
    <t>0832 19214***</t>
  </si>
  <si>
    <t>ashtynparks</t>
  </si>
  <si>
    <t>A00-26834</t>
  </si>
  <si>
    <t>0832 39981***</t>
  </si>
  <si>
    <t>semajoliver</t>
  </si>
  <si>
    <t>0832 81170***</t>
  </si>
  <si>
    <t>abbigailmaldonado</t>
  </si>
  <si>
    <t>0832 40268***</t>
  </si>
  <si>
    <t>michaeltanner</t>
  </si>
  <si>
    <t>0812-27273***</t>
  </si>
  <si>
    <t>cynthiawhite</t>
  </si>
  <si>
    <t>A00-26841</t>
  </si>
  <si>
    <t>0832-55100***</t>
  </si>
  <si>
    <t>averiehanson</t>
  </si>
  <si>
    <t>A00-26843</t>
  </si>
  <si>
    <t>812 66893***</t>
  </si>
  <si>
    <t>alecharvey</t>
  </si>
  <si>
    <t>842 13493***</t>
  </si>
  <si>
    <t>meganbowman</t>
  </si>
  <si>
    <t>083262716***</t>
  </si>
  <si>
    <t>adonismarks</t>
  </si>
  <si>
    <t>083221301***</t>
  </si>
  <si>
    <t>baileebarajas</t>
  </si>
  <si>
    <t>084262924***</t>
  </si>
  <si>
    <t>kaydenchapman</t>
  </si>
  <si>
    <t>081287451***</t>
  </si>
  <si>
    <t>trentonmann</t>
  </si>
  <si>
    <t>A00-26857</t>
  </si>
  <si>
    <t>83245850***</t>
  </si>
  <si>
    <t>nelsoncrane</t>
  </si>
  <si>
    <t>84299550***</t>
  </si>
  <si>
    <t>markusglenn</t>
  </si>
  <si>
    <t>A00-26859</t>
  </si>
  <si>
    <t>83231689***</t>
  </si>
  <si>
    <t>averiejames</t>
  </si>
  <si>
    <t>A00-26860</t>
  </si>
  <si>
    <t>6284241948***</t>
  </si>
  <si>
    <t>josuehughes</t>
  </si>
  <si>
    <t>A00-26862</t>
  </si>
  <si>
    <t>6285299590***</t>
  </si>
  <si>
    <t>yazmindavis</t>
  </si>
  <si>
    <t>84255264***</t>
  </si>
  <si>
    <t>armanizimmerman</t>
  </si>
  <si>
    <t>85213342***</t>
  </si>
  <si>
    <t>keltonmosley</t>
  </si>
  <si>
    <t>84233658***</t>
  </si>
  <si>
    <t>rosebrandt</t>
  </si>
  <si>
    <t>A00-26870</t>
  </si>
  <si>
    <t>6282235033***</t>
  </si>
  <si>
    <t>donavanfrederick</t>
  </si>
  <si>
    <t>A00-26871</t>
  </si>
  <si>
    <t>6281237904***</t>
  </si>
  <si>
    <t>sadienorman</t>
  </si>
  <si>
    <t>0832-49077***</t>
  </si>
  <si>
    <t>madeleinemclaughlin</t>
  </si>
  <si>
    <t>0822-94737***</t>
  </si>
  <si>
    <t>rebeccafranco</t>
  </si>
  <si>
    <t>0842-58814***</t>
  </si>
  <si>
    <t>francescadixon</t>
  </si>
  <si>
    <t>A00-26878</t>
  </si>
  <si>
    <t>0832 50296***</t>
  </si>
  <si>
    <t>quincyyu</t>
  </si>
  <si>
    <t>A00-26879</t>
  </si>
  <si>
    <t>0822 51415***</t>
  </si>
  <si>
    <t>jazmynshields</t>
  </si>
  <si>
    <t>A00-26882</t>
  </si>
  <si>
    <t>0852 49066***</t>
  </si>
  <si>
    <t>amarawise</t>
  </si>
  <si>
    <t>0812 49721***</t>
  </si>
  <si>
    <t>chayakent</t>
  </si>
  <si>
    <t>A00-26886</t>
  </si>
  <si>
    <t>0812-52235***</t>
  </si>
  <si>
    <t>blakenelson</t>
  </si>
  <si>
    <t>A00-26887</t>
  </si>
  <si>
    <t>0822-49759***</t>
  </si>
  <si>
    <t>carolynobrien</t>
  </si>
  <si>
    <t>832 81327***</t>
  </si>
  <si>
    <t>rigobertopratt</t>
  </si>
  <si>
    <t>822 15096***</t>
  </si>
  <si>
    <t>meredithshaw</t>
  </si>
  <si>
    <t>A00-26890</t>
  </si>
  <si>
    <t>085235469***</t>
  </si>
  <si>
    <t>duncanhurley</t>
  </si>
  <si>
    <t>A00-26893</t>
  </si>
  <si>
    <t>085231563***</t>
  </si>
  <si>
    <t>lilliansexton</t>
  </si>
  <si>
    <t>083233939***</t>
  </si>
  <si>
    <t>dereonfrazier</t>
  </si>
  <si>
    <t>A00-26895</t>
  </si>
  <si>
    <t>084240887***</t>
  </si>
  <si>
    <t>kayalin</t>
  </si>
  <si>
    <t>A00-26896</t>
  </si>
  <si>
    <t>82212693***</t>
  </si>
  <si>
    <t>muhammadnichols</t>
  </si>
  <si>
    <t>A00-26897</t>
  </si>
  <si>
    <t>82260528***</t>
  </si>
  <si>
    <t>adonismadden</t>
  </si>
  <si>
    <t>83216948***</t>
  </si>
  <si>
    <t>aedanduran</t>
  </si>
  <si>
    <t>A00-26899</t>
  </si>
  <si>
    <t>6282275515***</t>
  </si>
  <si>
    <t>jayleeperkins</t>
  </si>
  <si>
    <t>A00-26903</t>
  </si>
  <si>
    <t>6281294669***</t>
  </si>
  <si>
    <t>lilyanaschmidt</t>
  </si>
  <si>
    <t>A00-26905</t>
  </si>
  <si>
    <t>85243909***</t>
  </si>
  <si>
    <t>samhess</t>
  </si>
  <si>
    <t>A00-26906</t>
  </si>
  <si>
    <t>84266103***</t>
  </si>
  <si>
    <t>addysontodd</t>
  </si>
  <si>
    <t>A00-26907</t>
  </si>
  <si>
    <t>81231443***</t>
  </si>
  <si>
    <t>aydinfoster</t>
  </si>
  <si>
    <t>A00-26908</t>
  </si>
  <si>
    <t>6285264102***</t>
  </si>
  <si>
    <t>jackcarpenter</t>
  </si>
  <si>
    <t>A00-26909</t>
  </si>
  <si>
    <t>6282254027***</t>
  </si>
  <si>
    <t>alansingh</t>
  </si>
  <si>
    <t>0812-76721***</t>
  </si>
  <si>
    <t>kolehicks</t>
  </si>
  <si>
    <t>0852-66054***</t>
  </si>
  <si>
    <t>angelscott</t>
  </si>
  <si>
    <t>0832-87236***</t>
  </si>
  <si>
    <t>connorfrench</t>
  </si>
  <si>
    <t>A00-26913</t>
  </si>
  <si>
    <t>0832 45265***</t>
  </si>
  <si>
    <t>eileenadkins</t>
  </si>
  <si>
    <t>A00-26914</t>
  </si>
  <si>
    <t>0852 17677***</t>
  </si>
  <si>
    <t>cooperhouston</t>
  </si>
  <si>
    <t>0842 47162***</t>
  </si>
  <si>
    <t>virginiacain</t>
  </si>
  <si>
    <t>0812 33855***</t>
  </si>
  <si>
    <t>journeyellison</t>
  </si>
  <si>
    <t>0842-94173***</t>
  </si>
  <si>
    <t>caseyrobbins</t>
  </si>
  <si>
    <t>A00-26919</t>
  </si>
  <si>
    <t>0822-28992***</t>
  </si>
  <si>
    <t>davisboyer</t>
  </si>
  <si>
    <t>852 29685***</t>
  </si>
  <si>
    <t>yaelsweeney</t>
  </si>
  <si>
    <t>A00-26921</t>
  </si>
  <si>
    <t>832 55016***</t>
  </si>
  <si>
    <t>braidenwaters</t>
  </si>
  <si>
    <t>A00-26923</t>
  </si>
  <si>
    <t>084264712***</t>
  </si>
  <si>
    <t>freddygordon</t>
  </si>
  <si>
    <t>081270349***</t>
  </si>
  <si>
    <t>parkerrowe</t>
  </si>
  <si>
    <t>A00-26930</t>
  </si>
  <si>
    <t>083276532***</t>
  </si>
  <si>
    <t>nikhilmathis</t>
  </si>
  <si>
    <t>A00-26932</t>
  </si>
  <si>
    <t>081290787***</t>
  </si>
  <si>
    <t>reginamorse</t>
  </si>
  <si>
    <t>84224234***</t>
  </si>
  <si>
    <t>amirahreilly</t>
  </si>
  <si>
    <t>82284881***</t>
  </si>
  <si>
    <t>alihopkins</t>
  </si>
  <si>
    <t>83236756***</t>
  </si>
  <si>
    <t>nasirlamb</t>
  </si>
  <si>
    <t>A00-26941</t>
  </si>
  <si>
    <t>6284251884***</t>
  </si>
  <si>
    <t>gunnarmadden</t>
  </si>
  <si>
    <t>6282226564***</t>
  </si>
  <si>
    <t>sonnycontreras</t>
  </si>
  <si>
    <t>85214713***</t>
  </si>
  <si>
    <t>jimmysweeney</t>
  </si>
  <si>
    <t>A00-26946</t>
  </si>
  <si>
    <t>85219486***</t>
  </si>
  <si>
    <t>sinceremarshall</t>
  </si>
  <si>
    <t>83226614***</t>
  </si>
  <si>
    <t>ximenachristian</t>
  </si>
  <si>
    <t>6283257474***</t>
  </si>
  <si>
    <t>diyasantiago</t>
  </si>
  <si>
    <t>A00-26950</t>
  </si>
  <si>
    <t>6285264551***</t>
  </si>
  <si>
    <t>maiastokes</t>
  </si>
  <si>
    <t>0822-85202***</t>
  </si>
  <si>
    <t>charleeguerrero</t>
  </si>
  <si>
    <t>A00-26958</t>
  </si>
  <si>
    <t>0842-89236***</t>
  </si>
  <si>
    <t>riyareese</t>
  </si>
  <si>
    <t>A00-26962</t>
  </si>
  <si>
    <t>0812-54235***</t>
  </si>
  <si>
    <t>tristincannon</t>
  </si>
  <si>
    <t>0812 65849***</t>
  </si>
  <si>
    <t>sterlinghurst</t>
  </si>
  <si>
    <t>0832 59013***</t>
  </si>
  <si>
    <t>mollyrobbins</t>
  </si>
  <si>
    <t>A00-26966</t>
  </si>
  <si>
    <t>0852 87246***</t>
  </si>
  <si>
    <t>gaugeshelton</t>
  </si>
  <si>
    <t>A00-26967</t>
  </si>
  <si>
    <t>0812 19977***</t>
  </si>
  <si>
    <t>andreascurry</t>
  </si>
  <si>
    <t>0832-29410***</t>
  </si>
  <si>
    <t>amiahmeza</t>
  </si>
  <si>
    <t>A00-26970</t>
  </si>
  <si>
    <t>0812-19821***</t>
  </si>
  <si>
    <t>aprilcole</t>
  </si>
  <si>
    <t>A00-26971</t>
  </si>
  <si>
    <t>822 93646***</t>
  </si>
  <si>
    <t>haleighstout</t>
  </si>
  <si>
    <t>A00-26972</t>
  </si>
  <si>
    <t>822 86219***</t>
  </si>
  <si>
    <t>eileenritter</t>
  </si>
  <si>
    <t>082264210***</t>
  </si>
  <si>
    <t>gabrielakline</t>
  </si>
  <si>
    <t>084252663***</t>
  </si>
  <si>
    <t>paolaschmidt</t>
  </si>
  <si>
    <t>084266636***</t>
  </si>
  <si>
    <t>rubymorgan</t>
  </si>
  <si>
    <t>084264973***</t>
  </si>
  <si>
    <t>abrahamlawson</t>
  </si>
  <si>
    <t>84280685***</t>
  </si>
  <si>
    <t>jaydendavidson</t>
  </si>
  <si>
    <t>83279460***</t>
  </si>
  <si>
    <t>daviansingh</t>
  </si>
  <si>
    <t>84239662***</t>
  </si>
  <si>
    <t>harperodonnell</t>
  </si>
  <si>
    <t>6281251946***</t>
  </si>
  <si>
    <t>moriahholloway</t>
  </si>
  <si>
    <t>A00-26984</t>
  </si>
  <si>
    <t>6284223002***</t>
  </si>
  <si>
    <t>josuehardy</t>
  </si>
  <si>
    <t>83270907***</t>
  </si>
  <si>
    <t>julioconner</t>
  </si>
  <si>
    <t>A00-26987</t>
  </si>
  <si>
    <t>82286181***</t>
  </si>
  <si>
    <t>kendallgoodwin</t>
  </si>
  <si>
    <t>A00-26988</t>
  </si>
  <si>
    <t>84282557***</t>
  </si>
  <si>
    <t>taniamckenzie</t>
  </si>
  <si>
    <t>6284214069***</t>
  </si>
  <si>
    <t>talonjenkins</t>
  </si>
  <si>
    <t>6285257762***</t>
  </si>
  <si>
    <t>yasminzamora</t>
  </si>
  <si>
    <t>A00-26991</t>
  </si>
  <si>
    <t>0822-58828***</t>
  </si>
  <si>
    <t>claretran</t>
  </si>
  <si>
    <t>A00-26992</t>
  </si>
  <si>
    <t>0842-73400***</t>
  </si>
  <si>
    <t>savannahanderson</t>
  </si>
  <si>
    <t>A00-26995</t>
  </si>
  <si>
    <t>0842-18655***</t>
  </si>
  <si>
    <t>teresahoover</t>
  </si>
  <si>
    <t>A00-26997</t>
  </si>
  <si>
    <t>0822 63671***</t>
  </si>
  <si>
    <t>paigeerickson</t>
  </si>
  <si>
    <t>A00-27002</t>
  </si>
  <si>
    <t>0832 79785***</t>
  </si>
  <si>
    <t>makaylaserrano</t>
  </si>
  <si>
    <t>0822 83856***</t>
  </si>
  <si>
    <t>niavargas</t>
  </si>
  <si>
    <t>A00-27005</t>
  </si>
  <si>
    <t>0832 76731***</t>
  </si>
  <si>
    <t>ayannatrujillo</t>
  </si>
  <si>
    <t>0852-84656***</t>
  </si>
  <si>
    <t>kirabray</t>
  </si>
  <si>
    <t>0842-38409***</t>
  </si>
  <si>
    <t>ciarabryant</t>
  </si>
  <si>
    <t>832 72873***</t>
  </si>
  <si>
    <t>kasenrichardson</t>
  </si>
  <si>
    <t>832 17549***</t>
  </si>
  <si>
    <t>sheldonrobbins</t>
  </si>
  <si>
    <t>A00-27013</t>
  </si>
  <si>
    <t>083282754***</t>
  </si>
  <si>
    <t>krystalwebster</t>
  </si>
  <si>
    <t>A00-27014</t>
  </si>
  <si>
    <t>081215793***</t>
  </si>
  <si>
    <t>shilohkirby</t>
  </si>
  <si>
    <t>A00-27015</t>
  </si>
  <si>
    <t>081251091***</t>
  </si>
  <si>
    <t>erikaford</t>
  </si>
  <si>
    <t>A00-27016</t>
  </si>
  <si>
    <t>082254541***</t>
  </si>
  <si>
    <t>joelcarlson</t>
  </si>
  <si>
    <t>83241030***</t>
  </si>
  <si>
    <t>yandelfarley</t>
  </si>
  <si>
    <t>A00-27020</t>
  </si>
  <si>
    <t>84238333***</t>
  </si>
  <si>
    <t>jamisonwebster</t>
  </si>
  <si>
    <t>83214024***</t>
  </si>
  <si>
    <t>tabithaleblanc</t>
  </si>
  <si>
    <t>A00-27022</t>
  </si>
  <si>
    <t>6282278821***</t>
  </si>
  <si>
    <t>sashalloyd</t>
  </si>
  <si>
    <t>A00-27023</t>
  </si>
  <si>
    <t>6283273020***</t>
  </si>
  <si>
    <t>andreayala</t>
  </si>
  <si>
    <t>83256524***</t>
  </si>
  <si>
    <t>isabelbrandt</t>
  </si>
  <si>
    <t>A00-27026</t>
  </si>
  <si>
    <t>82271113***</t>
  </si>
  <si>
    <t>jamarihuerta</t>
  </si>
  <si>
    <t>85254554***</t>
  </si>
  <si>
    <t>germancoleman</t>
  </si>
  <si>
    <t>A00-27028</t>
  </si>
  <si>
    <t>6285288810***</t>
  </si>
  <si>
    <t>marvinliu</t>
  </si>
  <si>
    <t>A00-27029</t>
  </si>
  <si>
    <t>6281258222***</t>
  </si>
  <si>
    <t>amanidelacruz</t>
  </si>
  <si>
    <t>0832-91956***</t>
  </si>
  <si>
    <t>lailagalvan</t>
  </si>
  <si>
    <t>A00-27034</t>
  </si>
  <si>
    <t>0842-54792***</t>
  </si>
  <si>
    <t>dulcesnyder</t>
  </si>
  <si>
    <t>A00-27035</t>
  </si>
  <si>
    <t>0812-53537***</t>
  </si>
  <si>
    <t>paolaweiss</t>
  </si>
  <si>
    <t>A00-27036</t>
  </si>
  <si>
    <t>0842 66014***</t>
  </si>
  <si>
    <t>jaylonbender</t>
  </si>
  <si>
    <t>0842 49957***</t>
  </si>
  <si>
    <t>liamlevine</t>
  </si>
  <si>
    <t>0822 33768***</t>
  </si>
  <si>
    <t>evelinduke</t>
  </si>
  <si>
    <t>A00-27039</t>
  </si>
  <si>
    <t>0852 67429***</t>
  </si>
  <si>
    <t>madilynnwaters</t>
  </si>
  <si>
    <t>0852-64978***</t>
  </si>
  <si>
    <t>ashleymurillo</t>
  </si>
  <si>
    <t>A00-27044</t>
  </si>
  <si>
    <t>0852-80941***</t>
  </si>
  <si>
    <t>brandonfisher</t>
  </si>
  <si>
    <t>832 20987***</t>
  </si>
  <si>
    <t>reynaldozuniga</t>
  </si>
  <si>
    <t>A00-27046</t>
  </si>
  <si>
    <t>822 17428***</t>
  </si>
  <si>
    <t>codyeaton</t>
  </si>
  <si>
    <t>A00-27047</t>
  </si>
  <si>
    <t>082281605***</t>
  </si>
  <si>
    <t>jaxonmoore</t>
  </si>
  <si>
    <t>082293610***</t>
  </si>
  <si>
    <t>delaneychoi</t>
  </si>
  <si>
    <t>A00-27049</t>
  </si>
  <si>
    <t>084218355***</t>
  </si>
  <si>
    <t>rhysavila</t>
  </si>
  <si>
    <t>A00-27050</t>
  </si>
  <si>
    <t>082228341***</t>
  </si>
  <si>
    <t>emanueldean</t>
  </si>
  <si>
    <t>84262642***</t>
  </si>
  <si>
    <t>madelynnmoreno</t>
  </si>
  <si>
    <t>82230948***</t>
  </si>
  <si>
    <t>terrellmerritt</t>
  </si>
  <si>
    <t>A00-27053</t>
  </si>
  <si>
    <t>81236704***</t>
  </si>
  <si>
    <t>piercehester</t>
  </si>
  <si>
    <t>A00-27054</t>
  </si>
  <si>
    <t>6282275106***</t>
  </si>
  <si>
    <t>yaretzicortez</t>
  </si>
  <si>
    <t>6285217574***</t>
  </si>
  <si>
    <t>dariansexton</t>
  </si>
  <si>
    <t>A00-27056</t>
  </si>
  <si>
    <t>81264083***</t>
  </si>
  <si>
    <t>mariechavez</t>
  </si>
  <si>
    <t>85282662***</t>
  </si>
  <si>
    <t>perlavelazquez</t>
  </si>
  <si>
    <t>83282879***</t>
  </si>
  <si>
    <t>leticiastone</t>
  </si>
  <si>
    <t>A00-27061</t>
  </si>
  <si>
    <t>6285289313***</t>
  </si>
  <si>
    <t>desiraesuarez</t>
  </si>
  <si>
    <t>6282222044***</t>
  </si>
  <si>
    <t>maximodawson</t>
  </si>
  <si>
    <t>0812-72165***</t>
  </si>
  <si>
    <t>ivanwhite</t>
  </si>
  <si>
    <t>0812-29203***</t>
  </si>
  <si>
    <t>brendonfrank</t>
  </si>
  <si>
    <t>A00-27066</t>
  </si>
  <si>
    <t>0842-99328***</t>
  </si>
  <si>
    <t>mekhibrooks</t>
  </si>
  <si>
    <t>A00-27067</t>
  </si>
  <si>
    <t>0852 53472***</t>
  </si>
  <si>
    <t>gavyncobb</t>
  </si>
  <si>
    <t>0852 76099***</t>
  </si>
  <si>
    <t>mariyahpena</t>
  </si>
  <si>
    <t>A00-27073</t>
  </si>
  <si>
    <t>0832 31701***</t>
  </si>
  <si>
    <t>romanyang</t>
  </si>
  <si>
    <t>A00-27074</t>
  </si>
  <si>
    <t>0822 13119***</t>
  </si>
  <si>
    <t>eileennorman</t>
  </si>
  <si>
    <t>0842-46846***</t>
  </si>
  <si>
    <t>tristonmorton</t>
  </si>
  <si>
    <t>A00-27076</t>
  </si>
  <si>
    <t>0842-51566***</t>
  </si>
  <si>
    <t>zaraprice</t>
  </si>
  <si>
    <t>A00-27077</t>
  </si>
  <si>
    <t>842 97007***</t>
  </si>
  <si>
    <t>jayvionhanna</t>
  </si>
  <si>
    <t>832 97228***</t>
  </si>
  <si>
    <t>jamesonwarner</t>
  </si>
  <si>
    <t>085241625***</t>
  </si>
  <si>
    <t>everettflowers</t>
  </si>
  <si>
    <t>A00-27081</t>
  </si>
  <si>
    <t>082262149***</t>
  </si>
  <si>
    <t>kayleykelley</t>
  </si>
  <si>
    <t>081215037***</t>
  </si>
  <si>
    <t>yairyoder</t>
  </si>
  <si>
    <t>A00-27084</t>
  </si>
  <si>
    <t>082232420***</t>
  </si>
  <si>
    <t>fabiangreen</t>
  </si>
  <si>
    <t>A00-27087</t>
  </si>
  <si>
    <t>83288649***</t>
  </si>
  <si>
    <t>cameronvargas</t>
  </si>
  <si>
    <t>82296587***</t>
  </si>
  <si>
    <t>laylahruiz</t>
  </si>
  <si>
    <t>83275258***</t>
  </si>
  <si>
    <t>adrienrubio</t>
  </si>
  <si>
    <t>A00-27090</t>
  </si>
  <si>
    <t>6281215733***</t>
  </si>
  <si>
    <t>jamyacline</t>
  </si>
  <si>
    <t>6284219214***</t>
  </si>
  <si>
    <t>felicityhuffman</t>
  </si>
  <si>
    <t>83218722***</t>
  </si>
  <si>
    <t>sambailey</t>
  </si>
  <si>
    <t>81264985***</t>
  </si>
  <si>
    <t>haydencherry</t>
  </si>
  <si>
    <t>81283416***</t>
  </si>
  <si>
    <t>laytonwilkinson</t>
  </si>
  <si>
    <t>6284219952***</t>
  </si>
  <si>
    <t>scottmcneil</t>
  </si>
  <si>
    <t>A00-27103</t>
  </si>
  <si>
    <t>6281281615***</t>
  </si>
  <si>
    <t>lucillebryan</t>
  </si>
  <si>
    <t>A00-27104</t>
  </si>
  <si>
    <t>0832-24351***</t>
  </si>
  <si>
    <t>stevenaguilar</t>
  </si>
  <si>
    <t>0832-67499***</t>
  </si>
  <si>
    <t>alanaarcher</t>
  </si>
  <si>
    <t>0812-34394***</t>
  </si>
  <si>
    <t>quintonjenkins</t>
  </si>
  <si>
    <t>A00-27111</t>
  </si>
  <si>
    <t>0852 89635***</t>
  </si>
  <si>
    <t>ashlynperkins</t>
  </si>
  <si>
    <t>A00-27113</t>
  </si>
  <si>
    <t>0822 70267***</t>
  </si>
  <si>
    <t>jeffreywarren</t>
  </si>
  <si>
    <t>0832 87853***</t>
  </si>
  <si>
    <t>davonwong</t>
  </si>
  <si>
    <t>A00-27115</t>
  </si>
  <si>
    <t>0822 25318***</t>
  </si>
  <si>
    <t>zacharymayer</t>
  </si>
  <si>
    <t>A00-27117</t>
  </si>
  <si>
    <t>0822-38870***</t>
  </si>
  <si>
    <t>heathdelacruz</t>
  </si>
  <si>
    <t>0812-36083***</t>
  </si>
  <si>
    <t>tiamarshall</t>
  </si>
  <si>
    <t>A00-27119</t>
  </si>
  <si>
    <t>852 93368***</t>
  </si>
  <si>
    <t>sinceremckinney</t>
  </si>
  <si>
    <t>812 50335***</t>
  </si>
  <si>
    <t>brycenvelez</t>
  </si>
  <si>
    <t>A00-27122</t>
  </si>
  <si>
    <t>083287890***</t>
  </si>
  <si>
    <t>noellehudson</t>
  </si>
  <si>
    <t>A00-27123</t>
  </si>
  <si>
    <t>081236297***</t>
  </si>
  <si>
    <t>jerryvillarreal</t>
  </si>
  <si>
    <t>A00-27125</t>
  </si>
  <si>
    <t>082242404***</t>
  </si>
  <si>
    <t>rodneytyler</t>
  </si>
  <si>
    <t>A00-27127</t>
  </si>
  <si>
    <t>081252313***</t>
  </si>
  <si>
    <t>courtneygreene</t>
  </si>
  <si>
    <t>A00-27129</t>
  </si>
  <si>
    <t>82250822***</t>
  </si>
  <si>
    <t>liliandodson</t>
  </si>
  <si>
    <t>81293116***</t>
  </si>
  <si>
    <t>brisapatton</t>
  </si>
  <si>
    <t>A00-27131</t>
  </si>
  <si>
    <t>85289821***</t>
  </si>
  <si>
    <t>janebarajas</t>
  </si>
  <si>
    <t>A00-27132</t>
  </si>
  <si>
    <t>6283289264***</t>
  </si>
  <si>
    <t>damariseverett</t>
  </si>
  <si>
    <t>A00-27133</t>
  </si>
  <si>
    <t>6284250225***</t>
  </si>
  <si>
    <t>sebastianstevenson</t>
  </si>
  <si>
    <t>A00-27135</t>
  </si>
  <si>
    <t>82212168***</t>
  </si>
  <si>
    <t>dominiquesampson</t>
  </si>
  <si>
    <t>A00-27136</t>
  </si>
  <si>
    <t>82261939***</t>
  </si>
  <si>
    <t>phoebeglover</t>
  </si>
  <si>
    <t>82266647***</t>
  </si>
  <si>
    <t>arielaguirre</t>
  </si>
  <si>
    <t>6283283719***</t>
  </si>
  <si>
    <t>meganhorton</t>
  </si>
  <si>
    <t>A00-27142</t>
  </si>
  <si>
    <t>6285251637***</t>
  </si>
  <si>
    <t>gaelbishop</t>
  </si>
  <si>
    <t>0852-55280***</t>
  </si>
  <si>
    <t>parisestes</t>
  </si>
  <si>
    <t>A00-27146</t>
  </si>
  <si>
    <t>0842-51532***</t>
  </si>
  <si>
    <t>lillianhunter</t>
  </si>
  <si>
    <t>A00-27150</t>
  </si>
  <si>
    <t>0842-45998***</t>
  </si>
  <si>
    <t>taylorwebb</t>
  </si>
  <si>
    <t>A00-27152</t>
  </si>
  <si>
    <t>0812 87650***</t>
  </si>
  <si>
    <t>averylin</t>
  </si>
  <si>
    <t>0842 84891***</t>
  </si>
  <si>
    <t>shelbyperkins</t>
  </si>
  <si>
    <t>0822 37132***</t>
  </si>
  <si>
    <t>misaelboone</t>
  </si>
  <si>
    <t>0842 38932***</t>
  </si>
  <si>
    <t>caraburton</t>
  </si>
  <si>
    <t>A00-27161</t>
  </si>
  <si>
    <t>0842-33934***</t>
  </si>
  <si>
    <t>kayacervantes</t>
  </si>
  <si>
    <t>0842-22196***</t>
  </si>
  <si>
    <t>anastasiaconway</t>
  </si>
  <si>
    <t>842 32485***</t>
  </si>
  <si>
    <t>lindsayheath</t>
  </si>
  <si>
    <t>A00-27165</t>
  </si>
  <si>
    <t>852 19529***</t>
  </si>
  <si>
    <t>saraiwhitaker</t>
  </si>
  <si>
    <t>081280227***</t>
  </si>
  <si>
    <t>jaelynnkerr</t>
  </si>
  <si>
    <t>A00-27168</t>
  </si>
  <si>
    <t>084235215***</t>
  </si>
  <si>
    <t>elisaleon</t>
  </si>
  <si>
    <t>082225840***</t>
  </si>
  <si>
    <t>celiasmall</t>
  </si>
  <si>
    <t>081244360***</t>
  </si>
  <si>
    <t>brooklynblankenship</t>
  </si>
  <si>
    <t>83297286***</t>
  </si>
  <si>
    <t>dalelin</t>
  </si>
  <si>
    <t>A00-27172</t>
  </si>
  <si>
    <t>84228368***</t>
  </si>
  <si>
    <t>sandrahodges</t>
  </si>
  <si>
    <t>83223529***</t>
  </si>
  <si>
    <t>cristoferpalmer</t>
  </si>
  <si>
    <t>6283293667***</t>
  </si>
  <si>
    <t>curtiswoodard</t>
  </si>
  <si>
    <t>6284285167***</t>
  </si>
  <si>
    <t>izaiahlarson</t>
  </si>
  <si>
    <t>84240321***</t>
  </si>
  <si>
    <t>garygay</t>
  </si>
  <si>
    <t>A00-27182</t>
  </si>
  <si>
    <t>84266202***</t>
  </si>
  <si>
    <t>muhammadhanna</t>
  </si>
  <si>
    <t>A00-27183</t>
  </si>
  <si>
    <t>82291172***</t>
  </si>
  <si>
    <t>rafaelsimon</t>
  </si>
  <si>
    <t>A00-27184</t>
  </si>
  <si>
    <t>6284287019***</t>
  </si>
  <si>
    <t>calvinnash</t>
  </si>
  <si>
    <t>6285240783***</t>
  </si>
  <si>
    <t>marvinrodriguez</t>
  </si>
  <si>
    <t>A00-27186</t>
  </si>
  <si>
    <t>0832-89608***</t>
  </si>
  <si>
    <t>giancarloeverett</t>
  </si>
  <si>
    <t>0822-51189***</t>
  </si>
  <si>
    <t>orlandoavery</t>
  </si>
  <si>
    <t>0822-29159***</t>
  </si>
  <si>
    <t>adisonmacdonald</t>
  </si>
  <si>
    <t>0832 13354***</t>
  </si>
  <si>
    <t>romeocontreras</t>
  </si>
  <si>
    <t>0822 85772***</t>
  </si>
  <si>
    <t>yandelguerra</t>
  </si>
  <si>
    <t>A00-27195</t>
  </si>
  <si>
    <t>0832 47881***</t>
  </si>
  <si>
    <t>thomasgalloway</t>
  </si>
  <si>
    <t>0832 94365***</t>
  </si>
  <si>
    <t>leonardosalas</t>
  </si>
  <si>
    <t>A00-27200</t>
  </si>
  <si>
    <t>0822-92340***</t>
  </si>
  <si>
    <t>carsenpitts</t>
  </si>
  <si>
    <t>A00-27201</t>
  </si>
  <si>
    <t>0832-13469***</t>
  </si>
  <si>
    <t>philipmack</t>
  </si>
  <si>
    <t>A00-27202</t>
  </si>
  <si>
    <t>832 77598***</t>
  </si>
  <si>
    <t>kayliemcmahon</t>
  </si>
  <si>
    <t>812 51280***</t>
  </si>
  <si>
    <t>timothydudley</t>
  </si>
  <si>
    <t>A00-27206</t>
  </si>
  <si>
    <t>084277520***</t>
  </si>
  <si>
    <t>hughlucero</t>
  </si>
  <si>
    <t>A00-27207</t>
  </si>
  <si>
    <t>082217900***</t>
  </si>
  <si>
    <t>leticiasantana</t>
  </si>
  <si>
    <t>A00-27208</t>
  </si>
  <si>
    <t>082283223***</t>
  </si>
  <si>
    <t>kyliecurtis</t>
  </si>
  <si>
    <t>084274474***</t>
  </si>
  <si>
    <t>genevievevalencia</t>
  </si>
  <si>
    <t>A00-27211</t>
  </si>
  <si>
    <t>83247921***</t>
  </si>
  <si>
    <t>arnavmccormick</t>
  </si>
  <si>
    <t>A00-27213</t>
  </si>
  <si>
    <t>85219235***</t>
  </si>
  <si>
    <t>raelynnlane</t>
  </si>
  <si>
    <t>A00-27217</t>
  </si>
  <si>
    <t>85290547***</t>
  </si>
  <si>
    <t>ronantapia</t>
  </si>
  <si>
    <t>6282255853***</t>
  </si>
  <si>
    <t>alijahgamble</t>
  </si>
  <si>
    <t>A00-27222</t>
  </si>
  <si>
    <t>6284251786***</t>
  </si>
  <si>
    <t>mylesgarrison</t>
  </si>
  <si>
    <t>84284815***</t>
  </si>
  <si>
    <t>dwaynerose</t>
  </si>
  <si>
    <t>A00-27224</t>
  </si>
  <si>
    <t>81237066***</t>
  </si>
  <si>
    <t>ronaldstewart</t>
  </si>
  <si>
    <t>83252179***</t>
  </si>
  <si>
    <t>celiavalencia</t>
  </si>
  <si>
    <t>6281254495***</t>
  </si>
  <si>
    <t>donavanhernandez</t>
  </si>
  <si>
    <t>6282221477***</t>
  </si>
  <si>
    <t>mckinleybrooks</t>
  </si>
  <si>
    <t>A00-27230</t>
  </si>
  <si>
    <t>0822-64463***</t>
  </si>
  <si>
    <t>lilyanajoyce</t>
  </si>
  <si>
    <t>A00-27231</t>
  </si>
  <si>
    <t>0832-90479***</t>
  </si>
  <si>
    <t>chazgill</t>
  </si>
  <si>
    <t>0812-54491***</t>
  </si>
  <si>
    <t>yandelsilva</t>
  </si>
  <si>
    <t>0832 37474***</t>
  </si>
  <si>
    <t>maryjanebentley</t>
  </si>
  <si>
    <t>0812 63726***</t>
  </si>
  <si>
    <t>taylorhoward</t>
  </si>
  <si>
    <t>A00-27238</t>
  </si>
  <si>
    <t>0852 78873***</t>
  </si>
  <si>
    <t>jayvionchan</t>
  </si>
  <si>
    <t>A00-27239</t>
  </si>
  <si>
    <t>0842 71092***</t>
  </si>
  <si>
    <t>ariannaandersen</t>
  </si>
  <si>
    <t>A00-27240</t>
  </si>
  <si>
    <t>0822-15353***</t>
  </si>
  <si>
    <t>jakaylabest</t>
  </si>
  <si>
    <t>A00-27241</t>
  </si>
  <si>
    <t>0852-59583***</t>
  </si>
  <si>
    <t>korbinbush</t>
  </si>
  <si>
    <t>822 25523***</t>
  </si>
  <si>
    <t>braydenmcfarland</t>
  </si>
  <si>
    <t>832 78727***</t>
  </si>
  <si>
    <t>deaconharding</t>
  </si>
  <si>
    <t>081222815***</t>
  </si>
  <si>
    <t>yoselindominguez</t>
  </si>
  <si>
    <t>084255801***</t>
  </si>
  <si>
    <t>izaiahlam</t>
  </si>
  <si>
    <t>082279391***</t>
  </si>
  <si>
    <t>tatecampos</t>
  </si>
  <si>
    <t>A00-27248</t>
  </si>
  <si>
    <t>083223967***</t>
  </si>
  <si>
    <t>nylahwalter</t>
  </si>
  <si>
    <t>A00-27251</t>
  </si>
  <si>
    <t>83289934***</t>
  </si>
  <si>
    <t>breannadunn</t>
  </si>
  <si>
    <t>84230673***</t>
  </si>
  <si>
    <t>dominicdodson</t>
  </si>
  <si>
    <t>81217209***</t>
  </si>
  <si>
    <t>cruzfarmer</t>
  </si>
  <si>
    <t>A00-27256</t>
  </si>
  <si>
    <t>6283241966***</t>
  </si>
  <si>
    <t>santosgarner</t>
  </si>
  <si>
    <t>6283234134***</t>
  </si>
  <si>
    <t>genesisflynn</t>
  </si>
  <si>
    <t>83223857***</t>
  </si>
  <si>
    <t>lylamedina</t>
  </si>
  <si>
    <t>A00-27260</t>
  </si>
  <si>
    <t>81261368***</t>
  </si>
  <si>
    <t>liamchung</t>
  </si>
  <si>
    <t>84265186***</t>
  </si>
  <si>
    <t>belindaherring</t>
  </si>
  <si>
    <t>6285238072***</t>
  </si>
  <si>
    <t>skylergillespie</t>
  </si>
  <si>
    <t>A00-27268</t>
  </si>
  <si>
    <t>6283267068***</t>
  </si>
  <si>
    <t>dannavillarreal</t>
  </si>
  <si>
    <t>A00-27270</t>
  </si>
  <si>
    <t>0842-88130***</t>
  </si>
  <si>
    <t>shaniyahess</t>
  </si>
  <si>
    <t>A00-27272</t>
  </si>
  <si>
    <t>0822-75977***</t>
  </si>
  <si>
    <t>holdenbright</t>
  </si>
  <si>
    <t>0812-99582***</t>
  </si>
  <si>
    <t>masonsavage</t>
  </si>
  <si>
    <t>0812 55981***</t>
  </si>
  <si>
    <t>ezralynn</t>
  </si>
  <si>
    <t>A00-27275</t>
  </si>
  <si>
    <t>0852 93430***</t>
  </si>
  <si>
    <t>kelvinorozco</t>
  </si>
  <si>
    <t>0832 79125***</t>
  </si>
  <si>
    <t>brisaellison</t>
  </si>
  <si>
    <t>0812 61879***</t>
  </si>
  <si>
    <t>aldenchen</t>
  </si>
  <si>
    <t>0812-19617***</t>
  </si>
  <si>
    <t>adrienirwin</t>
  </si>
  <si>
    <t>A00-27285</t>
  </si>
  <si>
    <t>0832-68434***</t>
  </si>
  <si>
    <t>giadastephens</t>
  </si>
  <si>
    <t>A00-27286</t>
  </si>
  <si>
    <t>852 38975***</t>
  </si>
  <si>
    <t>marissahayes</t>
  </si>
  <si>
    <t>852 12231***</t>
  </si>
  <si>
    <t>izabellaallison</t>
  </si>
  <si>
    <t>A00-27288</t>
  </si>
  <si>
    <t>083290761***</t>
  </si>
  <si>
    <t>romanberger</t>
  </si>
  <si>
    <t>A00-27289</t>
  </si>
  <si>
    <t>082256106***</t>
  </si>
  <si>
    <t>israelnewman</t>
  </si>
  <si>
    <t>082220143***</t>
  </si>
  <si>
    <t>aubreemontes</t>
  </si>
  <si>
    <t>A00-27291</t>
  </si>
  <si>
    <t>082286601***</t>
  </si>
  <si>
    <t>rowannelson</t>
  </si>
  <si>
    <t>82247465***</t>
  </si>
  <si>
    <t>taradelgado</t>
  </si>
  <si>
    <t>A00-27293</t>
  </si>
  <si>
    <t>85254435***</t>
  </si>
  <si>
    <t>raulrobles</t>
  </si>
  <si>
    <t>85281323***</t>
  </si>
  <si>
    <t>isaacchurch</t>
  </si>
  <si>
    <t>6283213853***</t>
  </si>
  <si>
    <t>janebauer</t>
  </si>
  <si>
    <t>A00-27299</t>
  </si>
  <si>
    <t>6283250362***</t>
  </si>
  <si>
    <t>danielleirwin</t>
  </si>
  <si>
    <t>82275154***</t>
  </si>
  <si>
    <t>javiersawyer</t>
  </si>
  <si>
    <t>A00-27301</t>
  </si>
  <si>
    <t>81285419***</t>
  </si>
  <si>
    <t>ninaknox</t>
  </si>
  <si>
    <t>A00-27302</t>
  </si>
  <si>
    <t>85265232***</t>
  </si>
  <si>
    <t>treymercado</t>
  </si>
  <si>
    <t>6282253920***</t>
  </si>
  <si>
    <t>urielmarks</t>
  </si>
  <si>
    <t>6282283672***</t>
  </si>
  <si>
    <t>princeschmitt</t>
  </si>
  <si>
    <t>0812-43250***</t>
  </si>
  <si>
    <t>emerymelton</t>
  </si>
  <si>
    <t>A00-27307</t>
  </si>
  <si>
    <t>0812-80076***</t>
  </si>
  <si>
    <t>kadewiggins</t>
  </si>
  <si>
    <t>A00-27308</t>
  </si>
  <si>
    <t>0812-30595***</t>
  </si>
  <si>
    <t>koenclay</t>
  </si>
  <si>
    <t>0832 81299***</t>
  </si>
  <si>
    <t>jaylenmcclure</t>
  </si>
  <si>
    <t>A00-27312</t>
  </si>
  <si>
    <t>0822 98113***</t>
  </si>
  <si>
    <t>meghanbell</t>
  </si>
  <si>
    <t>0812 32012***</t>
  </si>
  <si>
    <t>jaylenecuevas</t>
  </si>
  <si>
    <t>A00-27316</t>
  </si>
  <si>
    <t>0812 12066***</t>
  </si>
  <si>
    <t>ameliechavez</t>
  </si>
  <si>
    <t>A00-27319</t>
  </si>
  <si>
    <t>0842-80562***</t>
  </si>
  <si>
    <t>levihaynes</t>
  </si>
  <si>
    <t>0852-45169***</t>
  </si>
  <si>
    <t>gianniabbott</t>
  </si>
  <si>
    <t>812 62064***</t>
  </si>
  <si>
    <t>toribaird</t>
  </si>
  <si>
    <t>A00-27324</t>
  </si>
  <si>
    <t>832 62539***</t>
  </si>
  <si>
    <t>eliezerkelley</t>
  </si>
  <si>
    <t>085298823***</t>
  </si>
  <si>
    <t>lilyanalevy</t>
  </si>
  <si>
    <t>A00-27328</t>
  </si>
  <si>
    <t>083299870***</t>
  </si>
  <si>
    <t>jacksonrubio</t>
  </si>
  <si>
    <t>A00-27330</t>
  </si>
  <si>
    <t>084298527***</t>
  </si>
  <si>
    <t>alejandrayoder</t>
  </si>
  <si>
    <t>A00-27332</t>
  </si>
  <si>
    <t>082254475***</t>
  </si>
  <si>
    <t>rileyodonnell</t>
  </si>
  <si>
    <t>84223382***</t>
  </si>
  <si>
    <t>yadielrichardson</t>
  </si>
  <si>
    <t>84246036***</t>
  </si>
  <si>
    <t>kellyhahn</t>
  </si>
  <si>
    <t>83284644***</t>
  </si>
  <si>
    <t>braydonpierce</t>
  </si>
  <si>
    <t>6283288601***</t>
  </si>
  <si>
    <t>moniquecross</t>
  </si>
  <si>
    <t>6285292121***</t>
  </si>
  <si>
    <t>saniyamason</t>
  </si>
  <si>
    <t>85216348***</t>
  </si>
  <si>
    <t>addisonburns</t>
  </si>
  <si>
    <t>A00-27350</t>
  </si>
  <si>
    <t>84270007***</t>
  </si>
  <si>
    <t>gaigepeterson</t>
  </si>
  <si>
    <t>84268634***</t>
  </si>
  <si>
    <t>hananunez</t>
  </si>
  <si>
    <t>6282285647***</t>
  </si>
  <si>
    <t>pranavcarroll</t>
  </si>
  <si>
    <t>A00-27354</t>
  </si>
  <si>
    <t>6283237050***</t>
  </si>
  <si>
    <t>karsynrivera</t>
  </si>
  <si>
    <t>0842-31160***</t>
  </si>
  <si>
    <t>ahmadconley</t>
  </si>
  <si>
    <t>A00-27356</t>
  </si>
  <si>
    <t>0822-16965***</t>
  </si>
  <si>
    <t>billyfrye</t>
  </si>
  <si>
    <t>0852-22150***</t>
  </si>
  <si>
    <t>dianameyers</t>
  </si>
  <si>
    <t>A00-27360</t>
  </si>
  <si>
    <t>0852 92668***</t>
  </si>
  <si>
    <t>paityncarey</t>
  </si>
  <si>
    <t>A00-27361</t>
  </si>
  <si>
    <t>0842 12880***</t>
  </si>
  <si>
    <t>loganstrong</t>
  </si>
  <si>
    <t>0832 59973***</t>
  </si>
  <si>
    <t>allyweeks</t>
  </si>
  <si>
    <t>0842 77249***</t>
  </si>
  <si>
    <t>abbigailsheppard</t>
  </si>
  <si>
    <t>0852-44490***</t>
  </si>
  <si>
    <t>heavenfields</t>
  </si>
  <si>
    <t>A00-27371</t>
  </si>
  <si>
    <t>0852-44345***</t>
  </si>
  <si>
    <t>thaliabolton</t>
  </si>
  <si>
    <t>A00-27372</t>
  </si>
  <si>
    <t>832 22913***</t>
  </si>
  <si>
    <t>konnorerickson</t>
  </si>
  <si>
    <t>A00-27376</t>
  </si>
  <si>
    <t>822 29410***</t>
  </si>
  <si>
    <t>lelanddelacruz</t>
  </si>
  <si>
    <t>A00-27378</t>
  </si>
  <si>
    <t>083218540***</t>
  </si>
  <si>
    <t>kayleegould</t>
  </si>
  <si>
    <t>A00-27379</t>
  </si>
  <si>
    <t>082257850***</t>
  </si>
  <si>
    <t>abagailhooper</t>
  </si>
  <si>
    <t>A00-27382</t>
  </si>
  <si>
    <t>083259071***</t>
  </si>
  <si>
    <t>bridgermassey</t>
  </si>
  <si>
    <t>A00-27385</t>
  </si>
  <si>
    <t>082216304***</t>
  </si>
  <si>
    <t>reynamorales</t>
  </si>
  <si>
    <t>85288800***</t>
  </si>
  <si>
    <t>garrettcraig</t>
  </si>
  <si>
    <t>84234246***</t>
  </si>
  <si>
    <t>neveahglenn</t>
  </si>
  <si>
    <t>85262184***</t>
  </si>
  <si>
    <t>madilynndominguez</t>
  </si>
  <si>
    <t>A00-27390</t>
  </si>
  <si>
    <t>6282259967***</t>
  </si>
  <si>
    <t>camilahobbs</t>
  </si>
  <si>
    <t>6281218620***</t>
  </si>
  <si>
    <t>dominickparks</t>
  </si>
  <si>
    <t>A00-27392</t>
  </si>
  <si>
    <t>83274454***</t>
  </si>
  <si>
    <t>finleyblankenship</t>
  </si>
  <si>
    <t>A00-27394</t>
  </si>
  <si>
    <t>83279928***</t>
  </si>
  <si>
    <t>laineyhardin</t>
  </si>
  <si>
    <t>A00-27395</t>
  </si>
  <si>
    <t>82284700***</t>
  </si>
  <si>
    <t>malachieverett</t>
  </si>
  <si>
    <t>A00-27396</t>
  </si>
  <si>
    <t>6281252204***</t>
  </si>
  <si>
    <t>kamdenfarley</t>
  </si>
  <si>
    <t>A00-27397</t>
  </si>
  <si>
    <t>6283249313***</t>
  </si>
  <si>
    <t>maddoxkeller</t>
  </si>
  <si>
    <t>A00-27399</t>
  </si>
  <si>
    <t>0842-23201***</t>
  </si>
  <si>
    <t>juliannamay</t>
  </si>
  <si>
    <t>A00-27401</t>
  </si>
  <si>
    <t>0822-49989***</t>
  </si>
  <si>
    <t>lancemosley</t>
  </si>
  <si>
    <t>0832-70213***</t>
  </si>
  <si>
    <t>molliewalton</t>
  </si>
  <si>
    <t>0812 86011***</t>
  </si>
  <si>
    <t>derekstafford</t>
  </si>
  <si>
    <t>A00-27407</t>
  </si>
  <si>
    <t>0842 95042***</t>
  </si>
  <si>
    <t>manuelcharles</t>
  </si>
  <si>
    <t>0852 88509***</t>
  </si>
  <si>
    <t>kimorawoodward</t>
  </si>
  <si>
    <t>0822 24305***</t>
  </si>
  <si>
    <t>nelsonsantana</t>
  </si>
  <si>
    <t>0832-61827***</t>
  </si>
  <si>
    <t>jaylonpowers</t>
  </si>
  <si>
    <t>A00-27414</t>
  </si>
  <si>
    <t>0822-23359***</t>
  </si>
  <si>
    <t>tarynsanford</t>
  </si>
  <si>
    <t>A00-27416</t>
  </si>
  <si>
    <t>842 53193***</t>
  </si>
  <si>
    <t>kymanibarry</t>
  </si>
  <si>
    <t>842 26982***</t>
  </si>
  <si>
    <t>lanahanna</t>
  </si>
  <si>
    <t>A00-27419</t>
  </si>
  <si>
    <t>083267828***</t>
  </si>
  <si>
    <t>maxaguilar</t>
  </si>
  <si>
    <t>A00-27421</t>
  </si>
  <si>
    <t>082271856***</t>
  </si>
  <si>
    <t>frankielowery</t>
  </si>
  <si>
    <t>A00-27422</t>
  </si>
  <si>
    <t>082282493***</t>
  </si>
  <si>
    <t>andrewgross</t>
  </si>
  <si>
    <t>082215916***</t>
  </si>
  <si>
    <t>conradblankenship</t>
  </si>
  <si>
    <t>A00-27425</t>
  </si>
  <si>
    <t>82240488***</t>
  </si>
  <si>
    <t>marshallcameron</t>
  </si>
  <si>
    <t>A00-27426</t>
  </si>
  <si>
    <t>84213310***</t>
  </si>
  <si>
    <t>ellecherry</t>
  </si>
  <si>
    <t>85293596***</t>
  </si>
  <si>
    <t>sethwoodward</t>
  </si>
  <si>
    <t>6284238358***</t>
  </si>
  <si>
    <t>josephinemcgee</t>
  </si>
  <si>
    <t>A00-27431</t>
  </si>
  <si>
    <t>6281250859***</t>
  </si>
  <si>
    <t>harmonybryant</t>
  </si>
  <si>
    <t>A00-27432</t>
  </si>
  <si>
    <t>84266228***</t>
  </si>
  <si>
    <t>russellbenson</t>
  </si>
  <si>
    <t>84237946***</t>
  </si>
  <si>
    <t>stanleyshaffer</t>
  </si>
  <si>
    <t>A00-27441</t>
  </si>
  <si>
    <t>84250865***</t>
  </si>
  <si>
    <t>karmariley</t>
  </si>
  <si>
    <t>A00-27442</t>
  </si>
  <si>
    <t>6285264892***</t>
  </si>
  <si>
    <t>almawaller</t>
  </si>
  <si>
    <t>6284211602***</t>
  </si>
  <si>
    <t>daltonmorrison</t>
  </si>
  <si>
    <t>0852-78011***</t>
  </si>
  <si>
    <t>donavanlynn</t>
  </si>
  <si>
    <t>A00-27445</t>
  </si>
  <si>
    <t>0822-88725***</t>
  </si>
  <si>
    <t>alannahgates</t>
  </si>
  <si>
    <t>A00-27446</t>
  </si>
  <si>
    <t>0832-85496***</t>
  </si>
  <si>
    <t>keenanwatkins</t>
  </si>
  <si>
    <t>A00-27448</t>
  </si>
  <si>
    <t>0852 28885***</t>
  </si>
  <si>
    <t>junehayes</t>
  </si>
  <si>
    <t>A00-27449</t>
  </si>
  <si>
    <t>0812 90526***</t>
  </si>
  <si>
    <t>brennaschmitt</t>
  </si>
  <si>
    <t>0842 93204***</t>
  </si>
  <si>
    <t>carlajones</t>
  </si>
  <si>
    <t>A00-27454</t>
  </si>
  <si>
    <t>0832 48195***</t>
  </si>
  <si>
    <t>douglascordova</t>
  </si>
  <si>
    <t>0842-74083***</t>
  </si>
  <si>
    <t>nancyterrell</t>
  </si>
  <si>
    <t>0852-68927***</t>
  </si>
  <si>
    <t>kendrickmcgrath</t>
  </si>
  <si>
    <t>822 67282***</t>
  </si>
  <si>
    <t>denisevilla</t>
  </si>
  <si>
    <t>A00-27462</t>
  </si>
  <si>
    <t>822 56643***</t>
  </si>
  <si>
    <t>rowanaguilar</t>
  </si>
  <si>
    <t>083214744***</t>
  </si>
  <si>
    <t>rogeliofletcher</t>
  </si>
  <si>
    <t>083219835***</t>
  </si>
  <si>
    <t>israelwalter</t>
  </si>
  <si>
    <t>A00-27468</t>
  </si>
  <si>
    <t>084243541***</t>
  </si>
  <si>
    <t>antwanmendez</t>
  </si>
  <si>
    <t>A00-27469</t>
  </si>
  <si>
    <t>082265576***</t>
  </si>
  <si>
    <t>brysonmurphy</t>
  </si>
  <si>
    <t>A00-27470</t>
  </si>
  <si>
    <t>82228528***</t>
  </si>
  <si>
    <t>troyzuniga</t>
  </si>
  <si>
    <t>A00-27471</t>
  </si>
  <si>
    <t>85254044***</t>
  </si>
  <si>
    <t>valentinoburch</t>
  </si>
  <si>
    <t>A00-27474</t>
  </si>
  <si>
    <t>83281880***</t>
  </si>
  <si>
    <t>rigobertorobbins</t>
  </si>
  <si>
    <t>A00-27475</t>
  </si>
  <si>
    <t>6283289418***</t>
  </si>
  <si>
    <t>codygomez</t>
  </si>
  <si>
    <t>6281274624***</t>
  </si>
  <si>
    <t>alaynahuerta</t>
  </si>
  <si>
    <t>85219726***</t>
  </si>
  <si>
    <t>braylonpadilla</t>
  </si>
  <si>
    <t>83216342***</t>
  </si>
  <si>
    <t>kimberlynicholson</t>
  </si>
  <si>
    <t>85287055***</t>
  </si>
  <si>
    <t>kylemurray</t>
  </si>
  <si>
    <t>6283241265***</t>
  </si>
  <si>
    <t>kinsleysanford</t>
  </si>
  <si>
    <t>A00-27481</t>
  </si>
  <si>
    <t>6284245146***</t>
  </si>
  <si>
    <t>jayvoncabrera</t>
  </si>
  <si>
    <t>0822-47553***</t>
  </si>
  <si>
    <t>aldencalhoun</t>
  </si>
  <si>
    <t>0842-24527***</t>
  </si>
  <si>
    <t>sebastiangolden</t>
  </si>
  <si>
    <t>A00-27486</t>
  </si>
  <si>
    <t>0842-66472***</t>
  </si>
  <si>
    <t>anabellekrueger</t>
  </si>
  <si>
    <t>0822 56959***</t>
  </si>
  <si>
    <t>ceceliawilkinson</t>
  </si>
  <si>
    <t>A00-27489</t>
  </si>
  <si>
    <t>0842 45891***</t>
  </si>
  <si>
    <t>abramlara</t>
  </si>
  <si>
    <t>0812 60013***</t>
  </si>
  <si>
    <t>tamiabrewer</t>
  </si>
  <si>
    <t>0842 42058***</t>
  </si>
  <si>
    <t>carsendurham</t>
  </si>
  <si>
    <t>0842-48010***</t>
  </si>
  <si>
    <t>maddisontaylor</t>
  </si>
  <si>
    <t>A00-27493</t>
  </si>
  <si>
    <t>0812-86468***</t>
  </si>
  <si>
    <t>joliehorn</t>
  </si>
  <si>
    <t>A00-27498</t>
  </si>
  <si>
    <t>852 52313***</t>
  </si>
  <si>
    <t>camdenmarsh</t>
  </si>
  <si>
    <t>842 65684***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</si>
</sst>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
    <numFmt numFmtId="165" formatCode="[$USD]\ #,##0.0"/>
    <numFmt numFmtId="166" formatCode="0.0%"/>
    <numFmt numFmtId="167" formatCode="[$USD]\ #,##0"/>
    <numFmt numFmtId="168" formatCode="[$USD]\ #,##0.00"/>
    <numFmt numFmtId="169" formatCode="_-[$$-409]* #,##0.00_ ;_-[$$-409]* \-#,##0.00\ ;_-[$$-409]* &quot;-&quot;??_ ;_-@_ "/>
    <numFmt numFmtId="170" formatCode="_-&quot;Rp&quot;* #,##0_-;\-&quot;Rp&quot;* #,##0_-;_-&quot;Rp&quot;* &quot;-&quot;_-;_-@"/>
    <numFmt numFmtId="176" formatCode="_-[$$-409]* #,##0_ ;_-[$$-409]* \-#,##0\ ;_-[$$-409]* &quot;-&quot;??_ ;_-@_ "/>
    <numFmt numFmtId="179" formatCode="_([$$-409]* #,##0_);_([$$-409]* \(#,##0\);_([$$-409]* &quot;-&quot;??_);_(@_)"/>
  </numFmts>
  <fonts count="13" x14ac:knownFonts="1">
    <font>
      <sz val="11"/>
      <color theme="1"/>
      <name val="Aptos Narrow"/>
      <scheme val="minor"/>
    </font>
    <font>
      <sz val="11"/>
      <color theme="1"/>
      <name val="Aptos Narrow"/>
      <family val="2"/>
      <scheme val="minor"/>
    </font>
    <font>
      <b/>
      <sz val="16"/>
      <color theme="1"/>
      <name val="Aptos Narrow"/>
    </font>
    <font>
      <b/>
      <sz val="12"/>
      <color theme="1"/>
      <name val="Calibri"/>
    </font>
    <font>
      <b/>
      <sz val="11"/>
      <color theme="1"/>
      <name val="Calibri"/>
    </font>
    <font>
      <sz val="11"/>
      <color theme="1"/>
      <name val="Aptos Narrow"/>
    </font>
    <font>
      <sz val="11"/>
      <color rgb="FF000000"/>
      <name val="Calibri"/>
    </font>
    <font>
      <sz val="11"/>
      <color theme="1"/>
      <name val="Calibri"/>
    </font>
    <font>
      <b/>
      <sz val="14"/>
      <color theme="1"/>
      <name val="Aptos Narrow"/>
    </font>
    <font>
      <b/>
      <sz val="18"/>
      <color theme="1"/>
      <name val="Aptos Narrow"/>
    </font>
    <font>
      <b/>
      <sz val="11"/>
      <color theme="1"/>
      <name val="Aptos Narrow"/>
    </font>
    <font>
      <sz val="11"/>
      <name val="Aptos Narrow"/>
    </font>
    <font>
      <sz val="11"/>
      <color theme="1"/>
      <name val="Aptos Narrow"/>
      <family val="2"/>
    </font>
  </fonts>
  <fills count="9">
    <fill>
      <patternFill patternType="none"/>
    </fill>
    <fill>
      <patternFill patternType="gray125"/>
    </fill>
    <fill>
      <patternFill patternType="solid">
        <fgColor rgb="FFE49EDD"/>
        <bgColor rgb="FFE49EDD"/>
      </patternFill>
    </fill>
    <fill>
      <patternFill patternType="solid">
        <fgColor rgb="FF83CAEB"/>
        <bgColor rgb="FF83CAEB"/>
      </patternFill>
    </fill>
    <fill>
      <patternFill patternType="solid">
        <fgColor rgb="FFB3E5A1"/>
        <bgColor rgb="FFB3E5A1"/>
      </patternFill>
    </fill>
    <fill>
      <patternFill patternType="solid">
        <fgColor rgb="FFFFFF00"/>
        <bgColor rgb="FFFFFF00"/>
      </patternFill>
    </fill>
    <fill>
      <patternFill patternType="solid">
        <fgColor rgb="FFC1E4F5"/>
        <bgColor rgb="FFC1E4F5"/>
      </patternFill>
    </fill>
    <fill>
      <patternFill patternType="solid">
        <fgColor rgb="FFD9F2D0"/>
        <bgColor rgb="FFD9F2D0"/>
      </patternFill>
    </fill>
    <fill>
      <patternFill patternType="solid">
        <fgColor theme="4" tint="0.79998168889431442"/>
        <bgColor indexed="64"/>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dotted">
        <color rgb="FF000000"/>
      </right>
      <top style="medium">
        <color rgb="FF000000"/>
      </top>
      <bottom style="medium">
        <color rgb="FF000000"/>
      </bottom>
      <diagonal/>
    </border>
    <border>
      <left style="dotted">
        <color rgb="FF000000"/>
      </left>
      <right style="dotted">
        <color rgb="FF000000"/>
      </right>
      <top style="medium">
        <color rgb="FF000000"/>
      </top>
      <bottom style="medium">
        <color rgb="FF000000"/>
      </bottom>
      <diagonal/>
    </border>
    <border>
      <left style="dotted">
        <color rgb="FF000000"/>
      </left>
      <right style="medium">
        <color rgb="FF000000"/>
      </right>
      <top style="medium">
        <color rgb="FF000000"/>
      </top>
      <bottom style="medium">
        <color rgb="FF000000"/>
      </bottom>
      <diagonal/>
    </border>
    <border>
      <left style="medium">
        <color rgb="FF000000"/>
      </left>
      <right style="dotted">
        <color rgb="FF000000"/>
      </right>
      <top/>
      <bottom style="dotted">
        <color rgb="FF000000"/>
      </bottom>
      <diagonal/>
    </border>
    <border>
      <left style="dotted">
        <color rgb="FF000000"/>
      </left>
      <right style="dotted">
        <color rgb="FF000000"/>
      </right>
      <top/>
      <bottom style="dotted">
        <color rgb="FF000000"/>
      </bottom>
      <diagonal/>
    </border>
    <border>
      <left style="dotted">
        <color rgb="FF000000"/>
      </left>
      <right style="medium">
        <color rgb="FF000000"/>
      </right>
      <top/>
      <bottom style="dotted">
        <color rgb="FF000000"/>
      </bottom>
      <diagonal/>
    </border>
    <border>
      <left style="medium">
        <color rgb="FF000000"/>
      </left>
      <right style="dotted">
        <color rgb="FF000000"/>
      </right>
      <top/>
      <bottom style="dotted">
        <color rgb="FF000000"/>
      </bottom>
      <diagonal/>
    </border>
    <border>
      <left style="dotted">
        <color rgb="FF000000"/>
      </left>
      <right style="dotted">
        <color rgb="FF000000"/>
      </right>
      <top/>
      <bottom style="dotted">
        <color rgb="FF000000"/>
      </bottom>
      <diagonal/>
    </border>
    <border>
      <left style="dotted">
        <color rgb="FF000000"/>
      </left>
      <right style="medium">
        <color rgb="FF000000"/>
      </right>
      <top/>
      <bottom style="dotted">
        <color rgb="FF000000"/>
      </bottom>
      <diagonal/>
    </border>
    <border>
      <left style="medium">
        <color rgb="FF000000"/>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medium">
        <color rgb="FF000000"/>
      </right>
      <top style="dotted">
        <color rgb="FF000000"/>
      </top>
      <bottom style="dotted">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dotted">
        <color rgb="FF000000"/>
      </right>
      <top style="dotted">
        <color rgb="FF000000"/>
      </top>
      <bottom style="medium">
        <color rgb="FF000000"/>
      </bottom>
      <diagonal/>
    </border>
    <border>
      <left style="dotted">
        <color rgb="FF000000"/>
      </left>
      <right style="dotted">
        <color rgb="FF000000"/>
      </right>
      <top style="dotted">
        <color rgb="FF000000"/>
      </top>
      <bottom style="medium">
        <color rgb="FF000000"/>
      </bottom>
      <diagonal/>
    </border>
    <border>
      <left style="dotted">
        <color rgb="FF000000"/>
      </left>
      <right style="medium">
        <color rgb="FF000000"/>
      </right>
      <top style="dotted">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3">
    <xf numFmtId="0" fontId="0" fillId="0" borderId="0" xfId="0"/>
    <xf numFmtId="164" fontId="2" fillId="0" borderId="0" xfId="0" applyNumberFormat="1" applyFont="1" applyAlignment="1">
      <alignment horizontal="center" vertical="center"/>
    </xf>
    <xf numFmtId="0" fontId="2" fillId="0" borderId="0" xfId="0" applyFont="1" applyAlignment="1">
      <alignment horizontal="left" vertical="center"/>
    </xf>
    <xf numFmtId="0" fontId="2" fillId="0" borderId="0" xfId="0" applyFont="1" applyAlignment="1">
      <alignment vertical="center"/>
    </xf>
    <xf numFmtId="0" fontId="3" fillId="2" borderId="1"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4"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5" fillId="0" borderId="0" xfId="0" applyFont="1" applyAlignment="1">
      <alignment vertical="center"/>
    </xf>
    <xf numFmtId="0" fontId="6" fillId="0" borderId="1" xfId="0"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0" borderId="0" xfId="0" applyFont="1" applyAlignment="1">
      <alignment horizontal="left" vertical="center"/>
    </xf>
    <xf numFmtId="0" fontId="5" fillId="0" borderId="1" xfId="0" quotePrefix="1" applyFont="1" applyBorder="1" applyAlignment="1">
      <alignment horizontal="center" vertical="center"/>
    </xf>
    <xf numFmtId="165" fontId="7" fillId="0" borderId="1" xfId="0" applyNumberFormat="1" applyFont="1" applyBorder="1" applyAlignment="1">
      <alignment horizontal="left" vertical="center"/>
    </xf>
    <xf numFmtId="166" fontId="7" fillId="0" borderId="1" xfId="0" applyNumberFormat="1" applyFont="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7" fillId="0" borderId="6" xfId="0" applyFont="1" applyBorder="1" applyAlignment="1">
      <alignment horizontal="left" vertical="center"/>
    </xf>
    <xf numFmtId="22" fontId="6" fillId="0" borderId="6" xfId="0" applyNumberFormat="1" applyFont="1" applyBorder="1" applyAlignment="1">
      <alignment horizontal="center" vertical="center" wrapText="1"/>
    </xf>
    <xf numFmtId="14" fontId="6" fillId="0" borderId="7" xfId="0" applyNumberFormat="1" applyFont="1" applyBorder="1" applyAlignment="1">
      <alignment horizontal="center" vertical="center" wrapText="1"/>
    </xf>
    <xf numFmtId="49" fontId="7" fillId="5" borderId="8" xfId="0" quotePrefix="1" applyNumberFormat="1" applyFont="1" applyFill="1" applyBorder="1" applyAlignment="1">
      <alignment horizontal="center" vertical="center"/>
    </xf>
    <xf numFmtId="0" fontId="7" fillId="5" borderId="9" xfId="0" applyFont="1" applyFill="1" applyBorder="1" applyAlignment="1">
      <alignment horizontal="center" vertical="center"/>
    </xf>
    <xf numFmtId="166" fontId="7" fillId="5" borderId="10" xfId="0" applyNumberFormat="1" applyFont="1" applyFill="1" applyBorder="1" applyAlignment="1">
      <alignment horizontal="center" vertical="center"/>
    </xf>
    <xf numFmtId="0" fontId="7" fillId="0" borderId="1" xfId="0" applyFont="1" applyBorder="1" applyAlignment="1">
      <alignment horizontal="left" vertical="center"/>
    </xf>
    <xf numFmtId="0" fontId="7" fillId="6" borderId="1" xfId="0" applyFont="1" applyFill="1" applyBorder="1" applyAlignment="1">
      <alignment horizontal="center" vertical="center"/>
    </xf>
    <xf numFmtId="0" fontId="7" fillId="0" borderId="11" xfId="0" applyFont="1" applyBorder="1" applyAlignment="1">
      <alignment horizontal="center" vertical="center"/>
    </xf>
    <xf numFmtId="0" fontId="7" fillId="0" borderId="12" xfId="0" applyFont="1" applyBorder="1" applyAlignment="1">
      <alignment horizontal="center" vertical="center"/>
    </xf>
    <xf numFmtId="0" fontId="7" fillId="0" borderId="12" xfId="0" applyFont="1" applyBorder="1" applyAlignment="1">
      <alignment horizontal="left" vertical="center"/>
    </xf>
    <xf numFmtId="22" fontId="6" fillId="0" borderId="12" xfId="0" applyNumberFormat="1" applyFont="1" applyBorder="1" applyAlignment="1">
      <alignment horizontal="center" vertical="center" wrapText="1"/>
    </xf>
    <xf numFmtId="14" fontId="6" fillId="0" borderId="13" xfId="0" applyNumberFormat="1" applyFont="1" applyBorder="1" applyAlignment="1">
      <alignment horizontal="center" vertical="center" wrapText="1"/>
    </xf>
    <xf numFmtId="166" fontId="7" fillId="0" borderId="13" xfId="0" applyNumberFormat="1" applyFont="1" applyBorder="1" applyAlignment="1">
      <alignment horizontal="center" vertical="center"/>
    </xf>
    <xf numFmtId="14" fontId="5" fillId="0" borderId="0" xfId="0" applyNumberFormat="1" applyFont="1" applyAlignment="1">
      <alignment vertical="center"/>
    </xf>
    <xf numFmtId="0" fontId="5" fillId="0" borderId="0" xfId="0" applyFont="1" applyAlignment="1">
      <alignment horizontal="center" vertical="center"/>
    </xf>
    <xf numFmtId="0" fontId="7" fillId="0" borderId="1" xfId="0" applyFont="1" applyBorder="1" applyAlignment="1">
      <alignment horizontal="center" vertical="center"/>
    </xf>
    <xf numFmtId="167" fontId="7" fillId="0" borderId="1" xfId="0" applyNumberFormat="1" applyFont="1" applyBorder="1" applyAlignment="1">
      <alignment horizontal="left" vertical="center"/>
    </xf>
    <xf numFmtId="168" fontId="5" fillId="0" borderId="0" xfId="0" applyNumberFormat="1" applyFont="1" applyAlignment="1">
      <alignment vertical="center"/>
    </xf>
    <xf numFmtId="165" fontId="5" fillId="0" borderId="0" xfId="0" applyNumberFormat="1" applyFont="1" applyAlignment="1">
      <alignment vertical="center"/>
    </xf>
    <xf numFmtId="0" fontId="4" fillId="0" borderId="1" xfId="0" applyFont="1" applyBorder="1" applyAlignment="1">
      <alignment horizontal="center" vertical="center" shrinkToFit="1"/>
    </xf>
    <xf numFmtId="169" fontId="7" fillId="6" borderId="1" xfId="0" applyNumberFormat="1" applyFont="1" applyFill="1" applyBorder="1" applyAlignment="1">
      <alignment horizontal="center" vertical="center"/>
    </xf>
    <xf numFmtId="169" fontId="4" fillId="0" borderId="0" xfId="0" applyNumberFormat="1" applyFont="1" applyAlignment="1">
      <alignment vertical="center"/>
    </xf>
    <xf numFmtId="0" fontId="4" fillId="0" borderId="0" xfId="0" applyFont="1" applyAlignment="1">
      <alignment vertical="center"/>
    </xf>
    <xf numFmtId="0" fontId="7" fillId="0" borderId="1" xfId="0" quotePrefix="1" applyFont="1" applyBorder="1" applyAlignment="1">
      <alignment horizontal="left" vertical="center"/>
    </xf>
    <xf numFmtId="169" fontId="5" fillId="0" borderId="0" xfId="0" applyNumberFormat="1" applyFont="1" applyAlignment="1">
      <alignment vertical="center"/>
    </xf>
    <xf numFmtId="0" fontId="3" fillId="2" borderId="1" xfId="0" applyFont="1" applyFill="1" applyBorder="1" applyAlignment="1">
      <alignment horizontal="center" vertical="center" wrapText="1"/>
    </xf>
    <xf numFmtId="170" fontId="5" fillId="0" borderId="0" xfId="0" applyNumberFormat="1" applyFont="1" applyAlignment="1">
      <alignment horizontal="left" vertical="center"/>
    </xf>
    <xf numFmtId="0" fontId="4" fillId="0" borderId="0" xfId="0" applyFont="1" applyAlignment="1">
      <alignment horizontal="left" vertical="center"/>
    </xf>
    <xf numFmtId="167" fontId="7" fillId="0" borderId="0" xfId="0" applyNumberFormat="1" applyFont="1" applyAlignment="1">
      <alignment horizontal="left" vertical="center"/>
    </xf>
    <xf numFmtId="0" fontId="8" fillId="0" borderId="0" xfId="0" applyFont="1" applyAlignment="1">
      <alignment horizontal="left" vertical="center"/>
    </xf>
    <xf numFmtId="14" fontId="4" fillId="0" borderId="14" xfId="0" applyNumberFormat="1" applyFont="1" applyBorder="1" applyAlignment="1">
      <alignment horizontal="center" vertical="center"/>
    </xf>
    <xf numFmtId="0" fontId="7" fillId="6" borderId="15" xfId="0" applyFont="1" applyFill="1" applyBorder="1" applyAlignment="1">
      <alignment horizontal="center" vertical="center"/>
    </xf>
    <xf numFmtId="168" fontId="5" fillId="0" borderId="0" xfId="0" applyNumberFormat="1" applyFont="1"/>
    <xf numFmtId="0" fontId="4" fillId="0" borderId="14" xfId="0" applyFont="1" applyBorder="1" applyAlignment="1">
      <alignment horizontal="left" vertical="center"/>
    </xf>
    <xf numFmtId="0" fontId="4" fillId="0" borderId="14" xfId="0" applyFont="1" applyBorder="1" applyAlignment="1">
      <alignment horizontal="center" vertical="center"/>
    </xf>
    <xf numFmtId="0" fontId="7" fillId="0" borderId="16" xfId="0" applyFont="1" applyBorder="1" applyAlignment="1">
      <alignment horizontal="left" vertical="center"/>
    </xf>
    <xf numFmtId="0" fontId="9" fillId="0" borderId="0" xfId="0" applyFont="1" applyAlignment="1">
      <alignment horizontal="left" vertical="center"/>
    </xf>
    <xf numFmtId="0" fontId="4" fillId="0" borderId="14" xfId="0" applyFont="1" applyBorder="1" applyAlignment="1">
      <alignment horizontal="center" vertical="center" wrapText="1"/>
    </xf>
    <xf numFmtId="0" fontId="7" fillId="0" borderId="16" xfId="0" quotePrefix="1" applyFont="1" applyBorder="1" applyAlignment="1">
      <alignment horizontal="left" vertical="center"/>
    </xf>
    <xf numFmtId="0" fontId="10" fillId="7" borderId="1" xfId="0" applyFont="1" applyFill="1" applyBorder="1" applyAlignment="1">
      <alignment horizontal="center" vertical="center"/>
    </xf>
    <xf numFmtId="17" fontId="10" fillId="7" borderId="1" xfId="0" applyNumberFormat="1" applyFont="1" applyFill="1" applyBorder="1" applyAlignment="1">
      <alignment horizontal="center" vertical="center"/>
    </xf>
    <xf numFmtId="0" fontId="4" fillId="7" borderId="1" xfId="0" quotePrefix="1" applyFont="1" applyFill="1" applyBorder="1" applyAlignment="1">
      <alignment horizontal="center" vertical="center"/>
    </xf>
    <xf numFmtId="0" fontId="5" fillId="7" borderId="1" xfId="0" applyFont="1" applyFill="1" applyBorder="1" applyAlignment="1">
      <alignment horizontal="center" vertical="center"/>
    </xf>
    <xf numFmtId="0" fontId="7" fillId="5" borderId="1" xfId="0" applyFont="1" applyFill="1" applyBorder="1" applyAlignment="1">
      <alignment horizontal="left" vertical="center"/>
    </xf>
    <xf numFmtId="0" fontId="7" fillId="5" borderId="1" xfId="0" applyFont="1" applyFill="1" applyBorder="1" applyAlignment="1">
      <alignment horizontal="center" vertical="center"/>
    </xf>
    <xf numFmtId="22" fontId="7" fillId="0" borderId="12" xfId="0" applyNumberFormat="1" applyFont="1" applyBorder="1" applyAlignment="1">
      <alignment horizontal="center" vertical="center" wrapText="1"/>
    </xf>
    <xf numFmtId="0" fontId="7" fillId="6" borderId="1" xfId="0" applyFont="1" applyFill="1" applyBorder="1" applyAlignment="1">
      <alignment horizontal="left" vertical="center"/>
    </xf>
    <xf numFmtId="14" fontId="7" fillId="0" borderId="13" xfId="0" applyNumberFormat="1" applyFont="1" applyBorder="1" applyAlignment="1">
      <alignment horizontal="center" vertical="center" wrapText="1"/>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1" xfId="0" applyFont="1" applyBorder="1" applyAlignment="1">
      <alignment horizontal="left" vertical="center"/>
    </xf>
    <xf numFmtId="22" fontId="7" fillId="0" borderId="21" xfId="0" applyNumberFormat="1" applyFont="1" applyBorder="1" applyAlignment="1">
      <alignment horizontal="center" vertical="center" wrapText="1"/>
    </xf>
    <xf numFmtId="14" fontId="7" fillId="0" borderId="22" xfId="0" applyNumberFormat="1" applyFont="1" applyBorder="1" applyAlignment="1">
      <alignment horizontal="center" vertical="center" wrapText="1"/>
    </xf>
    <xf numFmtId="0" fontId="4" fillId="7" borderId="14" xfId="0" applyFont="1" applyFill="1" applyBorder="1" applyAlignment="1">
      <alignment horizontal="center" vertical="center"/>
    </xf>
    <xf numFmtId="0" fontId="11" fillId="0" borderId="19" xfId="0" applyFont="1" applyBorder="1"/>
    <xf numFmtId="0" fontId="10" fillId="7" borderId="16" xfId="0" applyFont="1" applyFill="1" applyBorder="1" applyAlignment="1">
      <alignment horizontal="center" vertical="center"/>
    </xf>
    <xf numFmtId="0" fontId="11" fillId="0" borderId="17" xfId="0" applyFont="1" applyBorder="1"/>
    <xf numFmtId="0" fontId="11" fillId="0" borderId="18" xfId="0" applyFont="1" applyBorder="1"/>
    <xf numFmtId="14" fontId="0" fillId="0" borderId="0" xfId="0" applyNumberFormat="1"/>
    <xf numFmtId="14" fontId="3" fillId="2" borderId="1" xfId="0" applyNumberFormat="1" applyFont="1" applyFill="1" applyBorder="1" applyAlignment="1">
      <alignment horizontal="center" vertical="center"/>
    </xf>
    <xf numFmtId="14" fontId="5" fillId="0" borderId="1" xfId="0" applyNumberFormat="1" applyFont="1" applyBorder="1" applyAlignment="1">
      <alignment horizontal="center" vertical="center"/>
    </xf>
    <xf numFmtId="14" fontId="7" fillId="0" borderId="1" xfId="0" quotePrefix="1" applyNumberFormat="1" applyFont="1" applyBorder="1" applyAlignment="1">
      <alignment horizontal="center" vertical="center"/>
    </xf>
    <xf numFmtId="0" fontId="7" fillId="6" borderId="18" xfId="0" applyFont="1" applyFill="1" applyBorder="1" applyAlignment="1">
      <alignment horizontal="center" vertical="center"/>
    </xf>
    <xf numFmtId="0" fontId="7" fillId="6" borderId="14" xfId="0" applyFont="1" applyFill="1" applyBorder="1" applyAlignment="1">
      <alignment horizontal="left" vertical="center"/>
    </xf>
    <xf numFmtId="0" fontId="12" fillId="8" borderId="23" xfId="0" applyFont="1" applyFill="1" applyBorder="1" applyAlignment="1">
      <alignment horizontal="left" vertical="center"/>
    </xf>
    <xf numFmtId="0" fontId="1" fillId="8" borderId="23" xfId="0" applyNumberFormat="1" applyFont="1" applyFill="1" applyBorder="1" applyAlignment="1">
      <alignment horizontal="left"/>
    </xf>
    <xf numFmtId="1" fontId="7" fillId="6" borderId="1" xfId="0" applyNumberFormat="1" applyFont="1" applyFill="1" applyBorder="1" applyAlignment="1">
      <alignment horizontal="center" vertical="center"/>
    </xf>
    <xf numFmtId="176" fontId="7" fillId="6" borderId="1" xfId="0" applyNumberFormat="1" applyFont="1" applyFill="1" applyBorder="1" applyAlignment="1">
      <alignment horizontal="center" vertical="center"/>
    </xf>
    <xf numFmtId="179" fontId="7" fillId="6" borderId="1"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10" Type="http://schemas.openxmlformats.org/officeDocument/2006/relationships/calcChain" Target="calcChain.xml"/><Relationship Id="rId9"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371475</xdr:rowOff>
    </xdr:from>
    <xdr:ext cx="5781675" cy="11449050"/>
    <xdr:sp macro="" textlink="">
      <xdr:nvSpPr>
        <xdr:cNvPr id="3" name="Shape 3">
          <a:extLst>
            <a:ext uri="{FF2B5EF4-FFF2-40B4-BE49-F238E27FC236}">
              <a16:creationId xmlns:a16="http://schemas.microsoft.com/office/drawing/2014/main" id="{00000000-0008-0000-0000-000003000000}"/>
            </a:ext>
          </a:extLst>
        </xdr:cNvPr>
        <xdr:cNvSpPr txBox="1"/>
      </xdr:nvSpPr>
      <xdr:spPr>
        <a:xfrm>
          <a:off x="0" y="371475"/>
          <a:ext cx="5781675" cy="11449050"/>
        </a:xfrm>
        <a:prstGeom prst="rect">
          <a:avLst/>
        </a:prstGeom>
        <a:solidFill>
          <a:schemeClr val="lt1"/>
        </a:solidFill>
        <a:ln w="19050" cap="flat" cmpd="sng">
          <a:solidFill>
            <a:srgbClr val="BF4F14"/>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200" b="0" i="0">
            <a:solidFill>
              <a:schemeClr val="dk1"/>
            </a:solidFill>
            <a:latin typeface="Arial"/>
            <a:ea typeface="Arial"/>
            <a:cs typeface="Arial"/>
            <a:sym typeface="Arial"/>
          </a:endParaRPr>
        </a:p>
        <a:p>
          <a:pPr marL="0" lvl="0" indent="0" algn="l" rtl="0">
            <a:spcBef>
              <a:spcPts val="0"/>
            </a:spcBef>
            <a:spcAft>
              <a:spcPts val="0"/>
            </a:spcAft>
            <a:buNone/>
          </a:pPr>
          <a:r>
            <a:rPr lang="en-US" sz="1200" b="0" i="0">
              <a:solidFill>
                <a:schemeClr val="dk1"/>
              </a:solidFill>
              <a:latin typeface="Arial"/>
              <a:ea typeface="Arial"/>
              <a:cs typeface="Arial"/>
              <a:sym typeface="Arial"/>
            </a:rPr>
            <a:t>SabS School is an Online Course Institution that partners with various online job search platforms. In 2015, SabS School ceased its operations for undisclosed reasons but resumed activities in 2021. It began to provide online courses for several products to individuals registered in the database through email and SMS. Half of the registered individuals have shown interest in enrolling in the courses.</a:t>
          </a:r>
          <a:endParaRPr sz="1400"/>
        </a:p>
        <a:p>
          <a:pPr marL="0" lvl="0" indent="0" algn="l" rtl="0">
            <a:spcBef>
              <a:spcPts val="0"/>
            </a:spcBef>
            <a:spcAft>
              <a:spcPts val="0"/>
            </a:spcAft>
            <a:buNone/>
          </a:pPr>
          <a:endParaRPr sz="1200" b="0" i="0">
            <a:solidFill>
              <a:schemeClr val="dk1"/>
            </a:solidFill>
            <a:latin typeface="Arial"/>
            <a:ea typeface="Arial"/>
            <a:cs typeface="Arial"/>
            <a:sym typeface="Arial"/>
          </a:endParaRPr>
        </a:p>
        <a:p>
          <a:pPr marL="0" lvl="0" indent="0" algn="l" rtl="0">
            <a:spcBef>
              <a:spcPts val="0"/>
            </a:spcBef>
            <a:spcAft>
              <a:spcPts val="0"/>
            </a:spcAft>
            <a:buNone/>
          </a:pPr>
          <a:r>
            <a:rPr lang="en-US" sz="1200" b="0" i="0">
              <a:solidFill>
                <a:schemeClr val="dk1"/>
              </a:solidFill>
              <a:latin typeface="Arial"/>
              <a:ea typeface="Arial"/>
              <a:cs typeface="Arial"/>
              <a:sym typeface="Arial"/>
            </a:rPr>
            <a:t>During the registration process, certain data is collected, your responsibility is to analyze this data to meet the requirements of the academy's business.</a:t>
          </a:r>
          <a:endParaRPr sz="1400"/>
        </a:p>
        <a:p>
          <a:pPr marL="0" lvl="0" indent="0" algn="l" rtl="0">
            <a:spcBef>
              <a:spcPts val="0"/>
            </a:spcBef>
            <a:spcAft>
              <a:spcPts val="0"/>
            </a:spcAft>
            <a:buNone/>
          </a:pPr>
          <a:endParaRPr sz="1600" b="0" i="0">
            <a:solidFill>
              <a:schemeClr val="dk1"/>
            </a:solidFill>
            <a:latin typeface="Arial"/>
            <a:ea typeface="Arial"/>
            <a:cs typeface="Arial"/>
            <a:sym typeface="Arial"/>
          </a:endParaRPr>
        </a:p>
        <a:p>
          <a:pPr marL="0" lvl="0" indent="0" algn="l" rtl="0">
            <a:spcBef>
              <a:spcPts val="0"/>
            </a:spcBef>
            <a:spcAft>
              <a:spcPts val="0"/>
            </a:spcAft>
            <a:buNone/>
          </a:pPr>
          <a:r>
            <a:rPr lang="en-US" sz="1400" b="1" i="0">
              <a:solidFill>
                <a:schemeClr val="dk1"/>
              </a:solidFill>
              <a:latin typeface="Arial"/>
              <a:ea typeface="Arial"/>
              <a:cs typeface="Arial"/>
              <a:sym typeface="Arial"/>
            </a:rPr>
            <a:t>To complete this task, follow Instructions Below!</a:t>
          </a:r>
          <a:endParaRPr sz="1400"/>
        </a:p>
        <a:p>
          <a:pPr marL="0" lvl="0" indent="0" algn="l" rtl="0">
            <a:spcBef>
              <a:spcPts val="0"/>
            </a:spcBef>
            <a:spcAft>
              <a:spcPts val="0"/>
            </a:spcAft>
            <a:buNone/>
          </a:pPr>
          <a:endParaRPr sz="1000"/>
        </a:p>
        <a:p>
          <a:pPr marL="0" lvl="0" indent="0" algn="l" rtl="0">
            <a:spcBef>
              <a:spcPts val="0"/>
            </a:spcBef>
            <a:spcAft>
              <a:spcPts val="0"/>
            </a:spcAft>
            <a:buNone/>
          </a:pPr>
          <a:r>
            <a:rPr lang="en-US" sz="1200" b="0" i="0">
              <a:solidFill>
                <a:schemeClr val="dk1"/>
              </a:solidFill>
              <a:latin typeface="Arial"/>
              <a:ea typeface="Arial"/>
              <a:cs typeface="Arial"/>
              <a:sym typeface="Arial"/>
            </a:rPr>
            <a:t>1. You will receive data in the 'Database' Table.</a:t>
          </a:r>
          <a:endParaRPr sz="1400"/>
        </a:p>
        <a:p>
          <a:pPr marL="0" lvl="0" indent="0" algn="l" rtl="0">
            <a:spcBef>
              <a:spcPts val="0"/>
            </a:spcBef>
            <a:spcAft>
              <a:spcPts val="0"/>
            </a:spcAft>
            <a:buNone/>
          </a:pPr>
          <a:endParaRPr sz="500" b="0" i="0">
            <a:solidFill>
              <a:schemeClr val="dk1"/>
            </a:solidFill>
            <a:latin typeface="Arial"/>
            <a:ea typeface="Arial"/>
            <a:cs typeface="Arial"/>
            <a:sym typeface="Arial"/>
          </a:endParaRPr>
        </a:p>
        <a:p>
          <a:pPr marL="0" lvl="0" indent="0" algn="l" rtl="0">
            <a:spcBef>
              <a:spcPts val="0"/>
            </a:spcBef>
            <a:spcAft>
              <a:spcPts val="0"/>
            </a:spcAft>
            <a:buNone/>
          </a:pPr>
          <a:r>
            <a:rPr lang="en-US" sz="1200" b="0" i="0">
              <a:solidFill>
                <a:schemeClr val="dk1"/>
              </a:solidFill>
              <a:latin typeface="Arial"/>
              <a:ea typeface="Arial"/>
              <a:cs typeface="Arial"/>
              <a:sym typeface="Arial"/>
            </a:rPr>
            <a:t>2. Complete the empty cell in the 'Registration' Table that corresponds to the 'Database' Table. You can refer to the example provided in the first row (yellow cells).</a:t>
          </a:r>
          <a:endParaRPr sz="1400"/>
        </a:p>
        <a:p>
          <a:pPr marL="0" lvl="0" indent="0" algn="l" rtl="0">
            <a:spcBef>
              <a:spcPts val="0"/>
            </a:spcBef>
            <a:spcAft>
              <a:spcPts val="0"/>
            </a:spcAft>
            <a:buNone/>
          </a:pPr>
          <a:endParaRPr sz="500" b="0" i="0">
            <a:solidFill>
              <a:schemeClr val="dk1"/>
            </a:solidFill>
            <a:latin typeface="Arial"/>
            <a:ea typeface="Arial"/>
            <a:cs typeface="Arial"/>
            <a:sym typeface="Arial"/>
          </a:endParaRPr>
        </a:p>
        <a:p>
          <a:pPr marL="0" lvl="0" indent="0" algn="l" rtl="0">
            <a:spcBef>
              <a:spcPts val="0"/>
            </a:spcBef>
            <a:spcAft>
              <a:spcPts val="0"/>
            </a:spcAft>
            <a:buNone/>
          </a:pPr>
          <a:r>
            <a:rPr lang="en-US" sz="1200" b="0" i="0">
              <a:solidFill>
                <a:schemeClr val="dk1"/>
              </a:solidFill>
              <a:latin typeface="Arial"/>
              <a:ea typeface="Arial"/>
              <a:cs typeface="Arial"/>
              <a:sym typeface="Arial"/>
            </a:rPr>
            <a:t>3. The outcomes from the 'Registration' Table will be used to respond to inquiries on the 'Summary' Board (some of which also refer to the 'Database' Table).</a:t>
          </a:r>
          <a:endParaRPr sz="1400"/>
        </a:p>
        <a:p>
          <a:pPr marL="0" lvl="0" indent="0" algn="l" rtl="0">
            <a:spcBef>
              <a:spcPts val="0"/>
            </a:spcBef>
            <a:spcAft>
              <a:spcPts val="0"/>
            </a:spcAft>
            <a:buNone/>
          </a:pPr>
          <a:endParaRPr sz="500" b="0" i="0">
            <a:solidFill>
              <a:schemeClr val="dk1"/>
            </a:solidFill>
            <a:latin typeface="Arial"/>
            <a:ea typeface="Arial"/>
            <a:cs typeface="Arial"/>
            <a:sym typeface="Arial"/>
          </a:endParaRPr>
        </a:p>
        <a:p>
          <a:pPr marL="0" lvl="0" indent="0" algn="l" rtl="0">
            <a:spcBef>
              <a:spcPts val="0"/>
            </a:spcBef>
            <a:spcAft>
              <a:spcPts val="0"/>
            </a:spcAft>
            <a:buNone/>
          </a:pPr>
          <a:r>
            <a:rPr lang="en-US" sz="1200" b="0" i="0">
              <a:solidFill>
                <a:schemeClr val="dk1"/>
              </a:solidFill>
              <a:latin typeface="Arial"/>
              <a:ea typeface="Arial"/>
              <a:cs typeface="Arial"/>
              <a:sym typeface="Arial"/>
            </a:rPr>
            <a:t>4. You are prohibited from adding or removing rows or columns in any Table.</a:t>
          </a:r>
          <a:endParaRPr sz="1400"/>
        </a:p>
        <a:p>
          <a:pPr marL="0" lvl="0" indent="0" algn="l" rtl="0">
            <a:spcBef>
              <a:spcPts val="0"/>
            </a:spcBef>
            <a:spcAft>
              <a:spcPts val="0"/>
            </a:spcAft>
            <a:buNone/>
          </a:pPr>
          <a:endParaRPr sz="500" b="0" i="0">
            <a:solidFill>
              <a:schemeClr val="dk1"/>
            </a:solidFill>
            <a:latin typeface="Arial"/>
            <a:ea typeface="Arial"/>
            <a:cs typeface="Arial"/>
            <a:sym typeface="Arial"/>
          </a:endParaRPr>
        </a:p>
        <a:p>
          <a:pPr marL="0" lvl="0" indent="0" algn="l" rtl="0">
            <a:spcBef>
              <a:spcPts val="0"/>
            </a:spcBef>
            <a:spcAft>
              <a:spcPts val="0"/>
            </a:spcAft>
            <a:buNone/>
          </a:pPr>
          <a:r>
            <a:rPr lang="en-US" sz="1200" b="0" i="0">
              <a:solidFill>
                <a:schemeClr val="dk1"/>
              </a:solidFill>
              <a:latin typeface="Arial"/>
              <a:ea typeface="Arial"/>
              <a:cs typeface="Arial"/>
              <a:sym typeface="Arial"/>
            </a:rPr>
            <a:t>5. To make your work easier, you are permitted to 'Define Name' in the Name Manager for any range used in calculations.</a:t>
          </a:r>
          <a:endParaRPr sz="1400"/>
        </a:p>
        <a:p>
          <a:pPr marL="0" lvl="0" indent="0" algn="l" rtl="0">
            <a:spcBef>
              <a:spcPts val="0"/>
            </a:spcBef>
            <a:spcAft>
              <a:spcPts val="0"/>
            </a:spcAft>
            <a:buNone/>
          </a:pPr>
          <a:endParaRPr sz="500" b="0" i="0">
            <a:solidFill>
              <a:schemeClr val="dk1"/>
            </a:solidFill>
            <a:latin typeface="Arial"/>
            <a:ea typeface="Arial"/>
            <a:cs typeface="Arial"/>
            <a:sym typeface="Arial"/>
          </a:endParaRPr>
        </a:p>
        <a:p>
          <a:pPr marL="0" lvl="0" indent="0" algn="l" rtl="0">
            <a:spcBef>
              <a:spcPts val="0"/>
            </a:spcBef>
            <a:spcAft>
              <a:spcPts val="0"/>
            </a:spcAft>
            <a:buNone/>
          </a:pPr>
          <a:r>
            <a:rPr lang="en-US" sz="1200" b="0" i="0">
              <a:solidFill>
                <a:schemeClr val="dk1"/>
              </a:solidFill>
              <a:latin typeface="Arial"/>
              <a:ea typeface="Arial"/>
              <a:cs typeface="Arial"/>
              <a:sym typeface="Arial"/>
            </a:rPr>
            <a:t>6. Classes are organized by product based on the month of activation. If the activation occurs in May, the course will take place in July. Conversely, for activation in June, the course will begin in August. Classes will be organized according to the number of customer per product. Each class will have a maximum of 20 students, and for the ES product classes, the limit is set at 15 students.</a:t>
          </a:r>
          <a:endParaRPr sz="1400"/>
        </a:p>
        <a:p>
          <a:pPr marL="0" lvl="0" indent="0" algn="l" rtl="0">
            <a:spcBef>
              <a:spcPts val="0"/>
            </a:spcBef>
            <a:spcAft>
              <a:spcPts val="0"/>
            </a:spcAft>
            <a:buNone/>
          </a:pPr>
          <a:r>
            <a:rPr lang="en-US" sz="1200" b="0" i="0">
              <a:solidFill>
                <a:schemeClr val="dk1"/>
              </a:solidFill>
              <a:latin typeface="Arial"/>
              <a:ea typeface="Arial"/>
              <a:cs typeface="Arial"/>
              <a:sym typeface="Arial"/>
            </a:rPr>
            <a:t>One product includes five learning materials (except ES: 8 Learning Materials), with each material needing eight hours to complete. And each meeting lasts four hours.</a:t>
          </a:r>
          <a:endParaRPr sz="1400"/>
        </a:p>
        <a:p>
          <a:pPr marL="0" lvl="0" indent="0" algn="l" rtl="0">
            <a:spcBef>
              <a:spcPts val="0"/>
            </a:spcBef>
            <a:spcAft>
              <a:spcPts val="0"/>
            </a:spcAft>
            <a:buNone/>
          </a:pPr>
          <a:endParaRPr sz="500" b="0" i="0">
            <a:solidFill>
              <a:schemeClr val="dk1"/>
            </a:solidFill>
            <a:latin typeface="Arial"/>
            <a:ea typeface="Arial"/>
            <a:cs typeface="Arial"/>
            <a:sym typeface="Arial"/>
          </a:endParaRPr>
        </a:p>
        <a:p>
          <a:pPr marL="0" lvl="0" indent="0" algn="l" rtl="0">
            <a:spcBef>
              <a:spcPts val="0"/>
            </a:spcBef>
            <a:spcAft>
              <a:spcPts val="0"/>
            </a:spcAft>
            <a:buNone/>
          </a:pPr>
          <a:r>
            <a:rPr lang="en-US" sz="1200" b="0" i="0">
              <a:solidFill>
                <a:schemeClr val="dk1"/>
              </a:solidFill>
              <a:latin typeface="Arial"/>
              <a:ea typeface="Arial"/>
              <a:cs typeface="Arial"/>
              <a:sym typeface="Arial"/>
            </a:rPr>
            <a:t>7. Based on difference from registration to activation:</a:t>
          </a:r>
          <a:endParaRPr sz="1400"/>
        </a:p>
        <a:p>
          <a:pPr marL="0" lvl="0" indent="0" algn="l" rtl="0">
            <a:spcBef>
              <a:spcPts val="0"/>
            </a:spcBef>
            <a:spcAft>
              <a:spcPts val="0"/>
            </a:spcAft>
            <a:buNone/>
          </a:pPr>
          <a:r>
            <a:rPr lang="en-US" sz="1200" b="0" i="0">
              <a:solidFill>
                <a:schemeClr val="dk1"/>
              </a:solidFill>
              <a:latin typeface="Arial"/>
              <a:ea typeface="Arial"/>
              <a:cs typeface="Arial"/>
              <a:sym typeface="Arial"/>
            </a:rPr>
            <a:t>	≥ 3 years receive a 2.5% discount,</a:t>
          </a:r>
          <a:endParaRPr sz="1400"/>
        </a:p>
        <a:p>
          <a:pPr marL="0" lvl="0" indent="0" algn="l" rtl="0">
            <a:spcBef>
              <a:spcPts val="0"/>
            </a:spcBef>
            <a:spcAft>
              <a:spcPts val="0"/>
            </a:spcAft>
            <a:buNone/>
          </a:pPr>
          <a:r>
            <a:rPr lang="en-US" sz="1200" b="0" i="0">
              <a:solidFill>
                <a:schemeClr val="dk1"/>
              </a:solidFill>
              <a:latin typeface="Arial"/>
              <a:ea typeface="Arial"/>
              <a:cs typeface="Arial"/>
              <a:sym typeface="Arial"/>
            </a:rPr>
            <a:t>	1 to 3 years receive a 1.5% discount,</a:t>
          </a:r>
          <a:endParaRPr sz="1400"/>
        </a:p>
        <a:p>
          <a:pPr marL="0" lvl="0" indent="0" algn="l" rtl="0">
            <a:spcBef>
              <a:spcPts val="0"/>
            </a:spcBef>
            <a:spcAft>
              <a:spcPts val="0"/>
            </a:spcAft>
            <a:buNone/>
          </a:pPr>
          <a:r>
            <a:rPr lang="en-US" sz="1200" b="0" i="0">
              <a:solidFill>
                <a:schemeClr val="dk1"/>
              </a:solidFill>
              <a:latin typeface="Arial"/>
              <a:ea typeface="Arial"/>
              <a:cs typeface="Arial"/>
              <a:sym typeface="Arial"/>
            </a:rPr>
            <a:t>	&lt; 1 year, there is no discount.</a:t>
          </a:r>
          <a:endParaRPr sz="1400"/>
        </a:p>
        <a:p>
          <a:pPr marL="0" lvl="0" indent="0" algn="l" rtl="0">
            <a:spcBef>
              <a:spcPts val="0"/>
            </a:spcBef>
            <a:spcAft>
              <a:spcPts val="0"/>
            </a:spcAft>
            <a:buNone/>
          </a:pPr>
          <a:r>
            <a:rPr lang="en-US" sz="1200" b="0" i="0">
              <a:solidFill>
                <a:schemeClr val="dk1"/>
              </a:solidFill>
              <a:latin typeface="Arial"/>
              <a:ea typeface="Arial"/>
              <a:cs typeface="Arial"/>
              <a:sym typeface="Arial"/>
            </a:rPr>
            <a:t>Discounts are also applied based on age: </a:t>
          </a:r>
          <a:endParaRPr sz="1400"/>
        </a:p>
        <a:p>
          <a:pPr marL="0" lvl="0" indent="0" algn="l" rtl="0">
            <a:spcBef>
              <a:spcPts val="0"/>
            </a:spcBef>
            <a:spcAft>
              <a:spcPts val="0"/>
            </a:spcAft>
            <a:buNone/>
          </a:pPr>
          <a:r>
            <a:rPr lang="en-US" sz="1200" b="0" i="0">
              <a:solidFill>
                <a:schemeClr val="dk1"/>
              </a:solidFill>
              <a:latin typeface="Arial"/>
              <a:ea typeface="Arial"/>
              <a:cs typeface="Arial"/>
              <a:sym typeface="Arial"/>
            </a:rPr>
            <a:t>	≥ 50 s receive a 4% discount</a:t>
          </a:r>
          <a:endParaRPr sz="1400"/>
        </a:p>
        <a:p>
          <a:pPr marL="0" lvl="0" indent="0" algn="l" rtl="0">
            <a:spcBef>
              <a:spcPts val="0"/>
            </a:spcBef>
            <a:spcAft>
              <a:spcPts val="0"/>
            </a:spcAft>
            <a:buNone/>
          </a:pPr>
          <a:r>
            <a:rPr lang="en-US" sz="1200" b="0" i="0">
              <a:solidFill>
                <a:schemeClr val="dk1"/>
              </a:solidFill>
              <a:latin typeface="Arial"/>
              <a:ea typeface="Arial"/>
              <a:cs typeface="Arial"/>
              <a:sym typeface="Arial"/>
            </a:rPr>
            <a:t>	40 s receive a 3% discount</a:t>
          </a:r>
          <a:endParaRPr sz="1400"/>
        </a:p>
        <a:p>
          <a:pPr marL="0" lvl="0" indent="0" algn="l" rtl="0">
            <a:spcBef>
              <a:spcPts val="0"/>
            </a:spcBef>
            <a:spcAft>
              <a:spcPts val="0"/>
            </a:spcAft>
            <a:buNone/>
          </a:pPr>
          <a:r>
            <a:rPr lang="en-US" sz="1200" b="0" i="0">
              <a:solidFill>
                <a:schemeClr val="dk1"/>
              </a:solidFill>
              <a:latin typeface="Arial"/>
              <a:ea typeface="Arial"/>
              <a:cs typeface="Arial"/>
              <a:sym typeface="Arial"/>
            </a:rPr>
            <a:t>	30 s receive a 2% discount</a:t>
          </a:r>
          <a:endParaRPr sz="1400"/>
        </a:p>
        <a:p>
          <a:pPr marL="0" lvl="0" indent="0" algn="l" rtl="0">
            <a:spcBef>
              <a:spcPts val="0"/>
            </a:spcBef>
            <a:spcAft>
              <a:spcPts val="0"/>
            </a:spcAft>
            <a:buNone/>
          </a:pPr>
          <a:r>
            <a:rPr lang="en-US" sz="1200" b="0" i="0">
              <a:solidFill>
                <a:schemeClr val="dk1"/>
              </a:solidFill>
              <a:latin typeface="Arial"/>
              <a:ea typeface="Arial"/>
              <a:cs typeface="Arial"/>
              <a:sym typeface="Arial"/>
            </a:rPr>
            <a:t>	20 s receive a 5% discount</a:t>
          </a:r>
          <a:endParaRPr sz="1400"/>
        </a:p>
        <a:p>
          <a:pPr marL="0" lvl="0" indent="0" algn="l" rtl="0">
            <a:spcBef>
              <a:spcPts val="0"/>
            </a:spcBef>
            <a:spcAft>
              <a:spcPts val="0"/>
            </a:spcAft>
            <a:buNone/>
          </a:pPr>
          <a:endParaRPr sz="1200" b="0" i="0">
            <a:solidFill>
              <a:schemeClr val="dk1"/>
            </a:solidFill>
            <a:latin typeface="Arial"/>
            <a:ea typeface="Arial"/>
            <a:cs typeface="Arial"/>
            <a:sym typeface="Arial"/>
          </a:endParaRPr>
        </a:p>
        <a:p>
          <a:pPr marL="0" lvl="0" indent="0" algn="l" rtl="0">
            <a:spcBef>
              <a:spcPts val="0"/>
            </a:spcBef>
            <a:spcAft>
              <a:spcPts val="0"/>
            </a:spcAft>
            <a:buNone/>
          </a:pPr>
          <a:r>
            <a:rPr lang="en-US" sz="1200" b="0" i="0">
              <a:solidFill>
                <a:schemeClr val="dk1"/>
              </a:solidFill>
              <a:latin typeface="Arial"/>
              <a:ea typeface="Arial"/>
              <a:cs typeface="Arial"/>
              <a:sym typeface="Arial"/>
            </a:rPr>
            <a:t>8. Every individual in the database will get at least 5 messages about courses that are available. If they decide to register, they will receive at least 8 messages to confirm their registration. Of those who registered, 45% received 3 extra messages, 35% received 2 extra messages, and the remaining individuals received 1 extra message. Assume that messages sent to every individual in the database are spread evenly among each product.</a:t>
          </a:r>
          <a:endParaRPr sz="1400"/>
        </a:p>
        <a:p>
          <a:pPr marL="0" lvl="0" indent="0" algn="l" rtl="0">
            <a:spcBef>
              <a:spcPts val="0"/>
            </a:spcBef>
            <a:spcAft>
              <a:spcPts val="0"/>
            </a:spcAft>
            <a:buNone/>
          </a:pPr>
          <a:endParaRPr sz="1200" b="0" i="0">
            <a:solidFill>
              <a:schemeClr val="dk1"/>
            </a:solidFill>
            <a:latin typeface="Arial"/>
            <a:ea typeface="Arial"/>
            <a:cs typeface="Arial"/>
            <a:sym typeface="Arial"/>
          </a:endParaRPr>
        </a:p>
        <a:p>
          <a:pPr marL="0" lvl="0" indent="0" algn="l" rtl="0">
            <a:spcBef>
              <a:spcPts val="0"/>
            </a:spcBef>
            <a:spcAft>
              <a:spcPts val="0"/>
            </a:spcAft>
            <a:buNone/>
          </a:pPr>
          <a:r>
            <a:rPr lang="en-US" sz="1200" b="0" i="0">
              <a:solidFill>
                <a:schemeClr val="dk1"/>
              </a:solidFill>
              <a:latin typeface="Arial"/>
              <a:ea typeface="Arial"/>
              <a:cs typeface="Arial"/>
              <a:sym typeface="Arial"/>
            </a:rPr>
            <a:t>* Click on the Header for additional instructions.</a:t>
          </a:r>
          <a:endParaRPr sz="1400"/>
        </a:p>
        <a:p>
          <a:pPr marL="0" lvl="0" indent="0" algn="l" rtl="0">
            <a:spcBef>
              <a:spcPts val="0"/>
            </a:spcBef>
            <a:spcAft>
              <a:spcPts val="0"/>
            </a:spcAft>
            <a:buNone/>
          </a:pPr>
          <a:r>
            <a:rPr lang="en-US" sz="1200" b="0" i="0">
              <a:solidFill>
                <a:schemeClr val="dk1"/>
              </a:solidFill>
              <a:latin typeface="Arial"/>
              <a:ea typeface="Arial"/>
              <a:cs typeface="Arial"/>
              <a:sym typeface="Arial"/>
            </a:rPr>
            <a:t>** The fee that the customer pays is solely for the price of the product that they have bought.</a:t>
          </a:r>
          <a:endParaRPr sz="1400"/>
        </a:p>
        <a:p>
          <a:pPr marL="0" lvl="0" indent="0" algn="l" rtl="0">
            <a:spcBef>
              <a:spcPts val="0"/>
            </a:spcBef>
            <a:spcAft>
              <a:spcPts val="0"/>
            </a:spcAft>
            <a:buNone/>
          </a:pPr>
          <a:endParaRPr sz="12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3002"/>
  <sheetViews>
    <sheetView showGridLines="0" tabSelected="1" topLeftCell="AC45" zoomScale="89" zoomScaleNormal="100" workbookViewId="0">
      <selection activeCell="AE57" sqref="AE57"/>
    </sheetView>
  </sheetViews>
  <sheetFormatPr defaultColWidth="12.5703125" defaultRowHeight="15" customHeight="1" x14ac:dyDescent="0.25"/>
  <cols>
    <col min="1" max="1" width="7" customWidth="1"/>
    <col min="2" max="2" width="63.85546875" customWidth="1"/>
    <col min="3" max="3" width="8.5703125" customWidth="1"/>
    <col min="4" max="4" width="33.28515625" customWidth="1"/>
    <col min="5" max="5" width="16.85546875" customWidth="1"/>
    <col min="6" max="6" width="16.85546875" style="82" customWidth="1"/>
    <col min="7" max="8" width="16.85546875" customWidth="1"/>
    <col min="9" max="9" width="14.42578125" customWidth="1"/>
    <col min="10" max="10" width="36.42578125" customWidth="1"/>
    <col min="11" max="11" width="20.28515625" customWidth="1"/>
    <col min="12" max="12" width="16.85546875" customWidth="1"/>
    <col min="13" max="13" width="8.5703125" customWidth="1"/>
    <col min="14" max="14" width="5.5703125" customWidth="1"/>
    <col min="15" max="15" width="13.28515625" customWidth="1"/>
    <col min="16" max="16" width="31.5703125" customWidth="1"/>
    <col min="17" max="17" width="10.140625" customWidth="1"/>
    <col min="18" max="18" width="18.42578125" customWidth="1"/>
    <col min="19" max="19" width="15.85546875" customWidth="1"/>
    <col min="20" max="20" width="20.42578125" customWidth="1"/>
    <col min="21" max="21" width="27.28515625" customWidth="1"/>
    <col min="22" max="22" width="18.42578125" customWidth="1"/>
    <col min="23" max="23" width="16.42578125" customWidth="1"/>
    <col min="24" max="24" width="12.5703125" customWidth="1"/>
    <col min="25" max="25" width="47.28515625" customWidth="1"/>
    <col min="26" max="26" width="17.140625" customWidth="1"/>
    <col min="27" max="47" width="15.5703125" customWidth="1"/>
  </cols>
  <sheetData>
    <row r="1" spans="1:47" ht="37.5" customHeight="1" x14ac:dyDescent="0.25">
      <c r="A1" s="1">
        <v>5</v>
      </c>
      <c r="B1" s="2" t="s">
        <v>0</v>
      </c>
      <c r="D1" s="3" t="s">
        <v>1</v>
      </c>
      <c r="N1" s="3" t="s">
        <v>2</v>
      </c>
      <c r="Y1" s="3" t="s">
        <v>3</v>
      </c>
    </row>
    <row r="2" spans="1:47" ht="27" customHeight="1" x14ac:dyDescent="0.25">
      <c r="D2" s="4" t="s">
        <v>4</v>
      </c>
      <c r="E2" s="4" t="s">
        <v>5</v>
      </c>
      <c r="F2" s="83" t="s">
        <v>6</v>
      </c>
      <c r="G2" s="4" t="s">
        <v>7</v>
      </c>
      <c r="H2" s="4" t="s">
        <v>8</v>
      </c>
      <c r="J2" s="4" t="s">
        <v>9</v>
      </c>
      <c r="K2" s="4" t="s">
        <v>10</v>
      </c>
      <c r="L2" s="4" t="s">
        <v>11</v>
      </c>
      <c r="N2" s="5" t="s">
        <v>12</v>
      </c>
      <c r="O2" s="6" t="s">
        <v>13</v>
      </c>
      <c r="P2" s="6" t="s">
        <v>14</v>
      </c>
      <c r="Q2" s="6" t="s">
        <v>15</v>
      </c>
      <c r="R2" s="6" t="s">
        <v>16</v>
      </c>
      <c r="S2" s="7" t="s">
        <v>17</v>
      </c>
      <c r="T2" s="8" t="s">
        <v>18</v>
      </c>
      <c r="U2" s="9" t="s">
        <v>19</v>
      </c>
      <c r="V2" s="9" t="s">
        <v>20</v>
      </c>
      <c r="W2" s="10" t="s">
        <v>21</v>
      </c>
      <c r="Y2" s="11" t="s">
        <v>22</v>
      </c>
      <c r="Z2" s="12" t="s">
        <v>23</v>
      </c>
      <c r="AA2" s="13"/>
      <c r="AB2" s="13"/>
      <c r="AC2" s="13"/>
      <c r="AD2" s="13"/>
      <c r="AE2" s="13"/>
      <c r="AF2" s="13"/>
      <c r="AG2" s="13"/>
      <c r="AH2" s="13"/>
      <c r="AI2" s="13"/>
      <c r="AJ2" s="13"/>
      <c r="AK2" s="13"/>
      <c r="AL2" s="13"/>
      <c r="AM2" s="13"/>
      <c r="AN2" s="13"/>
      <c r="AO2" s="13"/>
      <c r="AP2" s="13"/>
      <c r="AQ2" s="13"/>
      <c r="AR2" s="13"/>
      <c r="AS2" s="13"/>
      <c r="AT2" s="13"/>
      <c r="AU2" s="13"/>
    </row>
    <row r="3" spans="1:47" ht="27" customHeight="1" x14ac:dyDescent="0.25">
      <c r="D3" s="14" t="s">
        <v>24</v>
      </c>
      <c r="E3" s="14" t="s">
        <v>25</v>
      </c>
      <c r="F3" s="84" t="s">
        <v>26</v>
      </c>
      <c r="G3" s="15" t="s">
        <v>27</v>
      </c>
      <c r="H3" s="16" t="s">
        <v>28</v>
      </c>
      <c r="I3" s="17"/>
      <c r="J3" s="18" t="s">
        <v>29</v>
      </c>
      <c r="K3" s="19">
        <v>250</v>
      </c>
      <c r="L3" s="20">
        <v>5.3999999999999999E-2</v>
      </c>
      <c r="N3" s="21">
        <v>1</v>
      </c>
      <c r="O3" s="22" t="s">
        <v>30</v>
      </c>
      <c r="P3" s="23" t="s">
        <v>31</v>
      </c>
      <c r="Q3" s="22" t="s">
        <v>32</v>
      </c>
      <c r="R3" s="24">
        <v>42662.339988425927</v>
      </c>
      <c r="S3" s="25">
        <v>44362</v>
      </c>
      <c r="T3" s="26" t="s">
        <v>33</v>
      </c>
      <c r="U3" s="27" t="s">
        <v>34</v>
      </c>
      <c r="V3" s="27">
        <v>60</v>
      </c>
      <c r="W3" s="28">
        <v>6.5000000000000002E-2</v>
      </c>
      <c r="Y3" s="29" t="s">
        <v>35</v>
      </c>
      <c r="Z3" s="30">
        <f>COUNTIF($R:$R,"&lt;"&amp;DATE(2021,3,15))</f>
        <v>1086</v>
      </c>
      <c r="AA3" s="13"/>
      <c r="AB3" s="13"/>
      <c r="AC3" s="13"/>
      <c r="AD3" s="13"/>
      <c r="AE3" s="13"/>
      <c r="AF3" s="13"/>
      <c r="AG3" s="13"/>
      <c r="AH3" s="13"/>
      <c r="AI3" s="13"/>
      <c r="AJ3" s="13"/>
      <c r="AK3" s="13"/>
      <c r="AL3" s="13"/>
      <c r="AM3" s="13"/>
      <c r="AN3" s="13"/>
      <c r="AO3" s="13"/>
      <c r="AP3" s="13"/>
      <c r="AQ3" s="13"/>
      <c r="AR3" s="13"/>
      <c r="AS3" s="13"/>
      <c r="AT3" s="13"/>
      <c r="AU3" s="13"/>
    </row>
    <row r="4" spans="1:47" ht="27" customHeight="1" x14ac:dyDescent="0.25">
      <c r="D4" s="14" t="s">
        <v>36</v>
      </c>
      <c r="E4" s="14" t="s">
        <v>37</v>
      </c>
      <c r="F4" s="84" t="s">
        <v>38</v>
      </c>
      <c r="G4" s="15" t="s">
        <v>27</v>
      </c>
      <c r="H4" s="16" t="s">
        <v>39</v>
      </c>
      <c r="I4" s="17"/>
      <c r="J4" s="18" t="s">
        <v>40</v>
      </c>
      <c r="K4" s="19">
        <v>310</v>
      </c>
      <c r="L4" s="20">
        <v>6.7000000000000004E-2</v>
      </c>
      <c r="N4" s="31">
        <v>2</v>
      </c>
      <c r="O4" s="32" t="s">
        <v>41</v>
      </c>
      <c r="P4" s="33" t="s">
        <v>42</v>
      </c>
      <c r="Q4" s="32" t="s">
        <v>32</v>
      </c>
      <c r="R4" s="34">
        <v>44258.672500000001</v>
      </c>
      <c r="S4" s="35">
        <v>44362</v>
      </c>
      <c r="T4" s="32" t="str">
        <f>"+"&amp;_xlfn.XLOOKUP($O4, $E$2:$E$3002, $H$2:$H$3002, "Not Found")</f>
        <v>+0842 92801***</v>
      </c>
      <c r="U4" s="32" t="str">
        <f ca="1" xml:space="preserve"> LOWER(LEFT(_xlfn.XLOOKUP($O4, $E$2:$E$3002, $D$2:$D$3002), 4))
  &amp; "***@"
  &amp; IF(RAND()&gt;0.5, "jossmail.com", "yuhuumail.com")</f>
        <v>lill***@jossmail.com</v>
      </c>
      <c r="V4" s="32">
        <f>DATEDIF(_xlfn.XLOOKUP($O4, $E$2:$E$3002, $F$2:$F$3002), $R4, "Y")</f>
        <v>49</v>
      </c>
      <c r="W4" s="36">
        <f>IF(DATEDIF($R4, $S4, "Y") &gt;= 3, 0.025,
   IF(DATEDIF($R4, $S4, "Y") &gt;= 1, 0.015, 0)) +
 IF($V4 &gt;= 50, 0.04,
   IF($V4 &gt;= 40, 0.03,
     IF($V4 &gt;= 30, 0.02,
       IF($V4 &gt;= 20, 0.05, 0))))</f>
        <v>0.03</v>
      </c>
      <c r="Y4" s="29" t="s">
        <v>43</v>
      </c>
      <c r="Z4" s="30">
        <f>COUNTIF($R:$R,"&gt;"&amp;DATE(2021,3,15))</f>
        <v>414</v>
      </c>
      <c r="AA4" s="13"/>
      <c r="AB4" s="13"/>
      <c r="AC4" s="13"/>
      <c r="AD4" s="13"/>
      <c r="AE4" s="13"/>
      <c r="AF4" s="37"/>
      <c r="AG4" s="13"/>
      <c r="AH4" s="13"/>
      <c r="AI4" s="13"/>
      <c r="AJ4" s="13"/>
      <c r="AK4" s="13"/>
      <c r="AL4" s="13"/>
      <c r="AM4" s="13"/>
      <c r="AN4" s="13"/>
      <c r="AO4" s="13"/>
      <c r="AP4" s="13"/>
      <c r="AQ4" s="13"/>
      <c r="AR4" s="13"/>
      <c r="AS4" s="13"/>
      <c r="AT4" s="13"/>
      <c r="AU4" s="13"/>
    </row>
    <row r="5" spans="1:47" ht="27" customHeight="1" x14ac:dyDescent="0.25">
      <c r="D5" s="14" t="s">
        <v>44</v>
      </c>
      <c r="E5" s="14" t="s">
        <v>45</v>
      </c>
      <c r="F5" s="84" t="s">
        <v>46</v>
      </c>
      <c r="G5" s="15" t="s">
        <v>27</v>
      </c>
      <c r="H5" s="16" t="s">
        <v>47</v>
      </c>
      <c r="I5" s="17"/>
      <c r="N5" s="31">
        <v>3</v>
      </c>
      <c r="O5" s="32" t="s">
        <v>48</v>
      </c>
      <c r="P5" s="33" t="s">
        <v>31</v>
      </c>
      <c r="Q5" s="32" t="s">
        <v>32</v>
      </c>
      <c r="R5" s="34">
        <v>44258.6716087963</v>
      </c>
      <c r="S5" s="35">
        <v>44318</v>
      </c>
      <c r="T5" s="32" t="str">
        <f t="shared" ref="T5:T68" si="0">"+"&amp;_xlfn.XLOOKUP($O5, $E$2:$E$3002, $H$2:$H$3002, "Not Found")</f>
        <v>+0832 13354***</v>
      </c>
      <c r="U5" s="32" t="str">
        <f t="shared" ref="U5:U68" ca="1" si="1" xml:space="preserve"> LOWER(LEFT(_xlfn.XLOOKUP($O5, $E$2:$E$3002, $D$2:$D$3002), 4))
  &amp; "***@"
  &amp; IF(RAND()&gt;0.5, "jossmail.com", "yuhuumail.com")</f>
        <v>adis***@yuhuumail.com</v>
      </c>
      <c r="V5" s="32">
        <f t="shared" ref="V5:V68" si="2">DATEDIF(_xlfn.XLOOKUP($O5, $E$2:$E$3002, $F$2:$F$3002), $R5, "Y")</f>
        <v>49</v>
      </c>
      <c r="W5" s="36">
        <f t="shared" ref="W5:W68" si="3">IF(DATEDIF($R5, $S5, "Y") &gt;= 3, 0.025,
   IF(DATEDIF($R5, $S5, "Y") &gt;= 1, 0.015, 0)) +
 IF($V5 &gt;= 50, 0.04,
   IF($V5 &gt;= 40, 0.03,
     IF($V5 &gt;= 30, 0.02,
       IF($V5 &gt;= 20, 0.05, 0))))</f>
        <v>0.03</v>
      </c>
      <c r="Y5" s="17"/>
      <c r="Z5" s="38"/>
      <c r="AA5" s="13"/>
      <c r="AB5" s="13"/>
      <c r="AC5" s="13"/>
      <c r="AD5" s="13"/>
      <c r="AE5" s="13"/>
      <c r="AF5" s="13"/>
      <c r="AG5" s="13"/>
      <c r="AH5" s="13"/>
      <c r="AI5" s="13"/>
      <c r="AJ5" s="13"/>
      <c r="AK5" s="13"/>
      <c r="AL5" s="13"/>
      <c r="AM5" s="13"/>
      <c r="AN5" s="13"/>
      <c r="AO5" s="13"/>
      <c r="AP5" s="13"/>
      <c r="AQ5" s="13"/>
      <c r="AR5" s="13"/>
      <c r="AS5" s="13"/>
      <c r="AT5" s="13"/>
      <c r="AU5" s="13"/>
    </row>
    <row r="6" spans="1:47" ht="27" customHeight="1" x14ac:dyDescent="0.25">
      <c r="D6" s="14" t="s">
        <v>49</v>
      </c>
      <c r="E6" s="14" t="s">
        <v>50</v>
      </c>
      <c r="F6" s="84" t="s">
        <v>51</v>
      </c>
      <c r="G6" s="15" t="s">
        <v>27</v>
      </c>
      <c r="H6" s="16" t="s">
        <v>52</v>
      </c>
      <c r="I6" s="17"/>
      <c r="J6" s="4" t="s">
        <v>53</v>
      </c>
      <c r="K6" s="4" t="s">
        <v>54</v>
      </c>
      <c r="L6" s="4" t="s">
        <v>55</v>
      </c>
      <c r="N6" s="31">
        <v>4</v>
      </c>
      <c r="O6" s="32" t="s">
        <v>56</v>
      </c>
      <c r="P6" s="33" t="s">
        <v>57</v>
      </c>
      <c r="Q6" s="32" t="s">
        <v>32</v>
      </c>
      <c r="R6" s="34">
        <v>44258.681134259263</v>
      </c>
      <c r="S6" s="35">
        <v>44354</v>
      </c>
      <c r="T6" s="32" t="str">
        <f t="shared" si="0"/>
        <v>+832 49326***</v>
      </c>
      <c r="U6" s="32" t="str">
        <f t="shared" ca="1" si="1"/>
        <v>anya***@yuhuumail.com</v>
      </c>
      <c r="V6" s="32">
        <f t="shared" si="2"/>
        <v>47</v>
      </c>
      <c r="W6" s="36">
        <f t="shared" si="3"/>
        <v>0.03</v>
      </c>
      <c r="Y6" s="11" t="s">
        <v>58</v>
      </c>
      <c r="Z6" s="12" t="s">
        <v>23</v>
      </c>
      <c r="AA6" s="13"/>
      <c r="AB6" s="13"/>
      <c r="AC6" s="13"/>
      <c r="AD6" s="13"/>
      <c r="AE6" s="13"/>
      <c r="AF6" s="13"/>
      <c r="AG6" s="13"/>
      <c r="AH6" s="13"/>
      <c r="AI6" s="13"/>
      <c r="AJ6" s="13"/>
      <c r="AK6" s="13"/>
      <c r="AL6" s="13"/>
      <c r="AM6" s="13"/>
      <c r="AN6" s="13"/>
      <c r="AO6" s="13"/>
      <c r="AP6" s="13"/>
      <c r="AQ6" s="13"/>
      <c r="AR6" s="13"/>
      <c r="AS6" s="13"/>
      <c r="AT6" s="13"/>
      <c r="AU6" s="13"/>
    </row>
    <row r="7" spans="1:47" ht="27" customHeight="1" x14ac:dyDescent="0.25">
      <c r="D7" s="14" t="s">
        <v>59</v>
      </c>
      <c r="E7" s="14" t="s">
        <v>60</v>
      </c>
      <c r="F7" s="84" t="s">
        <v>61</v>
      </c>
      <c r="G7" s="15" t="s">
        <v>27</v>
      </c>
      <c r="H7" s="16" t="s">
        <v>62</v>
      </c>
      <c r="I7" s="17"/>
      <c r="J7" s="11" t="s">
        <v>42</v>
      </c>
      <c r="K7" s="39" t="s">
        <v>63</v>
      </c>
      <c r="L7" s="40">
        <v>7850</v>
      </c>
      <c r="N7" s="31">
        <v>5</v>
      </c>
      <c r="O7" s="32" t="s">
        <v>64</v>
      </c>
      <c r="P7" s="33" t="s">
        <v>31</v>
      </c>
      <c r="Q7" s="32" t="s">
        <v>32</v>
      </c>
      <c r="R7" s="34">
        <v>44258.674745370372</v>
      </c>
      <c r="S7" s="35">
        <v>44348</v>
      </c>
      <c r="T7" s="32" t="str">
        <f t="shared" si="0"/>
        <v>+084273214***</v>
      </c>
      <c r="U7" s="32" t="str">
        <f t="shared" ca="1" si="1"/>
        <v>jako***@jossmail.com</v>
      </c>
      <c r="V7" s="32">
        <f t="shared" si="2"/>
        <v>47</v>
      </c>
      <c r="W7" s="36">
        <f t="shared" si="3"/>
        <v>0.03</v>
      </c>
      <c r="Y7" s="29" t="s">
        <v>32</v>
      </c>
      <c r="Z7" s="30">
        <f>COUNTIF($Q:$Q,"LinkedIn")</f>
        <v>892</v>
      </c>
      <c r="AA7" s="13"/>
      <c r="AB7" s="41"/>
      <c r="AC7" s="13"/>
      <c r="AD7" s="13"/>
      <c r="AE7" s="13"/>
      <c r="AF7" s="13"/>
      <c r="AG7" s="13"/>
      <c r="AH7" s="42"/>
      <c r="AI7" s="13"/>
      <c r="AJ7" s="13"/>
      <c r="AK7" s="13"/>
      <c r="AL7" s="13"/>
      <c r="AM7" s="13"/>
      <c r="AN7" s="13"/>
      <c r="AO7" s="13"/>
      <c r="AP7" s="13"/>
      <c r="AQ7" s="13"/>
      <c r="AR7" s="13"/>
      <c r="AS7" s="13"/>
      <c r="AT7" s="13"/>
      <c r="AU7" s="13"/>
    </row>
    <row r="8" spans="1:47" ht="27" customHeight="1" x14ac:dyDescent="0.25">
      <c r="D8" s="14" t="s">
        <v>65</v>
      </c>
      <c r="E8" s="14" t="s">
        <v>66</v>
      </c>
      <c r="F8" s="84" t="s">
        <v>67</v>
      </c>
      <c r="G8" s="15" t="s">
        <v>68</v>
      </c>
      <c r="H8" s="16" t="s">
        <v>69</v>
      </c>
      <c r="I8" s="17"/>
      <c r="J8" s="11" t="s">
        <v>57</v>
      </c>
      <c r="K8" s="39" t="s">
        <v>70</v>
      </c>
      <c r="L8" s="40">
        <v>9500</v>
      </c>
      <c r="N8" s="31">
        <v>6</v>
      </c>
      <c r="O8" s="32" t="s">
        <v>71</v>
      </c>
      <c r="P8" s="33" t="s">
        <v>31</v>
      </c>
      <c r="Q8" s="32" t="s">
        <v>32</v>
      </c>
      <c r="R8" s="34">
        <v>44258.675787037035</v>
      </c>
      <c r="S8" s="35">
        <v>44359</v>
      </c>
      <c r="T8" s="32" t="str">
        <f t="shared" si="0"/>
        <v>+83297340***</v>
      </c>
      <c r="U8" s="32" t="str">
        <f t="shared" ca="1" si="1"/>
        <v>ande***@jossmail.com</v>
      </c>
      <c r="V8" s="32">
        <f t="shared" si="2"/>
        <v>47</v>
      </c>
      <c r="W8" s="36">
        <f t="shared" si="3"/>
        <v>0.03</v>
      </c>
      <c r="Y8" s="29" t="s">
        <v>40</v>
      </c>
      <c r="Z8" s="30">
        <f>COUNTIF($Q:$Q,"Jobseeker")</f>
        <v>608</v>
      </c>
      <c r="AA8" s="13"/>
      <c r="AB8" s="13"/>
      <c r="AC8" s="13"/>
      <c r="AD8" s="13"/>
      <c r="AE8" s="13"/>
      <c r="AF8" s="13"/>
      <c r="AG8" s="13"/>
      <c r="AH8" s="13"/>
      <c r="AI8" s="13"/>
      <c r="AJ8" s="13"/>
      <c r="AK8" s="13"/>
      <c r="AL8" s="13"/>
      <c r="AM8" s="13"/>
      <c r="AN8" s="13"/>
      <c r="AO8" s="13"/>
      <c r="AP8" s="13"/>
      <c r="AQ8" s="13"/>
      <c r="AR8" s="13"/>
      <c r="AS8" s="13"/>
      <c r="AT8" s="13"/>
      <c r="AU8" s="13"/>
    </row>
    <row r="9" spans="1:47" ht="27" customHeight="1" x14ac:dyDescent="0.25">
      <c r="D9" s="14" t="s">
        <v>72</v>
      </c>
      <c r="E9" s="14" t="s">
        <v>73</v>
      </c>
      <c r="F9" s="84" t="s">
        <v>74</v>
      </c>
      <c r="G9" s="15" t="s">
        <v>68</v>
      </c>
      <c r="H9" s="16" t="s">
        <v>75</v>
      </c>
      <c r="I9" s="17"/>
      <c r="J9" s="11" t="s">
        <v>31</v>
      </c>
      <c r="K9" s="39" t="s">
        <v>76</v>
      </c>
      <c r="L9" s="40">
        <v>12500</v>
      </c>
      <c r="N9" s="31">
        <v>7</v>
      </c>
      <c r="O9" s="32" t="s">
        <v>77</v>
      </c>
      <c r="P9" s="33" t="s">
        <v>42</v>
      </c>
      <c r="Q9" s="32" t="s">
        <v>32</v>
      </c>
      <c r="R9" s="34">
        <v>44258.674710648149</v>
      </c>
      <c r="S9" s="35">
        <v>44330</v>
      </c>
      <c r="T9" s="32" t="str">
        <f t="shared" si="0"/>
        <v>+85262379***</v>
      </c>
      <c r="U9" s="32" t="str">
        <f t="shared" ca="1" si="1"/>
        <v>bail***@yuhuumail.com</v>
      </c>
      <c r="V9" s="32">
        <f t="shared" si="2"/>
        <v>46</v>
      </c>
      <c r="W9" s="36">
        <f t="shared" si="3"/>
        <v>0.03</v>
      </c>
      <c r="Y9" s="17"/>
      <c r="Z9" s="38"/>
      <c r="AA9" s="13"/>
      <c r="AB9" s="13"/>
      <c r="AC9" s="13"/>
      <c r="AD9" s="13"/>
      <c r="AE9" s="13"/>
      <c r="AF9" s="13"/>
      <c r="AG9" s="13"/>
      <c r="AH9" s="41"/>
      <c r="AI9" s="13"/>
      <c r="AJ9" s="13"/>
      <c r="AK9" s="13"/>
      <c r="AL9" s="13"/>
      <c r="AM9" s="13"/>
      <c r="AN9" s="13"/>
      <c r="AO9" s="13"/>
      <c r="AP9" s="13"/>
      <c r="AQ9" s="13"/>
      <c r="AR9" s="13"/>
      <c r="AS9" s="13"/>
      <c r="AT9" s="13"/>
      <c r="AU9" s="13"/>
    </row>
    <row r="10" spans="1:47" ht="27" customHeight="1" x14ac:dyDescent="0.25">
      <c r="D10" s="14" t="s">
        <v>78</v>
      </c>
      <c r="E10" s="14" t="s">
        <v>79</v>
      </c>
      <c r="F10" s="84" t="s">
        <v>80</v>
      </c>
      <c r="G10" s="15" t="s">
        <v>68</v>
      </c>
      <c r="H10" s="16" t="s">
        <v>81</v>
      </c>
      <c r="I10" s="17"/>
      <c r="J10" s="17"/>
      <c r="K10" s="17"/>
      <c r="L10" s="17"/>
      <c r="N10" s="31">
        <v>8</v>
      </c>
      <c r="O10" s="32" t="s">
        <v>82</v>
      </c>
      <c r="P10" s="33" t="s">
        <v>31</v>
      </c>
      <c r="Q10" s="32" t="s">
        <v>32</v>
      </c>
      <c r="R10" s="34">
        <v>44258.683055555557</v>
      </c>
      <c r="S10" s="35">
        <v>44359</v>
      </c>
      <c r="T10" s="32" t="str">
        <f t="shared" si="0"/>
        <v>+0842-25131***</v>
      </c>
      <c r="U10" s="32" t="str">
        <f t="shared" ca="1" si="1"/>
        <v>ayla***@yuhuumail.com</v>
      </c>
      <c r="V10" s="32">
        <f t="shared" si="2"/>
        <v>46</v>
      </c>
      <c r="W10" s="36">
        <f t="shared" si="3"/>
        <v>0.03</v>
      </c>
      <c r="Y10" s="11" t="s">
        <v>53</v>
      </c>
      <c r="Z10" s="12" t="s">
        <v>23</v>
      </c>
      <c r="AA10" s="43" t="s">
        <v>83</v>
      </c>
      <c r="AB10" s="43" t="s">
        <v>84</v>
      </c>
      <c r="AC10" s="43" t="s">
        <v>85</v>
      </c>
      <c r="AD10" s="43" t="s">
        <v>86</v>
      </c>
      <c r="AE10" s="43" t="s">
        <v>87</v>
      </c>
      <c r="AF10" s="43" t="s">
        <v>88</v>
      </c>
      <c r="AG10" s="43" t="s">
        <v>89</v>
      </c>
      <c r="AI10" s="13"/>
      <c r="AJ10" s="13"/>
      <c r="AK10" s="13"/>
      <c r="AL10" s="13"/>
      <c r="AM10" s="13"/>
      <c r="AN10" s="13"/>
      <c r="AO10" s="13"/>
      <c r="AP10" s="13"/>
      <c r="AQ10" s="13"/>
      <c r="AR10" s="13"/>
      <c r="AS10" s="13"/>
      <c r="AT10" s="13"/>
      <c r="AU10" s="13"/>
    </row>
    <row r="11" spans="1:47" ht="27" customHeight="1" x14ac:dyDescent="0.25">
      <c r="D11" s="14" t="s">
        <v>90</v>
      </c>
      <c r="E11" s="14" t="s">
        <v>91</v>
      </c>
      <c r="F11" s="84" t="s">
        <v>92</v>
      </c>
      <c r="G11" s="15" t="s">
        <v>27</v>
      </c>
      <c r="H11" s="16" t="s">
        <v>93</v>
      </c>
      <c r="I11" s="17"/>
      <c r="J11" s="4" t="s">
        <v>94</v>
      </c>
      <c r="K11" s="4" t="s">
        <v>95</v>
      </c>
      <c r="L11" s="4" t="s">
        <v>96</v>
      </c>
      <c r="N11" s="31">
        <v>9</v>
      </c>
      <c r="O11" s="32" t="s">
        <v>97</v>
      </c>
      <c r="P11" s="33" t="s">
        <v>31</v>
      </c>
      <c r="Q11" s="32" t="s">
        <v>32</v>
      </c>
      <c r="R11" s="34">
        <v>43208.567303240743</v>
      </c>
      <c r="S11" s="35">
        <v>44352</v>
      </c>
      <c r="T11" s="32" t="str">
        <f t="shared" si="0"/>
        <v>+084275359***</v>
      </c>
      <c r="U11" s="32" t="str">
        <f t="shared" ca="1" si="1"/>
        <v>brid***@yuhuumail.com</v>
      </c>
      <c r="V11" s="32">
        <f t="shared" si="2"/>
        <v>43</v>
      </c>
      <c r="W11" s="36">
        <f t="shared" si="3"/>
        <v>5.5E-2</v>
      </c>
      <c r="Y11" s="29" t="s">
        <v>42</v>
      </c>
      <c r="Z11" s="90">
        <f>COUNTIF($P:$P,"To be a Sales &amp; Marketing Associate")</f>
        <v>336</v>
      </c>
      <c r="AA11" s="91">
        <f>Z11 * VLOOKUP("To be a Sales &amp; Marketing Associate", $J$6:$L$9, 3, FALSE)</f>
        <v>2637600</v>
      </c>
      <c r="AB11" s="91">
        <f>Z11 * AVERAGE(K3:K4)</f>
        <v>94080</v>
      </c>
      <c r="AC11" s="91" cm="1">
        <f t="array" ref="AC11">SUMPRODUCT(($P$3:$P$1500="To be a Sales &amp; Marketing Associate") * ($W$3:$W$1500) * VLOOKUP("To be a Sales &amp; Marketing Associate", $J$6:$L$9, 3, FALSE))</f>
        <v>127052.25</v>
      </c>
      <c r="AD11" s="91" cm="1">
        <f t="array" ref="AD11">SUMPRODUCT(($P$3:$P$1500="To be a Sales &amp; Marketing Associate") *
            (($Q$3:$Q$1500="LinkedIn") * $L$3 + ($Q$3:$Q$1500="Jobseeker") * $L$4) *
            VLOOKUP("To be a Sales &amp; Marketing Associate", $J$6:$L$9, 3, FALSE) * (1-$W$3:$W$1500))</f>
        <v>149022.82999999973</v>
      </c>
      <c r="AE11" s="30">
        <f>Z11 * 10</f>
        <v>3360</v>
      </c>
      <c r="AF11" s="91">
        <f>Z11 * VLOOKUP("To be a Sales &amp; Marketing Associate", $J$18:$K$21, 2, FALSE)</f>
        <v>77280</v>
      </c>
      <c r="AG11" s="91" cm="1">
        <f t="array" ref="AG11">SUMPRODUCT(($P$3:$P$1500="To be a Sales &amp; Marketing Associate") *
            IFERROR(INDEX($L$11:$L$16, MATCH(LEFT($T$3:$T$1500, 5)&amp;"*", $J$11:$J$16, 0)), 0))</f>
        <v>164.69999999999993</v>
      </c>
      <c r="AI11" s="13"/>
      <c r="AJ11" s="13"/>
      <c r="AK11" s="13"/>
      <c r="AL11" s="13"/>
      <c r="AM11" s="13"/>
      <c r="AN11" s="13"/>
      <c r="AO11" s="13"/>
      <c r="AP11" s="13"/>
      <c r="AQ11" s="13"/>
      <c r="AR11" s="13"/>
      <c r="AS11" s="13"/>
      <c r="AT11" s="13"/>
      <c r="AU11" s="13"/>
    </row>
    <row r="12" spans="1:47" ht="27" customHeight="1" x14ac:dyDescent="0.25">
      <c r="D12" s="14" t="s">
        <v>98</v>
      </c>
      <c r="E12" s="14" t="s">
        <v>99</v>
      </c>
      <c r="F12" s="84" t="s">
        <v>100</v>
      </c>
      <c r="G12" s="15" t="s">
        <v>68</v>
      </c>
      <c r="H12" s="16" t="s">
        <v>101</v>
      </c>
      <c r="I12" s="17"/>
      <c r="J12" s="18" t="s">
        <v>102</v>
      </c>
      <c r="K12" s="15" t="s">
        <v>103</v>
      </c>
      <c r="L12" s="19">
        <v>2.5</v>
      </c>
      <c r="N12" s="31">
        <v>10</v>
      </c>
      <c r="O12" s="32" t="s">
        <v>104</v>
      </c>
      <c r="P12" s="33" t="s">
        <v>31</v>
      </c>
      <c r="Q12" s="32" t="s">
        <v>32</v>
      </c>
      <c r="R12" s="34">
        <v>44258.682835648149</v>
      </c>
      <c r="S12" s="35">
        <v>44362</v>
      </c>
      <c r="T12" s="32" t="str">
        <f t="shared" si="0"/>
        <v>+6283221776***</v>
      </c>
      <c r="U12" s="32" t="str">
        <f t="shared" ca="1" si="1"/>
        <v>megh***@jossmail.com</v>
      </c>
      <c r="V12" s="32">
        <f t="shared" si="2"/>
        <v>46</v>
      </c>
      <c r="W12" s="36">
        <f t="shared" si="3"/>
        <v>0.03</v>
      </c>
      <c r="Y12" s="29" t="s">
        <v>57</v>
      </c>
      <c r="Z12" s="30">
        <f>COUNTIF($P:$P,"To be a Qulity Ansurance Manager")</f>
        <v>367</v>
      </c>
      <c r="AA12" s="91">
        <f>Z12 * VLOOKUP("To be a Qulity Ansurance Manager", $J$6:$L$9, 3, FALSE)</f>
        <v>3486500</v>
      </c>
      <c r="AB12" s="91">
        <f>Z12 * AVERAGE(K3:K4)</f>
        <v>102760</v>
      </c>
      <c r="AC12" s="91" cm="1">
        <f t="array" ref="AC12">SUMPRODUCT(($P$3:$P$1500="To be a Qulity Ansurance Manager") * ($W$3:$W$1500) * VLOOKUP("To be a Qulity Ansurance Manager", $J$6:$L$9, 3, FALSE))</f>
        <v>168767.5</v>
      </c>
      <c r="AD12" s="91" cm="1">
        <f t="array" ref="AD12">SUMPRODUCT(($P$3:$P$1500="To be a Qulity Ansurance Manager") *
            (($Q$3:$Q$1500="LinkedIn") * $L$3 + ($Q$3:$Q$1500="Jobseeker") * $L$4) *
            VLOOKUP("To be a Qulity Ansurance Manager", $J$6:$L$9, 3, FALSE) * (1-$W$3:$W$1500))</f>
        <v>199415.26000000007</v>
      </c>
      <c r="AE12" s="30">
        <f>Z12 * 10</f>
        <v>3670</v>
      </c>
      <c r="AF12" s="91">
        <f>Z12 * VLOOKUP("To be a Qulity Ansurance Manager", $J$18:$K$21, 2, FALSE)</f>
        <v>99090</v>
      </c>
      <c r="AG12" s="91" cm="1">
        <f t="array" ref="AG12">SUMPRODUCT(($P$3:$P$1500="To be a Qulity Ansurance Manager") *
            IFERROR(INDEX($L$11:$L$16, MATCH(LEFT($T$3:$T$1500, 5)&amp;"*", $J$11:$J$16, 0)), 0))</f>
        <v>143.29999999999995</v>
      </c>
      <c r="AI12" s="13"/>
      <c r="AJ12" s="13"/>
      <c r="AK12" s="13"/>
      <c r="AL12" s="13"/>
      <c r="AM12" s="13"/>
      <c r="AN12" s="13"/>
      <c r="AO12" s="13"/>
      <c r="AP12" s="13"/>
      <c r="AQ12" s="13"/>
      <c r="AR12" s="13"/>
      <c r="AS12" s="13"/>
      <c r="AT12" s="13"/>
      <c r="AU12" s="13"/>
    </row>
    <row r="13" spans="1:47" ht="27" customHeight="1" x14ac:dyDescent="0.25">
      <c r="D13" s="14" t="s">
        <v>105</v>
      </c>
      <c r="E13" s="14" t="s">
        <v>106</v>
      </c>
      <c r="F13" s="84" t="s">
        <v>107</v>
      </c>
      <c r="G13" s="15" t="s">
        <v>27</v>
      </c>
      <c r="H13" s="16" t="s">
        <v>108</v>
      </c>
      <c r="I13" s="17"/>
      <c r="J13" s="18" t="s">
        <v>109</v>
      </c>
      <c r="K13" s="15" t="s">
        <v>110</v>
      </c>
      <c r="L13" s="19">
        <v>3.7</v>
      </c>
      <c r="N13" s="31">
        <v>11</v>
      </c>
      <c r="O13" s="32" t="s">
        <v>111</v>
      </c>
      <c r="P13" s="33" t="s">
        <v>42</v>
      </c>
      <c r="Q13" s="32" t="s">
        <v>32</v>
      </c>
      <c r="R13" s="34">
        <v>44258.682118055556</v>
      </c>
      <c r="S13" s="35">
        <v>44322</v>
      </c>
      <c r="T13" s="32" t="str">
        <f t="shared" si="0"/>
        <v>+85276649***</v>
      </c>
      <c r="U13" s="32" t="str">
        <f t="shared" ca="1" si="1"/>
        <v>clay***@yuhuumail.com</v>
      </c>
      <c r="V13" s="32">
        <f t="shared" si="2"/>
        <v>46</v>
      </c>
      <c r="W13" s="36">
        <f t="shared" si="3"/>
        <v>0.03</v>
      </c>
      <c r="Y13" s="29" t="s">
        <v>31</v>
      </c>
      <c r="Z13" s="30">
        <f>COUNTIF($P:$P,"To be an Engineering Specialist")</f>
        <v>580</v>
      </c>
      <c r="AA13" s="91">
        <f>Z13 * VLOOKUP("To be an Engineering Specialist", $J$6:$L$9, 3, FALSE)</f>
        <v>7250000</v>
      </c>
      <c r="AB13" s="91">
        <f>Z13 * AVERAGE(K3:K4)</f>
        <v>162400</v>
      </c>
      <c r="AC13" s="91" cm="1">
        <f t="array" ref="AC13">SUMPRODUCT(($P$3:$P$1500="To be an Engineering Specialist") * ($W$3:$W$1500) * VLOOKUP("To be an Engineering Specialist", $J$6:$L$9, 3, FALSE))</f>
        <v>338875</v>
      </c>
      <c r="AD13" s="91" cm="1">
        <f t="array" ref="AD13">SUMPRODUCT(($P$3:$P$1500="To be an Engineering Specialist") *
            (($Q$3:$Q$1500="LinkedIn") * $L$3 + ($Q$3:$Q$1500="Jobseeker") * $L$4) *
            VLOOKUP("To be an Engineering Specialist", $J$6:$L$9, 3, FALSE) * (1-$W$3:$W$1500))</f>
        <v>410841.4375</v>
      </c>
      <c r="AE13" s="30">
        <f>Z13 * 16</f>
        <v>9280</v>
      </c>
      <c r="AF13" s="91">
        <f>Z13 * VLOOKUP("To be an Engineering Specialist", $J$18:$K$21, 2, FALSE)</f>
        <v>205900</v>
      </c>
      <c r="AG13" s="91" cm="1">
        <f t="array" ref="AG13">SUMPRODUCT(($P$3:$P$1500="To be an Engineering Specialist") *
            IFERROR(INDEX($L$11:$L$16, MATCH(LEFT($T$3:$T$1500, 5)&amp;"*", $J$11:$J$16, 0)), 0))</f>
        <v>302.29999999999978</v>
      </c>
      <c r="AI13" s="13"/>
      <c r="AJ13" s="13"/>
      <c r="AK13" s="13"/>
      <c r="AL13" s="13"/>
      <c r="AM13" s="13"/>
      <c r="AN13" s="13"/>
      <c r="AO13" s="13"/>
      <c r="AP13" s="13"/>
      <c r="AQ13" s="13"/>
      <c r="AR13" s="13"/>
      <c r="AS13" s="13"/>
      <c r="AT13" s="13"/>
      <c r="AU13" s="13"/>
    </row>
    <row r="14" spans="1:47" ht="27" customHeight="1" x14ac:dyDescent="0.25">
      <c r="D14" s="14" t="s">
        <v>112</v>
      </c>
      <c r="E14" s="14" t="s">
        <v>113</v>
      </c>
      <c r="F14" s="84" t="s">
        <v>114</v>
      </c>
      <c r="G14" s="15" t="s">
        <v>27</v>
      </c>
      <c r="H14" s="16" t="s">
        <v>115</v>
      </c>
      <c r="I14" s="17"/>
      <c r="J14" s="18" t="s">
        <v>116</v>
      </c>
      <c r="K14" s="15" t="s">
        <v>117</v>
      </c>
      <c r="L14" s="19">
        <v>4.0999999999999996</v>
      </c>
      <c r="N14" s="31">
        <v>12</v>
      </c>
      <c r="O14" s="32" t="s">
        <v>118</v>
      </c>
      <c r="P14" s="33" t="s">
        <v>42</v>
      </c>
      <c r="Q14" s="32" t="s">
        <v>32</v>
      </c>
      <c r="R14" s="34">
        <v>44258.686585648145</v>
      </c>
      <c r="S14" s="35">
        <v>44320</v>
      </c>
      <c r="T14" s="32" t="str">
        <f t="shared" si="0"/>
        <v>+082265494***</v>
      </c>
      <c r="U14" s="32" t="str">
        <f t="shared" ca="1" si="1"/>
        <v>brya***@yuhuumail.com</v>
      </c>
      <c r="V14" s="32">
        <f t="shared" si="2"/>
        <v>46</v>
      </c>
      <c r="W14" s="36">
        <f t="shared" si="3"/>
        <v>0.03</v>
      </c>
      <c r="Y14" s="17"/>
      <c r="Z14" s="38"/>
      <c r="AA14" s="13"/>
      <c r="AB14" s="13"/>
      <c r="AC14" s="13"/>
      <c r="AD14" s="13"/>
      <c r="AE14" s="13"/>
      <c r="AF14" s="13"/>
      <c r="AG14" s="13"/>
      <c r="AH14" s="13"/>
      <c r="AI14" s="13"/>
      <c r="AJ14" s="13"/>
      <c r="AK14" s="13"/>
      <c r="AL14" s="13"/>
      <c r="AM14" s="13"/>
      <c r="AN14" s="13"/>
      <c r="AO14" s="13"/>
      <c r="AP14" s="13"/>
      <c r="AQ14" s="13"/>
      <c r="AR14" s="13"/>
      <c r="AS14" s="13"/>
      <c r="AT14" s="13"/>
      <c r="AU14" s="13"/>
    </row>
    <row r="15" spans="1:47" ht="27" customHeight="1" x14ac:dyDescent="0.25">
      <c r="D15" s="14" t="s">
        <v>119</v>
      </c>
      <c r="E15" s="14" t="s">
        <v>120</v>
      </c>
      <c r="F15" s="84" t="s">
        <v>121</v>
      </c>
      <c r="G15" s="15" t="s">
        <v>27</v>
      </c>
      <c r="H15" s="16" t="s">
        <v>122</v>
      </c>
      <c r="I15" s="17"/>
      <c r="J15" s="18" t="s">
        <v>123</v>
      </c>
      <c r="K15" s="15" t="s">
        <v>124</v>
      </c>
      <c r="L15" s="19">
        <v>2.1</v>
      </c>
      <c r="N15" s="31">
        <v>13</v>
      </c>
      <c r="O15" s="32" t="s">
        <v>125</v>
      </c>
      <c r="P15" s="33" t="s">
        <v>31</v>
      </c>
      <c r="Q15" s="32" t="s">
        <v>32</v>
      </c>
      <c r="R15" s="34">
        <v>44258.690949074073</v>
      </c>
      <c r="S15" s="35">
        <v>44362</v>
      </c>
      <c r="T15" s="32" t="str">
        <f t="shared" si="0"/>
        <v>+085225175***</v>
      </c>
      <c r="U15" s="32" t="str">
        <f t="shared" ca="1" si="1"/>
        <v>dali***@jossmail.com</v>
      </c>
      <c r="V15" s="32">
        <f t="shared" si="2"/>
        <v>45</v>
      </c>
      <c r="W15" s="36">
        <f t="shared" si="3"/>
        <v>0.03</v>
      </c>
      <c r="Y15" s="11" t="s">
        <v>126</v>
      </c>
      <c r="Z15" s="12" t="s">
        <v>23</v>
      </c>
      <c r="AA15" s="45"/>
      <c r="AB15" s="46"/>
      <c r="AC15" s="46"/>
      <c r="AD15" s="45"/>
      <c r="AE15" s="46"/>
      <c r="AF15" s="46"/>
      <c r="AG15" s="46"/>
      <c r="AH15" s="46"/>
      <c r="AI15" s="46"/>
      <c r="AJ15" s="46"/>
      <c r="AK15" s="46"/>
      <c r="AL15" s="46"/>
      <c r="AM15" s="46"/>
      <c r="AN15" s="46"/>
      <c r="AO15" s="46"/>
      <c r="AP15" s="46"/>
      <c r="AQ15" s="46"/>
      <c r="AR15" s="46"/>
      <c r="AS15" s="46"/>
      <c r="AT15" s="46"/>
      <c r="AU15" s="46"/>
    </row>
    <row r="16" spans="1:47" ht="27" customHeight="1" x14ac:dyDescent="0.25">
      <c r="D16" s="14" t="s">
        <v>127</v>
      </c>
      <c r="E16" s="14" t="s">
        <v>128</v>
      </c>
      <c r="F16" s="84" t="s">
        <v>129</v>
      </c>
      <c r="G16" s="15" t="s">
        <v>68</v>
      </c>
      <c r="H16" s="16" t="s">
        <v>130</v>
      </c>
      <c r="I16" s="17"/>
      <c r="J16" s="18" t="s">
        <v>131</v>
      </c>
      <c r="K16" s="15" t="s">
        <v>132</v>
      </c>
      <c r="L16" s="19">
        <v>1.5</v>
      </c>
      <c r="N16" s="31">
        <v>14</v>
      </c>
      <c r="O16" s="32" t="s">
        <v>133</v>
      </c>
      <c r="P16" s="33" t="s">
        <v>31</v>
      </c>
      <c r="Q16" s="32" t="s">
        <v>32</v>
      </c>
      <c r="R16" s="34">
        <v>44258.663055555553</v>
      </c>
      <c r="S16" s="35">
        <v>44354</v>
      </c>
      <c r="T16" s="32" t="str">
        <f t="shared" si="0"/>
        <v>+081277680***</v>
      </c>
      <c r="U16" s="32" t="str">
        <f t="shared" ca="1" si="1"/>
        <v>liab***@jossmail.com</v>
      </c>
      <c r="V16" s="32">
        <f t="shared" si="2"/>
        <v>45</v>
      </c>
      <c r="W16" s="36">
        <f t="shared" si="3"/>
        <v>0.03</v>
      </c>
      <c r="Y16" s="47" t="s">
        <v>134</v>
      </c>
      <c r="Z16" s="30">
        <f ca="1">COUNTIF($U:$U,"*@jossmail.com")</f>
        <v>728</v>
      </c>
      <c r="AA16" s="13"/>
      <c r="AB16" s="48"/>
      <c r="AC16" s="13"/>
      <c r="AD16" s="13"/>
      <c r="AE16" s="13"/>
      <c r="AF16" s="13"/>
      <c r="AG16" s="13"/>
      <c r="AH16" s="13"/>
      <c r="AI16" s="13"/>
      <c r="AJ16" s="13"/>
      <c r="AK16" s="13"/>
      <c r="AL16" s="13"/>
      <c r="AM16" s="13"/>
      <c r="AN16" s="13"/>
      <c r="AO16" s="13"/>
      <c r="AP16" s="13"/>
      <c r="AQ16" s="13"/>
      <c r="AR16" s="13"/>
      <c r="AS16" s="13"/>
      <c r="AT16" s="13"/>
      <c r="AU16" s="13"/>
    </row>
    <row r="17" spans="4:47" ht="27" customHeight="1" x14ac:dyDescent="0.25">
      <c r="D17" s="14" t="s">
        <v>135</v>
      </c>
      <c r="E17" s="14" t="s">
        <v>136</v>
      </c>
      <c r="F17" s="84" t="s">
        <v>137</v>
      </c>
      <c r="G17" s="15" t="s">
        <v>27</v>
      </c>
      <c r="H17" s="16" t="s">
        <v>138</v>
      </c>
      <c r="I17" s="17"/>
      <c r="J17" s="17"/>
      <c r="K17" s="17"/>
      <c r="L17" s="17"/>
      <c r="N17" s="31">
        <v>15</v>
      </c>
      <c r="O17" s="32" t="s">
        <v>139</v>
      </c>
      <c r="P17" s="33" t="s">
        <v>57</v>
      </c>
      <c r="Q17" s="32" t="s">
        <v>32</v>
      </c>
      <c r="R17" s="34">
        <v>44258.693726851852</v>
      </c>
      <c r="S17" s="35">
        <v>44356</v>
      </c>
      <c r="T17" s="32" t="str">
        <f t="shared" si="0"/>
        <v>+81244139***</v>
      </c>
      <c r="U17" s="32" t="str">
        <f t="shared" ca="1" si="1"/>
        <v>harr***@yuhuumail.com</v>
      </c>
      <c r="V17" s="32">
        <f t="shared" si="2"/>
        <v>45</v>
      </c>
      <c r="W17" s="36">
        <f t="shared" si="3"/>
        <v>0.03</v>
      </c>
      <c r="Y17" s="47" t="s">
        <v>140</v>
      </c>
      <c r="Z17" s="30">
        <f ca="1">COUNTIF($U:$U,"*@yuhuumail.com")</f>
        <v>772</v>
      </c>
      <c r="AA17" s="13"/>
      <c r="AB17" s="48"/>
      <c r="AC17" s="13"/>
      <c r="AD17" s="13"/>
      <c r="AE17" s="13"/>
      <c r="AF17" s="13"/>
      <c r="AG17" s="13"/>
      <c r="AH17" s="13"/>
      <c r="AI17" s="13"/>
      <c r="AJ17" s="13"/>
      <c r="AK17" s="13"/>
      <c r="AL17" s="13"/>
      <c r="AM17" s="13"/>
      <c r="AN17" s="13"/>
      <c r="AO17" s="13"/>
      <c r="AP17" s="13"/>
      <c r="AQ17" s="13"/>
      <c r="AR17" s="13"/>
      <c r="AS17" s="13"/>
      <c r="AT17" s="13"/>
      <c r="AU17" s="13"/>
    </row>
    <row r="18" spans="4:47" ht="27" customHeight="1" x14ac:dyDescent="0.25">
      <c r="D18" s="14" t="s">
        <v>141</v>
      </c>
      <c r="E18" s="14" t="s">
        <v>142</v>
      </c>
      <c r="F18" s="84" t="s">
        <v>143</v>
      </c>
      <c r="G18" s="15" t="s">
        <v>68</v>
      </c>
      <c r="H18" s="16" t="s">
        <v>144</v>
      </c>
      <c r="I18" s="17"/>
      <c r="J18" s="4" t="s">
        <v>53</v>
      </c>
      <c r="K18" s="49" t="s">
        <v>145</v>
      </c>
      <c r="L18" s="17"/>
      <c r="N18" s="31">
        <v>16</v>
      </c>
      <c r="O18" s="32" t="s">
        <v>146</v>
      </c>
      <c r="P18" s="33" t="s">
        <v>31</v>
      </c>
      <c r="Q18" s="32" t="s">
        <v>32</v>
      </c>
      <c r="R18" s="34">
        <v>44258.695</v>
      </c>
      <c r="S18" s="35">
        <v>44320</v>
      </c>
      <c r="T18" s="32" t="str">
        <f t="shared" si="0"/>
        <v>+812 48630***</v>
      </c>
      <c r="U18" s="32" t="str">
        <f t="shared" ca="1" si="1"/>
        <v>abri***@jossmail.com</v>
      </c>
      <c r="V18" s="32">
        <f t="shared" si="2"/>
        <v>45</v>
      </c>
      <c r="W18" s="36">
        <f t="shared" si="3"/>
        <v>0.03</v>
      </c>
      <c r="Y18" s="17"/>
      <c r="Z18" s="38"/>
      <c r="AA18" s="13"/>
      <c r="AB18" s="48"/>
      <c r="AC18" s="13"/>
      <c r="AD18" s="13"/>
      <c r="AE18" s="13"/>
      <c r="AF18" s="13"/>
      <c r="AG18" s="13"/>
      <c r="AH18" s="13"/>
      <c r="AI18" s="13"/>
      <c r="AJ18" s="13"/>
      <c r="AK18" s="13"/>
      <c r="AL18" s="13"/>
      <c r="AM18" s="13"/>
      <c r="AN18" s="13"/>
      <c r="AO18" s="13"/>
      <c r="AP18" s="13"/>
      <c r="AQ18" s="13"/>
      <c r="AR18" s="13"/>
      <c r="AS18" s="13"/>
      <c r="AT18" s="13"/>
      <c r="AU18" s="13"/>
    </row>
    <row r="19" spans="4:47" ht="27" customHeight="1" x14ac:dyDescent="0.25">
      <c r="D19" s="14" t="s">
        <v>147</v>
      </c>
      <c r="E19" s="14" t="s">
        <v>148</v>
      </c>
      <c r="F19" s="84" t="s">
        <v>149</v>
      </c>
      <c r="G19" s="15" t="s">
        <v>27</v>
      </c>
      <c r="H19" s="16" t="s">
        <v>150</v>
      </c>
      <c r="I19" s="17"/>
      <c r="J19" s="11" t="s">
        <v>42</v>
      </c>
      <c r="K19" s="19">
        <v>230</v>
      </c>
      <c r="L19" s="17"/>
      <c r="N19" s="31">
        <v>17</v>
      </c>
      <c r="O19" s="32" t="s">
        <v>151</v>
      </c>
      <c r="P19" s="33" t="s">
        <v>42</v>
      </c>
      <c r="Q19" s="32" t="s">
        <v>32</v>
      </c>
      <c r="R19" s="34">
        <v>44258.686678240738</v>
      </c>
      <c r="S19" s="35">
        <v>44359</v>
      </c>
      <c r="T19" s="32" t="str">
        <f t="shared" si="0"/>
        <v>+0822-63902***</v>
      </c>
      <c r="U19" s="32" t="str">
        <f t="shared" ca="1" si="1"/>
        <v>gust***@yuhuumail.com</v>
      </c>
      <c r="V19" s="32">
        <f t="shared" si="2"/>
        <v>45</v>
      </c>
      <c r="W19" s="36">
        <f t="shared" si="3"/>
        <v>0.03</v>
      </c>
      <c r="Y19" s="11" t="s">
        <v>152</v>
      </c>
      <c r="Z19" s="12" t="s">
        <v>23</v>
      </c>
      <c r="AA19" s="13"/>
      <c r="AB19" s="13"/>
      <c r="AC19" s="13"/>
      <c r="AD19" s="13"/>
      <c r="AE19" s="13"/>
      <c r="AF19" s="13"/>
      <c r="AG19" s="13"/>
      <c r="AH19" s="13"/>
      <c r="AI19" s="13"/>
      <c r="AJ19" s="13"/>
      <c r="AK19" s="13"/>
      <c r="AL19" s="13"/>
      <c r="AM19" s="13"/>
      <c r="AN19" s="13"/>
      <c r="AO19" s="13"/>
      <c r="AP19" s="13"/>
      <c r="AQ19" s="13"/>
      <c r="AR19" s="13"/>
      <c r="AS19" s="13"/>
      <c r="AT19" s="13"/>
      <c r="AU19" s="13"/>
    </row>
    <row r="20" spans="4:47" ht="27" customHeight="1" x14ac:dyDescent="0.25">
      <c r="D20" s="14" t="s">
        <v>153</v>
      </c>
      <c r="E20" s="14" t="s">
        <v>154</v>
      </c>
      <c r="F20" s="84" t="s">
        <v>74</v>
      </c>
      <c r="G20" s="15" t="s">
        <v>68</v>
      </c>
      <c r="H20" s="16" t="s">
        <v>155</v>
      </c>
      <c r="I20" s="17"/>
      <c r="J20" s="11" t="s">
        <v>57</v>
      </c>
      <c r="K20" s="19">
        <v>270</v>
      </c>
      <c r="L20" s="17"/>
      <c r="N20" s="31">
        <v>18</v>
      </c>
      <c r="O20" s="32" t="s">
        <v>156</v>
      </c>
      <c r="P20" s="33" t="s">
        <v>42</v>
      </c>
      <c r="Q20" s="32" t="s">
        <v>32</v>
      </c>
      <c r="R20" s="34">
        <v>43207.682534722226</v>
      </c>
      <c r="S20" s="35">
        <v>44359</v>
      </c>
      <c r="T20" s="32" t="str">
        <f t="shared" si="0"/>
        <v>+852 60287***</v>
      </c>
      <c r="U20" s="32" t="str">
        <f t="shared" ca="1" si="1"/>
        <v>giul***@jossmail.com</v>
      </c>
      <c r="V20" s="32">
        <f t="shared" si="2"/>
        <v>41</v>
      </c>
      <c r="W20" s="36">
        <f t="shared" si="3"/>
        <v>5.5E-2</v>
      </c>
      <c r="Y20" s="47" t="s">
        <v>27</v>
      </c>
      <c r="Z20" s="30">
        <f>COUNTIF($G:$G,"Male")</f>
        <v>2001</v>
      </c>
      <c r="AA20" s="13"/>
      <c r="AB20" s="13"/>
      <c r="AC20" s="13"/>
      <c r="AD20" s="13"/>
      <c r="AE20" s="13"/>
      <c r="AF20" s="13"/>
      <c r="AG20" s="13"/>
      <c r="AH20" s="13"/>
      <c r="AI20" s="13"/>
      <c r="AJ20" s="13"/>
      <c r="AK20" s="13"/>
      <c r="AL20" s="13"/>
      <c r="AM20" s="13"/>
      <c r="AN20" s="13"/>
      <c r="AO20" s="13"/>
      <c r="AP20" s="13"/>
      <c r="AQ20" s="13"/>
      <c r="AR20" s="13"/>
      <c r="AS20" s="13"/>
      <c r="AT20" s="13"/>
      <c r="AU20" s="13"/>
    </row>
    <row r="21" spans="4:47" ht="27" customHeight="1" x14ac:dyDescent="0.25">
      <c r="D21" s="14" t="s">
        <v>157</v>
      </c>
      <c r="E21" s="14" t="s">
        <v>158</v>
      </c>
      <c r="F21" s="84" t="s">
        <v>159</v>
      </c>
      <c r="G21" s="15" t="s">
        <v>27</v>
      </c>
      <c r="H21" s="16" t="s">
        <v>160</v>
      </c>
      <c r="I21" s="17"/>
      <c r="J21" s="11" t="s">
        <v>31</v>
      </c>
      <c r="K21" s="19">
        <v>355</v>
      </c>
      <c r="L21" s="17"/>
      <c r="N21" s="31">
        <v>19</v>
      </c>
      <c r="O21" s="32" t="s">
        <v>161</v>
      </c>
      <c r="P21" s="33" t="s">
        <v>31</v>
      </c>
      <c r="Q21" s="32" t="s">
        <v>32</v>
      </c>
      <c r="R21" s="34">
        <v>44258.703460648147</v>
      </c>
      <c r="S21" s="35">
        <v>44354</v>
      </c>
      <c r="T21" s="32" t="str">
        <f t="shared" si="0"/>
        <v>+84239662***</v>
      </c>
      <c r="U21" s="32" t="str">
        <f t="shared" ca="1" si="1"/>
        <v>davi***@jossmail.com</v>
      </c>
      <c r="V21" s="32">
        <f t="shared" si="2"/>
        <v>43</v>
      </c>
      <c r="W21" s="36">
        <f t="shared" si="3"/>
        <v>0.03</v>
      </c>
      <c r="Y21" s="47" t="s">
        <v>68</v>
      </c>
      <c r="Z21" s="30">
        <f>COUNTIF($G:$G,"Female")</f>
        <v>999</v>
      </c>
      <c r="AA21" s="13"/>
      <c r="AB21" s="13"/>
      <c r="AC21" s="13"/>
      <c r="AD21" s="13"/>
      <c r="AE21" s="13"/>
      <c r="AF21" s="13"/>
      <c r="AG21" s="13"/>
      <c r="AH21" s="13"/>
      <c r="AI21" s="13"/>
      <c r="AJ21" s="13"/>
      <c r="AK21" s="13"/>
      <c r="AL21" s="13"/>
      <c r="AM21" s="13"/>
      <c r="AN21" s="13"/>
      <c r="AO21" s="13"/>
      <c r="AP21" s="13"/>
      <c r="AQ21" s="13"/>
      <c r="AR21" s="13"/>
      <c r="AS21" s="13"/>
      <c r="AT21" s="13"/>
      <c r="AU21" s="13"/>
    </row>
    <row r="22" spans="4:47" ht="27" customHeight="1" x14ac:dyDescent="0.25">
      <c r="D22" s="14" t="s">
        <v>162</v>
      </c>
      <c r="E22" s="14" t="s">
        <v>163</v>
      </c>
      <c r="F22" s="84" t="s">
        <v>164</v>
      </c>
      <c r="G22" s="15" t="s">
        <v>27</v>
      </c>
      <c r="H22" s="16" t="s">
        <v>165</v>
      </c>
      <c r="I22" s="17"/>
      <c r="J22" s="17"/>
      <c r="K22" s="50"/>
      <c r="L22" s="17"/>
      <c r="N22" s="31">
        <v>20</v>
      </c>
      <c r="O22" s="32" t="s">
        <v>166</v>
      </c>
      <c r="P22" s="33" t="s">
        <v>31</v>
      </c>
      <c r="Q22" s="32" t="s">
        <v>32</v>
      </c>
      <c r="R22" s="34">
        <v>44258.704062500001</v>
      </c>
      <c r="S22" s="35">
        <v>44361</v>
      </c>
      <c r="T22" s="32" t="str">
        <f t="shared" si="0"/>
        <v>+0842-82423***</v>
      </c>
      <c r="U22" s="32" t="str">
        <f t="shared" ca="1" si="1"/>
        <v>anto***@jossmail.com</v>
      </c>
      <c r="V22" s="32">
        <f t="shared" si="2"/>
        <v>43</v>
      </c>
      <c r="W22" s="36">
        <f t="shared" si="3"/>
        <v>0.03</v>
      </c>
      <c r="Y22" s="51"/>
      <c r="Z22" s="52"/>
      <c r="AA22" s="13"/>
      <c r="AB22" s="13"/>
      <c r="AC22" s="13"/>
      <c r="AD22" s="13"/>
      <c r="AE22" s="13"/>
      <c r="AF22" s="13"/>
      <c r="AG22" s="13"/>
      <c r="AH22" s="13"/>
      <c r="AI22" s="13"/>
      <c r="AJ22" s="13"/>
      <c r="AK22" s="13"/>
      <c r="AL22" s="13"/>
      <c r="AM22" s="13"/>
      <c r="AN22" s="13"/>
      <c r="AO22" s="13"/>
      <c r="AP22" s="13"/>
      <c r="AQ22" s="13"/>
      <c r="AR22" s="13"/>
      <c r="AS22" s="13"/>
      <c r="AT22" s="13"/>
      <c r="AU22" s="13"/>
    </row>
    <row r="23" spans="4:47" ht="27" customHeight="1" x14ac:dyDescent="0.25">
      <c r="D23" s="14" t="s">
        <v>167</v>
      </c>
      <c r="E23" s="14" t="s">
        <v>168</v>
      </c>
      <c r="F23" s="84" t="s">
        <v>169</v>
      </c>
      <c r="G23" s="15" t="s">
        <v>68</v>
      </c>
      <c r="H23" s="16" t="s">
        <v>170</v>
      </c>
      <c r="I23" s="17"/>
      <c r="J23" s="17"/>
      <c r="K23" s="50"/>
      <c r="L23" s="17"/>
      <c r="N23" s="31">
        <v>21</v>
      </c>
      <c r="O23" s="32" t="s">
        <v>171</v>
      </c>
      <c r="P23" s="33" t="s">
        <v>42</v>
      </c>
      <c r="Q23" s="32" t="s">
        <v>32</v>
      </c>
      <c r="R23" s="34">
        <v>44258.704942129632</v>
      </c>
      <c r="S23" s="35">
        <v>44352</v>
      </c>
      <c r="T23" s="32" t="str">
        <f t="shared" si="0"/>
        <v>+83234906***</v>
      </c>
      <c r="U23" s="32" t="str">
        <f t="shared" ca="1" si="1"/>
        <v>lanc***@yuhuumail.com</v>
      </c>
      <c r="V23" s="32">
        <f t="shared" si="2"/>
        <v>43</v>
      </c>
      <c r="W23" s="36">
        <f t="shared" si="3"/>
        <v>0.03</v>
      </c>
      <c r="Y23" s="53" t="s">
        <v>172</v>
      </c>
      <c r="Z23" s="38"/>
      <c r="AC23" s="13"/>
      <c r="AD23" s="13"/>
      <c r="AE23" s="13"/>
      <c r="AF23" s="13"/>
      <c r="AG23" s="13"/>
      <c r="AH23" s="13"/>
      <c r="AI23" s="13"/>
      <c r="AJ23" s="13"/>
      <c r="AK23" s="13"/>
      <c r="AL23" s="13"/>
      <c r="AM23" s="13"/>
      <c r="AN23" s="13"/>
      <c r="AO23" s="13"/>
      <c r="AP23" s="13"/>
      <c r="AQ23" s="13"/>
      <c r="AR23" s="13"/>
      <c r="AS23" s="13"/>
      <c r="AT23" s="13"/>
      <c r="AU23" s="13"/>
    </row>
    <row r="24" spans="4:47" ht="27" customHeight="1" x14ac:dyDescent="0.25">
      <c r="D24" s="14" t="s">
        <v>173</v>
      </c>
      <c r="E24" s="14" t="s">
        <v>174</v>
      </c>
      <c r="F24" s="84" t="s">
        <v>175</v>
      </c>
      <c r="G24" s="15" t="s">
        <v>27</v>
      </c>
      <c r="H24" s="16" t="s">
        <v>176</v>
      </c>
      <c r="I24" s="17"/>
      <c r="J24" s="17"/>
      <c r="K24" s="17"/>
      <c r="L24" s="17"/>
      <c r="N24" s="31">
        <v>22</v>
      </c>
      <c r="O24" s="32" t="s">
        <v>177</v>
      </c>
      <c r="P24" s="33" t="s">
        <v>57</v>
      </c>
      <c r="Q24" s="32" t="s">
        <v>32</v>
      </c>
      <c r="R24" s="34">
        <v>43075.449976851851</v>
      </c>
      <c r="S24" s="35">
        <v>44362</v>
      </c>
      <c r="T24" s="32" t="str">
        <f t="shared" si="0"/>
        <v>+0832-94071***</v>
      </c>
      <c r="U24" s="32" t="str">
        <f t="shared" ca="1" si="1"/>
        <v>trac***@yuhuumail.com</v>
      </c>
      <c r="V24" s="32">
        <f t="shared" si="2"/>
        <v>39</v>
      </c>
      <c r="W24" s="36">
        <f t="shared" si="3"/>
        <v>4.4999999999999998E-2</v>
      </c>
      <c r="Y24" s="11" t="s">
        <v>178</v>
      </c>
      <c r="Z24" s="12" t="s">
        <v>23</v>
      </c>
      <c r="AA24" s="54" t="s">
        <v>179</v>
      </c>
      <c r="AB24" s="54" t="s">
        <v>180</v>
      </c>
    </row>
    <row r="25" spans="4:47" ht="27" customHeight="1" x14ac:dyDescent="0.25">
      <c r="D25" s="14" t="s">
        <v>181</v>
      </c>
      <c r="E25" s="14" t="s">
        <v>182</v>
      </c>
      <c r="F25" s="84" t="s">
        <v>183</v>
      </c>
      <c r="G25" s="15" t="s">
        <v>68</v>
      </c>
      <c r="H25" s="16" t="s">
        <v>184</v>
      </c>
      <c r="I25" s="17"/>
      <c r="J25" s="17"/>
      <c r="K25" s="17"/>
      <c r="L25" s="17"/>
      <c r="N25" s="31">
        <v>23</v>
      </c>
      <c r="O25" s="32" t="s">
        <v>185</v>
      </c>
      <c r="P25" s="33" t="s">
        <v>31</v>
      </c>
      <c r="Q25" s="32" t="s">
        <v>32</v>
      </c>
      <c r="R25" s="34">
        <v>44258.708564814813</v>
      </c>
      <c r="S25" s="35">
        <v>44352</v>
      </c>
      <c r="T25" s="32" t="str">
        <f t="shared" si="0"/>
        <v>+0812-76280***</v>
      </c>
      <c r="U25" s="32" t="str">
        <f t="shared" ca="1" si="1"/>
        <v>yair***@yuhuumail.com</v>
      </c>
      <c r="V25" s="32">
        <f t="shared" si="2"/>
        <v>42</v>
      </c>
      <c r="W25" s="36">
        <f t="shared" si="3"/>
        <v>0.03</v>
      </c>
      <c r="Y25" s="29" t="s">
        <v>32</v>
      </c>
      <c r="Z25" s="55"/>
      <c r="AA25" s="30"/>
      <c r="AB25" s="30"/>
      <c r="AC25" s="56"/>
    </row>
    <row r="26" spans="4:47" ht="27" customHeight="1" x14ac:dyDescent="0.25">
      <c r="D26" s="14" t="s">
        <v>186</v>
      </c>
      <c r="E26" s="14" t="s">
        <v>187</v>
      </c>
      <c r="F26" s="84" t="s">
        <v>188</v>
      </c>
      <c r="G26" s="15" t="s">
        <v>68</v>
      </c>
      <c r="H26" s="16" t="s">
        <v>189</v>
      </c>
      <c r="I26" s="17"/>
      <c r="J26" s="17"/>
      <c r="K26" s="17"/>
      <c r="L26" s="17"/>
      <c r="N26" s="31">
        <v>24</v>
      </c>
      <c r="O26" s="32" t="s">
        <v>190</v>
      </c>
      <c r="P26" s="33" t="s">
        <v>191</v>
      </c>
      <c r="Q26" s="32" t="s">
        <v>32</v>
      </c>
      <c r="R26" s="34">
        <v>44258.708368055559</v>
      </c>
      <c r="S26" s="35">
        <v>44354</v>
      </c>
      <c r="T26" s="32" t="str">
        <f t="shared" si="0"/>
        <v>+0832-39193***</v>
      </c>
      <c r="U26" s="32" t="str">
        <f t="shared" ca="1" si="1"/>
        <v>elvi***@yuhuumail.com</v>
      </c>
      <c r="V26" s="32">
        <f t="shared" si="2"/>
        <v>42</v>
      </c>
      <c r="W26" s="36">
        <f t="shared" si="3"/>
        <v>0.03</v>
      </c>
      <c r="Y26" s="29" t="s">
        <v>42</v>
      </c>
      <c r="Z26" s="55">
        <f>COUNTIFS($Q$3:$Q$1500, "LinkedIn", $P$3:$P$1500, "To be a Sales &amp; Marketing Associate")</f>
        <v>197</v>
      </c>
      <c r="AA26" s="30">
        <f>COUNTIFS($Q$3:$Q$1500, "LinkedIn",
           $P$3:$P$1500, "To be a Sales &amp; Marketing Associate",
           $S$3:$S$1500, "&gt;=5/1/2021",
           $S$3:$S$1500, "&lt;6/1/2021")</f>
        <v>67</v>
      </c>
      <c r="AB26" s="30">
        <f>COUNTIFS($Q$3:$Q$1500, "LinkedIn",
           $P$3:$P$1500, "To be a Sales &amp; Marketing Associate",
           $S$3:$S$1500, "&gt;=6/1/2021",
           $S$3:$S$1500, "&lt;7/1/2021")</f>
        <v>130</v>
      </c>
    </row>
    <row r="27" spans="4:47" ht="27" customHeight="1" x14ac:dyDescent="0.25">
      <c r="D27" s="14" t="s">
        <v>192</v>
      </c>
      <c r="E27" s="14" t="s">
        <v>193</v>
      </c>
      <c r="F27" s="84" t="s">
        <v>194</v>
      </c>
      <c r="G27" s="15" t="s">
        <v>68</v>
      </c>
      <c r="H27" s="16" t="s">
        <v>195</v>
      </c>
      <c r="I27" s="17"/>
      <c r="J27" s="17"/>
      <c r="K27" s="17"/>
      <c r="L27" s="17"/>
      <c r="N27" s="31">
        <v>25</v>
      </c>
      <c r="O27" s="32" t="s">
        <v>196</v>
      </c>
      <c r="P27" s="33" t="s">
        <v>197</v>
      </c>
      <c r="Q27" s="32" t="s">
        <v>32</v>
      </c>
      <c r="R27" s="34">
        <v>43889.489351851851</v>
      </c>
      <c r="S27" s="35">
        <v>44362</v>
      </c>
      <c r="T27" s="32" t="str">
        <f t="shared" si="0"/>
        <v>+083230552***</v>
      </c>
      <c r="U27" s="32" t="str">
        <f t="shared" ca="1" si="1"/>
        <v>chel***@jossmail.com</v>
      </c>
      <c r="V27" s="32">
        <f t="shared" si="2"/>
        <v>41</v>
      </c>
      <c r="W27" s="36">
        <f t="shared" si="3"/>
        <v>4.4999999999999998E-2</v>
      </c>
      <c r="Y27" s="29" t="s">
        <v>57</v>
      </c>
      <c r="Z27" s="55">
        <f>COUNTIFS($Q$3:$Q$1500, "LinkedIn", $P$3:$P$1500, "To be a Qulity Ansurance Manager")</f>
        <v>194</v>
      </c>
      <c r="AA27" s="30">
        <f>COUNTIFS($Q$3:$Q$1500, "LinkedIn",
           $P$3:$P$1500, "To be a Qulity Ansurance Manager",
           $S$3:$S$1500, "&gt;=5/1/2021",
           $S$3:$S$1500, "&lt;6/1/2021")</f>
        <v>59</v>
      </c>
      <c r="AB27" s="30">
        <f>COUNTIFS($Q$3:$Q$1500, "LinkedIn",
           $P$3:$P$1500, "To be a Qulity Ansurance Manager",
           $S$3:$S$1500, "&gt;=6/1/2021",
           $S$3:$S$1500, "&lt;7/1/2021")</f>
        <v>135</v>
      </c>
    </row>
    <row r="28" spans="4:47" ht="27" customHeight="1" x14ac:dyDescent="0.25">
      <c r="D28" s="14" t="s">
        <v>198</v>
      </c>
      <c r="E28" s="14" t="s">
        <v>199</v>
      </c>
      <c r="F28" s="84" t="s">
        <v>200</v>
      </c>
      <c r="G28" s="15" t="s">
        <v>68</v>
      </c>
      <c r="H28" s="16" t="s">
        <v>201</v>
      </c>
      <c r="I28" s="17"/>
      <c r="J28" s="17"/>
      <c r="K28" s="17"/>
      <c r="L28" s="17"/>
      <c r="N28" s="31">
        <v>26</v>
      </c>
      <c r="O28" s="32" t="s">
        <v>202</v>
      </c>
      <c r="P28" s="33" t="s">
        <v>203</v>
      </c>
      <c r="Q28" s="32" t="s">
        <v>32</v>
      </c>
      <c r="R28" s="34">
        <v>44258.710057870368</v>
      </c>
      <c r="S28" s="35">
        <v>44325</v>
      </c>
      <c r="T28" s="32" t="str">
        <f t="shared" si="0"/>
        <v>+0822-29159***</v>
      </c>
      <c r="U28" s="32" t="str">
        <f t="shared" ca="1" si="1"/>
        <v>orla***@yuhuumail.com</v>
      </c>
      <c r="V28" s="32">
        <f t="shared" si="2"/>
        <v>42</v>
      </c>
      <c r="W28" s="36">
        <f t="shared" si="3"/>
        <v>0.03</v>
      </c>
      <c r="Y28" s="29" t="s">
        <v>31</v>
      </c>
      <c r="Z28" s="55">
        <f>COUNTIFS($Q$3:$Q$1500, "LinkedIn", $P$3:$P$1500, "To be an Engineering Specialist")</f>
        <v>336</v>
      </c>
      <c r="AA28" s="30">
        <f>COUNTIFS($Q$3:$Q$1500, "LinkedIn",
           $P$3:$P$1500, "To be an Engineering Specialist",
           $S$3:$S$1500, "&gt;=5/1/2021",
           $S$3:$S$1500, "&lt;6/1/2021")</f>
        <v>107</v>
      </c>
      <c r="AB28" s="30">
        <f>COUNTIFS($Q$3:$Q$1500, "LinkedIn",
           $P$3:$P$1500, "To be an Engineering Specialist",
           $S$3:$S$1500, "&gt;=6/1/2021",
           $S$3:$S$1500, "&lt;7/1/2021")</f>
        <v>229</v>
      </c>
    </row>
    <row r="29" spans="4:47" ht="27" customHeight="1" x14ac:dyDescent="0.25">
      <c r="D29" s="14" t="s">
        <v>204</v>
      </c>
      <c r="E29" s="14" t="s">
        <v>205</v>
      </c>
      <c r="F29" s="84" t="s">
        <v>206</v>
      </c>
      <c r="G29" s="15" t="s">
        <v>27</v>
      </c>
      <c r="H29" s="16" t="s">
        <v>207</v>
      </c>
      <c r="I29" s="17"/>
      <c r="J29" s="17"/>
      <c r="K29" s="17"/>
      <c r="L29" s="17"/>
      <c r="N29" s="31">
        <v>27</v>
      </c>
      <c r="O29" s="32" t="s">
        <v>208</v>
      </c>
      <c r="P29" s="33" t="s">
        <v>197</v>
      </c>
      <c r="Q29" s="32" t="s">
        <v>32</v>
      </c>
      <c r="R29" s="34">
        <v>44258.711585648147</v>
      </c>
      <c r="S29" s="35">
        <v>44356</v>
      </c>
      <c r="T29" s="32" t="str">
        <f t="shared" si="0"/>
        <v>+852 29367***</v>
      </c>
      <c r="U29" s="32" t="str">
        <f t="shared" ca="1" si="1"/>
        <v>kaso***@jossmail.com</v>
      </c>
      <c r="V29" s="32">
        <f t="shared" si="2"/>
        <v>42</v>
      </c>
      <c r="W29" s="36">
        <f t="shared" si="3"/>
        <v>0.03</v>
      </c>
      <c r="Y29" s="29" t="s">
        <v>40</v>
      </c>
      <c r="Z29" s="55"/>
      <c r="AA29" s="30"/>
      <c r="AB29" s="30"/>
    </row>
    <row r="30" spans="4:47" ht="27" customHeight="1" x14ac:dyDescent="0.25">
      <c r="D30" s="14" t="s">
        <v>209</v>
      </c>
      <c r="E30" s="14" t="s">
        <v>210</v>
      </c>
      <c r="F30" s="84" t="s">
        <v>211</v>
      </c>
      <c r="G30" s="15" t="s">
        <v>27</v>
      </c>
      <c r="H30" s="16" t="s">
        <v>212</v>
      </c>
      <c r="I30" s="17"/>
      <c r="J30" s="17"/>
      <c r="K30" s="17"/>
      <c r="L30" s="17"/>
      <c r="N30" s="31">
        <v>28</v>
      </c>
      <c r="O30" s="32" t="s">
        <v>213</v>
      </c>
      <c r="P30" s="33" t="s">
        <v>31</v>
      </c>
      <c r="Q30" s="32" t="s">
        <v>32</v>
      </c>
      <c r="R30" s="34">
        <v>44030.205416666664</v>
      </c>
      <c r="S30" s="35">
        <v>44322</v>
      </c>
      <c r="T30" s="32" t="str">
        <f t="shared" si="0"/>
        <v>+6281220213***</v>
      </c>
      <c r="U30" s="32" t="str">
        <f t="shared" ca="1" si="1"/>
        <v>samb***@jossmail.com</v>
      </c>
      <c r="V30" s="32">
        <f t="shared" si="2"/>
        <v>41</v>
      </c>
      <c r="W30" s="36">
        <f t="shared" si="3"/>
        <v>0.03</v>
      </c>
      <c r="Y30" s="29" t="s">
        <v>42</v>
      </c>
      <c r="Z30" s="55">
        <f>COUNTIFS($Q$3:$Q$1500, "Jobseeker", $P$3:$P$1500, "To be a Sales &amp; Marketing Associate")</f>
        <v>139</v>
      </c>
      <c r="AA30" s="30">
        <f>COUNTIFS($Q$3:$Q$1500, "Jobseeker",
           $P$3:$P$1500, "To be a Sales &amp; Marketing Associate",
           $S$3:$S$1500, "&gt;=5/1/2021",
           $S$3:$S$1500, "&lt;6/1/2021")</f>
        <v>49</v>
      </c>
      <c r="AB30" s="30">
        <f>COUNTIFS($Q$3:$Q$1500, "Jobseeker",
           $P$3:$P$1500, "To be a Sales &amp; Marketing Associate",
           $S$3:$S$1500, "&gt;=6/1/2021",
           $S$3:$S$1500, "&lt;7/1/2021")</f>
        <v>90</v>
      </c>
    </row>
    <row r="31" spans="4:47" ht="27" customHeight="1" x14ac:dyDescent="0.25">
      <c r="D31" s="14" t="s">
        <v>214</v>
      </c>
      <c r="E31" s="14" t="s">
        <v>215</v>
      </c>
      <c r="F31" s="84" t="s">
        <v>26</v>
      </c>
      <c r="G31" s="15" t="s">
        <v>27</v>
      </c>
      <c r="H31" s="16" t="s">
        <v>216</v>
      </c>
      <c r="I31" s="17"/>
      <c r="J31" s="17"/>
      <c r="K31" s="17"/>
      <c r="L31" s="17"/>
      <c r="N31" s="31">
        <v>29</v>
      </c>
      <c r="O31" s="32" t="s">
        <v>217</v>
      </c>
      <c r="P31" s="33" t="s">
        <v>31</v>
      </c>
      <c r="Q31" s="32" t="s">
        <v>32</v>
      </c>
      <c r="R31" s="34">
        <v>44258.704027777778</v>
      </c>
      <c r="S31" s="35">
        <v>44352</v>
      </c>
      <c r="T31" s="32" t="str">
        <f t="shared" si="0"/>
        <v>+822 38305***</v>
      </c>
      <c r="U31" s="32" t="str">
        <f t="shared" ca="1" si="1"/>
        <v>heze***@yuhuumail.com</v>
      </c>
      <c r="V31" s="32">
        <f t="shared" si="2"/>
        <v>42</v>
      </c>
      <c r="W31" s="36">
        <f t="shared" si="3"/>
        <v>0.03</v>
      </c>
      <c r="Y31" s="29" t="s">
        <v>57</v>
      </c>
      <c r="Z31" s="55">
        <f>COUNTIFS($Q$3:$Q$1500, "Jobseeker", $P$3:$P$1500, "To be a Sales &amp; Marketing Associate")</f>
        <v>139</v>
      </c>
      <c r="AA31" s="30">
        <f>COUNTIFS($Q$3:$Q$1500, "Jobseeker",
           $P$3:$P$1500, "To be a Qulity Ansurance Manager",
           $S$3:$S$1500, "&gt;=5/1/2021",
           $S$3:$S$1500, "&lt;6/1/2021")</f>
        <v>49</v>
      </c>
      <c r="AB31" s="30">
        <f>COUNTIFS($Q$3:$Q$1500, "Jobseeker",
           $P$3:$P$1500, "To be a Qulity Ansurance Manager",
           $S$3:$S$1500, "&gt;=6/1/2021",
           $S$3:$S$1500, "&lt;7/1/2021")</f>
        <v>124</v>
      </c>
    </row>
    <row r="32" spans="4:47" ht="27" customHeight="1" x14ac:dyDescent="0.25">
      <c r="D32" s="14" t="s">
        <v>218</v>
      </c>
      <c r="E32" s="14" t="s">
        <v>219</v>
      </c>
      <c r="F32" s="84" t="s">
        <v>183</v>
      </c>
      <c r="G32" s="15" t="s">
        <v>27</v>
      </c>
      <c r="H32" s="16" t="s">
        <v>220</v>
      </c>
      <c r="I32" s="17"/>
      <c r="J32" s="17"/>
      <c r="K32" s="17"/>
      <c r="L32" s="17"/>
      <c r="N32" s="31">
        <v>30</v>
      </c>
      <c r="O32" s="32" t="s">
        <v>221</v>
      </c>
      <c r="P32" s="33" t="s">
        <v>31</v>
      </c>
      <c r="Q32" s="32" t="s">
        <v>32</v>
      </c>
      <c r="R32" s="34">
        <v>44258.702581018515</v>
      </c>
      <c r="S32" s="35">
        <v>44354</v>
      </c>
      <c r="T32" s="32" t="str">
        <f t="shared" si="0"/>
        <v>+6281280056***</v>
      </c>
      <c r="U32" s="32" t="str">
        <f t="shared" ca="1" si="1"/>
        <v>juli***@yuhuumail.com</v>
      </c>
      <c r="V32" s="32">
        <f t="shared" si="2"/>
        <v>41</v>
      </c>
      <c r="W32" s="36">
        <f t="shared" si="3"/>
        <v>0.03</v>
      </c>
      <c r="Y32" s="29" t="s">
        <v>31</v>
      </c>
      <c r="Z32" s="55">
        <f>COUNTIFS($Q$3:$Q$1500, "Jobseeker", $P$3:$P$1500, "To be an Engineering Specialist")</f>
        <v>244</v>
      </c>
      <c r="AA32" s="30">
        <f>COUNTIFS($Q$3:$Q$1500, "Jobseeker",
           $P$3:$P$1500, "To be an Engineering Specialist",
           $S$3:$S$1500, "&gt;=5/1/2021",
           $S$3:$S$1500, "&lt;6/1/2021")</f>
        <v>71</v>
      </c>
      <c r="AB32" s="30">
        <f>COUNTIFS($Q$3:$Q$1500, "Jobseeker",
           $P$3:$P$1500, "To be an Engineering Specialist",
           $S$3:$S$1500, "&gt;=6/1/2021",
           $S$3:$S$1500, "&lt;7/1/2021")</f>
        <v>173</v>
      </c>
    </row>
    <row r="33" spans="4:47" ht="27" customHeight="1" x14ac:dyDescent="0.25">
      <c r="D33" s="14" t="s">
        <v>222</v>
      </c>
      <c r="E33" s="14" t="s">
        <v>223</v>
      </c>
      <c r="F33" s="84" t="s">
        <v>61</v>
      </c>
      <c r="G33" s="15" t="s">
        <v>68</v>
      </c>
      <c r="H33" s="16" t="s">
        <v>224</v>
      </c>
      <c r="I33" s="17"/>
      <c r="J33" s="17"/>
      <c r="K33" s="17"/>
      <c r="L33" s="17"/>
      <c r="N33" s="31">
        <v>31</v>
      </c>
      <c r="O33" s="32" t="s">
        <v>225</v>
      </c>
      <c r="P33" s="33" t="s">
        <v>42</v>
      </c>
      <c r="Q33" s="32" t="s">
        <v>32</v>
      </c>
      <c r="R33" s="34">
        <v>44258.708240740743</v>
      </c>
      <c r="S33" s="35">
        <v>44318</v>
      </c>
      <c r="T33" s="32" t="str">
        <f t="shared" si="0"/>
        <v>+084251720***</v>
      </c>
      <c r="U33" s="32" t="str">
        <f t="shared" ca="1" si="1"/>
        <v>beat***@jossmail.com</v>
      </c>
      <c r="V33" s="32">
        <f t="shared" si="2"/>
        <v>41</v>
      </c>
      <c r="W33" s="36">
        <f t="shared" si="3"/>
        <v>0.03</v>
      </c>
      <c r="Y33" s="17"/>
      <c r="Z33" s="38"/>
      <c r="AA33" s="13"/>
      <c r="AB33" s="13"/>
      <c r="AC33" s="13"/>
      <c r="AD33" s="13"/>
      <c r="AE33" s="13"/>
      <c r="AF33" s="13"/>
      <c r="AG33" s="13"/>
      <c r="AH33" s="13"/>
      <c r="AI33" s="13"/>
      <c r="AJ33" s="13"/>
      <c r="AK33" s="13"/>
      <c r="AL33" s="13"/>
      <c r="AM33" s="13"/>
      <c r="AN33" s="13"/>
      <c r="AO33" s="13"/>
      <c r="AP33" s="13"/>
      <c r="AQ33" s="13"/>
      <c r="AR33" s="13"/>
      <c r="AS33" s="13"/>
      <c r="AT33" s="13"/>
      <c r="AU33" s="13"/>
    </row>
    <row r="34" spans="4:47" ht="27" customHeight="1" x14ac:dyDescent="0.25">
      <c r="D34" s="14" t="s">
        <v>226</v>
      </c>
      <c r="E34" s="14" t="s">
        <v>227</v>
      </c>
      <c r="F34" s="84" t="s">
        <v>228</v>
      </c>
      <c r="G34" s="15" t="s">
        <v>68</v>
      </c>
      <c r="H34" s="16" t="s">
        <v>229</v>
      </c>
      <c r="I34" s="17"/>
      <c r="J34" s="17"/>
      <c r="K34" s="17"/>
      <c r="L34" s="17"/>
      <c r="N34" s="31">
        <v>32</v>
      </c>
      <c r="O34" s="32" t="s">
        <v>230</v>
      </c>
      <c r="P34" s="33" t="s">
        <v>57</v>
      </c>
      <c r="Q34" s="32" t="s">
        <v>32</v>
      </c>
      <c r="R34" s="34">
        <v>44258.682627314818</v>
      </c>
      <c r="S34" s="35">
        <v>44356</v>
      </c>
      <c r="T34" s="32" t="str">
        <f t="shared" si="0"/>
        <v>+085286512***</v>
      </c>
      <c r="U34" s="32" t="str">
        <f t="shared" ca="1" si="1"/>
        <v>myle***@yuhuumail.com</v>
      </c>
      <c r="V34" s="32">
        <f t="shared" si="2"/>
        <v>41</v>
      </c>
      <c r="W34" s="36">
        <f t="shared" si="3"/>
        <v>0.03</v>
      </c>
      <c r="Y34" s="17"/>
      <c r="Z34" s="38"/>
      <c r="AA34" s="13"/>
      <c r="AD34" s="13"/>
      <c r="AE34" s="13"/>
      <c r="AF34" s="13"/>
      <c r="AG34" s="13"/>
      <c r="AH34" s="13"/>
      <c r="AI34" s="13"/>
      <c r="AJ34" s="13"/>
      <c r="AK34" s="13"/>
      <c r="AL34" s="13"/>
      <c r="AM34" s="13"/>
      <c r="AN34" s="13"/>
      <c r="AO34" s="13"/>
      <c r="AP34" s="13"/>
      <c r="AQ34" s="13"/>
      <c r="AR34" s="13"/>
      <c r="AS34" s="13"/>
      <c r="AT34" s="13"/>
      <c r="AU34" s="13"/>
    </row>
    <row r="35" spans="4:47" ht="27" customHeight="1" x14ac:dyDescent="0.25">
      <c r="D35" s="14" t="s">
        <v>231</v>
      </c>
      <c r="E35" s="14" t="s">
        <v>232</v>
      </c>
      <c r="F35" s="84" t="s">
        <v>233</v>
      </c>
      <c r="G35" s="15" t="s">
        <v>68</v>
      </c>
      <c r="H35" s="16" t="s">
        <v>234</v>
      </c>
      <c r="I35" s="17"/>
      <c r="J35" s="17"/>
      <c r="K35" s="17"/>
      <c r="L35" s="17"/>
      <c r="N35" s="31">
        <v>33</v>
      </c>
      <c r="O35" s="32" t="s">
        <v>235</v>
      </c>
      <c r="P35" s="33" t="s">
        <v>31</v>
      </c>
      <c r="Q35" s="32" t="s">
        <v>32</v>
      </c>
      <c r="R35" s="34">
        <v>44258.716793981483</v>
      </c>
      <c r="S35" s="35">
        <v>44354</v>
      </c>
      <c r="T35" s="32" t="str">
        <f t="shared" si="0"/>
        <v>+0822 91857***</v>
      </c>
      <c r="U35" s="32" t="str">
        <f t="shared" ca="1" si="1"/>
        <v>ange***@yuhuumail.com</v>
      </c>
      <c r="V35" s="32">
        <f t="shared" si="2"/>
        <v>41</v>
      </c>
      <c r="W35" s="36">
        <f t="shared" si="3"/>
        <v>0.03</v>
      </c>
      <c r="Y35" s="53" t="s">
        <v>236</v>
      </c>
      <c r="Z35" s="38"/>
      <c r="AC35" s="13"/>
      <c r="AD35" s="13"/>
      <c r="AE35" s="13"/>
      <c r="AF35" s="13"/>
      <c r="AG35" s="13"/>
      <c r="AH35" s="13"/>
      <c r="AI35" s="13"/>
      <c r="AJ35" s="13"/>
      <c r="AK35" s="13"/>
      <c r="AL35" s="13"/>
      <c r="AM35" s="13"/>
      <c r="AN35" s="13"/>
      <c r="AO35" s="13"/>
      <c r="AP35" s="13"/>
      <c r="AQ35" s="13"/>
      <c r="AR35" s="13"/>
      <c r="AS35" s="13"/>
      <c r="AT35" s="13"/>
      <c r="AU35" s="13"/>
    </row>
    <row r="36" spans="4:47" ht="27" customHeight="1" x14ac:dyDescent="0.25">
      <c r="D36" s="14" t="s">
        <v>237</v>
      </c>
      <c r="E36" s="14" t="s">
        <v>238</v>
      </c>
      <c r="F36" s="84" t="s">
        <v>239</v>
      </c>
      <c r="G36" s="15" t="s">
        <v>68</v>
      </c>
      <c r="H36" s="16" t="s">
        <v>240</v>
      </c>
      <c r="I36" s="17"/>
      <c r="J36" s="17"/>
      <c r="K36" s="17"/>
      <c r="L36" s="17"/>
      <c r="N36" s="31">
        <v>34</v>
      </c>
      <c r="O36" s="32" t="s">
        <v>79</v>
      </c>
      <c r="P36" s="33" t="s">
        <v>31</v>
      </c>
      <c r="Q36" s="32" t="s">
        <v>32</v>
      </c>
      <c r="R36" s="34">
        <v>44258.715868055559</v>
      </c>
      <c r="S36" s="35">
        <v>44352</v>
      </c>
      <c r="T36" s="32" t="str">
        <f t="shared" si="0"/>
        <v>+6282227758***</v>
      </c>
      <c r="U36" s="32" t="str">
        <f t="shared" ca="1" si="1"/>
        <v>isab***@jossmail.com</v>
      </c>
      <c r="V36" s="32">
        <f t="shared" si="2"/>
        <v>41</v>
      </c>
      <c r="W36" s="36">
        <f t="shared" si="3"/>
        <v>0.03</v>
      </c>
      <c r="Y36" s="57" t="s">
        <v>241</v>
      </c>
      <c r="Z36" s="58" t="s">
        <v>242</v>
      </c>
      <c r="AA36" s="54" t="s">
        <v>243</v>
      </c>
      <c r="AB36" s="54" t="s">
        <v>244</v>
      </c>
    </row>
    <row r="37" spans="4:47" ht="27" customHeight="1" x14ac:dyDescent="0.25">
      <c r="D37" s="14" t="s">
        <v>245</v>
      </c>
      <c r="E37" s="14" t="s">
        <v>246</v>
      </c>
      <c r="F37" s="84" t="s">
        <v>194</v>
      </c>
      <c r="G37" s="15" t="s">
        <v>68</v>
      </c>
      <c r="H37" s="16" t="s">
        <v>247</v>
      </c>
      <c r="I37" s="17"/>
      <c r="J37" s="17"/>
      <c r="K37" s="17"/>
      <c r="L37" s="17"/>
      <c r="N37" s="31">
        <v>35</v>
      </c>
      <c r="O37" s="32" t="s">
        <v>248</v>
      </c>
      <c r="P37" s="33" t="s">
        <v>42</v>
      </c>
      <c r="Q37" s="32" t="s">
        <v>32</v>
      </c>
      <c r="R37" s="34">
        <v>44258.713692129626</v>
      </c>
      <c r="S37" s="35">
        <v>44359</v>
      </c>
      <c r="T37" s="32" t="str">
        <f t="shared" si="0"/>
        <v>+6281283053***</v>
      </c>
      <c r="U37" s="32" t="str">
        <f t="shared" ca="1" si="1"/>
        <v>phil***@jossmail.com</v>
      </c>
      <c r="V37" s="32">
        <f t="shared" si="2"/>
        <v>41</v>
      </c>
      <c r="W37" s="36">
        <f t="shared" si="3"/>
        <v>0.03</v>
      </c>
      <c r="Y37" s="59" t="s">
        <v>32</v>
      </c>
      <c r="Z37" s="44"/>
      <c r="AA37" s="30"/>
      <c r="AB37" s="30"/>
    </row>
    <row r="38" spans="4:47" ht="27" customHeight="1" x14ac:dyDescent="0.25">
      <c r="D38" s="14" t="s">
        <v>249</v>
      </c>
      <c r="E38" s="14" t="s">
        <v>250</v>
      </c>
      <c r="F38" s="84" t="s">
        <v>251</v>
      </c>
      <c r="G38" s="15" t="s">
        <v>27</v>
      </c>
      <c r="H38" s="16" t="s">
        <v>252</v>
      </c>
      <c r="I38" s="17"/>
      <c r="J38" s="17"/>
      <c r="K38" s="17"/>
      <c r="L38" s="17"/>
      <c r="N38" s="31">
        <v>36</v>
      </c>
      <c r="O38" s="32" t="s">
        <v>253</v>
      </c>
      <c r="P38" s="33" t="s">
        <v>31</v>
      </c>
      <c r="Q38" s="32" t="s">
        <v>32</v>
      </c>
      <c r="R38" s="34">
        <v>44258.71607638889</v>
      </c>
      <c r="S38" s="35">
        <v>44352</v>
      </c>
      <c r="T38" s="32" t="str">
        <f t="shared" si="0"/>
        <v>+83226326***</v>
      </c>
      <c r="U38" s="32" t="str">
        <f t="shared" ca="1" si="1"/>
        <v>lean***@jossmail.com</v>
      </c>
      <c r="V38" s="32">
        <f t="shared" si="2"/>
        <v>41</v>
      </c>
      <c r="W38" s="36">
        <f t="shared" si="3"/>
        <v>0.03</v>
      </c>
      <c r="Y38" s="59" t="s">
        <v>42</v>
      </c>
      <c r="Z38" s="91" cm="1">
        <f t="array" ref="Z38">SUMPRODUCT(($Q$3:$Q$1500="LinkedIn") *
            ($P$3:$P$1500="To be a Sales &amp; Marketing Associate") *
            VLOOKUP("To be a Sales &amp; Marketing Associate", $J$6:$L$9, 3, FALSE) *
            (1-$W$3:$W$1500))</f>
        <v>1475682.25</v>
      </c>
      <c r="AA38" s="91" cm="1">
        <f t="array" ref="AA38">SUMPRODUCT(($Q$3:$Q$1500="LinkedIn") *
            ($P$3:$P$1500="To be a Sales &amp; Marketing Associate") *
            ($S$3:$S$1500&gt;=DATE(2021,5,1)) *
            ($S$3:$S$1500&lt;DATE(2021,6,1)) *
            VLOOKUP("To be a Sales &amp; Marketing Associate", $J$6:$L$9, 3, FALSE) *
            (1-$W$3:$W$1500))</f>
        <v>501693.5</v>
      </c>
      <c r="AB38" s="91" cm="1">
        <f t="array" ref="AB38">SUMPRODUCT(($Q$3:$Q$1500="LinkedIn") *
            ($P$3:$P$1500="To be a Sales &amp; Marketing Associate") *
            ($S$3:$S$1500&gt;=DATE(2021,6,1)) *
            ($S$3:$S$1500&lt;DATE(2021,7,1)) *
            VLOOKUP("To be a Sales &amp; Marketing Associate", $J$6:$L$9, 3, FALSE) *
            (1-$W$3:$W$1500))</f>
        <v>973988.75</v>
      </c>
      <c r="AD38" s="56"/>
    </row>
    <row r="39" spans="4:47" ht="27" customHeight="1" x14ac:dyDescent="0.25">
      <c r="D39" s="14" t="s">
        <v>254</v>
      </c>
      <c r="E39" s="14" t="s">
        <v>255</v>
      </c>
      <c r="F39" s="84" t="s">
        <v>256</v>
      </c>
      <c r="G39" s="15" t="s">
        <v>27</v>
      </c>
      <c r="H39" s="16" t="s">
        <v>257</v>
      </c>
      <c r="I39" s="17"/>
      <c r="J39" s="17"/>
      <c r="K39" s="17"/>
      <c r="L39" s="17"/>
      <c r="N39" s="31">
        <v>37</v>
      </c>
      <c r="O39" s="32" t="s">
        <v>258</v>
      </c>
      <c r="P39" s="33" t="s">
        <v>31</v>
      </c>
      <c r="Q39" s="32" t="s">
        <v>32</v>
      </c>
      <c r="R39" s="34">
        <v>44258.717453703706</v>
      </c>
      <c r="S39" s="35">
        <v>44352</v>
      </c>
      <c r="T39" s="32" t="str">
        <f t="shared" si="0"/>
        <v>+6282271789***</v>
      </c>
      <c r="U39" s="32" t="str">
        <f t="shared" ca="1" si="1"/>
        <v>juli***@yuhuumail.com</v>
      </c>
      <c r="V39" s="32">
        <f t="shared" si="2"/>
        <v>41</v>
      </c>
      <c r="W39" s="36">
        <f t="shared" si="3"/>
        <v>0.03</v>
      </c>
      <c r="Y39" s="59" t="s">
        <v>57</v>
      </c>
      <c r="Z39" s="91" cm="1">
        <f t="array" ref="Z39">SUMPRODUCT(($Q$3:$Q$1500="LinkedIn") *
            ($P$3:$P$1500="To be a Qulity Ansurance Manager") *
            VLOOKUP("To be a Sales &amp; Marketing Associate", $J$6:$L$9, 3, FALSE) *
            (1-$W$3:$W$1500))</f>
        <v>1453859.25</v>
      </c>
      <c r="AA39" s="91" cm="1">
        <f t="array" ref="AA39">SUMPRODUCT(($Q$3:$Q$1500="LinkedIn") *
            ($P$3:$P$1500="To be a Qulity Ansurance Manager") *
            ($S$3:$S$1500&gt;=DATE(2021,5,1)) *
            ($S$3:$S$1500&lt;DATE(2021,6,1)) *
            VLOOKUP("To be a Sales &amp; Marketing Associate", $J$6:$L$9, 3, FALSE) *
            (1-$W$3:$W$1500))</f>
        <v>441209.25</v>
      </c>
      <c r="AB39" s="91" cm="1">
        <f t="array" ref="AB39">SUMPRODUCT(($Q$3:$Q$1500="LinkedIn") *
            ($P$3:$P$1500="To be a Qulity Ansurance Manager") *
            ($S$3:$S$1500&gt;=DATE(2021,6,1)) *
            ($S$3:$S$1500&lt;DATE(2021,7,1)) *
            VLOOKUP("To be a Sales &amp; Marketing Associate", $J$6:$L$9, 3, FALSE) *
            (1-$W$3:$W$1500))</f>
        <v>1012650</v>
      </c>
    </row>
    <row r="40" spans="4:47" ht="27" customHeight="1" x14ac:dyDescent="0.25">
      <c r="D40" s="14" t="s">
        <v>259</v>
      </c>
      <c r="E40" s="14" t="s">
        <v>260</v>
      </c>
      <c r="F40" s="84" t="s">
        <v>261</v>
      </c>
      <c r="G40" s="15" t="s">
        <v>27</v>
      </c>
      <c r="H40" s="16" t="s">
        <v>262</v>
      </c>
      <c r="I40" s="17"/>
      <c r="J40" s="17"/>
      <c r="K40" s="17"/>
      <c r="L40" s="17"/>
      <c r="N40" s="31">
        <v>38</v>
      </c>
      <c r="O40" s="32" t="s">
        <v>263</v>
      </c>
      <c r="P40" s="33" t="s">
        <v>57</v>
      </c>
      <c r="Q40" s="32" t="s">
        <v>32</v>
      </c>
      <c r="R40" s="34">
        <v>44258.719247685185</v>
      </c>
      <c r="S40" s="35">
        <v>44320</v>
      </c>
      <c r="T40" s="32" t="str">
        <f t="shared" si="0"/>
        <v>+6282222044***</v>
      </c>
      <c r="U40" s="32" t="str">
        <f t="shared" ca="1" si="1"/>
        <v>desi***@jossmail.com</v>
      </c>
      <c r="V40" s="32">
        <f t="shared" si="2"/>
        <v>41</v>
      </c>
      <c r="W40" s="36">
        <f t="shared" si="3"/>
        <v>0.03</v>
      </c>
      <c r="Y40" s="59" t="s">
        <v>31</v>
      </c>
      <c r="Z40" s="91" cm="1">
        <f t="array" ref="Z40">SUMPRODUCT(($Q$3:$Q$1500="LinkedIn") *
            ($P$3:$P$1500="To be an Engineering Specialist") *
            VLOOKUP("To be a Sales &amp; Marketing Associate", $J$6:$L$9, 3, FALSE) *
            (1-$W$3:$W$1500))</f>
        <v>2521851.75</v>
      </c>
      <c r="AA40" s="91" cm="1">
        <f t="array" ref="AA40">SUMPRODUCT(($Q$3:$Q$1500="LinkedIn") *
            ($P$3:$P$1500="To be an Engineering Specialist") *
            ($S$3:$S$1500&gt;=DATE(2021,5,1)) *
            ($S$3:$S$1500&lt;DATE(2021,6,1)) *
            VLOOKUP("To be a Sales &amp; Marketing Associate", $J$6:$L$9, 3, FALSE) *
            (1-$W$3:$W$1500))</f>
        <v>802662.5</v>
      </c>
      <c r="AB40" s="91" cm="1">
        <f t="array" ref="AB40">SUMPRODUCT(($Q$3:$Q$1500="LinkedIn") *
            ($P$3:$P$1500="To be an Engineering Specialist") *
            ($S$3:$S$1500&gt;=DATE(2021,6,1)) *
            ($S$3:$S$1500&lt;DATE(2021,7,1)) *
            VLOOKUP("To be a Sales &amp; Marketing Associate", $J$6:$L$9, 3, FALSE) *
            (1-$W$3:$W$1500))</f>
        <v>1719189.25</v>
      </c>
    </row>
    <row r="41" spans="4:47" ht="27" customHeight="1" x14ac:dyDescent="0.25">
      <c r="D41" s="14" t="s">
        <v>264</v>
      </c>
      <c r="E41" s="14" t="s">
        <v>265</v>
      </c>
      <c r="F41" s="84" t="s">
        <v>266</v>
      </c>
      <c r="G41" s="15" t="s">
        <v>27</v>
      </c>
      <c r="H41" s="16" t="s">
        <v>267</v>
      </c>
      <c r="I41" s="17"/>
      <c r="J41" s="17"/>
      <c r="K41" s="17"/>
      <c r="L41" s="17"/>
      <c r="N41" s="31">
        <v>39</v>
      </c>
      <c r="O41" s="32" t="s">
        <v>268</v>
      </c>
      <c r="P41" s="33" t="s">
        <v>31</v>
      </c>
      <c r="Q41" s="32" t="s">
        <v>32</v>
      </c>
      <c r="R41" s="34">
        <v>43409.946423611109</v>
      </c>
      <c r="S41" s="35">
        <v>44356</v>
      </c>
      <c r="T41" s="32" t="str">
        <f t="shared" si="0"/>
        <v>+0822-64983***</v>
      </c>
      <c r="U41" s="32" t="str">
        <f t="shared" ca="1" si="1"/>
        <v>cris***@yuhuumail.com</v>
      </c>
      <c r="V41" s="32">
        <f t="shared" si="2"/>
        <v>39</v>
      </c>
      <c r="W41" s="36">
        <f t="shared" si="3"/>
        <v>3.5000000000000003E-2</v>
      </c>
      <c r="Y41" s="59" t="s">
        <v>40</v>
      </c>
      <c r="Z41" s="30"/>
      <c r="AA41" s="30"/>
      <c r="AB41" s="30"/>
    </row>
    <row r="42" spans="4:47" ht="27" customHeight="1" x14ac:dyDescent="0.25">
      <c r="D42" s="14" t="s">
        <v>269</v>
      </c>
      <c r="E42" s="14" t="s">
        <v>270</v>
      </c>
      <c r="F42" s="84" t="s">
        <v>114</v>
      </c>
      <c r="G42" s="15" t="s">
        <v>27</v>
      </c>
      <c r="H42" s="16" t="s">
        <v>271</v>
      </c>
      <c r="I42" s="17"/>
      <c r="J42" s="17"/>
      <c r="K42" s="17"/>
      <c r="L42" s="17"/>
      <c r="N42" s="31">
        <v>40</v>
      </c>
      <c r="O42" s="32" t="s">
        <v>272</v>
      </c>
      <c r="P42" s="33" t="s">
        <v>42</v>
      </c>
      <c r="Q42" s="32" t="s">
        <v>32</v>
      </c>
      <c r="R42" s="34">
        <v>44119.412164351852</v>
      </c>
      <c r="S42" s="35">
        <v>44359</v>
      </c>
      <c r="T42" s="32" t="str">
        <f t="shared" si="0"/>
        <v>+81273793***</v>
      </c>
      <c r="U42" s="32" t="str">
        <f t="shared" ca="1" si="1"/>
        <v>luci***@jossmail.com</v>
      </c>
      <c r="V42" s="32">
        <f t="shared" si="2"/>
        <v>40</v>
      </c>
      <c r="W42" s="36">
        <f t="shared" si="3"/>
        <v>0.03</v>
      </c>
      <c r="Y42" s="59" t="s">
        <v>42</v>
      </c>
      <c r="Z42" s="91" cm="1">
        <f t="array" ref="Z42">SUMPRODUCT(($Q$3:$Q$1500="Jobseeker") *
            ($P$3:$P$1500="To be a Sales &amp; Marketing Associate") *
            VLOOKUP("To be a Sales &amp; Marketing Associate", $J$6:$L$9, 3, FALSE) *
            (1-$W$3:$W$1500))</f>
        <v>1034865.5</v>
      </c>
      <c r="AA42" s="91" cm="1">
        <f t="array" ref="AA42">SUMPRODUCT(($Q$3:$Q$1500="Jobseeker") *
            ($P$3:$P$1500="To be a Sales &amp; Marketing Associate") *
            ($S$3:$S$1500&gt;=DATE(2021,5,1)) *
            ($S$3:$S$1500&lt;DATE(2021,6,1)) *
            VLOOKUP("To be a Sales &amp; Marketing Associate", $J$6:$L$9, 3, FALSE) *
            (1-$W$3:$W$1500))</f>
        <v>364279.25</v>
      </c>
      <c r="AB42" s="91" cm="1">
        <f t="array" ref="AB42">SUMPRODUCT(($Q$3:$Q$1500="Jobseeker") *
            ($P$3:$P$1500="To be a Sales &amp; Marketing Associate") *
            ($S$3:$S$1500&gt;=DATE(2021,6,1)) *
            ($S$3:$S$1500&lt;DATE(2021,7,1)) *
            VLOOKUP("To be a Sales &amp; Marketing Associate", $J$6:$L$9, 3, FALSE) *
            (1-$W$3:$W$1500))</f>
        <v>670586.25</v>
      </c>
    </row>
    <row r="43" spans="4:47" ht="27" customHeight="1" x14ac:dyDescent="0.25">
      <c r="D43" s="14" t="s">
        <v>273</v>
      </c>
      <c r="E43" s="14" t="s">
        <v>274</v>
      </c>
      <c r="F43" s="84" t="s">
        <v>275</v>
      </c>
      <c r="G43" s="15" t="s">
        <v>68</v>
      </c>
      <c r="H43" s="16" t="s">
        <v>276</v>
      </c>
      <c r="I43" s="17"/>
      <c r="J43" s="17"/>
      <c r="K43" s="17"/>
      <c r="L43" s="17"/>
      <c r="N43" s="31">
        <v>41</v>
      </c>
      <c r="O43" s="32" t="s">
        <v>277</v>
      </c>
      <c r="P43" s="33" t="s">
        <v>31</v>
      </c>
      <c r="Q43" s="32" t="s">
        <v>32</v>
      </c>
      <c r="R43" s="34">
        <v>44258.716493055559</v>
      </c>
      <c r="S43" s="35">
        <v>44318</v>
      </c>
      <c r="T43" s="32" t="str">
        <f t="shared" si="0"/>
        <v>+0832 59013***</v>
      </c>
      <c r="U43" s="32" t="str">
        <f t="shared" ca="1" si="1"/>
        <v>ster***@yuhuumail.com</v>
      </c>
      <c r="V43" s="32">
        <f t="shared" si="2"/>
        <v>40</v>
      </c>
      <c r="W43" s="36">
        <f t="shared" si="3"/>
        <v>0.03</v>
      </c>
      <c r="Y43" s="59" t="s">
        <v>57</v>
      </c>
      <c r="Z43" s="91" cm="1">
        <f t="array" ref="Z43">SUMPRODUCT(($Q$3:$Q$1500="Jobseeker") *
            ($P$3:$P$1500="To be a Qulity Ansurance Manager") *
            VLOOKUP("To be a Sales &amp; Marketing Associate", $J$6:$L$9, 3, FALSE) *
            (1-$W$3:$W$1500))</f>
        <v>1287635.5</v>
      </c>
      <c r="AA43" s="91" cm="1">
        <f t="array" ref="AA43">SUMPRODUCT(($Q$3:$Q$1500="Jobseeker") *
            ($P$3:$P$1500="To be a Qulity Ansurance Manager") *
            ($S$3:$S$1500&gt;=DATE(2021,5,1)) *
            ($S$3:$S$1500&lt;DATE(2021,6,1)) *
            VLOOKUP("To be a Sales &amp; Marketing Associate", $J$6:$L$9, 3, FALSE) *
            (1-$W$3:$W$1500))</f>
        <v>364161.5</v>
      </c>
      <c r="AB43" s="91" cm="1">
        <f t="array" ref="AB43">SUMPRODUCT(($Q$3:$Q$1500="Jobseeker") *
            ($P$3:$P$1500="To be a Qulity Ansurance Manager") *
            ($S$3:$S$1500&gt;=DATE(2021,6,1)) *
            ($S$3:$S$1500&lt;DATE(2021,7,1)) *
            VLOOKUP("To be a Sales &amp; Marketing Associate", $J$6:$L$9, 3, FALSE) *
            (1-$W$3:$W$1500))</f>
        <v>923474</v>
      </c>
    </row>
    <row r="44" spans="4:47" ht="27" customHeight="1" x14ac:dyDescent="0.25">
      <c r="D44" s="14" t="s">
        <v>278</v>
      </c>
      <c r="E44" s="14" t="s">
        <v>279</v>
      </c>
      <c r="F44" s="84" t="s">
        <v>280</v>
      </c>
      <c r="G44" s="15" t="s">
        <v>27</v>
      </c>
      <c r="H44" s="16" t="s">
        <v>281</v>
      </c>
      <c r="I44" s="17"/>
      <c r="J44" s="17"/>
      <c r="K44" s="17"/>
      <c r="L44" s="17"/>
      <c r="N44" s="31">
        <v>42</v>
      </c>
      <c r="O44" s="32" t="s">
        <v>282</v>
      </c>
      <c r="P44" s="33" t="s">
        <v>31</v>
      </c>
      <c r="Q44" s="32" t="s">
        <v>32</v>
      </c>
      <c r="R44" s="34">
        <v>44258.722777777781</v>
      </c>
      <c r="S44" s="35">
        <v>44362</v>
      </c>
      <c r="T44" s="32" t="str">
        <f t="shared" si="0"/>
        <v>+081221411***</v>
      </c>
      <c r="U44" s="32" t="str">
        <f t="shared" ca="1" si="1"/>
        <v>ryan***@yuhuumail.com</v>
      </c>
      <c r="V44" s="32">
        <f t="shared" si="2"/>
        <v>40</v>
      </c>
      <c r="W44" s="36">
        <f t="shared" si="3"/>
        <v>0.03</v>
      </c>
      <c r="Y44" s="59" t="s">
        <v>31</v>
      </c>
      <c r="Z44" s="91" cm="1">
        <f t="array" ref="Z44">SUMPRODUCT(($Q$3:$Q$1500="Jobseeker") *
            ($P$3:$P$1500="To be an Engineering Specialist") *
            VLOOKUP("To be a Sales &amp; Marketing Associate", $J$6:$L$9, 3, FALSE) *
            (1-$W$3:$W$1500))</f>
        <v>1818334.75</v>
      </c>
      <c r="AA44" s="91" cm="1">
        <f t="array" ref="AA44">SUMPRODUCT(($Q$3:$Q$1500="Jobseeker") *
            ($P$3:$P$1500="To be an Engineering Specialist") *
            ($S$3:$S$1500&gt;=DATE(2021,5,1)) *
            ($S$3:$S$1500&lt;DATE(2021,6,1)) *
            VLOOKUP("To be a Sales &amp; Marketing Associate", $J$6:$L$9, 3, FALSE) *
            (1-$W$3:$W$1500))</f>
        <v>528776</v>
      </c>
      <c r="AB44" s="91" cm="1">
        <f t="array" ref="AB44">SUMPRODUCT(($Q$3:$Q$1500="Jobseeker") *
            ($P$3:$P$1500="To be an Engineering Specialist") *
            ($S$3:$S$1500&gt;=DATE(2021,6,1)) *
            ($S$3:$S$1500&lt;DATE(2021,7,1)) *
            VLOOKUP("To be a Sales &amp; Marketing Associate", $J$6:$L$9, 3, FALSE) *
            (1-$W$3:$W$1500))</f>
        <v>1289558.75</v>
      </c>
    </row>
    <row r="45" spans="4:47" ht="27" customHeight="1" x14ac:dyDescent="0.25">
      <c r="D45" s="14" t="s">
        <v>283</v>
      </c>
      <c r="E45" s="14" t="s">
        <v>284</v>
      </c>
      <c r="F45" s="84" t="s">
        <v>285</v>
      </c>
      <c r="G45" s="15" t="s">
        <v>68</v>
      </c>
      <c r="H45" s="16" t="s">
        <v>286</v>
      </c>
      <c r="I45" s="17"/>
      <c r="J45" s="17"/>
      <c r="K45" s="17"/>
      <c r="L45" s="17"/>
      <c r="N45" s="31">
        <v>43</v>
      </c>
      <c r="O45" s="32" t="s">
        <v>287</v>
      </c>
      <c r="P45" s="33" t="s">
        <v>57</v>
      </c>
      <c r="Q45" s="32" t="s">
        <v>32</v>
      </c>
      <c r="R45" s="34">
        <v>42846.720567129632</v>
      </c>
      <c r="S45" s="35">
        <v>44354</v>
      </c>
      <c r="T45" s="32" t="str">
        <f t="shared" si="0"/>
        <v>+0842-46916***</v>
      </c>
      <c r="U45" s="32" t="str">
        <f t="shared" ca="1" si="1"/>
        <v>elai***@yuhuumail.com</v>
      </c>
      <c r="V45" s="32">
        <f t="shared" si="2"/>
        <v>36</v>
      </c>
      <c r="W45" s="36">
        <f t="shared" si="3"/>
        <v>4.4999999999999998E-2</v>
      </c>
    </row>
    <row r="46" spans="4:47" ht="27" customHeight="1" x14ac:dyDescent="0.25">
      <c r="D46" s="14" t="s">
        <v>288</v>
      </c>
      <c r="E46" s="14" t="s">
        <v>289</v>
      </c>
      <c r="F46" s="84" t="s">
        <v>290</v>
      </c>
      <c r="G46" s="15" t="s">
        <v>27</v>
      </c>
      <c r="H46" s="16" t="s">
        <v>291</v>
      </c>
      <c r="I46" s="17"/>
      <c r="J46" s="17"/>
      <c r="K46" s="17"/>
      <c r="L46" s="17"/>
      <c r="N46" s="31">
        <v>44</v>
      </c>
      <c r="O46" s="32" t="s">
        <v>292</v>
      </c>
      <c r="P46" s="33" t="s">
        <v>57</v>
      </c>
      <c r="Q46" s="32" t="s">
        <v>32</v>
      </c>
      <c r="R46" s="34">
        <v>44258.730208333334</v>
      </c>
      <c r="S46" s="35">
        <v>44356</v>
      </c>
      <c r="T46" s="32" t="str">
        <f t="shared" si="0"/>
        <v>+6285283214***</v>
      </c>
      <c r="U46" s="32" t="str">
        <f t="shared" ca="1" si="1"/>
        <v>broo***@yuhuumail.com</v>
      </c>
      <c r="V46" s="32">
        <f t="shared" si="2"/>
        <v>40</v>
      </c>
      <c r="W46" s="36">
        <f t="shared" si="3"/>
        <v>0.03</v>
      </c>
      <c r="Y46" s="60" t="s">
        <v>293</v>
      </c>
    </row>
    <row r="47" spans="4:47" ht="27" customHeight="1" x14ac:dyDescent="0.25">
      <c r="D47" s="14" t="s">
        <v>294</v>
      </c>
      <c r="E47" s="14" t="s">
        <v>295</v>
      </c>
      <c r="F47" s="84" t="s">
        <v>296</v>
      </c>
      <c r="G47" s="15" t="s">
        <v>27</v>
      </c>
      <c r="H47" s="16" t="s">
        <v>297</v>
      </c>
      <c r="I47" s="17"/>
      <c r="J47" s="17"/>
      <c r="K47" s="17"/>
      <c r="L47" s="17"/>
      <c r="N47" s="31">
        <v>45</v>
      </c>
      <c r="O47" s="32" t="s">
        <v>298</v>
      </c>
      <c r="P47" s="33" t="s">
        <v>57</v>
      </c>
      <c r="Q47" s="32" t="s">
        <v>32</v>
      </c>
      <c r="R47" s="34">
        <v>44258.731724537036</v>
      </c>
      <c r="S47" s="35">
        <v>44352</v>
      </c>
      <c r="T47" s="32" t="str">
        <f t="shared" si="0"/>
        <v>+082234336***</v>
      </c>
      <c r="U47" s="32" t="str">
        <f t="shared" ca="1" si="1"/>
        <v>mari***@jossmail.com</v>
      </c>
      <c r="V47" s="32">
        <f t="shared" si="2"/>
        <v>40</v>
      </c>
      <c r="W47" s="36">
        <f t="shared" si="3"/>
        <v>0.03</v>
      </c>
      <c r="AC47" s="53" t="s">
        <v>299</v>
      </c>
      <c r="AD47" s="13"/>
      <c r="AE47" s="13"/>
      <c r="AF47" s="13"/>
      <c r="AG47" s="13"/>
      <c r="AH47" s="13"/>
      <c r="AI47" s="13"/>
      <c r="AJ47" s="13"/>
      <c r="AK47" s="13"/>
      <c r="AL47" s="13"/>
      <c r="AM47" s="13"/>
      <c r="AN47" s="13"/>
      <c r="AO47" s="13"/>
      <c r="AP47" s="13"/>
      <c r="AQ47" s="13"/>
      <c r="AR47" s="13"/>
      <c r="AS47" s="13"/>
      <c r="AT47" s="13"/>
      <c r="AU47" s="13"/>
    </row>
    <row r="48" spans="4:47" ht="27" customHeight="1" x14ac:dyDescent="0.25">
      <c r="D48" s="14" t="s">
        <v>300</v>
      </c>
      <c r="E48" s="14" t="s">
        <v>301</v>
      </c>
      <c r="F48" s="84" t="s">
        <v>302</v>
      </c>
      <c r="G48" s="15" t="s">
        <v>27</v>
      </c>
      <c r="H48" s="16" t="s">
        <v>303</v>
      </c>
      <c r="I48" s="17"/>
      <c r="J48" s="17"/>
      <c r="K48" s="17"/>
      <c r="L48" s="17"/>
      <c r="N48" s="31">
        <v>46</v>
      </c>
      <c r="O48" s="32" t="s">
        <v>304</v>
      </c>
      <c r="P48" s="33" t="s">
        <v>31</v>
      </c>
      <c r="Q48" s="32" t="s">
        <v>32</v>
      </c>
      <c r="R48" s="34">
        <v>42484.718009259261</v>
      </c>
      <c r="S48" s="35">
        <v>44329</v>
      </c>
      <c r="T48" s="32" t="str">
        <f t="shared" si="0"/>
        <v>+83295708***</v>
      </c>
      <c r="U48" s="32" t="str">
        <f t="shared" ca="1" si="1"/>
        <v>arma***@jossmail.com</v>
      </c>
      <c r="V48" s="32">
        <f t="shared" si="2"/>
        <v>35</v>
      </c>
      <c r="W48" s="36">
        <f t="shared" si="3"/>
        <v>4.4999999999999998E-2</v>
      </c>
      <c r="Y48" s="11" t="s">
        <v>305</v>
      </c>
      <c r="Z48" s="12" t="s">
        <v>306</v>
      </c>
      <c r="AA48" s="61" t="s">
        <v>307</v>
      </c>
      <c r="AC48" s="77" t="s">
        <v>308</v>
      </c>
      <c r="AD48" s="77" t="s">
        <v>309</v>
      </c>
      <c r="AE48" s="79" t="s">
        <v>29</v>
      </c>
      <c r="AF48" s="80"/>
      <c r="AG48" s="81"/>
      <c r="AH48" s="79" t="s">
        <v>310</v>
      </c>
      <c r="AI48" s="80"/>
      <c r="AJ48" s="81"/>
      <c r="AK48" s="79" t="s">
        <v>311</v>
      </c>
      <c r="AL48" s="81"/>
      <c r="AM48" s="79" t="s">
        <v>312</v>
      </c>
      <c r="AN48" s="81"/>
      <c r="AO48" s="79" t="s">
        <v>313</v>
      </c>
      <c r="AP48" s="81"/>
      <c r="AQ48" s="79" t="s">
        <v>95</v>
      </c>
      <c r="AR48" s="80"/>
      <c r="AS48" s="80"/>
      <c r="AT48" s="80"/>
      <c r="AU48" s="81"/>
    </row>
    <row r="49" spans="4:47" ht="27" customHeight="1" x14ac:dyDescent="0.25">
      <c r="D49" s="14" t="s">
        <v>314</v>
      </c>
      <c r="E49" s="14" t="s">
        <v>315</v>
      </c>
      <c r="F49" s="84" t="s">
        <v>316</v>
      </c>
      <c r="G49" s="15" t="s">
        <v>68</v>
      </c>
      <c r="H49" s="16" t="s">
        <v>317</v>
      </c>
      <c r="I49" s="17"/>
      <c r="J49" s="17"/>
      <c r="K49" s="17"/>
      <c r="L49" s="17"/>
      <c r="N49" s="31">
        <v>47</v>
      </c>
      <c r="O49" s="32" t="s">
        <v>318</v>
      </c>
      <c r="P49" s="33" t="s">
        <v>42</v>
      </c>
      <c r="Q49" s="32" t="s">
        <v>32</v>
      </c>
      <c r="R49" s="34">
        <v>44258.730856481481</v>
      </c>
      <c r="S49" s="35">
        <v>44354</v>
      </c>
      <c r="T49" s="32" t="str">
        <f t="shared" si="0"/>
        <v>+083297633***</v>
      </c>
      <c r="U49" s="32" t="str">
        <f t="shared" ca="1" si="1"/>
        <v>carl***@yuhuumail.com</v>
      </c>
      <c r="V49" s="32">
        <f t="shared" si="2"/>
        <v>39</v>
      </c>
      <c r="W49" s="36">
        <f t="shared" si="3"/>
        <v>0.02</v>
      </c>
      <c r="Y49" s="62" t="s">
        <v>117</v>
      </c>
      <c r="Z49" s="30">
        <f>COUNTIF($T:$T,"+6283*")</f>
        <v>46</v>
      </c>
      <c r="AA49" s="44">
        <f>Z49 * _xlfn.XLOOKUP(Y49,$K$12:$K$16,SMS_CHARGE)</f>
        <v>188.6</v>
      </c>
      <c r="AC49" s="78"/>
      <c r="AD49" s="78"/>
      <c r="AE49" s="63" t="s">
        <v>63</v>
      </c>
      <c r="AF49" s="63" t="s">
        <v>70</v>
      </c>
      <c r="AG49" s="63" t="s">
        <v>76</v>
      </c>
      <c r="AH49" s="63" t="s">
        <v>63</v>
      </c>
      <c r="AI49" s="63" t="s">
        <v>70</v>
      </c>
      <c r="AJ49" s="63" t="s">
        <v>76</v>
      </c>
      <c r="AK49" s="64">
        <v>44317</v>
      </c>
      <c r="AL49" s="64">
        <v>44348</v>
      </c>
      <c r="AM49" s="65" t="s">
        <v>134</v>
      </c>
      <c r="AN49" s="65" t="s">
        <v>140</v>
      </c>
      <c r="AO49" s="63" t="s">
        <v>27</v>
      </c>
      <c r="AP49" s="63" t="s">
        <v>68</v>
      </c>
      <c r="AQ49" s="63" t="s">
        <v>117</v>
      </c>
      <c r="AR49" s="63" t="s">
        <v>132</v>
      </c>
      <c r="AS49" s="63" t="s">
        <v>103</v>
      </c>
      <c r="AT49" s="63" t="s">
        <v>110</v>
      </c>
      <c r="AU49" s="63" t="s">
        <v>124</v>
      </c>
    </row>
    <row r="50" spans="4:47" ht="27" customHeight="1" x14ac:dyDescent="0.25">
      <c r="D50" s="14" t="s">
        <v>319</v>
      </c>
      <c r="E50" s="14" t="s">
        <v>320</v>
      </c>
      <c r="F50" s="84" t="s">
        <v>321</v>
      </c>
      <c r="G50" s="15" t="s">
        <v>68</v>
      </c>
      <c r="H50" s="16" t="s">
        <v>322</v>
      </c>
      <c r="I50" s="17"/>
      <c r="J50" s="17"/>
      <c r="K50" s="17"/>
      <c r="L50" s="17"/>
      <c r="N50" s="31">
        <v>48</v>
      </c>
      <c r="O50" s="32" t="s">
        <v>323</v>
      </c>
      <c r="P50" s="33" t="s">
        <v>31</v>
      </c>
      <c r="Q50" s="32" t="s">
        <v>32</v>
      </c>
      <c r="R50" s="34">
        <v>44258.732453703706</v>
      </c>
      <c r="S50" s="35">
        <v>44333</v>
      </c>
      <c r="T50" s="32" t="str">
        <f t="shared" si="0"/>
        <v>+83264837***</v>
      </c>
      <c r="U50" s="32" t="str">
        <f t="shared" ca="1" si="1"/>
        <v>josh***@yuhuumail.com</v>
      </c>
      <c r="V50" s="32">
        <f t="shared" si="2"/>
        <v>39</v>
      </c>
      <c r="W50" s="36">
        <f t="shared" si="3"/>
        <v>0.02</v>
      </c>
      <c r="Y50" s="62" t="s">
        <v>132</v>
      </c>
      <c r="Z50" s="30">
        <f>COUNTIF($T$4:$T$1500, "+6285*")</f>
        <v>53</v>
      </c>
      <c r="AA50" s="44">
        <f>Z50 * _xlfn.XLOOKUP(Y50,$K$12:$K$16,SMS_CHARGE)</f>
        <v>79.5</v>
      </c>
      <c r="AC50" s="66" t="s">
        <v>324</v>
      </c>
      <c r="AD50" s="30">
        <f>COUNTIF($V$3:$V$1500, "&gt;=50")</f>
        <v>1</v>
      </c>
      <c r="AE50" s="30">
        <f>COUNTIFS($V$4:$V$1500, "&gt;=50",
           $Q$4:$Q$1500, "LinkedIn",
           $P$4:$P$1500, "To be a Sales &amp; Marketing Associate")</f>
        <v>0</v>
      </c>
      <c r="AF50" s="30">
        <f>COUNTIFS($V$4:$V$1500, "&gt;=50",
           $Q$4:$Q$1500, "LinkedIn",
           $P$4:$P$1500, "To be a Qulity Ansurance Manager")</f>
        <v>0</v>
      </c>
      <c r="AG50" s="30">
        <f>COUNTIFS($V$3:$V$1500, "&gt;=50",
           $Q$3:$Q$1500, "LinkedIn",
           $P$3:$P$1500, "To be an Engineering Specialist")</f>
        <v>1</v>
      </c>
      <c r="AH50" s="30">
        <f>COUNTIFS($V$4:$V$1500, "&gt;=50",
           $Q$4:$Q$1500, "Jobseeker",
           $P$4:$P$1500, "To be a Sales &amp; Marketing Associate")</f>
        <v>0</v>
      </c>
      <c r="AI50" s="30">
        <f>COUNTIFS($V$4:$V$1500, "&gt;=50",
           $Q$4:$Q$1500, "Jobseeker",
           $P$4:$P$1500, "To be a Qulity Ansurance Manager")</f>
        <v>0</v>
      </c>
      <c r="AJ50" s="30">
        <f>COUNTIFS($V$4:$V$1500, "&gt;=50",
           $Q$4:$Q$1500, "Jobseeker",
           $P$4:$P$1500, "To be an Engineering Specialist")</f>
        <v>0</v>
      </c>
      <c r="AK50" s="30">
        <f>COUNTIFS($V$3:$V$1500, "&gt;=50",
           $S$3:$S$1500, "&gt;=5/1/2021",
           $S$3:$S$1500, "&lt;6/1/2021")</f>
        <v>0</v>
      </c>
      <c r="AL50" s="30">
        <f>COUNTIFS($V$3:$V$1500, "&gt;=50",
           $S$3:$S$1500, "&gt;=6/1/2021",
           $S$3:$S$1500, "&lt;7/1/2021")</f>
        <v>1</v>
      </c>
      <c r="AM50" s="30">
        <f>COUNTIFS($V$3:$V$1500, "&gt;=50",
           $U$3:$U$1500, "*@jossmail.com")</f>
        <v>1</v>
      </c>
      <c r="AN50" s="30">
        <f>COUNTIFS($V$4:$V$1500, "&gt;=50",
           $U$4:$U$1500, "*@yuhuumail.com")</f>
        <v>0</v>
      </c>
      <c r="AO50" s="30" cm="1">
        <f t="array" ref="AO50">SUMPRODUCT(($V$3:$V$1500&gt;=50) *
            (_xlfn.XLOOKUP($O$3:$O$1500, $E$3:$E$3002, $G$3:$G$3002, "")="Male"))</f>
        <v>1</v>
      </c>
      <c r="AP50" s="30" cm="1">
        <f t="array" ref="AP50">SUMPRODUCT(($V$3:$V$1500&gt;=50) *
            (_xlfn.XLOOKUP($O$3:$O$1500, $E$3:$E$3002, $G$3:$G$3002, "")="Female"))</f>
        <v>0</v>
      </c>
      <c r="AQ50" s="30">
        <f>COUNTIFS($V$3:$V$1500, "&gt;=50",
           $T$3:$T$1500, "+6283*")</f>
        <v>0</v>
      </c>
      <c r="AR50" s="30">
        <f>COUNTIFS($V$3:$V$1500, "&gt;=50",
           $T$3:$T$1500, "+6285*")</f>
        <v>0</v>
      </c>
      <c r="AS50" s="30">
        <f>COUNTIFS($V$3:$V$1500, "&gt;=50",
           $T$3:$T$1500, "+6281*")</f>
        <v>0</v>
      </c>
      <c r="AT50" s="30">
        <f>COUNTIFS($V$3:$V$1500, "&gt;=50",
           $T$3:$T$1500, "+6282*")</f>
        <v>0</v>
      </c>
      <c r="AU50" s="30">
        <f>COUNTIFS($V$3:$V$1500, "&gt;=50",
           $T$3:$T$1500, "+6284*")</f>
        <v>1</v>
      </c>
    </row>
    <row r="51" spans="4:47" ht="27" customHeight="1" x14ac:dyDescent="0.25">
      <c r="D51" s="14" t="s">
        <v>325</v>
      </c>
      <c r="E51" s="14" t="s">
        <v>326</v>
      </c>
      <c r="F51" s="84" t="s">
        <v>266</v>
      </c>
      <c r="G51" s="15" t="s">
        <v>68</v>
      </c>
      <c r="H51" s="16" t="s">
        <v>327</v>
      </c>
      <c r="I51" s="17"/>
      <c r="J51" s="17"/>
      <c r="K51" s="17"/>
      <c r="L51" s="17"/>
      <c r="N51" s="31">
        <v>49</v>
      </c>
      <c r="O51" s="32" t="s">
        <v>328</v>
      </c>
      <c r="P51" s="33" t="s">
        <v>31</v>
      </c>
      <c r="Q51" s="32" t="s">
        <v>32</v>
      </c>
      <c r="R51" s="34">
        <v>43749.431956018518</v>
      </c>
      <c r="S51" s="35">
        <v>44352</v>
      </c>
      <c r="T51" s="32" t="str">
        <f t="shared" si="0"/>
        <v>+083280454***</v>
      </c>
      <c r="U51" s="32" t="str">
        <f t="shared" ca="1" si="1"/>
        <v>anna***@yuhuumail.com</v>
      </c>
      <c r="V51" s="32">
        <f t="shared" si="2"/>
        <v>38</v>
      </c>
      <c r="W51" s="36">
        <f t="shared" si="3"/>
        <v>3.5000000000000003E-2</v>
      </c>
      <c r="Y51" s="62" t="s">
        <v>103</v>
      </c>
      <c r="Z51" s="30">
        <f>COUNTIF($T$4:$T$1500, "+6281*")</f>
        <v>45</v>
      </c>
      <c r="AA51" s="44">
        <f>Z51 * _xlfn.XLOOKUP(Y51,$K$12:$K$16,SMS_CHARGE)</f>
        <v>112.5</v>
      </c>
      <c r="AC51" s="66" t="s">
        <v>329</v>
      </c>
      <c r="AD51" s="30">
        <f>COUNTIF($V$3:$V$1500, "&gt;=40")</f>
        <v>42</v>
      </c>
      <c r="AE51" s="30">
        <f>COUNTIFS($V$4:$V$1500, "&gt;=40",
           $Q$4:$Q$1500, "LinkedIn",
           $P$4:$P$1500, "To be a Sales &amp; Marketing Associate")</f>
        <v>10</v>
      </c>
      <c r="AF51" s="30">
        <f>COUNTIFS($V$4:$V$1500, "&gt;=40",
           $Q$4:$Q$1500, "LinkedIn",
           $P$4:$P$1500, "To be a Qulity Ansurance Manager")</f>
        <v>6</v>
      </c>
      <c r="AG51" s="30">
        <f>COUNTIFS($V$4:$V$1500, "&gt;=40",
           $Q$4:$Q$1500, "LinkedIn",
           $P$4:$P$1500, "To be an Engineering Specialist")</f>
        <v>21</v>
      </c>
      <c r="AH51" s="30">
        <f>COUNTIFS($V$4:$V$1500, "&gt;=40",
           $Q$4:$Q$1500, "Jobseeker",
           $P$4:$P$1500, "To be a Sales &amp; Marketing Associate")</f>
        <v>0</v>
      </c>
      <c r="AI51" s="30">
        <f>COUNTIFS($V$4:$V$1500, "&gt;=40",
           $Q$4:$Q$1500, "Jobseeker",
           $P$4:$P$1500, "To be a Qulity Ansurance Manager")</f>
        <v>0</v>
      </c>
      <c r="AJ51" s="30">
        <f>COUNTIFS($V$4:$V$1500, "&gt;=40",
           $Q$4:$Q$1500, "Jobseeker",
           $P$4:$P$1500, "To be an Engineering Specialist")</f>
        <v>0</v>
      </c>
      <c r="AK51" s="30">
        <f>COUNTIFS($V$3:$V$1500, "&gt;=40",
           $S$3:$S$1500, "&gt;=5/1/2021",
           $S$3:$S$1500, "&lt;6/1/2021")</f>
        <v>10</v>
      </c>
      <c r="AL51" s="30">
        <f>COUNTIFS($V$4:$V$1500, "&gt;=40",
           $S$4:$S$1500, "&gt;=6/1/2021",
           $S$4:$S$1500, "&lt;7/1/2021")</f>
        <v>31</v>
      </c>
      <c r="AM51" s="30">
        <f ca="1">COUNTIFS($V$4:$V$1500, "&gt;=40",
           $U$4:$U$1500, "*@jossmail.com")</f>
        <v>20</v>
      </c>
      <c r="AN51" s="30">
        <f ca="1">COUNTIFS($V$4:$V$1500, "&gt;=40",
           $U$4:$U$1500, "*@yuhuumail.com")</f>
        <v>21</v>
      </c>
      <c r="AO51" s="30" cm="1">
        <f t="array" ref="AO51">SUMPRODUCT(($V$3:$V$1500&gt;=40) *
            (_xlfn.XLOOKUP($O$3:$O$1500, $E$3:$E$3002, $G$3:$G$3002, "")="Male"))</f>
        <v>28</v>
      </c>
      <c r="AP51" s="30" cm="1">
        <f t="array" ref="AP51">SUMPRODUCT(($V$3:$V$1500&gt;=40) *
            (_xlfn.XLOOKUP($O$3:$O$1500, $E$3:$E$3002, $G$3:$G$3002, "")="Female"))</f>
        <v>14</v>
      </c>
      <c r="AQ51" s="30">
        <f>COUNTIFS($V$4:$V$1500, "&gt;=40",
           $T$4:$T$1500, "+6283*")</f>
        <v>1</v>
      </c>
      <c r="AR51" s="30">
        <f>COUNTIFS($V$4:$V$1500, "&gt;=40",
           $T$4:$T$1500, "+6285*")</f>
        <v>1</v>
      </c>
      <c r="AS51" s="30">
        <f>COUNTIFS($V$4:$V$1500, "&gt;=40",
           $T$4:$T$1500, "+6281*")</f>
        <v>3</v>
      </c>
      <c r="AT51" s="30">
        <f>COUNTIFS($V$4:$V$1500, "&gt;=40",
           $T$4:$T$1500, "+6282*")</f>
        <v>3</v>
      </c>
      <c r="AU51" s="30">
        <f>COUNTIFS($V$4:$V$1500, "&gt;=40",
           $T$4:$T$1500, "+6284*")</f>
        <v>0</v>
      </c>
    </row>
    <row r="52" spans="4:47" ht="27" customHeight="1" x14ac:dyDescent="0.25">
      <c r="D52" s="14" t="s">
        <v>330</v>
      </c>
      <c r="E52" s="14" t="s">
        <v>331</v>
      </c>
      <c r="F52" s="84" t="s">
        <v>332</v>
      </c>
      <c r="G52" s="15" t="s">
        <v>68</v>
      </c>
      <c r="H52" s="16" t="s">
        <v>333</v>
      </c>
      <c r="I52" s="17"/>
      <c r="J52" s="17"/>
      <c r="K52" s="17"/>
      <c r="L52" s="17"/>
      <c r="N52" s="31">
        <v>50</v>
      </c>
      <c r="O52" s="32" t="s">
        <v>334</v>
      </c>
      <c r="P52" s="33" t="s">
        <v>31</v>
      </c>
      <c r="Q52" s="32" t="s">
        <v>32</v>
      </c>
      <c r="R52" s="34">
        <v>44258.733425925922</v>
      </c>
      <c r="S52" s="35">
        <v>44320</v>
      </c>
      <c r="T52" s="32" t="str">
        <f t="shared" si="0"/>
        <v>+085216351***</v>
      </c>
      <c r="U52" s="32" t="str">
        <f t="shared" ca="1" si="1"/>
        <v>luca***@yuhuumail.com</v>
      </c>
      <c r="V52" s="32">
        <f t="shared" si="2"/>
        <v>39</v>
      </c>
      <c r="W52" s="36">
        <f t="shared" si="3"/>
        <v>0.02</v>
      </c>
      <c r="Y52" s="62" t="s">
        <v>110</v>
      </c>
      <c r="Z52" s="30">
        <f>COUNTIF($T$4:$T$1500, "+6282*")</f>
        <v>60</v>
      </c>
      <c r="AA52" s="44">
        <f>Z52 * _xlfn.XLOOKUP(Y52,$K$12:$K$16,SMS_CHARGE)</f>
        <v>222</v>
      </c>
      <c r="AC52" s="66" t="s">
        <v>335</v>
      </c>
      <c r="AD52" s="30">
        <f>COUNTIF($V$3:$V$1500, "&gt;=30")</f>
        <v>229</v>
      </c>
      <c r="AE52" s="30">
        <f>COUNTIFS($V$4:$V$1500, "&gt;=30",
           $Q$4:$Q$1500, "LinkedIn",
           $P$4:$P$1500, "To be a Sales &amp; Marketing Associate")</f>
        <v>39</v>
      </c>
      <c r="AF52" s="30">
        <f>COUNTIFS($V$4:$V$1500, "&gt;=30",
           $Q$4:$Q$1500, "LinkedIn",
           $P$4:$P$1500, "To be a Qulity Ansurance Manager")</f>
        <v>42</v>
      </c>
      <c r="AG52" s="30">
        <f>COUNTIFS($V$4:$V$1500, "&gt;=30",
           $Q$4:$Q$1500, "LinkedIn",
           $P$4:$P$1500, "To be an Engineering Specialist")</f>
        <v>81</v>
      </c>
      <c r="AH52" s="30">
        <f>COUNTIFS($V$4:$V$1500, "&gt;=30",
           $Q$4:$Q$1500, "Jobseeker",
           $P$4:$P$1500, "To be a Sales &amp; Marketing Associate")</f>
        <v>0</v>
      </c>
      <c r="AI52" s="30">
        <f>COUNTIFS($V$4:$V$1500, "&gt;=30",
           $Q$4:$Q$1500, "Jobseeker",
           $P$4:$P$1500, "To be a Qulity Ansurance Manager")</f>
        <v>0</v>
      </c>
      <c r="AJ52" s="30">
        <f>COUNTIFS($V$4:$V$1500, "&gt;=30",
           $Q$4:$Q$1500, "Jobseeker",
           $P$4:$P$1500, "To be an Engineering Specialist")</f>
        <v>0</v>
      </c>
      <c r="AK52" s="30">
        <f>COUNTIFS($V$3:$V$1500, "&gt;=30",
           $S$3:$S$1500, "&gt;=5/1/2021",
           $S$3:$S$1500, "&lt;6/1/2021")</f>
        <v>67</v>
      </c>
      <c r="AL52" s="30">
        <f>COUNTIFS($V$4:$V$1500, "&gt;=30",
           $S$4:$S$1500, "&gt;=6/1/2021",
           $S$4:$S$1500, "&lt;7/1/2021")</f>
        <v>161</v>
      </c>
      <c r="AM52" s="30">
        <f ca="1">COUNTIFS($V$4:$V$1500, "&gt;=30",
           $U$4:$U$1500, "*@jossmail.com")</f>
        <v>111</v>
      </c>
      <c r="AN52" s="30">
        <f ca="1">COUNTIFS($V$4:$V$1500, "&gt;=30",
           $U$4:$U$1500, "*@yuhuumail.com")</f>
        <v>117</v>
      </c>
      <c r="AO52" s="30" cm="1">
        <f t="array" ref="AO52">SUMPRODUCT(($V$3:$V$1500&gt;=30) *
            (_xlfn.XLOOKUP($O$3:$O$1500, $E$3:$E$3002, $G$3:$G$3002, "")="Male"))</f>
        <v>154</v>
      </c>
      <c r="AP52" s="30" cm="1">
        <f t="array" ref="AP52">SUMPRODUCT(($V$3:$V$1500&gt;=30) *
            (_xlfn.XLOOKUP($O$3:$O$1500, $E$3:$E$3002, $G$3:$G$3002, "")="Female"))</f>
        <v>75</v>
      </c>
      <c r="AQ52" s="30">
        <f>COUNTIFS($V$4:$V$1500, "&gt;=30",
           $T$4:$T$1500, "+6283*")</f>
        <v>6</v>
      </c>
      <c r="AR52" s="30">
        <f>COUNTIFS($V$4:$V$1500, "&gt;=30",
           $T$4:$T$1500, "+6285*")</f>
        <v>10</v>
      </c>
      <c r="AS52" s="30">
        <f>COUNTIFS($V$4:$V$1500, "&gt;=30",
           $T$4:$T$1500, "+6281*")</f>
        <v>11</v>
      </c>
      <c r="AT52" s="30">
        <f>COUNTIFS($V$4:$V$1500, "&gt;=30",
           $T$4:$T$1500, "+6282*")</f>
        <v>11</v>
      </c>
      <c r="AU52" s="30">
        <f>COUNTIFS($V$4:$V$1500, "&gt;=30",
           $T$4:$T$1500, "+6284*")</f>
        <v>6</v>
      </c>
    </row>
    <row r="53" spans="4:47" ht="27" customHeight="1" x14ac:dyDescent="0.25">
      <c r="D53" s="14" t="s">
        <v>336</v>
      </c>
      <c r="E53" s="14" t="s">
        <v>337</v>
      </c>
      <c r="F53" s="84" t="s">
        <v>129</v>
      </c>
      <c r="G53" s="15" t="s">
        <v>27</v>
      </c>
      <c r="H53" s="16" t="s">
        <v>338</v>
      </c>
      <c r="I53" s="17"/>
      <c r="J53" s="17"/>
      <c r="K53" s="17"/>
      <c r="L53" s="17"/>
      <c r="N53" s="31">
        <v>51</v>
      </c>
      <c r="O53" s="32" t="s">
        <v>339</v>
      </c>
      <c r="P53" s="33" t="s">
        <v>31</v>
      </c>
      <c r="Q53" s="32" t="s">
        <v>32</v>
      </c>
      <c r="R53" s="34">
        <v>43929.766261574077</v>
      </c>
      <c r="S53" s="35">
        <v>44356</v>
      </c>
      <c r="T53" s="32" t="str">
        <f t="shared" si="0"/>
        <v>+6282248091***</v>
      </c>
      <c r="U53" s="32" t="str">
        <f t="shared" ca="1" si="1"/>
        <v>tary***@jossmail.com</v>
      </c>
      <c r="V53" s="32">
        <f t="shared" si="2"/>
        <v>38</v>
      </c>
      <c r="W53" s="36">
        <f t="shared" si="3"/>
        <v>3.5000000000000003E-2</v>
      </c>
      <c r="Y53" s="62" t="s">
        <v>124</v>
      </c>
      <c r="Z53" s="30">
        <f>COUNTIF($T$4:$T$1500, "+6284*")</f>
        <v>42</v>
      </c>
      <c r="AA53" s="44">
        <f>Z53 * _xlfn.XLOOKUP(Y53,$K$12:$K$16,SMS_CHARGE)</f>
        <v>88.2</v>
      </c>
      <c r="AC53" s="66" t="s">
        <v>340</v>
      </c>
      <c r="AD53" s="30">
        <f>COUNTIF($V$3:$V$1500, "&gt;=20")</f>
        <v>1469</v>
      </c>
      <c r="AE53" s="30">
        <f>COUNTIFS($V$4:$V$1500, "&gt;=20",
           $Q$4:$Q$1500, "LinkedIn",
           $P$4:$P$1500, "To be a Sales &amp; Marketing Associate")</f>
        <v>191</v>
      </c>
      <c r="AF53" s="30">
        <f>COUNTIFS($V$4:$V$1500, "&gt;=20",
           $Q$4:$Q$1500, "LinkedIn",
           $P$4:$P$1500, "To be a Qulity Ansurance Manager")</f>
        <v>191</v>
      </c>
      <c r="AG53" s="30">
        <f>COUNTIFS($V$4:$V$1500, "&gt;=20",
           $Q$4:$Q$1500, "LinkedIn",
           $P$4:$P$1500, "To be an Engineering Specialist")</f>
        <v>323</v>
      </c>
      <c r="AH53" s="30">
        <f>COUNTIFS($V$4:$V$1500, "&gt;=20",
           $Q$4:$Q$1500, "Jobseeker",
           $P$4:$P$1500, "To be a Sales &amp; Marketing Associate")</f>
        <v>134</v>
      </c>
      <c r="AI53" s="30">
        <f>COUNTIFS($V$4:$V$1500, "&gt;=20",
           $Q$4:$Q$1500, "Jobseeker",
           $P$4:$P$1500, "To be a Qulity Ansurance Manager")</f>
        <v>171</v>
      </c>
      <c r="AJ53" s="30">
        <f>COUNTIFS($V$4:$V$1500, "&gt;=20",
           $Q$4:$Q$1500, "Jobseeker",
           $P$4:$P$1500, "To be an Engineering Specialist")</f>
        <v>243</v>
      </c>
      <c r="AK53" s="30">
        <f>COUNTIFS($V$3:$V$1500, "&gt;=20",
           $S$3:$S$1500, "&gt;=5/1/2021",
           $S$3:$S$1500, "&lt;6/1/2021")</f>
        <v>469</v>
      </c>
      <c r="AL53" s="30">
        <f>COUNTIFS($V$4:$V$1500, "&gt;=20",
           $S$4:$S$1500, "&gt;=6/1/2021",
           $S$4:$S$1500, "&lt;7/1/2021")</f>
        <v>999</v>
      </c>
      <c r="AM53" s="30">
        <f ca="1">COUNTIFS($V$4:$V$1500, "&gt;=20",
           $U$4:$U$1500, "*@jossmail.com")</f>
        <v>712</v>
      </c>
      <c r="AN53" s="30">
        <f ca="1">COUNTIFS($V$4:$V$1500, "&gt;=20",
           $U$4:$U$1500, "*@yuhuumail.com")</f>
        <v>756</v>
      </c>
      <c r="AO53" s="30" cm="1">
        <f t="array" ref="AO53">SUMPRODUCT(($V$3:$V$1500&gt;=20) *
            (_xlfn.XLOOKUP($O$3:$O$1500, $E$3:$E$3002, $G$3:$G$3002, "")="Male"))</f>
        <v>981</v>
      </c>
      <c r="AP53" s="30" cm="1">
        <f t="array" ref="AP53">SUMPRODUCT(($V$3:$V$1500&gt;=20) *
            (_xlfn.XLOOKUP($O$3:$O$1500, $E$3:$E$3002, $G$3:$G$3002, "")="Female"))</f>
        <v>488</v>
      </c>
      <c r="AQ53" s="30">
        <f>COUNTIFS($V$4:$V$1500, "&gt;=20",
           $T$4:$T$1500, "+6283*")</f>
        <v>44</v>
      </c>
      <c r="AR53" s="30">
        <f>COUNTIFS($V$4:$V$1500, "&gt;=20",
           $T$4:$T$1500, "+6285*")</f>
        <v>53</v>
      </c>
      <c r="AS53" s="30">
        <f>COUNTIFS($V$4:$V$1500, "&gt;=20",
           $T$4:$T$1500, "+6281*")</f>
        <v>43</v>
      </c>
      <c r="AT53" s="30">
        <f>COUNTIFS($V$4:$V$1500, "&gt;=20",
           $T$4:$T$1500, "+6282*")</f>
        <v>60</v>
      </c>
      <c r="AU53" s="30">
        <f>COUNTIFS($V$4:$V$1500, "&gt;=20",
           $T$4:$T$1500, "+6284*")</f>
        <v>42</v>
      </c>
    </row>
    <row r="54" spans="4:47" ht="27" customHeight="1" x14ac:dyDescent="0.25">
      <c r="D54" s="14" t="s">
        <v>341</v>
      </c>
      <c r="E54" s="14" t="s">
        <v>342</v>
      </c>
      <c r="F54" s="84" t="s">
        <v>343</v>
      </c>
      <c r="G54" s="15" t="s">
        <v>27</v>
      </c>
      <c r="H54" s="16" t="s">
        <v>344</v>
      </c>
      <c r="I54" s="17"/>
      <c r="J54" s="17"/>
      <c r="K54" s="17"/>
      <c r="L54" s="17"/>
      <c r="N54" s="31">
        <v>52</v>
      </c>
      <c r="O54" s="32" t="s">
        <v>345</v>
      </c>
      <c r="P54" s="33" t="s">
        <v>57</v>
      </c>
      <c r="Q54" s="32" t="s">
        <v>32</v>
      </c>
      <c r="R54" s="34">
        <v>43678.321446759262</v>
      </c>
      <c r="S54" s="35">
        <v>44354</v>
      </c>
      <c r="T54" s="32" t="str">
        <f t="shared" si="0"/>
        <v>+0812-36083***</v>
      </c>
      <c r="U54" s="32" t="str">
        <f t="shared" ca="1" si="1"/>
        <v>heat***@yuhuumail.com</v>
      </c>
      <c r="V54" s="32">
        <f t="shared" si="2"/>
        <v>37</v>
      </c>
      <c r="W54" s="36">
        <f t="shared" si="3"/>
        <v>3.5000000000000003E-2</v>
      </c>
      <c r="Y54" s="17"/>
      <c r="Z54" s="38"/>
      <c r="AA54" s="13"/>
      <c r="AE54" s="13"/>
      <c r="AF54" s="13"/>
      <c r="AG54" s="13"/>
      <c r="AH54" s="13"/>
      <c r="AI54" s="13"/>
      <c r="AJ54" s="13"/>
      <c r="AK54" s="13"/>
      <c r="AL54" s="13"/>
      <c r="AM54" s="13"/>
      <c r="AN54" s="13"/>
      <c r="AO54" s="13"/>
      <c r="AP54" s="13"/>
      <c r="AQ54" s="13"/>
      <c r="AR54" s="13"/>
      <c r="AS54" s="13"/>
      <c r="AT54" s="13"/>
      <c r="AU54" s="13"/>
    </row>
    <row r="55" spans="4:47" ht="27" customHeight="1" x14ac:dyDescent="0.25">
      <c r="D55" s="14" t="s">
        <v>346</v>
      </c>
      <c r="E55" s="14" t="s">
        <v>347</v>
      </c>
      <c r="F55" s="84" t="s">
        <v>348</v>
      </c>
      <c r="G55" s="15" t="s">
        <v>27</v>
      </c>
      <c r="H55" s="16" t="s">
        <v>349</v>
      </c>
      <c r="I55" s="17"/>
      <c r="J55" s="17"/>
      <c r="K55" s="17"/>
      <c r="L55" s="17"/>
      <c r="N55" s="31">
        <v>53</v>
      </c>
      <c r="O55" s="32" t="s">
        <v>350</v>
      </c>
      <c r="P55" s="33" t="s">
        <v>31</v>
      </c>
      <c r="Q55" s="32" t="s">
        <v>32</v>
      </c>
      <c r="R55" s="34">
        <v>44258.735115740739</v>
      </c>
      <c r="S55" s="35">
        <v>44318</v>
      </c>
      <c r="T55" s="32" t="str">
        <f t="shared" si="0"/>
        <v>+085231907***</v>
      </c>
      <c r="U55" s="32" t="str">
        <f t="shared" ca="1" si="1"/>
        <v>marc***@yuhuumail.com</v>
      </c>
      <c r="V55" s="32">
        <f t="shared" si="2"/>
        <v>39</v>
      </c>
      <c r="W55" s="36">
        <f t="shared" si="3"/>
        <v>0.02</v>
      </c>
      <c r="Y55" s="11" t="s">
        <v>351</v>
      </c>
      <c r="Z55" s="12" t="s">
        <v>352</v>
      </c>
      <c r="AA55" s="13"/>
      <c r="AC55" s="53" t="s">
        <v>309</v>
      </c>
      <c r="AD55" s="56"/>
      <c r="AE55" s="13"/>
      <c r="AF55" s="13"/>
      <c r="AG55" s="13"/>
      <c r="AH55" s="13"/>
      <c r="AI55" s="13"/>
      <c r="AJ55" s="13"/>
      <c r="AK55" s="13"/>
      <c r="AL55" s="13"/>
      <c r="AM55" s="13"/>
      <c r="AN55" s="13"/>
      <c r="AO55" s="13"/>
      <c r="AP55" s="13"/>
      <c r="AQ55" s="13"/>
      <c r="AR55" s="13"/>
      <c r="AS55" s="13"/>
      <c r="AT55" s="13"/>
      <c r="AU55" s="13"/>
    </row>
    <row r="56" spans="4:47" ht="27" customHeight="1" x14ac:dyDescent="0.25">
      <c r="D56" s="14" t="s">
        <v>353</v>
      </c>
      <c r="E56" s="14" t="s">
        <v>354</v>
      </c>
      <c r="F56" s="84" t="s">
        <v>261</v>
      </c>
      <c r="G56" s="15" t="s">
        <v>27</v>
      </c>
      <c r="H56" s="16" t="s">
        <v>355</v>
      </c>
      <c r="I56" s="17"/>
      <c r="J56" s="17"/>
      <c r="K56" s="17"/>
      <c r="L56" s="17"/>
      <c r="N56" s="31">
        <v>54</v>
      </c>
      <c r="O56" s="32" t="s">
        <v>356</v>
      </c>
      <c r="P56" s="33" t="s">
        <v>42</v>
      </c>
      <c r="Q56" s="32" t="s">
        <v>32</v>
      </c>
      <c r="R56" s="34">
        <v>44258.734166666669</v>
      </c>
      <c r="S56" s="35">
        <v>44354</v>
      </c>
      <c r="T56" s="32" t="str">
        <f t="shared" si="0"/>
        <v>+84255264***</v>
      </c>
      <c r="U56" s="32" t="str">
        <f t="shared" ca="1" si="1"/>
        <v>yazm***@yuhuumail.com</v>
      </c>
      <c r="V56" s="32">
        <f t="shared" si="2"/>
        <v>38</v>
      </c>
      <c r="W56" s="36">
        <f t="shared" si="3"/>
        <v>0.02</v>
      </c>
      <c r="Y56" s="67">
        <v>60</v>
      </c>
      <c r="Z56" s="68">
        <v>1</v>
      </c>
      <c r="AA56" s="13"/>
      <c r="AC56" s="63" t="s">
        <v>393</v>
      </c>
      <c r="AD56" s="63" t="s">
        <v>394</v>
      </c>
      <c r="AE56" s="63" t="s">
        <v>395</v>
      </c>
    </row>
    <row r="57" spans="4:47" ht="27" customHeight="1" x14ac:dyDescent="0.25">
      <c r="D57" s="14" t="s">
        <v>357</v>
      </c>
      <c r="E57" s="14" t="s">
        <v>358</v>
      </c>
      <c r="F57" s="84" t="s">
        <v>359</v>
      </c>
      <c r="G57" s="15" t="s">
        <v>27</v>
      </c>
      <c r="H57" s="16" t="s">
        <v>360</v>
      </c>
      <c r="I57" s="17"/>
      <c r="J57" s="17"/>
      <c r="K57" s="17"/>
      <c r="L57" s="17"/>
      <c r="N57" s="31">
        <v>55</v>
      </c>
      <c r="O57" s="32" t="s">
        <v>361</v>
      </c>
      <c r="P57" s="33" t="s">
        <v>31</v>
      </c>
      <c r="Q57" s="32" t="s">
        <v>32</v>
      </c>
      <c r="R57" s="69">
        <v>43208.232395833336</v>
      </c>
      <c r="S57" s="35">
        <v>44352</v>
      </c>
      <c r="T57" s="32" t="str">
        <f t="shared" si="0"/>
        <v>+82281999***</v>
      </c>
      <c r="U57" s="32" t="str">
        <f t="shared" ca="1" si="1"/>
        <v>jord***@yuhuumail.com</v>
      </c>
      <c r="V57" s="32">
        <f t="shared" si="2"/>
        <v>35</v>
      </c>
      <c r="W57" s="36">
        <f t="shared" si="3"/>
        <v>4.4999999999999998E-2</v>
      </c>
      <c r="Y57" s="70" cm="1">
        <f t="array" ref="Y57:Y88">_xlfn.UNIQUE(_xlfn._xlws.SORT(_xlfn._xlws.FILTER($V$4:$V$1500, $V$4:$V$1500&lt;&gt;"")))</f>
        <v>16</v>
      </c>
      <c r="Z57" s="30">
        <f>COUNTIF($V:$V,Y57)</f>
        <v>3</v>
      </c>
      <c r="AA57" s="13"/>
      <c r="AC57" s="30" t="str">
        <f>AD56</f>
        <v>Expense</v>
      </c>
      <c r="AD57" s="92" t="str">
        <f>AE56</f>
        <v>Income</v>
      </c>
      <c r="AE57" s="91">
        <f>SUM(Z38:Z44)</f>
        <v>9592229</v>
      </c>
    </row>
    <row r="58" spans="4:47" ht="27" customHeight="1" x14ac:dyDescent="0.25">
      <c r="D58" s="14" t="s">
        <v>362</v>
      </c>
      <c r="E58" s="14" t="s">
        <v>363</v>
      </c>
      <c r="F58" s="84" t="s">
        <v>206</v>
      </c>
      <c r="G58" s="15" t="s">
        <v>27</v>
      </c>
      <c r="H58" s="16" t="s">
        <v>364</v>
      </c>
      <c r="I58" s="17"/>
      <c r="J58" s="17"/>
      <c r="K58" s="17"/>
      <c r="L58" s="17"/>
      <c r="N58" s="31">
        <v>56</v>
      </c>
      <c r="O58" s="32" t="s">
        <v>365</v>
      </c>
      <c r="P58" s="33" t="s">
        <v>31</v>
      </c>
      <c r="Q58" s="32" t="s">
        <v>32</v>
      </c>
      <c r="R58" s="69">
        <v>44258.720069444447</v>
      </c>
      <c r="S58" s="35">
        <v>44352</v>
      </c>
      <c r="T58" s="32" t="str">
        <f t="shared" si="0"/>
        <v>+6281254495***</v>
      </c>
      <c r="U58" s="32" t="str">
        <f t="shared" ca="1" si="1"/>
        <v>celi***@yuhuumail.com</v>
      </c>
      <c r="V58" s="32">
        <f t="shared" si="2"/>
        <v>38</v>
      </c>
      <c r="W58" s="36">
        <f t="shared" si="3"/>
        <v>0.02</v>
      </c>
      <c r="Y58" s="70">
        <v>17</v>
      </c>
      <c r="Z58" s="30">
        <f t="shared" ref="Z58:Z88" si="4">COUNTIF($V:$V,Y58)</f>
        <v>4</v>
      </c>
      <c r="AA58" s="13"/>
    </row>
    <row r="59" spans="4:47" ht="27" customHeight="1" x14ac:dyDescent="0.25">
      <c r="D59" s="14" t="s">
        <v>366</v>
      </c>
      <c r="E59" s="14" t="s">
        <v>139</v>
      </c>
      <c r="F59" s="84" t="s">
        <v>367</v>
      </c>
      <c r="G59" s="15" t="s">
        <v>68</v>
      </c>
      <c r="H59" s="16" t="s">
        <v>368</v>
      </c>
      <c r="I59" s="17"/>
      <c r="J59" s="17"/>
      <c r="K59" s="17"/>
      <c r="L59" s="17"/>
      <c r="N59" s="31">
        <v>57</v>
      </c>
      <c r="O59" s="32" t="s">
        <v>369</v>
      </c>
      <c r="P59" s="33" t="s">
        <v>57</v>
      </c>
      <c r="Q59" s="32" t="s">
        <v>32</v>
      </c>
      <c r="R59" s="69">
        <v>44258.737083333333</v>
      </c>
      <c r="S59" s="35">
        <v>44353</v>
      </c>
      <c r="T59" s="32" t="str">
        <f t="shared" si="0"/>
        <v>+0832 26071***</v>
      </c>
      <c r="U59" s="32" t="str">
        <f t="shared" ca="1" si="1"/>
        <v>sinc***@yuhuumail.com</v>
      </c>
      <c r="V59" s="32">
        <f t="shared" si="2"/>
        <v>38</v>
      </c>
      <c r="W59" s="36">
        <f t="shared" si="3"/>
        <v>0.02</v>
      </c>
      <c r="Y59" s="70">
        <v>18</v>
      </c>
      <c r="Z59" s="30">
        <f t="shared" si="4"/>
        <v>9</v>
      </c>
      <c r="AA59" s="13"/>
    </row>
    <row r="60" spans="4:47" ht="27" customHeight="1" x14ac:dyDescent="0.25">
      <c r="D60" s="14" t="s">
        <v>370</v>
      </c>
      <c r="E60" s="14" t="s">
        <v>371</v>
      </c>
      <c r="F60" s="84" t="s">
        <v>372</v>
      </c>
      <c r="G60" s="15" t="s">
        <v>68</v>
      </c>
      <c r="H60" s="16" t="s">
        <v>373</v>
      </c>
      <c r="I60" s="17"/>
      <c r="J60" s="17"/>
      <c r="K60" s="17"/>
      <c r="L60" s="17"/>
      <c r="N60" s="31">
        <v>58</v>
      </c>
      <c r="O60" s="32" t="s">
        <v>374</v>
      </c>
      <c r="P60" s="33" t="s">
        <v>42</v>
      </c>
      <c r="Q60" s="32" t="s">
        <v>32</v>
      </c>
      <c r="R60" s="69">
        <v>44258.739374999997</v>
      </c>
      <c r="S60" s="35">
        <v>44362</v>
      </c>
      <c r="T60" s="32" t="str">
        <f t="shared" si="0"/>
        <v>+85241048***</v>
      </c>
      <c r="U60" s="32" t="str">
        <f t="shared" ca="1" si="1"/>
        <v>beck***@jossmail.com</v>
      </c>
      <c r="V60" s="32">
        <f t="shared" si="2"/>
        <v>38</v>
      </c>
      <c r="W60" s="36">
        <f t="shared" si="3"/>
        <v>0.02</v>
      </c>
      <c r="Y60" s="70">
        <v>19</v>
      </c>
      <c r="Z60" s="30">
        <f t="shared" si="4"/>
        <v>13</v>
      </c>
      <c r="AA60" s="13"/>
    </row>
    <row r="61" spans="4:47" ht="27" customHeight="1" x14ac:dyDescent="0.25">
      <c r="D61" s="14" t="s">
        <v>375</v>
      </c>
      <c r="E61" s="14" t="s">
        <v>376</v>
      </c>
      <c r="F61" s="84" t="s">
        <v>61</v>
      </c>
      <c r="G61" s="15" t="s">
        <v>27</v>
      </c>
      <c r="H61" s="16" t="s">
        <v>377</v>
      </c>
      <c r="I61" s="17"/>
      <c r="J61" s="17"/>
      <c r="K61" s="17"/>
      <c r="L61" s="17"/>
      <c r="N61" s="31">
        <v>59</v>
      </c>
      <c r="O61" s="32" t="s">
        <v>378</v>
      </c>
      <c r="P61" s="33" t="s">
        <v>57</v>
      </c>
      <c r="Q61" s="32" t="s">
        <v>32</v>
      </c>
      <c r="R61" s="69">
        <v>44258.727627314816</v>
      </c>
      <c r="S61" s="35">
        <v>44352</v>
      </c>
      <c r="T61" s="32" t="str">
        <f t="shared" si="0"/>
        <v>+85241914***</v>
      </c>
      <c r="U61" s="32" t="str">
        <f t="shared" ca="1" si="1"/>
        <v>jova***@yuhuumail.com</v>
      </c>
      <c r="V61" s="32">
        <f t="shared" si="2"/>
        <v>38</v>
      </c>
      <c r="W61" s="36">
        <f t="shared" si="3"/>
        <v>0.02</v>
      </c>
      <c r="Y61" s="70">
        <v>20</v>
      </c>
      <c r="Z61" s="30">
        <f t="shared" si="4"/>
        <v>63</v>
      </c>
      <c r="AA61" s="13"/>
    </row>
    <row r="62" spans="4:47" ht="27" customHeight="1" x14ac:dyDescent="0.25">
      <c r="D62" s="14" t="s">
        <v>379</v>
      </c>
      <c r="E62" s="14" t="s">
        <v>380</v>
      </c>
      <c r="F62" s="84" t="s">
        <v>381</v>
      </c>
      <c r="G62" s="15" t="s">
        <v>27</v>
      </c>
      <c r="H62" s="16" t="s">
        <v>382</v>
      </c>
      <c r="I62" s="17"/>
      <c r="J62" s="17"/>
      <c r="K62" s="17"/>
      <c r="L62" s="17"/>
      <c r="N62" s="31">
        <v>60</v>
      </c>
      <c r="O62" s="32" t="s">
        <v>383</v>
      </c>
      <c r="P62" s="33" t="s">
        <v>42</v>
      </c>
      <c r="Q62" s="32" t="s">
        <v>32</v>
      </c>
      <c r="R62" s="69">
        <v>43762.100717592592</v>
      </c>
      <c r="S62" s="35">
        <v>44362</v>
      </c>
      <c r="T62" s="32" t="str">
        <f t="shared" si="0"/>
        <v>+0842 75372***</v>
      </c>
      <c r="U62" s="32" t="str">
        <f t="shared" ca="1" si="1"/>
        <v>sana***@yuhuumail.com</v>
      </c>
      <c r="V62" s="32">
        <f t="shared" si="2"/>
        <v>37</v>
      </c>
      <c r="W62" s="36">
        <f t="shared" si="3"/>
        <v>3.5000000000000003E-2</v>
      </c>
      <c r="Y62" s="70">
        <v>21</v>
      </c>
      <c r="Z62" s="30">
        <f t="shared" si="4"/>
        <v>257</v>
      </c>
      <c r="AA62" s="13"/>
      <c r="AB62" s="13"/>
      <c r="AC62" s="13"/>
      <c r="AD62" s="13"/>
      <c r="AE62" s="13"/>
      <c r="AF62" s="13"/>
      <c r="AG62" s="13"/>
      <c r="AH62" s="13"/>
      <c r="AI62" s="13"/>
      <c r="AJ62" s="13"/>
      <c r="AK62" s="13"/>
      <c r="AL62" s="13"/>
      <c r="AM62" s="13"/>
      <c r="AN62" s="13"/>
      <c r="AO62" s="13"/>
      <c r="AP62" s="13"/>
      <c r="AQ62" s="13"/>
      <c r="AR62" s="13"/>
      <c r="AS62" s="13"/>
      <c r="AT62" s="13"/>
      <c r="AU62" s="13"/>
    </row>
    <row r="63" spans="4:47" ht="27" customHeight="1" x14ac:dyDescent="0.25">
      <c r="D63" s="14" t="s">
        <v>384</v>
      </c>
      <c r="E63" s="14" t="s">
        <v>385</v>
      </c>
      <c r="F63" s="84" t="s">
        <v>386</v>
      </c>
      <c r="G63" s="15" t="s">
        <v>27</v>
      </c>
      <c r="H63" s="16" t="s">
        <v>387</v>
      </c>
      <c r="I63" s="17"/>
      <c r="J63" s="17"/>
      <c r="K63" s="17"/>
      <c r="L63" s="17"/>
      <c r="N63" s="31">
        <v>61</v>
      </c>
      <c r="O63" s="32" t="s">
        <v>388</v>
      </c>
      <c r="P63" s="33" t="s">
        <v>31</v>
      </c>
      <c r="Q63" s="32" t="s">
        <v>32</v>
      </c>
      <c r="R63" s="69">
        <v>44258.695891203701</v>
      </c>
      <c r="S63" s="71">
        <v>44362</v>
      </c>
      <c r="T63" s="32" t="str">
        <f t="shared" si="0"/>
        <v>+83228765***</v>
      </c>
      <c r="U63" s="32" t="str">
        <f t="shared" ca="1" si="1"/>
        <v>kyan***@jossmail.com</v>
      </c>
      <c r="V63" s="32">
        <f t="shared" si="2"/>
        <v>38</v>
      </c>
      <c r="W63" s="36">
        <f t="shared" si="3"/>
        <v>0.02</v>
      </c>
      <c r="Y63" s="70">
        <v>22</v>
      </c>
      <c r="Z63" s="30">
        <f t="shared" si="4"/>
        <v>191</v>
      </c>
      <c r="AA63" s="13"/>
      <c r="AB63" s="13"/>
      <c r="AF63" s="13"/>
      <c r="AG63" s="13"/>
      <c r="AH63" s="13"/>
      <c r="AI63" s="13"/>
      <c r="AJ63" s="13"/>
      <c r="AK63" s="13"/>
      <c r="AL63" s="13"/>
      <c r="AM63" s="13"/>
      <c r="AN63" s="13"/>
      <c r="AO63" s="13"/>
      <c r="AP63" s="13"/>
      <c r="AQ63" s="13"/>
      <c r="AR63" s="13"/>
      <c r="AS63" s="13"/>
      <c r="AT63" s="13"/>
      <c r="AU63" s="13"/>
    </row>
    <row r="64" spans="4:47" ht="27" customHeight="1" x14ac:dyDescent="0.25">
      <c r="D64" s="14" t="s">
        <v>389</v>
      </c>
      <c r="E64" s="14" t="s">
        <v>390</v>
      </c>
      <c r="F64" s="84" t="s">
        <v>92</v>
      </c>
      <c r="G64" s="15" t="s">
        <v>27</v>
      </c>
      <c r="H64" s="16" t="s">
        <v>391</v>
      </c>
      <c r="I64" s="17"/>
      <c r="J64" s="17"/>
      <c r="K64" s="17"/>
      <c r="L64" s="17"/>
      <c r="N64" s="31">
        <v>62</v>
      </c>
      <c r="O64" s="32" t="s">
        <v>392</v>
      </c>
      <c r="P64" s="33" t="s">
        <v>42</v>
      </c>
      <c r="Q64" s="32" t="s">
        <v>32</v>
      </c>
      <c r="R64" s="69">
        <v>44258.736967592595</v>
      </c>
      <c r="S64" s="71">
        <v>44349</v>
      </c>
      <c r="T64" s="32" t="str">
        <f t="shared" si="0"/>
        <v>+081292467***</v>
      </c>
      <c r="U64" s="32" t="str">
        <f t="shared" ca="1" si="1"/>
        <v>jaid***@jossmail.com</v>
      </c>
      <c r="V64" s="32">
        <f t="shared" si="2"/>
        <v>38</v>
      </c>
      <c r="W64" s="36">
        <f t="shared" si="3"/>
        <v>0.02</v>
      </c>
      <c r="Y64" s="70">
        <v>23</v>
      </c>
      <c r="Z64" s="30">
        <f t="shared" si="4"/>
        <v>197</v>
      </c>
      <c r="AA64" s="13"/>
      <c r="AB64" s="13"/>
      <c r="AF64" s="13"/>
      <c r="AG64" s="13"/>
      <c r="AH64" s="13"/>
      <c r="AI64" s="13"/>
      <c r="AJ64" s="13"/>
      <c r="AK64" s="13"/>
      <c r="AL64" s="13"/>
      <c r="AM64" s="13"/>
      <c r="AN64" s="13"/>
      <c r="AO64" s="13"/>
      <c r="AP64" s="13"/>
      <c r="AQ64" s="13"/>
      <c r="AR64" s="13"/>
      <c r="AS64" s="13"/>
      <c r="AT64" s="13"/>
      <c r="AU64" s="13"/>
    </row>
    <row r="65" spans="4:47" ht="27" customHeight="1" x14ac:dyDescent="0.25">
      <c r="D65" s="14" t="s">
        <v>396</v>
      </c>
      <c r="E65" s="14" t="s">
        <v>397</v>
      </c>
      <c r="F65" s="84" t="s">
        <v>302</v>
      </c>
      <c r="G65" s="15" t="s">
        <v>68</v>
      </c>
      <c r="H65" s="16" t="s">
        <v>398</v>
      </c>
      <c r="I65" s="17"/>
      <c r="J65" s="17"/>
      <c r="K65" s="17"/>
      <c r="L65" s="17"/>
      <c r="N65" s="31">
        <v>63</v>
      </c>
      <c r="O65" s="32" t="s">
        <v>399</v>
      </c>
      <c r="P65" s="33" t="s">
        <v>57</v>
      </c>
      <c r="Q65" s="32" t="s">
        <v>32</v>
      </c>
      <c r="R65" s="69">
        <v>44258.742430555554</v>
      </c>
      <c r="S65" s="71">
        <v>44359</v>
      </c>
      <c r="T65" s="32" t="str">
        <f t="shared" si="0"/>
        <v>+0832 33133***</v>
      </c>
      <c r="U65" s="32" t="str">
        <f t="shared" ca="1" si="1"/>
        <v>leia***@yuhuumail.com</v>
      </c>
      <c r="V65" s="32">
        <f t="shared" si="2"/>
        <v>38</v>
      </c>
      <c r="W65" s="36">
        <f t="shared" si="3"/>
        <v>0.02</v>
      </c>
      <c r="Y65" s="70">
        <v>24</v>
      </c>
      <c r="Z65" s="30">
        <f t="shared" si="4"/>
        <v>145</v>
      </c>
      <c r="AA65" s="13"/>
      <c r="AB65" s="13"/>
      <c r="AF65" s="13"/>
      <c r="AG65" s="13"/>
      <c r="AH65" s="13"/>
      <c r="AI65" s="13"/>
      <c r="AJ65" s="13"/>
      <c r="AK65" s="13"/>
      <c r="AL65" s="13"/>
      <c r="AM65" s="13"/>
      <c r="AN65" s="13"/>
      <c r="AO65" s="13"/>
      <c r="AP65" s="13"/>
      <c r="AQ65" s="13"/>
      <c r="AR65" s="13"/>
      <c r="AS65" s="13"/>
      <c r="AT65" s="13"/>
      <c r="AU65" s="13"/>
    </row>
    <row r="66" spans="4:47" ht="27" customHeight="1" x14ac:dyDescent="0.25">
      <c r="D66" s="14" t="s">
        <v>400</v>
      </c>
      <c r="E66" s="14" t="s">
        <v>401</v>
      </c>
      <c r="F66" s="84" t="s">
        <v>402</v>
      </c>
      <c r="G66" s="15" t="s">
        <v>68</v>
      </c>
      <c r="H66" s="16" t="s">
        <v>403</v>
      </c>
      <c r="I66" s="17"/>
      <c r="J66" s="17"/>
      <c r="K66" s="17"/>
      <c r="L66" s="17"/>
      <c r="N66" s="31">
        <v>64</v>
      </c>
      <c r="O66" s="32" t="s">
        <v>404</v>
      </c>
      <c r="P66" s="33" t="s">
        <v>57</v>
      </c>
      <c r="Q66" s="32" t="s">
        <v>32</v>
      </c>
      <c r="R66" s="69">
        <v>43845.701921296299</v>
      </c>
      <c r="S66" s="71">
        <v>44320</v>
      </c>
      <c r="T66" s="32" t="str">
        <f t="shared" si="0"/>
        <v>+852 26606***</v>
      </c>
      <c r="U66" s="32" t="str">
        <f t="shared" ca="1" si="1"/>
        <v>jonf***@jossmail.com</v>
      </c>
      <c r="V66" s="32">
        <f t="shared" si="2"/>
        <v>37</v>
      </c>
      <c r="W66" s="36">
        <f t="shared" si="3"/>
        <v>3.5000000000000003E-2</v>
      </c>
      <c r="Y66" s="70">
        <v>25</v>
      </c>
      <c r="Z66" s="30">
        <f t="shared" si="4"/>
        <v>116</v>
      </c>
      <c r="AA66" s="13"/>
      <c r="AB66" s="13"/>
      <c r="AC66" s="13"/>
      <c r="AD66" s="13"/>
      <c r="AE66" s="13"/>
      <c r="AF66" s="13"/>
      <c r="AG66" s="13"/>
      <c r="AH66" s="13"/>
      <c r="AI66" s="13"/>
      <c r="AJ66" s="13"/>
      <c r="AK66" s="13"/>
      <c r="AL66" s="13"/>
      <c r="AM66" s="13"/>
      <c r="AN66" s="13"/>
      <c r="AO66" s="13"/>
      <c r="AP66" s="13"/>
      <c r="AQ66" s="13"/>
      <c r="AR66" s="13"/>
      <c r="AS66" s="13"/>
      <c r="AT66" s="13"/>
      <c r="AU66" s="13"/>
    </row>
    <row r="67" spans="4:47" ht="27" customHeight="1" x14ac:dyDescent="0.25">
      <c r="D67" s="14" t="s">
        <v>405</v>
      </c>
      <c r="E67" s="14" t="s">
        <v>406</v>
      </c>
      <c r="F67" s="84" t="s">
        <v>407</v>
      </c>
      <c r="G67" s="15" t="s">
        <v>27</v>
      </c>
      <c r="H67" s="16" t="s">
        <v>408</v>
      </c>
      <c r="I67" s="17"/>
      <c r="J67" s="17"/>
      <c r="K67" s="17"/>
      <c r="L67" s="17"/>
      <c r="N67" s="31">
        <v>65</v>
      </c>
      <c r="O67" s="32" t="s">
        <v>409</v>
      </c>
      <c r="P67" s="33" t="s">
        <v>57</v>
      </c>
      <c r="Q67" s="32" t="s">
        <v>32</v>
      </c>
      <c r="R67" s="69">
        <v>44258.748912037037</v>
      </c>
      <c r="S67" s="71">
        <v>44318</v>
      </c>
      <c r="T67" s="32" t="str">
        <f t="shared" si="0"/>
        <v>+085250589***</v>
      </c>
      <c r="U67" s="32" t="str">
        <f t="shared" ca="1" si="1"/>
        <v>chri***@jossmail.com</v>
      </c>
      <c r="V67" s="32">
        <f t="shared" si="2"/>
        <v>38</v>
      </c>
      <c r="W67" s="36">
        <f t="shared" si="3"/>
        <v>0.02</v>
      </c>
      <c r="Y67" s="70">
        <v>26</v>
      </c>
      <c r="Z67" s="30">
        <f t="shared" si="4"/>
        <v>75</v>
      </c>
      <c r="AA67" s="13"/>
      <c r="AB67" s="13"/>
      <c r="AC67" s="13"/>
      <c r="AD67" s="13"/>
      <c r="AE67" s="13"/>
      <c r="AF67" s="13"/>
      <c r="AG67" s="13"/>
      <c r="AH67" s="13"/>
      <c r="AI67" s="13"/>
      <c r="AJ67" s="13"/>
      <c r="AK67" s="13"/>
      <c r="AL67" s="13"/>
      <c r="AM67" s="13"/>
      <c r="AN67" s="13"/>
      <c r="AO67" s="13"/>
      <c r="AP67" s="13"/>
      <c r="AQ67" s="13"/>
      <c r="AR67" s="13"/>
      <c r="AS67" s="13"/>
      <c r="AT67" s="13"/>
      <c r="AU67" s="13"/>
    </row>
    <row r="68" spans="4:47" ht="27" customHeight="1" x14ac:dyDescent="0.25">
      <c r="D68" s="14" t="s">
        <v>410</v>
      </c>
      <c r="E68" s="14" t="s">
        <v>411</v>
      </c>
      <c r="F68" s="84" t="s">
        <v>412</v>
      </c>
      <c r="G68" s="15" t="s">
        <v>68</v>
      </c>
      <c r="H68" s="16" t="s">
        <v>413</v>
      </c>
      <c r="I68" s="17"/>
      <c r="J68" s="17"/>
      <c r="K68" s="17"/>
      <c r="L68" s="17"/>
      <c r="N68" s="31">
        <v>66</v>
      </c>
      <c r="O68" s="32" t="s">
        <v>414</v>
      </c>
      <c r="P68" s="33" t="s">
        <v>57</v>
      </c>
      <c r="Q68" s="32" t="s">
        <v>32</v>
      </c>
      <c r="R68" s="69">
        <v>44062.431585648148</v>
      </c>
      <c r="S68" s="71">
        <v>44352</v>
      </c>
      <c r="T68" s="32" t="str">
        <f t="shared" si="0"/>
        <v>+0812-98285***</v>
      </c>
      <c r="U68" s="32" t="str">
        <f t="shared" ca="1" si="1"/>
        <v>desi***@yuhuumail.com</v>
      </c>
      <c r="V68" s="32">
        <f t="shared" si="2"/>
        <v>36</v>
      </c>
      <c r="W68" s="36">
        <f t="shared" si="3"/>
        <v>0.02</v>
      </c>
      <c r="Y68" s="70">
        <v>27</v>
      </c>
      <c r="Z68" s="30">
        <f t="shared" si="4"/>
        <v>84</v>
      </c>
      <c r="AA68" s="13"/>
      <c r="AB68" s="13"/>
      <c r="AC68" s="13"/>
      <c r="AD68" s="13"/>
      <c r="AE68" s="13"/>
      <c r="AF68" s="13"/>
      <c r="AG68" s="13"/>
      <c r="AH68" s="13"/>
      <c r="AI68" s="13"/>
      <c r="AJ68" s="13"/>
      <c r="AK68" s="13"/>
      <c r="AL68" s="13"/>
      <c r="AM68" s="13"/>
      <c r="AN68" s="13"/>
      <c r="AO68" s="13"/>
      <c r="AP68" s="13"/>
      <c r="AQ68" s="13"/>
      <c r="AR68" s="13"/>
      <c r="AS68" s="13"/>
      <c r="AT68" s="13"/>
      <c r="AU68" s="13"/>
    </row>
    <row r="69" spans="4:47" ht="27" customHeight="1" x14ac:dyDescent="0.25">
      <c r="D69" s="14" t="s">
        <v>415</v>
      </c>
      <c r="E69" s="14" t="s">
        <v>416</v>
      </c>
      <c r="F69" s="84" t="s">
        <v>417</v>
      </c>
      <c r="G69" s="15" t="s">
        <v>27</v>
      </c>
      <c r="H69" s="16" t="s">
        <v>418</v>
      </c>
      <c r="I69" s="17"/>
      <c r="J69" s="17"/>
      <c r="K69" s="17"/>
      <c r="L69" s="17"/>
      <c r="N69" s="31">
        <v>67</v>
      </c>
      <c r="O69" s="32" t="s">
        <v>419</v>
      </c>
      <c r="P69" s="33" t="s">
        <v>57</v>
      </c>
      <c r="Q69" s="32" t="s">
        <v>32</v>
      </c>
      <c r="R69" s="69">
        <v>44258.732499999998</v>
      </c>
      <c r="S69" s="71">
        <v>44359</v>
      </c>
      <c r="T69" s="32" t="str">
        <f t="shared" ref="T69:T132" si="5">"+"&amp;_xlfn.XLOOKUP($O69, $E$2:$E$3002, $H$2:$H$3002, "Not Found")</f>
        <v>+842 97387***</v>
      </c>
      <c r="U69" s="32" t="str">
        <f t="shared" ref="U69:U132" ca="1" si="6" xml:space="preserve"> LOWER(LEFT(_xlfn.XLOOKUP($O69, $E$2:$E$3002, $D$2:$D$3002), 4))
  &amp; "***@"
  &amp; IF(RAND()&gt;0.5, "jossmail.com", "yuhuumail.com")</f>
        <v>adam***@yuhuumail.com</v>
      </c>
      <c r="V69" s="32">
        <f t="shared" ref="V69:V132" si="7">DATEDIF(_xlfn.XLOOKUP($O69, $E$2:$E$3002, $F$2:$F$3002), $R69, "Y")</f>
        <v>37</v>
      </c>
      <c r="W69" s="36">
        <f t="shared" ref="W69:W132" si="8">IF(DATEDIF($R69, $S69, "Y") &gt;= 3, 0.025,
   IF(DATEDIF($R69, $S69, "Y") &gt;= 1, 0.015, 0)) +
 IF($V69 &gt;= 50, 0.04,
   IF($V69 &gt;= 40, 0.03,
     IF($V69 &gt;= 30, 0.02,
       IF($V69 &gt;= 20, 0.05, 0))))</f>
        <v>0.02</v>
      </c>
      <c r="Y69" s="70">
        <v>28</v>
      </c>
      <c r="Z69" s="30">
        <f t="shared" si="4"/>
        <v>57</v>
      </c>
      <c r="AA69" s="13"/>
      <c r="AB69" s="13"/>
      <c r="AC69" s="13"/>
      <c r="AD69" s="13"/>
      <c r="AE69" s="13"/>
      <c r="AF69" s="13"/>
      <c r="AG69" s="13"/>
      <c r="AH69" s="13"/>
      <c r="AI69" s="13"/>
      <c r="AJ69" s="13"/>
      <c r="AK69" s="13"/>
      <c r="AL69" s="13"/>
      <c r="AM69" s="13"/>
      <c r="AN69" s="13"/>
      <c r="AO69" s="13"/>
      <c r="AP69" s="13"/>
      <c r="AQ69" s="13"/>
      <c r="AR69" s="13"/>
      <c r="AS69" s="13"/>
      <c r="AT69" s="13"/>
      <c r="AU69" s="13"/>
    </row>
    <row r="70" spans="4:47" ht="27" customHeight="1" x14ac:dyDescent="0.25">
      <c r="D70" s="14" t="s">
        <v>420</v>
      </c>
      <c r="E70" s="14" t="s">
        <v>421</v>
      </c>
      <c r="F70" s="84" t="s">
        <v>422</v>
      </c>
      <c r="G70" s="15" t="s">
        <v>27</v>
      </c>
      <c r="H70" s="16" t="s">
        <v>423</v>
      </c>
      <c r="I70" s="17"/>
      <c r="J70" s="17"/>
      <c r="K70" s="17"/>
      <c r="L70" s="17"/>
      <c r="N70" s="31">
        <v>68</v>
      </c>
      <c r="O70" s="32" t="s">
        <v>424</v>
      </c>
      <c r="P70" s="33" t="s">
        <v>31</v>
      </c>
      <c r="Q70" s="32" t="s">
        <v>32</v>
      </c>
      <c r="R70" s="69">
        <v>44144.952048611114</v>
      </c>
      <c r="S70" s="71">
        <v>44354</v>
      </c>
      <c r="T70" s="32" t="str">
        <f t="shared" si="5"/>
        <v>+0842-55364***</v>
      </c>
      <c r="U70" s="32" t="str">
        <f t="shared" ca="1" si="6"/>
        <v>bray***@jossmail.com</v>
      </c>
      <c r="V70" s="32">
        <f t="shared" si="7"/>
        <v>37</v>
      </c>
      <c r="W70" s="36">
        <f t="shared" si="8"/>
        <v>0.02</v>
      </c>
      <c r="Y70" s="70">
        <v>29</v>
      </c>
      <c r="Z70" s="30">
        <f t="shared" si="4"/>
        <v>57</v>
      </c>
      <c r="AA70" s="13"/>
      <c r="AB70" s="13"/>
      <c r="AC70" s="13"/>
      <c r="AD70" s="13"/>
      <c r="AE70" s="13"/>
      <c r="AF70" s="13"/>
      <c r="AG70" s="13"/>
      <c r="AH70" s="13"/>
      <c r="AI70" s="13"/>
      <c r="AJ70" s="13"/>
      <c r="AK70" s="13"/>
      <c r="AL70" s="13"/>
      <c r="AM70" s="13"/>
      <c r="AN70" s="13"/>
      <c r="AO70" s="13"/>
      <c r="AP70" s="13"/>
      <c r="AQ70" s="13"/>
      <c r="AR70" s="13"/>
      <c r="AS70" s="13"/>
      <c r="AT70" s="13"/>
      <c r="AU70" s="13"/>
    </row>
    <row r="71" spans="4:47" ht="27" customHeight="1" x14ac:dyDescent="0.25">
      <c r="D71" s="14" t="s">
        <v>425</v>
      </c>
      <c r="E71" s="14" t="s">
        <v>426</v>
      </c>
      <c r="F71" s="84" t="s">
        <v>280</v>
      </c>
      <c r="G71" s="15" t="s">
        <v>27</v>
      </c>
      <c r="H71" s="16" t="s">
        <v>427</v>
      </c>
      <c r="I71" s="17"/>
      <c r="J71" s="17"/>
      <c r="K71" s="17"/>
      <c r="L71" s="17"/>
      <c r="N71" s="31">
        <v>69</v>
      </c>
      <c r="O71" s="32" t="s">
        <v>428</v>
      </c>
      <c r="P71" s="33" t="s">
        <v>31</v>
      </c>
      <c r="Q71" s="32" t="s">
        <v>32</v>
      </c>
      <c r="R71" s="69">
        <v>44258.736435185187</v>
      </c>
      <c r="S71" s="71">
        <v>44356</v>
      </c>
      <c r="T71" s="32" t="str">
        <f t="shared" si="5"/>
        <v>+0852-40900***</v>
      </c>
      <c r="U71" s="32" t="str">
        <f t="shared" ca="1" si="6"/>
        <v>raym***@yuhuumail.com</v>
      </c>
      <c r="V71" s="32">
        <f t="shared" si="7"/>
        <v>37</v>
      </c>
      <c r="W71" s="36">
        <f t="shared" si="8"/>
        <v>0.02</v>
      </c>
      <c r="Y71" s="70">
        <v>30</v>
      </c>
      <c r="Z71" s="30">
        <f t="shared" si="4"/>
        <v>41</v>
      </c>
      <c r="AA71" s="13"/>
      <c r="AB71" s="13"/>
      <c r="AC71" s="13"/>
      <c r="AD71" s="13"/>
      <c r="AE71" s="13"/>
      <c r="AF71" s="13"/>
      <c r="AG71" s="13"/>
      <c r="AH71" s="13"/>
      <c r="AI71" s="13"/>
      <c r="AJ71" s="13"/>
      <c r="AK71" s="13"/>
      <c r="AL71" s="13"/>
      <c r="AM71" s="13"/>
      <c r="AN71" s="13"/>
      <c r="AO71" s="13"/>
      <c r="AP71" s="13"/>
      <c r="AQ71" s="13"/>
      <c r="AR71" s="13"/>
      <c r="AS71" s="13"/>
      <c r="AT71" s="13"/>
      <c r="AU71" s="13"/>
    </row>
    <row r="72" spans="4:47" ht="27" customHeight="1" x14ac:dyDescent="0.25">
      <c r="D72" s="14" t="s">
        <v>429</v>
      </c>
      <c r="E72" s="14" t="s">
        <v>430</v>
      </c>
      <c r="F72" s="84" t="s">
        <v>280</v>
      </c>
      <c r="G72" s="15" t="s">
        <v>27</v>
      </c>
      <c r="H72" s="16" t="s">
        <v>431</v>
      </c>
      <c r="I72" s="17"/>
      <c r="J72" s="17"/>
      <c r="K72" s="17"/>
      <c r="L72" s="17"/>
      <c r="N72" s="31">
        <v>70</v>
      </c>
      <c r="O72" s="32" t="s">
        <v>432</v>
      </c>
      <c r="P72" s="33" t="s">
        <v>31</v>
      </c>
      <c r="Q72" s="32" t="s">
        <v>32</v>
      </c>
      <c r="R72" s="69">
        <v>44258.738958333335</v>
      </c>
      <c r="S72" s="71">
        <v>44320</v>
      </c>
      <c r="T72" s="32" t="str">
        <f t="shared" si="5"/>
        <v>+084231202***</v>
      </c>
      <c r="U72" s="32" t="str">
        <f t="shared" ca="1" si="6"/>
        <v>seli***@jossmail.com</v>
      </c>
      <c r="V72" s="32">
        <f t="shared" si="7"/>
        <v>37</v>
      </c>
      <c r="W72" s="36">
        <f t="shared" si="8"/>
        <v>0.02</v>
      </c>
      <c r="Y72" s="70">
        <v>31</v>
      </c>
      <c r="Z72" s="30">
        <f t="shared" si="4"/>
        <v>27</v>
      </c>
      <c r="AA72" s="13"/>
      <c r="AB72" s="13"/>
      <c r="AC72" s="13"/>
      <c r="AD72" s="13"/>
      <c r="AE72" s="13"/>
      <c r="AF72" s="13"/>
      <c r="AG72" s="13"/>
      <c r="AH72" s="13"/>
      <c r="AI72" s="13"/>
      <c r="AJ72" s="13"/>
      <c r="AK72" s="13"/>
      <c r="AL72" s="13"/>
      <c r="AM72" s="13"/>
      <c r="AN72" s="13"/>
      <c r="AO72" s="13"/>
      <c r="AP72" s="13"/>
      <c r="AQ72" s="13"/>
      <c r="AR72" s="13"/>
      <c r="AS72" s="13"/>
      <c r="AT72" s="13"/>
      <c r="AU72" s="13"/>
    </row>
    <row r="73" spans="4:47" ht="27" customHeight="1" x14ac:dyDescent="0.25">
      <c r="D73" s="14" t="s">
        <v>433</v>
      </c>
      <c r="E73" s="14" t="s">
        <v>434</v>
      </c>
      <c r="F73" s="84" t="s">
        <v>61</v>
      </c>
      <c r="G73" s="15" t="s">
        <v>68</v>
      </c>
      <c r="H73" s="16" t="s">
        <v>435</v>
      </c>
      <c r="I73" s="17"/>
      <c r="J73" s="17"/>
      <c r="K73" s="17"/>
      <c r="L73" s="17"/>
      <c r="N73" s="31">
        <v>71</v>
      </c>
      <c r="O73" s="32" t="s">
        <v>436</v>
      </c>
      <c r="P73" s="33" t="s">
        <v>57</v>
      </c>
      <c r="Q73" s="32" t="s">
        <v>32</v>
      </c>
      <c r="R73" s="69">
        <v>44073.898379629631</v>
      </c>
      <c r="S73" s="71">
        <v>44359</v>
      </c>
      <c r="T73" s="32" t="str">
        <f t="shared" si="5"/>
        <v>+6285268704***</v>
      </c>
      <c r="U73" s="32" t="str">
        <f t="shared" ca="1" si="6"/>
        <v>gage***@yuhuumail.com</v>
      </c>
      <c r="V73" s="32">
        <f t="shared" si="7"/>
        <v>36</v>
      </c>
      <c r="W73" s="36">
        <f t="shared" si="8"/>
        <v>0.02</v>
      </c>
      <c r="Y73" s="70">
        <v>32</v>
      </c>
      <c r="Z73" s="30">
        <f t="shared" si="4"/>
        <v>20</v>
      </c>
      <c r="AA73" s="13"/>
      <c r="AB73" s="13"/>
      <c r="AC73" s="13"/>
      <c r="AD73" s="13"/>
      <c r="AE73" s="13"/>
      <c r="AF73" s="13"/>
      <c r="AG73" s="13"/>
      <c r="AH73" s="13"/>
      <c r="AI73" s="13"/>
      <c r="AJ73" s="13"/>
      <c r="AK73" s="13"/>
      <c r="AL73" s="13"/>
      <c r="AM73" s="13"/>
      <c r="AN73" s="13"/>
      <c r="AO73" s="13"/>
      <c r="AP73" s="13"/>
      <c r="AQ73" s="13"/>
      <c r="AR73" s="13"/>
      <c r="AS73" s="13"/>
      <c r="AT73" s="13"/>
      <c r="AU73" s="13"/>
    </row>
    <row r="74" spans="4:47" ht="27" customHeight="1" x14ac:dyDescent="0.25">
      <c r="D74" s="14" t="s">
        <v>437</v>
      </c>
      <c r="E74" s="14" t="s">
        <v>438</v>
      </c>
      <c r="F74" s="84" t="s">
        <v>439</v>
      </c>
      <c r="G74" s="15" t="s">
        <v>27</v>
      </c>
      <c r="H74" s="16" t="s">
        <v>440</v>
      </c>
      <c r="I74" s="17"/>
      <c r="J74" s="17"/>
      <c r="K74" s="17"/>
      <c r="L74" s="17"/>
      <c r="N74" s="31">
        <v>72</v>
      </c>
      <c r="O74" s="32" t="s">
        <v>441</v>
      </c>
      <c r="P74" s="33" t="s">
        <v>42</v>
      </c>
      <c r="Q74" s="32" t="s">
        <v>32</v>
      </c>
      <c r="R74" s="69">
        <v>44258.755972222221</v>
      </c>
      <c r="S74" s="71">
        <v>44361</v>
      </c>
      <c r="T74" s="32" t="str">
        <f t="shared" si="5"/>
        <v>+0822 34540***</v>
      </c>
      <c r="U74" s="32" t="str">
        <f t="shared" ca="1" si="6"/>
        <v>vinc***@jossmail.com</v>
      </c>
      <c r="V74" s="32">
        <f t="shared" si="7"/>
        <v>37</v>
      </c>
      <c r="W74" s="36">
        <f t="shared" si="8"/>
        <v>0.02</v>
      </c>
      <c r="Y74" s="70">
        <v>33</v>
      </c>
      <c r="Z74" s="30">
        <f t="shared" si="4"/>
        <v>25</v>
      </c>
      <c r="AA74" s="13"/>
      <c r="AB74" s="13"/>
      <c r="AC74" s="13"/>
      <c r="AD74" s="13"/>
      <c r="AE74" s="13"/>
      <c r="AF74" s="13"/>
      <c r="AG74" s="13"/>
      <c r="AH74" s="13"/>
      <c r="AI74" s="13"/>
      <c r="AJ74" s="13"/>
      <c r="AK74" s="13"/>
      <c r="AL74" s="13"/>
      <c r="AM74" s="13"/>
      <c r="AN74" s="13"/>
      <c r="AO74" s="13"/>
      <c r="AP74" s="13"/>
      <c r="AQ74" s="13"/>
      <c r="AR74" s="13"/>
      <c r="AS74" s="13"/>
      <c r="AT74" s="13"/>
      <c r="AU74" s="13"/>
    </row>
    <row r="75" spans="4:47" ht="27" customHeight="1" x14ac:dyDescent="0.25">
      <c r="D75" s="14" t="s">
        <v>442</v>
      </c>
      <c r="E75" s="14" t="s">
        <v>443</v>
      </c>
      <c r="F75" s="84" t="s">
        <v>444</v>
      </c>
      <c r="G75" s="15" t="s">
        <v>27</v>
      </c>
      <c r="H75" s="16" t="s">
        <v>445</v>
      </c>
      <c r="I75" s="17"/>
      <c r="J75" s="17"/>
      <c r="K75" s="17"/>
      <c r="L75" s="17"/>
      <c r="N75" s="31">
        <v>73</v>
      </c>
      <c r="O75" s="32" t="s">
        <v>446</v>
      </c>
      <c r="P75" s="33" t="s">
        <v>31</v>
      </c>
      <c r="Q75" s="32" t="s">
        <v>32</v>
      </c>
      <c r="R75" s="69">
        <v>44258.730428240742</v>
      </c>
      <c r="S75" s="71">
        <v>44354</v>
      </c>
      <c r="T75" s="32" t="str">
        <f t="shared" si="5"/>
        <v>+6282268124***</v>
      </c>
      <c r="U75" s="32" t="str">
        <f t="shared" ca="1" si="6"/>
        <v>jack***@jossmail.com</v>
      </c>
      <c r="V75" s="32">
        <f t="shared" si="7"/>
        <v>37</v>
      </c>
      <c r="W75" s="36">
        <f t="shared" si="8"/>
        <v>0.02</v>
      </c>
      <c r="Y75" s="70">
        <v>34</v>
      </c>
      <c r="Z75" s="30">
        <f t="shared" si="4"/>
        <v>13</v>
      </c>
      <c r="AA75" s="13"/>
      <c r="AB75" s="13"/>
      <c r="AC75" s="13"/>
      <c r="AD75" s="13"/>
      <c r="AE75" s="13"/>
      <c r="AF75" s="13"/>
      <c r="AG75" s="13"/>
      <c r="AH75" s="13"/>
      <c r="AI75" s="13"/>
      <c r="AJ75" s="13"/>
      <c r="AK75" s="13"/>
      <c r="AL75" s="13"/>
      <c r="AM75" s="13"/>
      <c r="AN75" s="13"/>
      <c r="AO75" s="13"/>
      <c r="AP75" s="13"/>
      <c r="AQ75" s="13"/>
      <c r="AR75" s="13"/>
      <c r="AS75" s="13"/>
      <c r="AT75" s="13"/>
      <c r="AU75" s="13"/>
    </row>
    <row r="76" spans="4:47" ht="27" customHeight="1" x14ac:dyDescent="0.25">
      <c r="D76" s="14" t="s">
        <v>447</v>
      </c>
      <c r="E76" s="14" t="s">
        <v>448</v>
      </c>
      <c r="F76" s="84" t="s">
        <v>261</v>
      </c>
      <c r="G76" s="15" t="s">
        <v>27</v>
      </c>
      <c r="H76" s="16" t="s">
        <v>449</v>
      </c>
      <c r="I76" s="17"/>
      <c r="J76" s="17"/>
      <c r="K76" s="17"/>
      <c r="L76" s="17"/>
      <c r="N76" s="31">
        <v>74</v>
      </c>
      <c r="O76" s="32" t="s">
        <v>450</v>
      </c>
      <c r="P76" s="33" t="s">
        <v>57</v>
      </c>
      <c r="Q76" s="32" t="s">
        <v>32</v>
      </c>
      <c r="R76" s="69">
        <v>44258.757337962961</v>
      </c>
      <c r="S76" s="71">
        <v>44354</v>
      </c>
      <c r="T76" s="32" t="str">
        <f t="shared" si="5"/>
        <v>+84289557***</v>
      </c>
      <c r="U76" s="32" t="str">
        <f t="shared" ca="1" si="6"/>
        <v>phoe***@jossmail.com</v>
      </c>
      <c r="V76" s="32">
        <f t="shared" si="7"/>
        <v>37</v>
      </c>
      <c r="W76" s="36">
        <f t="shared" si="8"/>
        <v>0.02</v>
      </c>
      <c r="Y76" s="70">
        <v>35</v>
      </c>
      <c r="Z76" s="30">
        <f t="shared" si="4"/>
        <v>12</v>
      </c>
      <c r="AA76" s="13"/>
      <c r="AB76" s="13"/>
      <c r="AC76" s="13"/>
      <c r="AD76" s="13"/>
      <c r="AE76" s="13"/>
      <c r="AF76" s="13"/>
      <c r="AG76" s="13"/>
      <c r="AH76" s="13"/>
      <c r="AI76" s="13"/>
      <c r="AJ76" s="13"/>
      <c r="AK76" s="13"/>
      <c r="AL76" s="13"/>
      <c r="AM76" s="13"/>
      <c r="AN76" s="13"/>
      <c r="AO76" s="13"/>
      <c r="AP76" s="13"/>
      <c r="AQ76" s="13"/>
      <c r="AR76" s="13"/>
      <c r="AS76" s="13"/>
      <c r="AT76" s="13"/>
      <c r="AU76" s="13"/>
    </row>
    <row r="77" spans="4:47" ht="27" customHeight="1" x14ac:dyDescent="0.25">
      <c r="D77" s="14" t="s">
        <v>451</v>
      </c>
      <c r="E77" s="14" t="s">
        <v>452</v>
      </c>
      <c r="F77" s="84" t="s">
        <v>453</v>
      </c>
      <c r="G77" s="15" t="s">
        <v>68</v>
      </c>
      <c r="H77" s="16" t="s">
        <v>454</v>
      </c>
      <c r="I77" s="17"/>
      <c r="J77" s="17"/>
      <c r="K77" s="17"/>
      <c r="L77" s="17"/>
      <c r="N77" s="31">
        <v>75</v>
      </c>
      <c r="O77" s="32" t="s">
        <v>455</v>
      </c>
      <c r="P77" s="33" t="s">
        <v>42</v>
      </c>
      <c r="Q77" s="32" t="s">
        <v>32</v>
      </c>
      <c r="R77" s="69">
        <v>44258.757847222223</v>
      </c>
      <c r="S77" s="71">
        <v>44352</v>
      </c>
      <c r="T77" s="32" t="str">
        <f t="shared" si="5"/>
        <v>+6281253835***</v>
      </c>
      <c r="U77" s="32" t="str">
        <f t="shared" ca="1" si="6"/>
        <v>marc***@yuhuumail.com</v>
      </c>
      <c r="V77" s="32">
        <f t="shared" si="7"/>
        <v>37</v>
      </c>
      <c r="W77" s="36">
        <f t="shared" si="8"/>
        <v>0.02</v>
      </c>
      <c r="Y77" s="70">
        <v>36</v>
      </c>
      <c r="Z77" s="30">
        <f t="shared" si="4"/>
        <v>12</v>
      </c>
      <c r="AA77" s="13"/>
      <c r="AB77" s="13"/>
      <c r="AC77" s="13"/>
      <c r="AD77" s="13"/>
      <c r="AE77" s="13"/>
      <c r="AF77" s="13"/>
      <c r="AG77" s="13"/>
      <c r="AH77" s="13"/>
      <c r="AI77" s="13"/>
      <c r="AJ77" s="13"/>
      <c r="AK77" s="13"/>
      <c r="AL77" s="13"/>
      <c r="AM77" s="13"/>
      <c r="AN77" s="13"/>
      <c r="AO77" s="13"/>
      <c r="AP77" s="13"/>
      <c r="AQ77" s="13"/>
      <c r="AR77" s="13"/>
      <c r="AS77" s="13"/>
      <c r="AT77" s="13"/>
      <c r="AU77" s="13"/>
    </row>
    <row r="78" spans="4:47" ht="27" customHeight="1" x14ac:dyDescent="0.25">
      <c r="D78" s="14" t="s">
        <v>456</v>
      </c>
      <c r="E78" s="14" t="s">
        <v>457</v>
      </c>
      <c r="F78" s="84" t="s">
        <v>233</v>
      </c>
      <c r="G78" s="15" t="s">
        <v>68</v>
      </c>
      <c r="H78" s="16" t="s">
        <v>458</v>
      </c>
      <c r="I78" s="17"/>
      <c r="J78" s="17"/>
      <c r="K78" s="17"/>
      <c r="L78" s="17"/>
      <c r="N78" s="31">
        <v>76</v>
      </c>
      <c r="O78" s="32" t="s">
        <v>459</v>
      </c>
      <c r="P78" s="33" t="s">
        <v>31</v>
      </c>
      <c r="Q78" s="32" t="s">
        <v>32</v>
      </c>
      <c r="R78" s="69">
        <v>44258.76054398148</v>
      </c>
      <c r="S78" s="71">
        <v>44320</v>
      </c>
      <c r="T78" s="32" t="str">
        <f t="shared" si="5"/>
        <v>+0812-71290***</v>
      </c>
      <c r="U78" s="32" t="str">
        <f t="shared" ca="1" si="6"/>
        <v>angi***@jossmail.com</v>
      </c>
      <c r="V78" s="32">
        <f t="shared" si="7"/>
        <v>37</v>
      </c>
      <c r="W78" s="36">
        <f t="shared" si="8"/>
        <v>0.02</v>
      </c>
      <c r="Y78" s="70">
        <v>37</v>
      </c>
      <c r="Z78" s="30">
        <f t="shared" si="4"/>
        <v>20</v>
      </c>
      <c r="AA78" s="13"/>
      <c r="AB78" s="13"/>
      <c r="AC78" s="13"/>
      <c r="AD78" s="13"/>
      <c r="AE78" s="13"/>
      <c r="AF78" s="13"/>
      <c r="AG78" s="13"/>
      <c r="AH78" s="13"/>
      <c r="AI78" s="13"/>
      <c r="AJ78" s="13"/>
      <c r="AK78" s="13"/>
      <c r="AL78" s="13"/>
      <c r="AM78" s="13"/>
      <c r="AN78" s="13"/>
      <c r="AO78" s="13"/>
      <c r="AP78" s="13"/>
      <c r="AQ78" s="13"/>
      <c r="AR78" s="13"/>
      <c r="AS78" s="13"/>
      <c r="AT78" s="13"/>
      <c r="AU78" s="13"/>
    </row>
    <row r="79" spans="4:47" ht="27" customHeight="1" x14ac:dyDescent="0.25">
      <c r="D79" s="14" t="s">
        <v>460</v>
      </c>
      <c r="E79" s="14" t="s">
        <v>461</v>
      </c>
      <c r="F79" s="84" t="s">
        <v>121</v>
      </c>
      <c r="G79" s="15" t="s">
        <v>27</v>
      </c>
      <c r="H79" s="16" t="s">
        <v>462</v>
      </c>
      <c r="I79" s="17"/>
      <c r="J79" s="17"/>
      <c r="K79" s="17"/>
      <c r="L79" s="17"/>
      <c r="N79" s="31">
        <v>77</v>
      </c>
      <c r="O79" s="32" t="s">
        <v>463</v>
      </c>
      <c r="P79" s="33" t="s">
        <v>31</v>
      </c>
      <c r="Q79" s="32" t="s">
        <v>32</v>
      </c>
      <c r="R79" s="69">
        <v>44258.763321759259</v>
      </c>
      <c r="S79" s="71">
        <v>44354</v>
      </c>
      <c r="T79" s="32" t="str">
        <f t="shared" si="5"/>
        <v>+85232900***</v>
      </c>
      <c r="U79" s="32" t="str">
        <f t="shared" ca="1" si="6"/>
        <v>brit***@jossmail.com</v>
      </c>
      <c r="V79" s="32">
        <f t="shared" si="7"/>
        <v>37</v>
      </c>
      <c r="W79" s="36">
        <f t="shared" si="8"/>
        <v>0.02</v>
      </c>
      <c r="Y79" s="70">
        <v>38</v>
      </c>
      <c r="Z79" s="30">
        <f t="shared" si="4"/>
        <v>11</v>
      </c>
      <c r="AA79" s="13"/>
      <c r="AB79" s="13"/>
      <c r="AC79" s="13"/>
      <c r="AD79" s="13"/>
      <c r="AE79" s="13"/>
      <c r="AF79" s="13"/>
      <c r="AG79" s="13"/>
      <c r="AH79" s="13"/>
      <c r="AI79" s="13"/>
      <c r="AJ79" s="13"/>
      <c r="AK79" s="13"/>
      <c r="AL79" s="13"/>
      <c r="AM79" s="13"/>
      <c r="AN79" s="13"/>
      <c r="AO79" s="13"/>
      <c r="AP79" s="13"/>
      <c r="AQ79" s="13"/>
      <c r="AR79" s="13"/>
      <c r="AS79" s="13"/>
      <c r="AT79" s="13"/>
      <c r="AU79" s="13"/>
    </row>
    <row r="80" spans="4:47" ht="27" customHeight="1" x14ac:dyDescent="0.25">
      <c r="D80" s="14" t="s">
        <v>464</v>
      </c>
      <c r="E80" s="14" t="s">
        <v>465</v>
      </c>
      <c r="F80" s="84" t="s">
        <v>466</v>
      </c>
      <c r="G80" s="15" t="s">
        <v>27</v>
      </c>
      <c r="H80" s="16" t="s">
        <v>467</v>
      </c>
      <c r="I80" s="17"/>
      <c r="J80" s="17"/>
      <c r="K80" s="17"/>
      <c r="L80" s="17"/>
      <c r="N80" s="31">
        <v>78</v>
      </c>
      <c r="O80" s="32" t="s">
        <v>468</v>
      </c>
      <c r="P80" s="33" t="s">
        <v>31</v>
      </c>
      <c r="Q80" s="32" t="s">
        <v>32</v>
      </c>
      <c r="R80" s="69">
        <v>44258.763773148145</v>
      </c>
      <c r="S80" s="71">
        <v>44352</v>
      </c>
      <c r="T80" s="32" t="str">
        <f t="shared" si="5"/>
        <v>+0852-38224***</v>
      </c>
      <c r="U80" s="32" t="str">
        <f t="shared" ca="1" si="6"/>
        <v>dixi***@yuhuumail.com</v>
      </c>
      <c r="V80" s="32">
        <f t="shared" si="7"/>
        <v>37</v>
      </c>
      <c r="W80" s="36">
        <f t="shared" si="8"/>
        <v>0.02</v>
      </c>
      <c r="Y80" s="70">
        <v>39</v>
      </c>
      <c r="Z80" s="30">
        <f t="shared" si="4"/>
        <v>6</v>
      </c>
      <c r="AA80" s="13"/>
      <c r="AB80" s="13"/>
      <c r="AC80" s="13"/>
      <c r="AD80" s="13"/>
      <c r="AE80" s="13"/>
      <c r="AF80" s="13"/>
      <c r="AG80" s="13"/>
      <c r="AH80" s="13"/>
      <c r="AI80" s="13"/>
      <c r="AJ80" s="13"/>
      <c r="AK80" s="13"/>
      <c r="AL80" s="13"/>
      <c r="AM80" s="13"/>
      <c r="AN80" s="13"/>
      <c r="AO80" s="13"/>
      <c r="AP80" s="13"/>
      <c r="AQ80" s="13"/>
      <c r="AR80" s="13"/>
      <c r="AS80" s="13"/>
      <c r="AT80" s="13"/>
      <c r="AU80" s="13"/>
    </row>
    <row r="81" spans="4:47" ht="27" customHeight="1" x14ac:dyDescent="0.25">
      <c r="D81" s="14" t="s">
        <v>469</v>
      </c>
      <c r="E81" s="14" t="s">
        <v>470</v>
      </c>
      <c r="F81" s="84" t="s">
        <v>471</v>
      </c>
      <c r="G81" s="15" t="s">
        <v>27</v>
      </c>
      <c r="H81" s="16" t="s">
        <v>472</v>
      </c>
      <c r="I81" s="17"/>
      <c r="J81" s="17"/>
      <c r="K81" s="17"/>
      <c r="L81" s="17"/>
      <c r="N81" s="31">
        <v>79</v>
      </c>
      <c r="O81" s="32" t="s">
        <v>473</v>
      </c>
      <c r="P81" s="33" t="s">
        <v>31</v>
      </c>
      <c r="Q81" s="32" t="s">
        <v>32</v>
      </c>
      <c r="R81" s="69">
        <v>44258.762928240743</v>
      </c>
      <c r="S81" s="71">
        <v>44362</v>
      </c>
      <c r="T81" s="32" t="str">
        <f t="shared" si="5"/>
        <v>+084229654***</v>
      </c>
      <c r="U81" s="32" t="str">
        <f t="shared" ca="1" si="6"/>
        <v>chey***@yuhuumail.com</v>
      </c>
      <c r="V81" s="32">
        <f t="shared" si="7"/>
        <v>37</v>
      </c>
      <c r="W81" s="36">
        <f t="shared" si="8"/>
        <v>0.02</v>
      </c>
      <c r="Y81" s="70">
        <v>40</v>
      </c>
      <c r="Z81" s="30">
        <f t="shared" si="4"/>
        <v>5</v>
      </c>
      <c r="AP81" s="13"/>
      <c r="AQ81" s="13"/>
      <c r="AR81" s="13"/>
      <c r="AS81" s="13"/>
      <c r="AT81" s="13"/>
      <c r="AU81" s="13"/>
    </row>
    <row r="82" spans="4:47" ht="27" customHeight="1" x14ac:dyDescent="0.25">
      <c r="D82" s="14" t="s">
        <v>474</v>
      </c>
      <c r="E82" s="14" t="s">
        <v>475</v>
      </c>
      <c r="F82" s="84" t="s">
        <v>121</v>
      </c>
      <c r="G82" s="15" t="s">
        <v>27</v>
      </c>
      <c r="H82" s="16" t="s">
        <v>476</v>
      </c>
      <c r="I82" s="17"/>
      <c r="J82" s="17"/>
      <c r="K82" s="17"/>
      <c r="L82" s="17"/>
      <c r="N82" s="31">
        <v>80</v>
      </c>
      <c r="O82" s="32" t="s">
        <v>477</v>
      </c>
      <c r="P82" s="33" t="s">
        <v>57</v>
      </c>
      <c r="Q82" s="32" t="s">
        <v>32</v>
      </c>
      <c r="R82" s="69">
        <v>44258.747708333336</v>
      </c>
      <c r="S82" s="71">
        <v>44356</v>
      </c>
      <c r="T82" s="32" t="str">
        <f t="shared" si="5"/>
        <v>+6282268693***</v>
      </c>
      <c r="U82" s="32" t="str">
        <f t="shared" ca="1" si="6"/>
        <v>dari***@jossmail.com</v>
      </c>
      <c r="V82" s="32">
        <f t="shared" si="7"/>
        <v>37</v>
      </c>
      <c r="W82" s="36">
        <f t="shared" si="8"/>
        <v>0.02</v>
      </c>
      <c r="Y82" s="70">
        <v>41</v>
      </c>
      <c r="Z82" s="30">
        <f t="shared" si="4"/>
        <v>12</v>
      </c>
      <c r="AP82" s="13"/>
      <c r="AQ82" s="13"/>
      <c r="AR82" s="13"/>
      <c r="AS82" s="13"/>
      <c r="AT82" s="13"/>
      <c r="AU82" s="13"/>
    </row>
    <row r="83" spans="4:47" ht="27" customHeight="1" x14ac:dyDescent="0.25">
      <c r="D83" s="14" t="s">
        <v>478</v>
      </c>
      <c r="E83" s="14" t="s">
        <v>479</v>
      </c>
      <c r="F83" s="84" t="s">
        <v>480</v>
      </c>
      <c r="G83" s="15" t="s">
        <v>27</v>
      </c>
      <c r="H83" s="16" t="s">
        <v>481</v>
      </c>
      <c r="I83" s="17"/>
      <c r="J83" s="17"/>
      <c r="K83" s="17"/>
      <c r="L83" s="17"/>
      <c r="N83" s="31">
        <v>81</v>
      </c>
      <c r="O83" s="32" t="s">
        <v>482</v>
      </c>
      <c r="P83" s="33" t="s">
        <v>31</v>
      </c>
      <c r="Q83" s="32" t="s">
        <v>32</v>
      </c>
      <c r="R83" s="69">
        <v>44258.75880787037</v>
      </c>
      <c r="S83" s="35">
        <v>44318</v>
      </c>
      <c r="T83" s="32" t="str">
        <f t="shared" si="5"/>
        <v>+83259844***</v>
      </c>
      <c r="U83" s="32" t="str">
        <f t="shared" ca="1" si="6"/>
        <v>enzo***@yuhuumail.com</v>
      </c>
      <c r="V83" s="32">
        <f t="shared" si="7"/>
        <v>37</v>
      </c>
      <c r="W83" s="36">
        <f t="shared" si="8"/>
        <v>0.02</v>
      </c>
      <c r="Y83" s="70">
        <v>42</v>
      </c>
      <c r="Z83" s="30">
        <f t="shared" si="4"/>
        <v>5</v>
      </c>
      <c r="AP83" s="13"/>
      <c r="AQ83" s="13"/>
      <c r="AR83" s="13"/>
      <c r="AS83" s="13"/>
      <c r="AT83" s="13"/>
      <c r="AU83" s="13"/>
    </row>
    <row r="84" spans="4:47" ht="27" customHeight="1" x14ac:dyDescent="0.25">
      <c r="D84" s="14" t="s">
        <v>483</v>
      </c>
      <c r="E84" s="14" t="s">
        <v>484</v>
      </c>
      <c r="F84" s="84" t="s">
        <v>485</v>
      </c>
      <c r="G84" s="15" t="s">
        <v>27</v>
      </c>
      <c r="H84" s="16" t="s">
        <v>486</v>
      </c>
      <c r="I84" s="17"/>
      <c r="J84" s="17"/>
      <c r="K84" s="17"/>
      <c r="L84" s="17"/>
      <c r="N84" s="31">
        <v>82</v>
      </c>
      <c r="O84" s="32" t="s">
        <v>487</v>
      </c>
      <c r="P84" s="33" t="s">
        <v>57</v>
      </c>
      <c r="Q84" s="32" t="s">
        <v>32</v>
      </c>
      <c r="R84" s="69">
        <v>44258.763807870368</v>
      </c>
      <c r="S84" s="35">
        <v>44356</v>
      </c>
      <c r="T84" s="32" t="str">
        <f t="shared" si="5"/>
        <v>+832 76948***</v>
      </c>
      <c r="U84" s="32" t="str">
        <f t="shared" ca="1" si="6"/>
        <v>sams***@jossmail.com</v>
      </c>
      <c r="V84" s="32">
        <f t="shared" si="7"/>
        <v>37</v>
      </c>
      <c r="W84" s="36">
        <f t="shared" si="8"/>
        <v>0.02</v>
      </c>
      <c r="Y84" s="70">
        <v>43</v>
      </c>
      <c r="Z84" s="30">
        <f t="shared" si="4"/>
        <v>4</v>
      </c>
      <c r="AP84" s="13"/>
      <c r="AQ84" s="13"/>
      <c r="AR84" s="13"/>
      <c r="AS84" s="13"/>
      <c r="AT84" s="13"/>
      <c r="AU84" s="13"/>
    </row>
    <row r="85" spans="4:47" ht="27" customHeight="1" x14ac:dyDescent="0.25">
      <c r="D85" s="14" t="s">
        <v>488</v>
      </c>
      <c r="E85" s="14" t="s">
        <v>489</v>
      </c>
      <c r="F85" s="84" t="s">
        <v>490</v>
      </c>
      <c r="G85" s="15" t="s">
        <v>27</v>
      </c>
      <c r="H85" s="16" t="s">
        <v>491</v>
      </c>
      <c r="I85" s="17"/>
      <c r="J85" s="17"/>
      <c r="K85" s="17"/>
      <c r="L85" s="17"/>
      <c r="N85" s="31">
        <v>83</v>
      </c>
      <c r="O85" s="32" t="s">
        <v>492</v>
      </c>
      <c r="P85" s="33" t="s">
        <v>31</v>
      </c>
      <c r="Q85" s="32" t="s">
        <v>32</v>
      </c>
      <c r="R85" s="69">
        <v>44258.767685185187</v>
      </c>
      <c r="S85" s="35">
        <v>44359</v>
      </c>
      <c r="T85" s="32" t="str">
        <f t="shared" si="5"/>
        <v>+822 60111***</v>
      </c>
      <c r="U85" s="32" t="str">
        <f t="shared" ca="1" si="6"/>
        <v>domi***@jossmail.com</v>
      </c>
      <c r="V85" s="32">
        <f t="shared" si="7"/>
        <v>37</v>
      </c>
      <c r="W85" s="36">
        <f t="shared" si="8"/>
        <v>0.02</v>
      </c>
      <c r="Y85" s="70">
        <v>45</v>
      </c>
      <c r="Z85" s="30">
        <f t="shared" si="4"/>
        <v>5</v>
      </c>
    </row>
    <row r="86" spans="4:47" ht="27" customHeight="1" x14ac:dyDescent="0.25">
      <c r="D86" s="14" t="s">
        <v>493</v>
      </c>
      <c r="E86" s="14" t="s">
        <v>446</v>
      </c>
      <c r="F86" s="84" t="s">
        <v>494</v>
      </c>
      <c r="G86" s="15" t="s">
        <v>27</v>
      </c>
      <c r="H86" s="16" t="s">
        <v>495</v>
      </c>
      <c r="I86" s="17"/>
      <c r="J86" s="17"/>
      <c r="K86" s="17"/>
      <c r="L86" s="17"/>
      <c r="N86" s="31">
        <v>84</v>
      </c>
      <c r="O86" s="32" t="s">
        <v>496</v>
      </c>
      <c r="P86" s="33" t="s">
        <v>31</v>
      </c>
      <c r="Q86" s="32" t="s">
        <v>32</v>
      </c>
      <c r="R86" s="69">
        <v>44258.76635416667</v>
      </c>
      <c r="S86" s="35">
        <v>44320</v>
      </c>
      <c r="T86" s="32" t="str">
        <f t="shared" si="5"/>
        <v>+82239698***</v>
      </c>
      <c r="U86" s="32" t="str">
        <f t="shared" ca="1" si="6"/>
        <v>feli***@yuhuumail.com</v>
      </c>
      <c r="V86" s="32">
        <f t="shared" si="7"/>
        <v>37</v>
      </c>
      <c r="W86" s="36">
        <f t="shared" si="8"/>
        <v>0.02</v>
      </c>
      <c r="Y86" s="87">
        <v>46</v>
      </c>
      <c r="Z86" s="30">
        <f t="shared" si="4"/>
        <v>5</v>
      </c>
    </row>
    <row r="87" spans="4:47" ht="27" customHeight="1" x14ac:dyDescent="0.25">
      <c r="D87" s="14" t="s">
        <v>497</v>
      </c>
      <c r="E87" s="14" t="s">
        <v>498</v>
      </c>
      <c r="F87" s="84" t="s">
        <v>499</v>
      </c>
      <c r="G87" s="15" t="s">
        <v>27</v>
      </c>
      <c r="H87" s="16" t="s">
        <v>500</v>
      </c>
      <c r="I87" s="17"/>
      <c r="J87" s="17"/>
      <c r="K87" s="17"/>
      <c r="L87" s="17"/>
      <c r="N87" s="31">
        <v>85</v>
      </c>
      <c r="O87" s="32" t="s">
        <v>501</v>
      </c>
      <c r="P87" s="33" t="s">
        <v>31</v>
      </c>
      <c r="Q87" s="32" t="s">
        <v>32</v>
      </c>
      <c r="R87" s="69">
        <v>43083.648726851854</v>
      </c>
      <c r="S87" s="35">
        <v>44352</v>
      </c>
      <c r="T87" s="32" t="str">
        <f t="shared" si="5"/>
        <v>+6283213853***</v>
      </c>
      <c r="U87" s="32" t="str">
        <f t="shared" ca="1" si="6"/>
        <v>isaa***@yuhuumail.com</v>
      </c>
      <c r="V87" s="32">
        <f t="shared" si="7"/>
        <v>33</v>
      </c>
      <c r="W87" s="36">
        <f t="shared" si="8"/>
        <v>4.4999999999999998E-2</v>
      </c>
      <c r="Y87" s="88">
        <v>47</v>
      </c>
      <c r="Z87" s="86">
        <f t="shared" si="4"/>
        <v>3</v>
      </c>
    </row>
    <row r="88" spans="4:47" ht="27" customHeight="1" x14ac:dyDescent="0.25">
      <c r="D88" s="14" t="s">
        <v>502</v>
      </c>
      <c r="E88" s="14" t="s">
        <v>503</v>
      </c>
      <c r="F88" s="84" t="s">
        <v>206</v>
      </c>
      <c r="G88" s="15" t="s">
        <v>27</v>
      </c>
      <c r="H88" s="16" t="s">
        <v>504</v>
      </c>
      <c r="I88" s="17"/>
      <c r="J88" s="17"/>
      <c r="K88" s="17"/>
      <c r="L88" s="17"/>
      <c r="N88" s="31">
        <v>86</v>
      </c>
      <c r="O88" s="32" t="s">
        <v>505</v>
      </c>
      <c r="P88" s="33" t="s">
        <v>31</v>
      </c>
      <c r="Q88" s="32" t="s">
        <v>32</v>
      </c>
      <c r="R88" s="69">
        <v>44258.768020833333</v>
      </c>
      <c r="S88" s="35">
        <v>44320</v>
      </c>
      <c r="T88" s="32" t="str">
        <f t="shared" si="5"/>
        <v>+0832 81299***</v>
      </c>
      <c r="U88" s="32" t="str">
        <f t="shared" ca="1" si="6"/>
        <v>koen***@yuhuumail.com</v>
      </c>
      <c r="V88" s="32">
        <f t="shared" si="7"/>
        <v>36</v>
      </c>
      <c r="W88" s="36">
        <f t="shared" si="8"/>
        <v>0.02</v>
      </c>
      <c r="Y88" s="89">
        <v>49</v>
      </c>
      <c r="Z88" s="86">
        <f t="shared" si="4"/>
        <v>2</v>
      </c>
    </row>
    <row r="89" spans="4:47" ht="27" customHeight="1" x14ac:dyDescent="0.25">
      <c r="D89" s="14" t="s">
        <v>506</v>
      </c>
      <c r="E89" s="14" t="s">
        <v>507</v>
      </c>
      <c r="F89" s="84" t="s">
        <v>508</v>
      </c>
      <c r="G89" s="15" t="s">
        <v>68</v>
      </c>
      <c r="H89" s="16" t="s">
        <v>509</v>
      </c>
      <c r="I89" s="17"/>
      <c r="J89" s="17"/>
      <c r="K89" s="17"/>
      <c r="L89" s="17"/>
      <c r="N89" s="31">
        <v>87</v>
      </c>
      <c r="O89" s="32" t="s">
        <v>274</v>
      </c>
      <c r="P89" s="33" t="s">
        <v>42</v>
      </c>
      <c r="Q89" s="32" t="s">
        <v>32</v>
      </c>
      <c r="R89" s="69">
        <v>44258.771585648145</v>
      </c>
      <c r="S89" s="35">
        <v>44356</v>
      </c>
      <c r="T89" s="32" t="str">
        <f t="shared" si="5"/>
        <v>+0822-70148***</v>
      </c>
      <c r="U89" s="32" t="str">
        <f t="shared" ca="1" si="6"/>
        <v>irel***@yuhuumail.com</v>
      </c>
      <c r="V89" s="32">
        <f t="shared" si="7"/>
        <v>36</v>
      </c>
      <c r="W89" s="36">
        <f t="shared" si="8"/>
        <v>0.02</v>
      </c>
    </row>
    <row r="90" spans="4:47" ht="27" customHeight="1" x14ac:dyDescent="0.25">
      <c r="D90" s="14" t="s">
        <v>510</v>
      </c>
      <c r="E90" s="14" t="s">
        <v>511</v>
      </c>
      <c r="F90" s="84" t="s">
        <v>386</v>
      </c>
      <c r="G90" s="15" t="s">
        <v>68</v>
      </c>
      <c r="H90" s="16" t="s">
        <v>512</v>
      </c>
      <c r="I90" s="17"/>
      <c r="J90" s="17"/>
      <c r="K90" s="17"/>
      <c r="L90" s="17"/>
      <c r="N90" s="31">
        <v>88</v>
      </c>
      <c r="O90" s="32" t="s">
        <v>513</v>
      </c>
      <c r="P90" s="33" t="s">
        <v>57</v>
      </c>
      <c r="Q90" s="32" t="s">
        <v>32</v>
      </c>
      <c r="R90" s="69">
        <v>43914.67596064815</v>
      </c>
      <c r="S90" s="35">
        <v>44359</v>
      </c>
      <c r="T90" s="32" t="str">
        <f t="shared" si="5"/>
        <v>+0832-87236***</v>
      </c>
      <c r="U90" s="32" t="str">
        <f t="shared" ca="1" si="6"/>
        <v>ange***@jossmail.com</v>
      </c>
      <c r="V90" s="32">
        <f t="shared" si="7"/>
        <v>35</v>
      </c>
      <c r="W90" s="36">
        <f t="shared" si="8"/>
        <v>3.5000000000000003E-2</v>
      </c>
    </row>
    <row r="91" spans="4:47" ht="27" customHeight="1" x14ac:dyDescent="0.25">
      <c r="D91" s="14" t="s">
        <v>514</v>
      </c>
      <c r="E91" s="14" t="s">
        <v>515</v>
      </c>
      <c r="F91" s="84" t="s">
        <v>74</v>
      </c>
      <c r="G91" s="15" t="s">
        <v>27</v>
      </c>
      <c r="H91" s="16" t="s">
        <v>516</v>
      </c>
      <c r="I91" s="17"/>
      <c r="J91" s="17"/>
      <c r="K91" s="17"/>
      <c r="L91" s="17"/>
      <c r="N91" s="31">
        <v>89</v>
      </c>
      <c r="O91" s="32" t="s">
        <v>517</v>
      </c>
      <c r="P91" s="33" t="s">
        <v>57</v>
      </c>
      <c r="Q91" s="32" t="s">
        <v>32</v>
      </c>
      <c r="R91" s="69">
        <v>42659.905590277776</v>
      </c>
      <c r="S91" s="35">
        <v>44352</v>
      </c>
      <c r="T91" s="32" t="str">
        <f t="shared" si="5"/>
        <v>+822 67282***</v>
      </c>
      <c r="U91" s="32" t="str">
        <f t="shared" ca="1" si="6"/>
        <v>kend***@jossmail.com</v>
      </c>
      <c r="V91" s="32">
        <f t="shared" si="7"/>
        <v>32</v>
      </c>
      <c r="W91" s="36">
        <f t="shared" si="8"/>
        <v>4.4999999999999998E-2</v>
      </c>
    </row>
    <row r="92" spans="4:47" ht="27" customHeight="1" x14ac:dyDescent="0.25">
      <c r="D92" s="14" t="s">
        <v>518</v>
      </c>
      <c r="E92" s="14" t="s">
        <v>519</v>
      </c>
      <c r="F92" s="84" t="s">
        <v>407</v>
      </c>
      <c r="G92" s="15" t="s">
        <v>27</v>
      </c>
      <c r="H92" s="16" t="s">
        <v>520</v>
      </c>
      <c r="I92" s="17"/>
      <c r="J92" s="17"/>
      <c r="K92" s="17"/>
      <c r="L92" s="17"/>
      <c r="N92" s="31">
        <v>90</v>
      </c>
      <c r="O92" s="32" t="s">
        <v>521</v>
      </c>
      <c r="P92" s="33" t="s">
        <v>31</v>
      </c>
      <c r="Q92" s="32" t="s">
        <v>32</v>
      </c>
      <c r="R92" s="69">
        <v>44258.773622685185</v>
      </c>
      <c r="S92" s="35">
        <v>44317</v>
      </c>
      <c r="T92" s="32" t="str">
        <f t="shared" si="5"/>
        <v>+84245231***</v>
      </c>
      <c r="U92" s="32" t="str">
        <f t="shared" ca="1" si="6"/>
        <v>ryle***@yuhuumail.com</v>
      </c>
      <c r="V92" s="32">
        <f t="shared" si="7"/>
        <v>36</v>
      </c>
      <c r="W92" s="36">
        <f t="shared" si="8"/>
        <v>0.02</v>
      </c>
    </row>
    <row r="93" spans="4:47" ht="27" customHeight="1" x14ac:dyDescent="0.25">
      <c r="D93" s="14" t="s">
        <v>522</v>
      </c>
      <c r="E93" s="14" t="s">
        <v>523</v>
      </c>
      <c r="F93" s="84" t="s">
        <v>524</v>
      </c>
      <c r="G93" s="15" t="s">
        <v>27</v>
      </c>
      <c r="H93" s="16" t="s">
        <v>525</v>
      </c>
      <c r="I93" s="17"/>
      <c r="J93" s="17"/>
      <c r="K93" s="17"/>
      <c r="L93" s="17"/>
      <c r="N93" s="31">
        <v>91</v>
      </c>
      <c r="O93" s="32" t="s">
        <v>526</v>
      </c>
      <c r="P93" s="33" t="s">
        <v>42</v>
      </c>
      <c r="Q93" s="32" t="s">
        <v>32</v>
      </c>
      <c r="R93" s="69">
        <v>44258.77270833333</v>
      </c>
      <c r="S93" s="35">
        <v>44341</v>
      </c>
      <c r="T93" s="32" t="str">
        <f t="shared" si="5"/>
        <v>+0822-37080***</v>
      </c>
      <c r="U93" s="32" t="str">
        <f t="shared" ca="1" si="6"/>
        <v>cole***@jossmail.com</v>
      </c>
      <c r="V93" s="32">
        <f t="shared" si="7"/>
        <v>36</v>
      </c>
      <c r="W93" s="36">
        <f t="shared" si="8"/>
        <v>0.02</v>
      </c>
    </row>
    <row r="94" spans="4:47" ht="27" customHeight="1" x14ac:dyDescent="0.25">
      <c r="D94" s="14" t="s">
        <v>527</v>
      </c>
      <c r="E94" s="14" t="s">
        <v>528</v>
      </c>
      <c r="F94" s="84" t="s">
        <v>485</v>
      </c>
      <c r="G94" s="15" t="s">
        <v>68</v>
      </c>
      <c r="H94" s="16" t="s">
        <v>529</v>
      </c>
      <c r="I94" s="17"/>
      <c r="J94" s="17"/>
      <c r="K94" s="17"/>
      <c r="L94" s="17"/>
      <c r="N94" s="31">
        <v>92</v>
      </c>
      <c r="O94" s="32" t="s">
        <v>530</v>
      </c>
      <c r="P94" s="33" t="s">
        <v>31</v>
      </c>
      <c r="Q94" s="32" t="s">
        <v>32</v>
      </c>
      <c r="R94" s="69">
        <v>44258.775011574071</v>
      </c>
      <c r="S94" s="35">
        <v>44356</v>
      </c>
      <c r="T94" s="32" t="str">
        <f t="shared" si="5"/>
        <v>+82284881***</v>
      </c>
      <c r="U94" s="32" t="str">
        <f t="shared" ca="1" si="6"/>
        <v>amir***@jossmail.com</v>
      </c>
      <c r="V94" s="32">
        <f t="shared" si="7"/>
        <v>36</v>
      </c>
      <c r="W94" s="36">
        <f t="shared" si="8"/>
        <v>0.02</v>
      </c>
    </row>
    <row r="95" spans="4:47" ht="27" customHeight="1" x14ac:dyDescent="0.25">
      <c r="D95" s="14" t="s">
        <v>531</v>
      </c>
      <c r="E95" s="14" t="s">
        <v>532</v>
      </c>
      <c r="F95" s="84" t="s">
        <v>533</v>
      </c>
      <c r="G95" s="15" t="s">
        <v>27</v>
      </c>
      <c r="H95" s="16" t="s">
        <v>534</v>
      </c>
      <c r="I95" s="17"/>
      <c r="J95" s="17"/>
      <c r="K95" s="17"/>
      <c r="L95" s="17"/>
      <c r="N95" s="31">
        <v>93</v>
      </c>
      <c r="O95" s="32" t="s">
        <v>535</v>
      </c>
      <c r="P95" s="33" t="s">
        <v>31</v>
      </c>
      <c r="Q95" s="32" t="s">
        <v>32</v>
      </c>
      <c r="R95" s="69">
        <v>44258.779710648145</v>
      </c>
      <c r="S95" s="35">
        <v>44359</v>
      </c>
      <c r="T95" s="32" t="str">
        <f t="shared" si="5"/>
        <v>+0812 65849***</v>
      </c>
      <c r="U95" s="32" t="str">
        <f t="shared" ca="1" si="6"/>
        <v>tris***@jossmail.com</v>
      </c>
      <c r="V95" s="32">
        <f t="shared" si="7"/>
        <v>36</v>
      </c>
      <c r="W95" s="36">
        <f t="shared" si="8"/>
        <v>0.02</v>
      </c>
    </row>
    <row r="96" spans="4:47" ht="27" customHeight="1" x14ac:dyDescent="0.25">
      <c r="D96" s="14" t="s">
        <v>536</v>
      </c>
      <c r="E96" s="14" t="s">
        <v>537</v>
      </c>
      <c r="F96" s="84" t="s">
        <v>538</v>
      </c>
      <c r="G96" s="15" t="s">
        <v>68</v>
      </c>
      <c r="H96" s="16" t="s">
        <v>539</v>
      </c>
      <c r="I96" s="17"/>
      <c r="J96" s="17"/>
      <c r="K96" s="17"/>
      <c r="L96" s="17"/>
      <c r="N96" s="31">
        <v>94</v>
      </c>
      <c r="O96" s="32" t="s">
        <v>540</v>
      </c>
      <c r="P96" s="33" t="s">
        <v>31</v>
      </c>
      <c r="Q96" s="32" t="s">
        <v>32</v>
      </c>
      <c r="R96" s="69">
        <v>44258.774641203701</v>
      </c>
      <c r="S96" s="35">
        <v>44359</v>
      </c>
      <c r="T96" s="32" t="str">
        <f t="shared" si="5"/>
        <v>+832 26538***</v>
      </c>
      <c r="U96" s="32" t="str">
        <f t="shared" ca="1" si="6"/>
        <v>dani***@jossmail.com</v>
      </c>
      <c r="V96" s="32">
        <f t="shared" si="7"/>
        <v>36</v>
      </c>
      <c r="W96" s="36">
        <f t="shared" si="8"/>
        <v>0.02</v>
      </c>
    </row>
    <row r="97" spans="4:23" ht="27" customHeight="1" x14ac:dyDescent="0.25">
      <c r="D97" s="14" t="s">
        <v>541</v>
      </c>
      <c r="E97" s="14" t="s">
        <v>542</v>
      </c>
      <c r="F97" s="84" t="s">
        <v>233</v>
      </c>
      <c r="G97" s="15" t="s">
        <v>27</v>
      </c>
      <c r="H97" s="16" t="s">
        <v>543</v>
      </c>
      <c r="I97" s="17"/>
      <c r="J97" s="17"/>
      <c r="K97" s="17"/>
      <c r="L97" s="17"/>
      <c r="N97" s="31">
        <v>95</v>
      </c>
      <c r="O97" s="32" t="s">
        <v>544</v>
      </c>
      <c r="P97" s="33" t="s">
        <v>57</v>
      </c>
      <c r="Q97" s="32" t="s">
        <v>32</v>
      </c>
      <c r="R97" s="69">
        <v>44258.775231481479</v>
      </c>
      <c r="S97" s="71">
        <v>44362</v>
      </c>
      <c r="T97" s="32" t="str">
        <f t="shared" si="5"/>
        <v>+84254449***</v>
      </c>
      <c r="U97" s="32" t="str">
        <f t="shared" ca="1" si="6"/>
        <v>madi***@yuhuumail.com</v>
      </c>
      <c r="V97" s="32">
        <f t="shared" si="7"/>
        <v>36</v>
      </c>
      <c r="W97" s="36">
        <f t="shared" si="8"/>
        <v>0.02</v>
      </c>
    </row>
    <row r="98" spans="4:23" ht="27" customHeight="1" x14ac:dyDescent="0.25">
      <c r="D98" s="14" t="s">
        <v>545</v>
      </c>
      <c r="E98" s="14" t="s">
        <v>546</v>
      </c>
      <c r="F98" s="84" t="s">
        <v>280</v>
      </c>
      <c r="G98" s="15" t="s">
        <v>27</v>
      </c>
      <c r="H98" s="16" t="s">
        <v>547</v>
      </c>
      <c r="I98" s="17"/>
      <c r="J98" s="17"/>
      <c r="K98" s="17"/>
      <c r="L98" s="17"/>
      <c r="N98" s="31">
        <v>96</v>
      </c>
      <c r="O98" s="32" t="s">
        <v>548</v>
      </c>
      <c r="P98" s="33" t="s">
        <v>31</v>
      </c>
      <c r="Q98" s="32" t="s">
        <v>32</v>
      </c>
      <c r="R98" s="69">
        <v>44258.767569444448</v>
      </c>
      <c r="S98" s="71">
        <v>44320</v>
      </c>
      <c r="T98" s="32" t="str">
        <f t="shared" si="5"/>
        <v>+0852-38707***</v>
      </c>
      <c r="U98" s="32" t="str">
        <f t="shared" ca="1" si="6"/>
        <v>coli***@yuhuumail.com</v>
      </c>
      <c r="V98" s="32">
        <f t="shared" si="7"/>
        <v>36</v>
      </c>
      <c r="W98" s="36">
        <f t="shared" si="8"/>
        <v>0.02</v>
      </c>
    </row>
    <row r="99" spans="4:23" ht="27" customHeight="1" x14ac:dyDescent="0.25">
      <c r="D99" s="14" t="s">
        <v>549</v>
      </c>
      <c r="E99" s="14" t="s">
        <v>550</v>
      </c>
      <c r="F99" s="84" t="s">
        <v>551</v>
      </c>
      <c r="G99" s="15" t="s">
        <v>27</v>
      </c>
      <c r="H99" s="16" t="s">
        <v>552</v>
      </c>
      <c r="I99" s="17"/>
      <c r="J99" s="17"/>
      <c r="K99" s="17"/>
      <c r="L99" s="17"/>
      <c r="N99" s="31">
        <v>97</v>
      </c>
      <c r="O99" s="32" t="s">
        <v>553</v>
      </c>
      <c r="P99" s="33" t="s">
        <v>42</v>
      </c>
      <c r="Q99" s="32" t="s">
        <v>32</v>
      </c>
      <c r="R99" s="69">
        <v>43747.407835648148</v>
      </c>
      <c r="S99" s="71">
        <v>44318</v>
      </c>
      <c r="T99" s="32" t="str">
        <f t="shared" si="5"/>
        <v>+0822-60568***</v>
      </c>
      <c r="U99" s="32" t="str">
        <f t="shared" ca="1" si="6"/>
        <v>yose***@jossmail.com</v>
      </c>
      <c r="V99" s="32">
        <f t="shared" si="7"/>
        <v>35</v>
      </c>
      <c r="W99" s="36">
        <f t="shared" si="8"/>
        <v>3.5000000000000003E-2</v>
      </c>
    </row>
    <row r="100" spans="4:23" ht="27" customHeight="1" x14ac:dyDescent="0.25">
      <c r="D100" s="14" t="s">
        <v>554</v>
      </c>
      <c r="E100" s="14" t="s">
        <v>555</v>
      </c>
      <c r="F100" s="84" t="s">
        <v>556</v>
      </c>
      <c r="G100" s="15" t="s">
        <v>27</v>
      </c>
      <c r="H100" s="16" t="s">
        <v>557</v>
      </c>
      <c r="I100" s="17"/>
      <c r="J100" s="17"/>
      <c r="K100" s="17"/>
      <c r="L100" s="17"/>
      <c r="N100" s="31">
        <v>98</v>
      </c>
      <c r="O100" s="32" t="s">
        <v>558</v>
      </c>
      <c r="P100" s="33" t="s">
        <v>57</v>
      </c>
      <c r="Q100" s="32" t="s">
        <v>32</v>
      </c>
      <c r="R100" s="69">
        <v>44258.772592592592</v>
      </c>
      <c r="S100" s="71">
        <v>44320</v>
      </c>
      <c r="T100" s="32" t="str">
        <f t="shared" si="5"/>
        <v>+0812 21784***</v>
      </c>
      <c r="U100" s="32" t="str">
        <f t="shared" ca="1" si="6"/>
        <v>sila***@yuhuumail.com</v>
      </c>
      <c r="V100" s="32">
        <f t="shared" si="7"/>
        <v>35</v>
      </c>
      <c r="W100" s="36">
        <f t="shared" si="8"/>
        <v>0.02</v>
      </c>
    </row>
    <row r="101" spans="4:23" ht="27" customHeight="1" x14ac:dyDescent="0.25">
      <c r="D101" s="14" t="s">
        <v>559</v>
      </c>
      <c r="E101" s="14" t="s">
        <v>560</v>
      </c>
      <c r="F101" s="84" t="s">
        <v>561</v>
      </c>
      <c r="G101" s="15" t="s">
        <v>27</v>
      </c>
      <c r="H101" s="16" t="s">
        <v>562</v>
      </c>
      <c r="I101" s="17"/>
      <c r="J101" s="17"/>
      <c r="K101" s="17"/>
      <c r="L101" s="17"/>
      <c r="N101" s="31">
        <v>99</v>
      </c>
      <c r="O101" s="32" t="s">
        <v>563</v>
      </c>
      <c r="P101" s="33" t="s">
        <v>42</v>
      </c>
      <c r="Q101" s="32" t="s">
        <v>32</v>
      </c>
      <c r="R101" s="69">
        <v>44258.784247685187</v>
      </c>
      <c r="S101" s="71">
        <v>44362</v>
      </c>
      <c r="T101" s="32" t="str">
        <f t="shared" si="5"/>
        <v>+0842-92914***</v>
      </c>
      <c r="U101" s="32" t="str">
        <f t="shared" ca="1" si="6"/>
        <v>amia***@jossmail.com</v>
      </c>
      <c r="V101" s="32">
        <f t="shared" si="7"/>
        <v>35</v>
      </c>
      <c r="W101" s="36">
        <f t="shared" si="8"/>
        <v>0.02</v>
      </c>
    </row>
    <row r="102" spans="4:23" ht="27" customHeight="1" x14ac:dyDescent="0.25">
      <c r="D102" s="14" t="s">
        <v>564</v>
      </c>
      <c r="E102" s="14" t="s">
        <v>565</v>
      </c>
      <c r="F102" s="84" t="s">
        <v>566</v>
      </c>
      <c r="G102" s="15" t="s">
        <v>27</v>
      </c>
      <c r="H102" s="16" t="s">
        <v>567</v>
      </c>
      <c r="I102" s="17"/>
      <c r="J102" s="17"/>
      <c r="K102" s="17"/>
      <c r="L102" s="17"/>
      <c r="N102" s="31">
        <v>100</v>
      </c>
      <c r="O102" s="32" t="s">
        <v>568</v>
      </c>
      <c r="P102" s="33" t="s">
        <v>31</v>
      </c>
      <c r="Q102" s="32" t="s">
        <v>32</v>
      </c>
      <c r="R102" s="69">
        <v>44258.770381944443</v>
      </c>
      <c r="S102" s="71">
        <v>44359</v>
      </c>
      <c r="T102" s="32" t="str">
        <f t="shared" si="5"/>
        <v>+082237769***</v>
      </c>
      <c r="U102" s="32" t="str">
        <f t="shared" ca="1" si="6"/>
        <v>katr***@jossmail.com</v>
      </c>
      <c r="V102" s="32">
        <f t="shared" si="7"/>
        <v>35</v>
      </c>
      <c r="W102" s="36">
        <f t="shared" si="8"/>
        <v>0.02</v>
      </c>
    </row>
    <row r="103" spans="4:23" ht="27" customHeight="1" x14ac:dyDescent="0.25">
      <c r="D103" s="14" t="s">
        <v>569</v>
      </c>
      <c r="E103" s="14" t="s">
        <v>570</v>
      </c>
      <c r="F103" s="84" t="s">
        <v>121</v>
      </c>
      <c r="G103" s="15" t="s">
        <v>27</v>
      </c>
      <c r="H103" s="16" t="s">
        <v>571</v>
      </c>
      <c r="I103" s="17"/>
      <c r="J103" s="17"/>
      <c r="K103" s="17"/>
      <c r="L103" s="17"/>
      <c r="N103" s="31">
        <v>101</v>
      </c>
      <c r="O103" s="32" t="s">
        <v>572</v>
      </c>
      <c r="P103" s="33" t="s">
        <v>31</v>
      </c>
      <c r="Q103" s="32" t="s">
        <v>32</v>
      </c>
      <c r="R103" s="69">
        <v>44258.787430555552</v>
      </c>
      <c r="S103" s="71">
        <v>44320</v>
      </c>
      <c r="T103" s="32" t="str">
        <f t="shared" si="5"/>
        <v>+6285248415***</v>
      </c>
      <c r="U103" s="32" t="str">
        <f t="shared" ca="1" si="6"/>
        <v>mark***@yuhuumail.com</v>
      </c>
      <c r="V103" s="32">
        <f t="shared" si="7"/>
        <v>35</v>
      </c>
      <c r="W103" s="36">
        <f t="shared" si="8"/>
        <v>0.02</v>
      </c>
    </row>
    <row r="104" spans="4:23" ht="27" customHeight="1" x14ac:dyDescent="0.25">
      <c r="D104" s="14" t="s">
        <v>573</v>
      </c>
      <c r="E104" s="14" t="s">
        <v>574</v>
      </c>
      <c r="F104" s="84" t="s">
        <v>114</v>
      </c>
      <c r="G104" s="15" t="s">
        <v>27</v>
      </c>
      <c r="H104" s="16" t="s">
        <v>575</v>
      </c>
      <c r="I104" s="17"/>
      <c r="J104" s="17"/>
      <c r="K104" s="17"/>
      <c r="L104" s="17"/>
      <c r="N104" s="31">
        <v>102</v>
      </c>
      <c r="O104" s="32" t="s">
        <v>576</v>
      </c>
      <c r="P104" s="33" t="s">
        <v>31</v>
      </c>
      <c r="Q104" s="32" t="s">
        <v>32</v>
      </c>
      <c r="R104" s="69">
        <v>44258.784409722219</v>
      </c>
      <c r="S104" s="71">
        <v>44320</v>
      </c>
      <c r="T104" s="32" t="str">
        <f t="shared" si="5"/>
        <v>+83271859***</v>
      </c>
      <c r="U104" s="32" t="str">
        <f t="shared" ca="1" si="6"/>
        <v>seli***@jossmail.com</v>
      </c>
      <c r="V104" s="32">
        <f t="shared" si="7"/>
        <v>35</v>
      </c>
      <c r="W104" s="36">
        <f t="shared" si="8"/>
        <v>0.02</v>
      </c>
    </row>
    <row r="105" spans="4:23" ht="27" customHeight="1" x14ac:dyDescent="0.25">
      <c r="D105" s="14" t="s">
        <v>577</v>
      </c>
      <c r="E105" s="14" t="s">
        <v>578</v>
      </c>
      <c r="F105" s="84" t="s">
        <v>92</v>
      </c>
      <c r="G105" s="15" t="s">
        <v>68</v>
      </c>
      <c r="H105" s="16" t="s">
        <v>579</v>
      </c>
      <c r="I105" s="17"/>
      <c r="J105" s="17"/>
      <c r="K105" s="17"/>
      <c r="L105" s="17"/>
      <c r="N105" s="31">
        <v>103</v>
      </c>
      <c r="O105" s="32" t="s">
        <v>580</v>
      </c>
      <c r="P105" s="33" t="s">
        <v>31</v>
      </c>
      <c r="Q105" s="32" t="s">
        <v>32</v>
      </c>
      <c r="R105" s="69">
        <v>44258.786111111112</v>
      </c>
      <c r="S105" s="71">
        <v>44318</v>
      </c>
      <c r="T105" s="32" t="str">
        <f t="shared" si="5"/>
        <v>+6284258511***</v>
      </c>
      <c r="U105" s="32" t="str">
        <f t="shared" ca="1" si="6"/>
        <v>broc***@yuhuumail.com</v>
      </c>
      <c r="V105" s="32">
        <f t="shared" si="7"/>
        <v>35</v>
      </c>
      <c r="W105" s="36">
        <f t="shared" si="8"/>
        <v>0.02</v>
      </c>
    </row>
    <row r="106" spans="4:23" ht="27" customHeight="1" x14ac:dyDescent="0.25">
      <c r="D106" s="14" t="s">
        <v>581</v>
      </c>
      <c r="E106" s="14" t="s">
        <v>133</v>
      </c>
      <c r="F106" s="84" t="s">
        <v>582</v>
      </c>
      <c r="G106" s="15" t="s">
        <v>27</v>
      </c>
      <c r="H106" s="16" t="s">
        <v>583</v>
      </c>
      <c r="I106" s="17"/>
      <c r="J106" s="17"/>
      <c r="K106" s="17"/>
      <c r="L106" s="17"/>
      <c r="N106" s="31">
        <v>104</v>
      </c>
      <c r="O106" s="32" t="s">
        <v>584</v>
      </c>
      <c r="P106" s="33" t="s">
        <v>31</v>
      </c>
      <c r="Q106" s="32" t="s">
        <v>32</v>
      </c>
      <c r="R106" s="69">
        <v>44258.789988425924</v>
      </c>
      <c r="S106" s="71">
        <v>44352</v>
      </c>
      <c r="T106" s="32" t="str">
        <f t="shared" si="5"/>
        <v>+0852-67843***</v>
      </c>
      <c r="U106" s="32" t="str">
        <f t="shared" ca="1" si="6"/>
        <v>cade***@yuhuumail.com</v>
      </c>
      <c r="V106" s="32">
        <f t="shared" si="7"/>
        <v>35</v>
      </c>
      <c r="W106" s="36">
        <f t="shared" si="8"/>
        <v>0.02</v>
      </c>
    </row>
    <row r="107" spans="4:23" ht="27" customHeight="1" x14ac:dyDescent="0.25">
      <c r="D107" s="14" t="s">
        <v>585</v>
      </c>
      <c r="E107" s="14" t="s">
        <v>586</v>
      </c>
      <c r="F107" s="84" t="s">
        <v>587</v>
      </c>
      <c r="G107" s="15" t="s">
        <v>68</v>
      </c>
      <c r="H107" s="16" t="s">
        <v>588</v>
      </c>
      <c r="I107" s="17"/>
      <c r="J107" s="17"/>
      <c r="K107" s="17"/>
      <c r="L107" s="17"/>
      <c r="N107" s="31">
        <v>105</v>
      </c>
      <c r="O107" s="32" t="s">
        <v>589</v>
      </c>
      <c r="P107" s="33" t="s">
        <v>57</v>
      </c>
      <c r="Q107" s="32" t="s">
        <v>32</v>
      </c>
      <c r="R107" s="69">
        <v>44258.790196759262</v>
      </c>
      <c r="S107" s="71">
        <v>44322</v>
      </c>
      <c r="T107" s="32" t="str">
        <f t="shared" si="5"/>
        <v>+6285215884***</v>
      </c>
      <c r="U107" s="32" t="str">
        <f t="shared" ca="1" si="6"/>
        <v>rica***@yuhuumail.com</v>
      </c>
      <c r="V107" s="32">
        <f t="shared" si="7"/>
        <v>35</v>
      </c>
      <c r="W107" s="36">
        <f t="shared" si="8"/>
        <v>0.02</v>
      </c>
    </row>
    <row r="108" spans="4:23" ht="27" customHeight="1" x14ac:dyDescent="0.25">
      <c r="D108" s="14" t="s">
        <v>590</v>
      </c>
      <c r="E108" s="14" t="s">
        <v>591</v>
      </c>
      <c r="F108" s="84" t="s">
        <v>592</v>
      </c>
      <c r="G108" s="15" t="s">
        <v>27</v>
      </c>
      <c r="H108" s="16" t="s">
        <v>593</v>
      </c>
      <c r="I108" s="17"/>
      <c r="J108" s="17"/>
      <c r="K108" s="17"/>
      <c r="L108" s="17"/>
      <c r="N108" s="31">
        <v>106</v>
      </c>
      <c r="O108" s="32" t="s">
        <v>594</v>
      </c>
      <c r="P108" s="33" t="s">
        <v>31</v>
      </c>
      <c r="Q108" s="32" t="s">
        <v>32</v>
      </c>
      <c r="R108" s="69">
        <v>43487.213750000003</v>
      </c>
      <c r="S108" s="71">
        <v>44362</v>
      </c>
      <c r="T108" s="32" t="str">
        <f t="shared" si="5"/>
        <v>+0852 76099***</v>
      </c>
      <c r="U108" s="32" t="str">
        <f t="shared" ca="1" si="6"/>
        <v>gavy***@jossmail.com</v>
      </c>
      <c r="V108" s="32">
        <f t="shared" si="7"/>
        <v>33</v>
      </c>
      <c r="W108" s="36">
        <f t="shared" si="8"/>
        <v>3.5000000000000003E-2</v>
      </c>
    </row>
    <row r="109" spans="4:23" ht="27" customHeight="1" x14ac:dyDescent="0.25">
      <c r="D109" s="14" t="s">
        <v>595</v>
      </c>
      <c r="E109" s="14" t="s">
        <v>596</v>
      </c>
      <c r="F109" s="84" t="s">
        <v>597</v>
      </c>
      <c r="G109" s="15" t="s">
        <v>68</v>
      </c>
      <c r="H109" s="16" t="s">
        <v>598</v>
      </c>
      <c r="I109" s="17"/>
      <c r="J109" s="17"/>
      <c r="K109" s="17"/>
      <c r="L109" s="17"/>
      <c r="N109" s="31">
        <v>107</v>
      </c>
      <c r="O109" s="32" t="s">
        <v>599</v>
      </c>
      <c r="P109" s="33" t="s">
        <v>42</v>
      </c>
      <c r="Q109" s="32" t="s">
        <v>32</v>
      </c>
      <c r="R109" s="69">
        <v>44258.794490740744</v>
      </c>
      <c r="S109" s="71">
        <v>44359</v>
      </c>
      <c r="T109" s="32" t="str">
        <f t="shared" si="5"/>
        <v>+0822 56959***</v>
      </c>
      <c r="U109" s="32" t="str">
        <f t="shared" ca="1" si="6"/>
        <v>anab***@jossmail.com</v>
      </c>
      <c r="V109" s="32">
        <f t="shared" si="7"/>
        <v>34</v>
      </c>
      <c r="W109" s="36">
        <f t="shared" si="8"/>
        <v>0.02</v>
      </c>
    </row>
    <row r="110" spans="4:23" ht="27" customHeight="1" x14ac:dyDescent="0.25">
      <c r="D110" s="14" t="s">
        <v>600</v>
      </c>
      <c r="E110" s="14" t="s">
        <v>601</v>
      </c>
      <c r="F110" s="84" t="s">
        <v>602</v>
      </c>
      <c r="G110" s="15" t="s">
        <v>27</v>
      </c>
      <c r="H110" s="16" t="s">
        <v>603</v>
      </c>
      <c r="I110" s="17"/>
      <c r="J110" s="17"/>
      <c r="K110" s="17"/>
      <c r="L110" s="17"/>
      <c r="N110" s="31">
        <v>108</v>
      </c>
      <c r="O110" s="32" t="s">
        <v>604</v>
      </c>
      <c r="P110" s="33" t="s">
        <v>31</v>
      </c>
      <c r="Q110" s="32" t="s">
        <v>32</v>
      </c>
      <c r="R110" s="69">
        <v>44258.777638888889</v>
      </c>
      <c r="S110" s="71">
        <v>44356</v>
      </c>
      <c r="T110" s="32" t="str">
        <f t="shared" si="5"/>
        <v>+812 24796***</v>
      </c>
      <c r="U110" s="32" t="str">
        <f t="shared" ca="1" si="6"/>
        <v>lisa***@jossmail.com</v>
      </c>
      <c r="V110" s="32">
        <f t="shared" si="7"/>
        <v>34</v>
      </c>
      <c r="W110" s="36">
        <f t="shared" si="8"/>
        <v>0.02</v>
      </c>
    </row>
    <row r="111" spans="4:23" ht="27" customHeight="1" x14ac:dyDescent="0.25">
      <c r="D111" s="14" t="s">
        <v>605</v>
      </c>
      <c r="E111" s="14" t="s">
        <v>606</v>
      </c>
      <c r="F111" s="84" t="s">
        <v>92</v>
      </c>
      <c r="G111" s="15" t="s">
        <v>68</v>
      </c>
      <c r="H111" s="16" t="s">
        <v>607</v>
      </c>
      <c r="I111" s="17"/>
      <c r="J111" s="17"/>
      <c r="K111" s="17"/>
      <c r="L111" s="17"/>
      <c r="N111" s="31">
        <v>109</v>
      </c>
      <c r="O111" s="32" t="s">
        <v>608</v>
      </c>
      <c r="P111" s="33" t="s">
        <v>31</v>
      </c>
      <c r="Q111" s="32" t="s">
        <v>32</v>
      </c>
      <c r="R111" s="69">
        <v>44258.790821759256</v>
      </c>
      <c r="S111" s="71">
        <v>44362</v>
      </c>
      <c r="T111" s="32" t="str">
        <f t="shared" si="5"/>
        <v>+0832-72811***</v>
      </c>
      <c r="U111" s="32" t="str">
        <f t="shared" ca="1" si="6"/>
        <v>jama***@jossmail.com</v>
      </c>
      <c r="V111" s="32">
        <f t="shared" si="7"/>
        <v>34</v>
      </c>
      <c r="W111" s="36">
        <f t="shared" si="8"/>
        <v>0.02</v>
      </c>
    </row>
    <row r="112" spans="4:23" ht="27" customHeight="1" x14ac:dyDescent="0.25">
      <c r="D112" s="14" t="s">
        <v>609</v>
      </c>
      <c r="E112" s="14" t="s">
        <v>610</v>
      </c>
      <c r="F112" s="84" t="s">
        <v>566</v>
      </c>
      <c r="G112" s="15" t="s">
        <v>27</v>
      </c>
      <c r="H112" s="16" t="s">
        <v>611</v>
      </c>
      <c r="I112" s="17"/>
      <c r="J112" s="17"/>
      <c r="K112" s="17"/>
      <c r="L112" s="17"/>
      <c r="N112" s="31">
        <v>110</v>
      </c>
      <c r="O112" s="32" t="s">
        <v>106</v>
      </c>
      <c r="P112" s="33" t="s">
        <v>57</v>
      </c>
      <c r="Q112" s="32" t="s">
        <v>32</v>
      </c>
      <c r="R112" s="69">
        <v>44258.794386574074</v>
      </c>
      <c r="S112" s="71">
        <v>44320</v>
      </c>
      <c r="T112" s="32" t="str">
        <f t="shared" si="5"/>
        <v>+81220030***</v>
      </c>
      <c r="U112" s="32" t="str">
        <f t="shared" ca="1" si="6"/>
        <v>kare***@yuhuumail.com</v>
      </c>
      <c r="V112" s="32">
        <f t="shared" si="7"/>
        <v>34</v>
      </c>
      <c r="W112" s="36">
        <f t="shared" si="8"/>
        <v>0.02</v>
      </c>
    </row>
    <row r="113" spans="4:23" ht="27" customHeight="1" x14ac:dyDescent="0.25">
      <c r="D113" s="14" t="s">
        <v>612</v>
      </c>
      <c r="E113" s="14" t="s">
        <v>613</v>
      </c>
      <c r="F113" s="84" t="s">
        <v>614</v>
      </c>
      <c r="G113" s="15" t="s">
        <v>68</v>
      </c>
      <c r="H113" s="16" t="s">
        <v>615</v>
      </c>
      <c r="I113" s="17"/>
      <c r="J113" s="17"/>
      <c r="K113" s="17"/>
      <c r="L113" s="17"/>
      <c r="N113" s="31">
        <v>111</v>
      </c>
      <c r="O113" s="32" t="s">
        <v>616</v>
      </c>
      <c r="P113" s="33" t="s">
        <v>57</v>
      </c>
      <c r="Q113" s="32" t="s">
        <v>32</v>
      </c>
      <c r="R113" s="69">
        <v>42947.461018518516</v>
      </c>
      <c r="S113" s="71">
        <v>44356</v>
      </c>
      <c r="T113" s="32" t="str">
        <f t="shared" si="5"/>
        <v>+081258504***</v>
      </c>
      <c r="U113" s="32" t="str">
        <f t="shared" ca="1" si="6"/>
        <v>juli***@jossmail.com</v>
      </c>
      <c r="V113" s="32">
        <f t="shared" si="7"/>
        <v>30</v>
      </c>
      <c r="W113" s="36">
        <f t="shared" si="8"/>
        <v>4.4999999999999998E-2</v>
      </c>
    </row>
    <row r="114" spans="4:23" ht="27" customHeight="1" x14ac:dyDescent="0.25">
      <c r="D114" s="14" t="s">
        <v>617</v>
      </c>
      <c r="E114" s="14" t="s">
        <v>618</v>
      </c>
      <c r="F114" s="84" t="s">
        <v>332</v>
      </c>
      <c r="G114" s="15" t="s">
        <v>27</v>
      </c>
      <c r="H114" s="16" t="s">
        <v>619</v>
      </c>
      <c r="I114" s="17"/>
      <c r="J114" s="17"/>
      <c r="K114" s="17"/>
      <c r="L114" s="17"/>
      <c r="N114" s="31">
        <v>112</v>
      </c>
      <c r="O114" s="32" t="s">
        <v>620</v>
      </c>
      <c r="P114" s="33" t="s">
        <v>57</v>
      </c>
      <c r="Q114" s="32" t="s">
        <v>32</v>
      </c>
      <c r="R114" s="69">
        <v>44258.798090277778</v>
      </c>
      <c r="S114" s="71">
        <v>44354</v>
      </c>
      <c r="T114" s="32" t="str">
        <f t="shared" si="5"/>
        <v>+85242510***</v>
      </c>
      <c r="U114" s="32" t="str">
        <f t="shared" ca="1" si="6"/>
        <v>jama***@jossmail.com</v>
      </c>
      <c r="V114" s="32">
        <f t="shared" si="7"/>
        <v>34</v>
      </c>
      <c r="W114" s="36">
        <f t="shared" si="8"/>
        <v>0.02</v>
      </c>
    </row>
    <row r="115" spans="4:23" ht="27" customHeight="1" x14ac:dyDescent="0.25">
      <c r="D115" s="14" t="s">
        <v>621</v>
      </c>
      <c r="E115" s="14" t="s">
        <v>622</v>
      </c>
      <c r="F115" s="84" t="s">
        <v>343</v>
      </c>
      <c r="G115" s="15" t="s">
        <v>68</v>
      </c>
      <c r="H115" s="16" t="s">
        <v>623</v>
      </c>
      <c r="I115" s="17"/>
      <c r="J115" s="17"/>
      <c r="K115" s="17"/>
      <c r="L115" s="17"/>
      <c r="N115" s="31">
        <v>113</v>
      </c>
      <c r="O115" s="32" t="s">
        <v>624</v>
      </c>
      <c r="P115" s="33" t="s">
        <v>31</v>
      </c>
      <c r="Q115" s="32" t="s">
        <v>32</v>
      </c>
      <c r="R115" s="69">
        <v>44258.796134259261</v>
      </c>
      <c r="S115" s="71">
        <v>44362</v>
      </c>
      <c r="T115" s="32" t="str">
        <f t="shared" si="5"/>
        <v>+0832-22774***</v>
      </c>
      <c r="U115" s="32" t="str">
        <f t="shared" ca="1" si="6"/>
        <v>port***@yuhuumail.com</v>
      </c>
      <c r="V115" s="32">
        <f t="shared" si="7"/>
        <v>34</v>
      </c>
      <c r="W115" s="36">
        <f t="shared" si="8"/>
        <v>0.02</v>
      </c>
    </row>
    <row r="116" spans="4:23" ht="27" customHeight="1" x14ac:dyDescent="0.25">
      <c r="D116" s="14" t="s">
        <v>625</v>
      </c>
      <c r="E116" s="14" t="s">
        <v>626</v>
      </c>
      <c r="F116" s="84" t="s">
        <v>627</v>
      </c>
      <c r="G116" s="15" t="s">
        <v>27</v>
      </c>
      <c r="H116" s="16" t="s">
        <v>628</v>
      </c>
      <c r="I116" s="17"/>
      <c r="J116" s="17"/>
      <c r="K116" s="17"/>
      <c r="L116" s="17"/>
      <c r="N116" s="31">
        <v>114</v>
      </c>
      <c r="O116" s="32" t="s">
        <v>629</v>
      </c>
      <c r="P116" s="33" t="s">
        <v>31</v>
      </c>
      <c r="Q116" s="32" t="s">
        <v>32</v>
      </c>
      <c r="R116" s="69">
        <v>44258.797662037039</v>
      </c>
      <c r="S116" s="71">
        <v>44352</v>
      </c>
      <c r="T116" s="32" t="str">
        <f t="shared" si="5"/>
        <v>+6282229837***</v>
      </c>
      <c r="U116" s="32" t="str">
        <f t="shared" ca="1" si="6"/>
        <v>jero***@yuhuumail.com</v>
      </c>
      <c r="V116" s="32">
        <f t="shared" si="7"/>
        <v>34</v>
      </c>
      <c r="W116" s="36">
        <f t="shared" si="8"/>
        <v>0.02</v>
      </c>
    </row>
    <row r="117" spans="4:23" ht="27" customHeight="1" x14ac:dyDescent="0.25">
      <c r="D117" s="14" t="s">
        <v>630</v>
      </c>
      <c r="E117" s="14" t="s">
        <v>631</v>
      </c>
      <c r="F117" s="84" t="s">
        <v>632</v>
      </c>
      <c r="G117" s="15" t="s">
        <v>68</v>
      </c>
      <c r="H117" s="16" t="s">
        <v>633</v>
      </c>
      <c r="I117" s="17"/>
      <c r="J117" s="17"/>
      <c r="K117" s="17"/>
      <c r="L117" s="17"/>
      <c r="N117" s="31">
        <v>115</v>
      </c>
      <c r="O117" s="32" t="s">
        <v>634</v>
      </c>
      <c r="P117" s="33" t="s">
        <v>31</v>
      </c>
      <c r="Q117" s="32" t="s">
        <v>32</v>
      </c>
      <c r="R117" s="69">
        <v>44258.80201388889</v>
      </c>
      <c r="S117" s="35">
        <v>44352</v>
      </c>
      <c r="T117" s="32" t="str">
        <f t="shared" si="5"/>
        <v>+081235262***</v>
      </c>
      <c r="U117" s="32" t="str">
        <f t="shared" ca="1" si="6"/>
        <v>joce***@jossmail.com</v>
      </c>
      <c r="V117" s="32">
        <f t="shared" si="7"/>
        <v>34</v>
      </c>
      <c r="W117" s="36">
        <f t="shared" si="8"/>
        <v>0.02</v>
      </c>
    </row>
    <row r="118" spans="4:23" ht="27" customHeight="1" x14ac:dyDescent="0.25">
      <c r="D118" s="14" t="s">
        <v>635</v>
      </c>
      <c r="E118" s="14" t="s">
        <v>636</v>
      </c>
      <c r="F118" s="84" t="s">
        <v>508</v>
      </c>
      <c r="G118" s="15" t="s">
        <v>68</v>
      </c>
      <c r="H118" s="16" t="s">
        <v>637</v>
      </c>
      <c r="I118" s="17"/>
      <c r="J118" s="17"/>
      <c r="K118" s="17"/>
      <c r="L118" s="17"/>
      <c r="N118" s="31">
        <v>116</v>
      </c>
      <c r="O118" s="32" t="s">
        <v>638</v>
      </c>
      <c r="P118" s="33" t="s">
        <v>31</v>
      </c>
      <c r="Q118" s="32" t="s">
        <v>32</v>
      </c>
      <c r="R118" s="69">
        <v>43752.054490740738</v>
      </c>
      <c r="S118" s="35">
        <v>44352</v>
      </c>
      <c r="T118" s="32" t="str">
        <f t="shared" si="5"/>
        <v>+83265605***</v>
      </c>
      <c r="U118" s="32" t="str">
        <f t="shared" ca="1" si="6"/>
        <v>samu***@jossmail.com</v>
      </c>
      <c r="V118" s="32">
        <f t="shared" si="7"/>
        <v>33</v>
      </c>
      <c r="W118" s="36">
        <f t="shared" si="8"/>
        <v>3.5000000000000003E-2</v>
      </c>
    </row>
    <row r="119" spans="4:23" ht="27" customHeight="1" x14ac:dyDescent="0.25">
      <c r="D119" s="14" t="s">
        <v>639</v>
      </c>
      <c r="E119" s="14" t="s">
        <v>640</v>
      </c>
      <c r="F119" s="84" t="s">
        <v>499</v>
      </c>
      <c r="G119" s="15" t="s">
        <v>68</v>
      </c>
      <c r="H119" s="16" t="s">
        <v>641</v>
      </c>
      <c r="I119" s="17"/>
      <c r="J119" s="17"/>
      <c r="K119" s="17"/>
      <c r="L119" s="17"/>
      <c r="N119" s="31">
        <v>117</v>
      </c>
      <c r="O119" s="32" t="s">
        <v>642</v>
      </c>
      <c r="P119" s="33" t="s">
        <v>31</v>
      </c>
      <c r="Q119" s="32" t="s">
        <v>32</v>
      </c>
      <c r="R119" s="69">
        <v>44106.800300925926</v>
      </c>
      <c r="S119" s="35">
        <v>44356</v>
      </c>
      <c r="T119" s="32" t="str">
        <f t="shared" si="5"/>
        <v>+0852-22150***</v>
      </c>
      <c r="U119" s="32" t="str">
        <f t="shared" ca="1" si="6"/>
        <v>bill***@jossmail.com</v>
      </c>
      <c r="V119" s="32">
        <f t="shared" si="7"/>
        <v>33</v>
      </c>
      <c r="W119" s="36">
        <f t="shared" si="8"/>
        <v>0.02</v>
      </c>
    </row>
    <row r="120" spans="4:23" ht="27" customHeight="1" x14ac:dyDescent="0.25">
      <c r="D120" s="14" t="s">
        <v>643</v>
      </c>
      <c r="E120" s="14" t="s">
        <v>644</v>
      </c>
      <c r="F120" s="84" t="s">
        <v>211</v>
      </c>
      <c r="G120" s="15" t="s">
        <v>27</v>
      </c>
      <c r="H120" s="16" t="s">
        <v>645</v>
      </c>
      <c r="I120" s="17"/>
      <c r="J120" s="17"/>
      <c r="K120" s="17"/>
      <c r="L120" s="17"/>
      <c r="N120" s="31">
        <v>118</v>
      </c>
      <c r="O120" s="32" t="s">
        <v>646</v>
      </c>
      <c r="P120" s="33" t="s">
        <v>57</v>
      </c>
      <c r="Q120" s="32" t="s">
        <v>32</v>
      </c>
      <c r="R120" s="69">
        <v>43900.422060185185</v>
      </c>
      <c r="S120" s="35">
        <v>44354</v>
      </c>
      <c r="T120" s="32" t="str">
        <f t="shared" si="5"/>
        <v>+0822-16397***</v>
      </c>
      <c r="U120" s="32" t="str">
        <f t="shared" ca="1" si="6"/>
        <v>kayl***@yuhuumail.com</v>
      </c>
      <c r="V120" s="32">
        <f t="shared" si="7"/>
        <v>33</v>
      </c>
      <c r="W120" s="36">
        <f t="shared" si="8"/>
        <v>3.5000000000000003E-2</v>
      </c>
    </row>
    <row r="121" spans="4:23" ht="27" customHeight="1" x14ac:dyDescent="0.25">
      <c r="D121" s="14" t="s">
        <v>647</v>
      </c>
      <c r="E121" s="14" t="s">
        <v>648</v>
      </c>
      <c r="F121" s="84" t="s">
        <v>359</v>
      </c>
      <c r="G121" s="15" t="s">
        <v>27</v>
      </c>
      <c r="H121" s="16" t="s">
        <v>649</v>
      </c>
      <c r="I121" s="17"/>
      <c r="J121" s="17"/>
      <c r="K121" s="17"/>
      <c r="L121" s="17"/>
      <c r="N121" s="31">
        <v>119</v>
      </c>
      <c r="O121" s="32" t="s">
        <v>650</v>
      </c>
      <c r="P121" s="33" t="s">
        <v>42</v>
      </c>
      <c r="Q121" s="32" t="s">
        <v>32</v>
      </c>
      <c r="R121" s="69">
        <v>44258.806828703702</v>
      </c>
      <c r="S121" s="35">
        <v>44354</v>
      </c>
      <c r="T121" s="32" t="str">
        <f t="shared" si="5"/>
        <v>+0842-77503***</v>
      </c>
      <c r="U121" s="32" t="str">
        <f t="shared" ca="1" si="6"/>
        <v>gene***@jossmail.com</v>
      </c>
      <c r="V121" s="32">
        <f t="shared" si="7"/>
        <v>34</v>
      </c>
      <c r="W121" s="36">
        <f t="shared" si="8"/>
        <v>0.02</v>
      </c>
    </row>
    <row r="122" spans="4:23" ht="27" customHeight="1" x14ac:dyDescent="0.25">
      <c r="D122" s="14" t="s">
        <v>651</v>
      </c>
      <c r="E122" s="14" t="s">
        <v>652</v>
      </c>
      <c r="F122" s="84" t="s">
        <v>653</v>
      </c>
      <c r="G122" s="15" t="s">
        <v>68</v>
      </c>
      <c r="H122" s="16" t="s">
        <v>654</v>
      </c>
      <c r="I122" s="17"/>
      <c r="J122" s="17"/>
      <c r="K122" s="17"/>
      <c r="L122" s="17"/>
      <c r="N122" s="31">
        <v>120</v>
      </c>
      <c r="O122" s="32" t="s">
        <v>655</v>
      </c>
      <c r="P122" s="33" t="s">
        <v>57</v>
      </c>
      <c r="Q122" s="32" t="s">
        <v>32</v>
      </c>
      <c r="R122" s="69">
        <v>43858.938379629632</v>
      </c>
      <c r="S122" s="35">
        <v>44318</v>
      </c>
      <c r="T122" s="32" t="str">
        <f t="shared" si="5"/>
        <v>+6285283318***</v>
      </c>
      <c r="U122" s="32" t="str">
        <f t="shared" ca="1" si="6"/>
        <v>quen***@yuhuumail.com</v>
      </c>
      <c r="V122" s="32">
        <f t="shared" si="7"/>
        <v>33</v>
      </c>
      <c r="W122" s="36">
        <f t="shared" si="8"/>
        <v>3.5000000000000003E-2</v>
      </c>
    </row>
    <row r="123" spans="4:23" ht="27" customHeight="1" x14ac:dyDescent="0.25">
      <c r="D123" s="14" t="s">
        <v>656</v>
      </c>
      <c r="E123" s="14" t="s">
        <v>657</v>
      </c>
      <c r="F123" s="84" t="s">
        <v>211</v>
      </c>
      <c r="G123" s="15" t="s">
        <v>27</v>
      </c>
      <c r="H123" s="16" t="s">
        <v>658</v>
      </c>
      <c r="I123" s="17"/>
      <c r="J123" s="17"/>
      <c r="K123" s="17"/>
      <c r="L123" s="17"/>
      <c r="N123" s="31">
        <v>121</v>
      </c>
      <c r="O123" s="32" t="s">
        <v>659</v>
      </c>
      <c r="P123" s="33" t="s">
        <v>57</v>
      </c>
      <c r="Q123" s="32" t="s">
        <v>32</v>
      </c>
      <c r="R123" s="69">
        <v>44258.748078703706</v>
      </c>
      <c r="S123" s="35">
        <v>44362</v>
      </c>
      <c r="T123" s="32" t="str">
        <f t="shared" si="5"/>
        <v>+0852 38686***</v>
      </c>
      <c r="U123" s="32" t="str">
        <f t="shared" ca="1" si="6"/>
        <v>lili***@yuhuumail.com</v>
      </c>
      <c r="V123" s="32">
        <f t="shared" si="7"/>
        <v>34</v>
      </c>
      <c r="W123" s="36">
        <f t="shared" si="8"/>
        <v>0.02</v>
      </c>
    </row>
    <row r="124" spans="4:23" ht="27" customHeight="1" x14ac:dyDescent="0.25">
      <c r="D124" s="14" t="s">
        <v>660</v>
      </c>
      <c r="E124" s="14" t="s">
        <v>661</v>
      </c>
      <c r="F124" s="84" t="s">
        <v>602</v>
      </c>
      <c r="G124" s="15" t="s">
        <v>27</v>
      </c>
      <c r="H124" s="16" t="s">
        <v>662</v>
      </c>
      <c r="I124" s="17"/>
      <c r="J124" s="17"/>
      <c r="K124" s="17"/>
      <c r="L124" s="17"/>
      <c r="N124" s="31">
        <v>122</v>
      </c>
      <c r="O124" s="32" t="s">
        <v>663</v>
      </c>
      <c r="P124" s="33" t="s">
        <v>57</v>
      </c>
      <c r="Q124" s="32" t="s">
        <v>32</v>
      </c>
      <c r="R124" s="69">
        <v>44258.815057870372</v>
      </c>
      <c r="S124" s="35">
        <v>44362</v>
      </c>
      <c r="T124" s="32" t="str">
        <f t="shared" si="5"/>
        <v>+0842 69187***</v>
      </c>
      <c r="U124" s="32" t="str">
        <f t="shared" ca="1" si="6"/>
        <v>osca***@yuhuumail.com</v>
      </c>
      <c r="V124" s="32">
        <f t="shared" si="7"/>
        <v>34</v>
      </c>
      <c r="W124" s="36">
        <f t="shared" si="8"/>
        <v>0.02</v>
      </c>
    </row>
    <row r="125" spans="4:23" ht="27" customHeight="1" x14ac:dyDescent="0.25">
      <c r="D125" s="14" t="s">
        <v>664</v>
      </c>
      <c r="E125" s="14" t="s">
        <v>665</v>
      </c>
      <c r="F125" s="84" t="s">
        <v>183</v>
      </c>
      <c r="G125" s="15" t="s">
        <v>68</v>
      </c>
      <c r="H125" s="16" t="s">
        <v>666</v>
      </c>
      <c r="I125" s="17"/>
      <c r="J125" s="17"/>
      <c r="K125" s="17"/>
      <c r="L125" s="17"/>
      <c r="N125" s="31">
        <v>123</v>
      </c>
      <c r="O125" s="32" t="s">
        <v>667</v>
      </c>
      <c r="P125" s="33" t="s">
        <v>31</v>
      </c>
      <c r="Q125" s="32" t="s">
        <v>32</v>
      </c>
      <c r="R125" s="69">
        <v>43604.467268518521</v>
      </c>
      <c r="S125" s="35">
        <v>44359</v>
      </c>
      <c r="T125" s="32" t="str">
        <f t="shared" si="5"/>
        <v>+84282403***</v>
      </c>
      <c r="U125" s="32" t="str">
        <f t="shared" ca="1" si="6"/>
        <v>dari***@jossmail.com</v>
      </c>
      <c r="V125" s="32">
        <f t="shared" si="7"/>
        <v>32</v>
      </c>
      <c r="W125" s="36">
        <f t="shared" si="8"/>
        <v>3.5000000000000003E-2</v>
      </c>
    </row>
    <row r="126" spans="4:23" ht="27" customHeight="1" x14ac:dyDescent="0.25">
      <c r="D126" s="14" t="s">
        <v>668</v>
      </c>
      <c r="E126" s="14" t="s">
        <v>669</v>
      </c>
      <c r="F126" s="84" t="s">
        <v>670</v>
      </c>
      <c r="G126" s="15" t="s">
        <v>27</v>
      </c>
      <c r="H126" s="16" t="s">
        <v>671</v>
      </c>
      <c r="I126" s="17"/>
      <c r="J126" s="17"/>
      <c r="K126" s="17"/>
      <c r="L126" s="17"/>
      <c r="N126" s="31">
        <v>124</v>
      </c>
      <c r="O126" s="32" t="s">
        <v>631</v>
      </c>
      <c r="P126" s="33" t="s">
        <v>31</v>
      </c>
      <c r="Q126" s="32" t="s">
        <v>32</v>
      </c>
      <c r="R126" s="69">
        <v>44258.813472222224</v>
      </c>
      <c r="S126" s="35">
        <v>44318</v>
      </c>
      <c r="T126" s="32" t="str">
        <f t="shared" si="5"/>
        <v>+0852-57296***</v>
      </c>
      <c r="U126" s="32" t="str">
        <f t="shared" ca="1" si="6"/>
        <v>myap***@yuhuumail.com</v>
      </c>
      <c r="V126" s="32">
        <f t="shared" si="7"/>
        <v>34</v>
      </c>
      <c r="W126" s="36">
        <f t="shared" si="8"/>
        <v>0.02</v>
      </c>
    </row>
    <row r="127" spans="4:23" ht="27" customHeight="1" x14ac:dyDescent="0.25">
      <c r="D127" s="14" t="s">
        <v>672</v>
      </c>
      <c r="E127" s="14" t="s">
        <v>673</v>
      </c>
      <c r="F127" s="84" t="s">
        <v>674</v>
      </c>
      <c r="G127" s="15" t="s">
        <v>27</v>
      </c>
      <c r="H127" s="16" t="s">
        <v>675</v>
      </c>
      <c r="I127" s="17"/>
      <c r="J127" s="17"/>
      <c r="K127" s="17"/>
      <c r="L127" s="17"/>
      <c r="N127" s="31">
        <v>125</v>
      </c>
      <c r="O127" s="32" t="s">
        <v>676</v>
      </c>
      <c r="P127" s="33" t="s">
        <v>31</v>
      </c>
      <c r="Q127" s="32" t="s">
        <v>32</v>
      </c>
      <c r="R127" s="69">
        <v>44258.81726851852</v>
      </c>
      <c r="S127" s="35">
        <v>44354</v>
      </c>
      <c r="T127" s="32" t="str">
        <f t="shared" si="5"/>
        <v>+81291896***</v>
      </c>
      <c r="U127" s="32" t="str">
        <f t="shared" ca="1" si="6"/>
        <v>fran***@jossmail.com</v>
      </c>
      <c r="V127" s="32">
        <f t="shared" si="7"/>
        <v>34</v>
      </c>
      <c r="W127" s="36">
        <f t="shared" si="8"/>
        <v>0.02</v>
      </c>
    </row>
    <row r="128" spans="4:23" ht="27" customHeight="1" x14ac:dyDescent="0.25">
      <c r="D128" s="14" t="s">
        <v>677</v>
      </c>
      <c r="E128" s="14" t="s">
        <v>678</v>
      </c>
      <c r="F128" s="84" t="s">
        <v>149</v>
      </c>
      <c r="G128" s="15" t="s">
        <v>27</v>
      </c>
      <c r="H128" s="16" t="s">
        <v>679</v>
      </c>
      <c r="I128" s="17"/>
      <c r="J128" s="17"/>
      <c r="K128" s="17"/>
      <c r="L128" s="17"/>
      <c r="N128" s="31">
        <v>126</v>
      </c>
      <c r="O128" s="32" t="s">
        <v>680</v>
      </c>
      <c r="P128" s="33" t="s">
        <v>31</v>
      </c>
      <c r="Q128" s="32" t="s">
        <v>32</v>
      </c>
      <c r="R128" s="69">
        <v>43361.667141203703</v>
      </c>
      <c r="S128" s="35">
        <v>44353</v>
      </c>
      <c r="T128" s="32" t="str">
        <f t="shared" si="5"/>
        <v>+083213252***</v>
      </c>
      <c r="U128" s="32" t="str">
        <f t="shared" ca="1" si="6"/>
        <v>hunt***@yuhuumail.com</v>
      </c>
      <c r="V128" s="32">
        <f t="shared" si="7"/>
        <v>30</v>
      </c>
      <c r="W128" s="36">
        <f t="shared" si="8"/>
        <v>3.5000000000000003E-2</v>
      </c>
    </row>
    <row r="129" spans="4:23" ht="27" customHeight="1" x14ac:dyDescent="0.25">
      <c r="D129" s="14" t="s">
        <v>681</v>
      </c>
      <c r="E129" s="14" t="s">
        <v>682</v>
      </c>
      <c r="F129" s="84" t="s">
        <v>422</v>
      </c>
      <c r="G129" s="15" t="s">
        <v>27</v>
      </c>
      <c r="H129" s="16" t="s">
        <v>683</v>
      </c>
      <c r="I129" s="17"/>
      <c r="J129" s="17"/>
      <c r="K129" s="17"/>
      <c r="L129" s="17"/>
      <c r="N129" s="31">
        <v>127</v>
      </c>
      <c r="O129" s="32" t="s">
        <v>684</v>
      </c>
      <c r="P129" s="33" t="s">
        <v>42</v>
      </c>
      <c r="Q129" s="32" t="s">
        <v>32</v>
      </c>
      <c r="R129" s="69">
        <v>44258.815648148149</v>
      </c>
      <c r="S129" s="35">
        <v>44318</v>
      </c>
      <c r="T129" s="32" t="str">
        <f t="shared" si="5"/>
        <v>+6283224769***</v>
      </c>
      <c r="U129" s="32" t="str">
        <f t="shared" ca="1" si="6"/>
        <v>ally***@yuhuumail.com</v>
      </c>
      <c r="V129" s="32">
        <f t="shared" si="7"/>
        <v>33</v>
      </c>
      <c r="W129" s="36">
        <f t="shared" si="8"/>
        <v>0.02</v>
      </c>
    </row>
    <row r="130" spans="4:23" ht="27" customHeight="1" x14ac:dyDescent="0.25">
      <c r="D130" s="14" t="s">
        <v>685</v>
      </c>
      <c r="E130" s="14" t="s">
        <v>686</v>
      </c>
      <c r="F130" s="84" t="s">
        <v>480</v>
      </c>
      <c r="G130" s="15" t="s">
        <v>27</v>
      </c>
      <c r="H130" s="16" t="s">
        <v>687</v>
      </c>
      <c r="I130" s="17"/>
      <c r="J130" s="17"/>
      <c r="K130" s="17"/>
      <c r="L130" s="17"/>
      <c r="N130" s="31">
        <v>128</v>
      </c>
      <c r="O130" s="32" t="s">
        <v>688</v>
      </c>
      <c r="P130" s="33" t="s">
        <v>31</v>
      </c>
      <c r="Q130" s="32" t="s">
        <v>32</v>
      </c>
      <c r="R130" s="69">
        <v>44258.817777777775</v>
      </c>
      <c r="S130" s="35">
        <v>44359</v>
      </c>
      <c r="T130" s="32" t="str">
        <f t="shared" si="5"/>
        <v>+85266694***</v>
      </c>
      <c r="U130" s="32" t="str">
        <f t="shared" ca="1" si="6"/>
        <v>maxi***@jossmail.com</v>
      </c>
      <c r="V130" s="32">
        <f t="shared" si="7"/>
        <v>33</v>
      </c>
      <c r="W130" s="36">
        <f t="shared" si="8"/>
        <v>0.02</v>
      </c>
    </row>
    <row r="131" spans="4:23" ht="27" customHeight="1" x14ac:dyDescent="0.25">
      <c r="D131" s="14" t="s">
        <v>689</v>
      </c>
      <c r="E131" s="14" t="s">
        <v>690</v>
      </c>
      <c r="F131" s="84" t="s">
        <v>302</v>
      </c>
      <c r="G131" s="15" t="s">
        <v>27</v>
      </c>
      <c r="H131" s="16" t="s">
        <v>691</v>
      </c>
      <c r="I131" s="17"/>
      <c r="J131" s="17"/>
      <c r="K131" s="17"/>
      <c r="L131" s="17"/>
      <c r="N131" s="31">
        <v>129</v>
      </c>
      <c r="O131" s="32" t="s">
        <v>692</v>
      </c>
      <c r="P131" s="33" t="s">
        <v>31</v>
      </c>
      <c r="Q131" s="32" t="s">
        <v>32</v>
      </c>
      <c r="R131" s="69">
        <v>44258.821053240739</v>
      </c>
      <c r="S131" s="71">
        <v>44356</v>
      </c>
      <c r="T131" s="32" t="str">
        <f t="shared" si="5"/>
        <v>+6283279576***</v>
      </c>
      <c r="U131" s="32" t="str">
        <f t="shared" ca="1" si="6"/>
        <v>gabr***@jossmail.com</v>
      </c>
      <c r="V131" s="32">
        <f t="shared" si="7"/>
        <v>33</v>
      </c>
      <c r="W131" s="36">
        <f t="shared" si="8"/>
        <v>0.02</v>
      </c>
    </row>
    <row r="132" spans="4:23" ht="27" customHeight="1" x14ac:dyDescent="0.25">
      <c r="D132" s="14" t="s">
        <v>693</v>
      </c>
      <c r="E132" s="14" t="s">
        <v>694</v>
      </c>
      <c r="F132" s="84" t="s">
        <v>51</v>
      </c>
      <c r="G132" s="15" t="s">
        <v>27</v>
      </c>
      <c r="H132" s="16" t="s">
        <v>695</v>
      </c>
      <c r="I132" s="17"/>
      <c r="J132" s="17"/>
      <c r="K132" s="17"/>
      <c r="L132" s="17"/>
      <c r="N132" s="31">
        <v>130</v>
      </c>
      <c r="O132" s="32" t="s">
        <v>550</v>
      </c>
      <c r="P132" s="33" t="s">
        <v>42</v>
      </c>
      <c r="Q132" s="32" t="s">
        <v>32</v>
      </c>
      <c r="R132" s="69">
        <v>44258.811701388891</v>
      </c>
      <c r="S132" s="71">
        <v>44352</v>
      </c>
      <c r="T132" s="32" t="str">
        <f t="shared" si="5"/>
        <v>+0832-91801***</v>
      </c>
      <c r="U132" s="32" t="str">
        <f t="shared" ca="1" si="6"/>
        <v>kael***@jossmail.com</v>
      </c>
      <c r="V132" s="32">
        <f t="shared" si="7"/>
        <v>33</v>
      </c>
      <c r="W132" s="36">
        <f t="shared" si="8"/>
        <v>0.02</v>
      </c>
    </row>
    <row r="133" spans="4:23" ht="27" customHeight="1" x14ac:dyDescent="0.25">
      <c r="D133" s="14" t="s">
        <v>696</v>
      </c>
      <c r="E133" s="14" t="s">
        <v>697</v>
      </c>
      <c r="F133" s="84" t="s">
        <v>627</v>
      </c>
      <c r="G133" s="15" t="s">
        <v>27</v>
      </c>
      <c r="H133" s="16" t="s">
        <v>698</v>
      </c>
      <c r="I133" s="17"/>
      <c r="J133" s="17"/>
      <c r="K133" s="17"/>
      <c r="L133" s="17"/>
      <c r="N133" s="31">
        <v>131</v>
      </c>
      <c r="O133" s="32" t="s">
        <v>699</v>
      </c>
      <c r="P133" s="33" t="s">
        <v>42</v>
      </c>
      <c r="Q133" s="32" t="s">
        <v>32</v>
      </c>
      <c r="R133" s="69">
        <v>44258.820208333331</v>
      </c>
      <c r="S133" s="71">
        <v>44354</v>
      </c>
      <c r="T133" s="32" t="str">
        <f t="shared" ref="T133:T196" si="9">"+"&amp;_xlfn.XLOOKUP($O133, $E$2:$E$3002, $H$2:$H$3002, "Not Found")</f>
        <v>+084228326***</v>
      </c>
      <c r="U133" s="32" t="str">
        <f t="shared" ref="U133:U196" ca="1" si="10" xml:space="preserve"> LOWER(LEFT(_xlfn.XLOOKUP($O133, $E$2:$E$3002, $D$2:$D$3002), 4))
  &amp; "***@"
  &amp; IF(RAND()&gt;0.5, "jossmail.com", "yuhuumail.com")</f>
        <v>chri***@jossmail.com</v>
      </c>
      <c r="V133" s="32">
        <f t="shared" ref="V133:V196" si="11">DATEDIF(_xlfn.XLOOKUP($O133, $E$2:$E$3002, $F$2:$F$3002), $R133, "Y")</f>
        <v>33</v>
      </c>
      <c r="W133" s="36">
        <f t="shared" ref="W133:W196" si="12">IF(DATEDIF($R133, $S133, "Y") &gt;= 3, 0.025,
   IF(DATEDIF($R133, $S133, "Y") &gt;= 1, 0.015, 0)) +
 IF($V133 &gt;= 50, 0.04,
   IF($V133 &gt;= 40, 0.03,
     IF($V133 &gt;= 30, 0.02,
       IF($V133 &gt;= 20, 0.05, 0))))</f>
        <v>0.02</v>
      </c>
    </row>
    <row r="134" spans="4:23" ht="27" customHeight="1" x14ac:dyDescent="0.25">
      <c r="D134" s="14" t="s">
        <v>700</v>
      </c>
      <c r="E134" s="14" t="s">
        <v>701</v>
      </c>
      <c r="F134" s="84" t="s">
        <v>321</v>
      </c>
      <c r="G134" s="15" t="s">
        <v>68</v>
      </c>
      <c r="H134" s="16" t="s">
        <v>702</v>
      </c>
      <c r="I134" s="17"/>
      <c r="J134" s="17"/>
      <c r="K134" s="17"/>
      <c r="L134" s="17"/>
      <c r="N134" s="31">
        <v>132</v>
      </c>
      <c r="O134" s="32" t="s">
        <v>703</v>
      </c>
      <c r="P134" s="33" t="s">
        <v>57</v>
      </c>
      <c r="Q134" s="32" t="s">
        <v>32</v>
      </c>
      <c r="R134" s="69">
        <v>44258.825358796297</v>
      </c>
      <c r="S134" s="71">
        <v>44318</v>
      </c>
      <c r="T134" s="32" t="str">
        <f t="shared" si="9"/>
        <v>+0842-58814***</v>
      </c>
      <c r="U134" s="32" t="str">
        <f t="shared" ca="1" si="10"/>
        <v>rebe***@jossmail.com</v>
      </c>
      <c r="V134" s="32">
        <f t="shared" si="11"/>
        <v>33</v>
      </c>
      <c r="W134" s="36">
        <f t="shared" si="12"/>
        <v>0.02</v>
      </c>
    </row>
    <row r="135" spans="4:23" ht="27" customHeight="1" x14ac:dyDescent="0.25">
      <c r="D135" s="14" t="s">
        <v>704</v>
      </c>
      <c r="E135" s="14" t="s">
        <v>705</v>
      </c>
      <c r="F135" s="84" t="s">
        <v>159</v>
      </c>
      <c r="G135" s="15" t="s">
        <v>68</v>
      </c>
      <c r="H135" s="16" t="s">
        <v>706</v>
      </c>
      <c r="I135" s="17"/>
      <c r="J135" s="17"/>
      <c r="K135" s="17"/>
      <c r="L135" s="17"/>
      <c r="N135" s="31">
        <v>133</v>
      </c>
      <c r="O135" s="32" t="s">
        <v>707</v>
      </c>
      <c r="P135" s="33" t="s">
        <v>42</v>
      </c>
      <c r="Q135" s="32" t="s">
        <v>32</v>
      </c>
      <c r="R135" s="69">
        <v>43656.268368055556</v>
      </c>
      <c r="S135" s="71">
        <v>44354</v>
      </c>
      <c r="T135" s="32" t="str">
        <f t="shared" si="9"/>
        <v>+0832-20215***</v>
      </c>
      <c r="U135" s="32" t="str">
        <f t="shared" ca="1" si="10"/>
        <v>sier***@yuhuumail.com</v>
      </c>
      <c r="V135" s="32">
        <f t="shared" si="11"/>
        <v>31</v>
      </c>
      <c r="W135" s="36">
        <f t="shared" si="12"/>
        <v>3.5000000000000003E-2</v>
      </c>
    </row>
    <row r="136" spans="4:23" ht="27" customHeight="1" x14ac:dyDescent="0.25">
      <c r="D136" s="14" t="s">
        <v>708</v>
      </c>
      <c r="E136" s="14" t="s">
        <v>709</v>
      </c>
      <c r="F136" s="84" t="s">
        <v>710</v>
      </c>
      <c r="G136" s="15" t="s">
        <v>27</v>
      </c>
      <c r="H136" s="16" t="s">
        <v>711</v>
      </c>
      <c r="I136" s="17"/>
      <c r="J136" s="17"/>
      <c r="K136" s="17"/>
      <c r="L136" s="17"/>
      <c r="N136" s="31">
        <v>134</v>
      </c>
      <c r="O136" s="32" t="s">
        <v>712</v>
      </c>
      <c r="P136" s="33" t="s">
        <v>31</v>
      </c>
      <c r="Q136" s="32" t="s">
        <v>32</v>
      </c>
      <c r="R136" s="69">
        <v>44258.831365740742</v>
      </c>
      <c r="S136" s="71">
        <v>44320</v>
      </c>
      <c r="T136" s="32" t="str">
        <f t="shared" si="9"/>
        <v>+6285258351***</v>
      </c>
      <c r="U136" s="32" t="str">
        <f t="shared" ca="1" si="10"/>
        <v>kyle***@yuhuumail.com</v>
      </c>
      <c r="V136" s="32">
        <f t="shared" si="11"/>
        <v>33</v>
      </c>
      <c r="W136" s="36">
        <f t="shared" si="12"/>
        <v>0.02</v>
      </c>
    </row>
    <row r="137" spans="4:23" ht="27" customHeight="1" x14ac:dyDescent="0.25">
      <c r="D137" s="14" t="s">
        <v>713</v>
      </c>
      <c r="E137" s="14" t="s">
        <v>714</v>
      </c>
      <c r="F137" s="84" t="s">
        <v>715</v>
      </c>
      <c r="G137" s="15" t="s">
        <v>27</v>
      </c>
      <c r="H137" s="16" t="s">
        <v>716</v>
      </c>
      <c r="I137" s="17"/>
      <c r="J137" s="17"/>
      <c r="K137" s="17"/>
      <c r="L137" s="17"/>
      <c r="N137" s="31">
        <v>135</v>
      </c>
      <c r="O137" s="32" t="s">
        <v>284</v>
      </c>
      <c r="P137" s="33" t="s">
        <v>31</v>
      </c>
      <c r="Q137" s="32" t="s">
        <v>32</v>
      </c>
      <c r="R137" s="69">
        <v>44258.827106481483</v>
      </c>
      <c r="S137" s="71">
        <v>44357</v>
      </c>
      <c r="T137" s="32" t="str">
        <f t="shared" si="9"/>
        <v>+0832 52154***</v>
      </c>
      <c r="U137" s="32" t="str">
        <f t="shared" ca="1" si="10"/>
        <v>luna***@yuhuumail.com</v>
      </c>
      <c r="V137" s="32">
        <f t="shared" si="11"/>
        <v>33</v>
      </c>
      <c r="W137" s="36">
        <f t="shared" si="12"/>
        <v>0.02</v>
      </c>
    </row>
    <row r="138" spans="4:23" ht="27" customHeight="1" x14ac:dyDescent="0.25">
      <c r="D138" s="14" t="s">
        <v>717</v>
      </c>
      <c r="E138" s="14" t="s">
        <v>718</v>
      </c>
      <c r="F138" s="84" t="s">
        <v>719</v>
      </c>
      <c r="G138" s="15" t="s">
        <v>27</v>
      </c>
      <c r="H138" s="16" t="s">
        <v>720</v>
      </c>
      <c r="I138" s="17"/>
      <c r="J138" s="17"/>
      <c r="K138" s="17"/>
      <c r="L138" s="17"/>
      <c r="N138" s="31">
        <v>136</v>
      </c>
      <c r="O138" s="32" t="s">
        <v>721</v>
      </c>
      <c r="P138" s="33" t="s">
        <v>31</v>
      </c>
      <c r="Q138" s="32" t="s">
        <v>32</v>
      </c>
      <c r="R138" s="69">
        <v>44258.829421296294</v>
      </c>
      <c r="S138" s="71">
        <v>44352</v>
      </c>
      <c r="T138" s="32" t="str">
        <f t="shared" si="9"/>
        <v>+0812-16036***</v>
      </c>
      <c r="U138" s="32" t="str">
        <f t="shared" ca="1" si="10"/>
        <v>benj***@yuhuumail.com</v>
      </c>
      <c r="V138" s="32">
        <f t="shared" si="11"/>
        <v>33</v>
      </c>
      <c r="W138" s="36">
        <f t="shared" si="12"/>
        <v>0.02</v>
      </c>
    </row>
    <row r="139" spans="4:23" ht="27" customHeight="1" x14ac:dyDescent="0.25">
      <c r="D139" s="14" t="s">
        <v>722</v>
      </c>
      <c r="E139" s="14" t="s">
        <v>723</v>
      </c>
      <c r="F139" s="84" t="s">
        <v>302</v>
      </c>
      <c r="G139" s="15" t="s">
        <v>68</v>
      </c>
      <c r="H139" s="16" t="s">
        <v>724</v>
      </c>
      <c r="I139" s="17"/>
      <c r="J139" s="17"/>
      <c r="K139" s="17"/>
      <c r="L139" s="17"/>
      <c r="N139" s="31">
        <v>137</v>
      </c>
      <c r="O139" s="32" t="s">
        <v>725</v>
      </c>
      <c r="P139" s="33" t="s">
        <v>42</v>
      </c>
      <c r="Q139" s="32" t="s">
        <v>32</v>
      </c>
      <c r="R139" s="69">
        <v>44258.830995370372</v>
      </c>
      <c r="S139" s="71">
        <v>44352</v>
      </c>
      <c r="T139" s="32" t="str">
        <f t="shared" si="9"/>
        <v>+6283261147***</v>
      </c>
      <c r="U139" s="32" t="str">
        <f t="shared" ca="1" si="10"/>
        <v>iris***@jossmail.com</v>
      </c>
      <c r="V139" s="32">
        <f t="shared" si="11"/>
        <v>33</v>
      </c>
      <c r="W139" s="36">
        <f t="shared" si="12"/>
        <v>0.02</v>
      </c>
    </row>
    <row r="140" spans="4:23" ht="27" customHeight="1" x14ac:dyDescent="0.25">
      <c r="D140" s="14" t="s">
        <v>726</v>
      </c>
      <c r="E140" s="14" t="s">
        <v>727</v>
      </c>
      <c r="F140" s="84" t="s">
        <v>233</v>
      </c>
      <c r="G140" s="15" t="s">
        <v>27</v>
      </c>
      <c r="H140" s="16" t="s">
        <v>728</v>
      </c>
      <c r="I140" s="17"/>
      <c r="J140" s="17"/>
      <c r="K140" s="17"/>
      <c r="L140" s="17"/>
      <c r="N140" s="31">
        <v>138</v>
      </c>
      <c r="O140" s="32" t="s">
        <v>729</v>
      </c>
      <c r="P140" s="33" t="s">
        <v>42</v>
      </c>
      <c r="Q140" s="32" t="s">
        <v>32</v>
      </c>
      <c r="R140" s="69">
        <v>44258.834548611114</v>
      </c>
      <c r="S140" s="71">
        <v>44318</v>
      </c>
      <c r="T140" s="32" t="str">
        <f t="shared" si="9"/>
        <v>+84282843***</v>
      </c>
      <c r="U140" s="32" t="str">
        <f t="shared" ca="1" si="10"/>
        <v>ruby***@jossmail.com</v>
      </c>
      <c r="V140" s="32">
        <f t="shared" si="11"/>
        <v>33</v>
      </c>
      <c r="W140" s="36">
        <f t="shared" si="12"/>
        <v>0.02</v>
      </c>
    </row>
    <row r="141" spans="4:23" ht="27" customHeight="1" x14ac:dyDescent="0.25">
      <c r="D141" s="14" t="s">
        <v>730</v>
      </c>
      <c r="E141" s="14" t="s">
        <v>731</v>
      </c>
      <c r="F141" s="84" t="s">
        <v>129</v>
      </c>
      <c r="G141" s="15" t="s">
        <v>68</v>
      </c>
      <c r="H141" s="16" t="s">
        <v>732</v>
      </c>
      <c r="I141" s="17"/>
      <c r="J141" s="17"/>
      <c r="K141" s="17"/>
      <c r="L141" s="17"/>
      <c r="N141" s="31">
        <v>139</v>
      </c>
      <c r="O141" s="32" t="s">
        <v>733</v>
      </c>
      <c r="P141" s="33" t="s">
        <v>57</v>
      </c>
      <c r="Q141" s="32" t="s">
        <v>32</v>
      </c>
      <c r="R141" s="69">
        <v>44232.607129629629</v>
      </c>
      <c r="S141" s="71">
        <v>44354</v>
      </c>
      <c r="T141" s="32" t="str">
        <f t="shared" si="9"/>
        <v>+6282255853***</v>
      </c>
      <c r="U141" s="32" t="str">
        <f t="shared" ca="1" si="10"/>
        <v>rona***@jossmail.com</v>
      </c>
      <c r="V141" s="32">
        <f t="shared" si="11"/>
        <v>33</v>
      </c>
      <c r="W141" s="36">
        <f t="shared" si="12"/>
        <v>0.02</v>
      </c>
    </row>
    <row r="142" spans="4:23" ht="27" customHeight="1" x14ac:dyDescent="0.25">
      <c r="D142" s="14" t="s">
        <v>734</v>
      </c>
      <c r="E142" s="14" t="s">
        <v>82</v>
      </c>
      <c r="F142" s="84" t="s">
        <v>164</v>
      </c>
      <c r="G142" s="15" t="s">
        <v>27</v>
      </c>
      <c r="H142" s="16" t="s">
        <v>735</v>
      </c>
      <c r="I142" s="17"/>
      <c r="J142" s="17"/>
      <c r="K142" s="17"/>
      <c r="L142" s="17"/>
      <c r="N142" s="31">
        <v>140</v>
      </c>
      <c r="O142" s="32" t="s">
        <v>736</v>
      </c>
      <c r="P142" s="33" t="s">
        <v>31</v>
      </c>
      <c r="Q142" s="32" t="s">
        <v>32</v>
      </c>
      <c r="R142" s="69">
        <v>44258.833877314813</v>
      </c>
      <c r="S142" s="71">
        <v>44356</v>
      </c>
      <c r="T142" s="32" t="str">
        <f t="shared" si="9"/>
        <v>+0832-53396***</v>
      </c>
      <c r="U142" s="32" t="str">
        <f t="shared" ca="1" si="10"/>
        <v>lyla***@yuhuumail.com</v>
      </c>
      <c r="V142" s="32">
        <f t="shared" si="11"/>
        <v>33</v>
      </c>
      <c r="W142" s="36">
        <f t="shared" si="12"/>
        <v>0.02</v>
      </c>
    </row>
    <row r="143" spans="4:23" ht="27" customHeight="1" x14ac:dyDescent="0.25">
      <c r="D143" s="14" t="s">
        <v>737</v>
      </c>
      <c r="E143" s="14" t="s">
        <v>738</v>
      </c>
      <c r="F143" s="84" t="s">
        <v>417</v>
      </c>
      <c r="G143" s="15" t="s">
        <v>27</v>
      </c>
      <c r="H143" s="16" t="s">
        <v>739</v>
      </c>
      <c r="I143" s="17"/>
      <c r="J143" s="17"/>
      <c r="K143" s="17"/>
      <c r="L143" s="17"/>
      <c r="N143" s="31">
        <v>141</v>
      </c>
      <c r="O143" s="32" t="s">
        <v>187</v>
      </c>
      <c r="P143" s="33" t="s">
        <v>42</v>
      </c>
      <c r="Q143" s="32" t="s">
        <v>32</v>
      </c>
      <c r="R143" s="69">
        <v>44258.833784722221</v>
      </c>
      <c r="S143" s="71">
        <v>44322</v>
      </c>
      <c r="T143" s="32" t="str">
        <f t="shared" si="9"/>
        <v>+832 16315***</v>
      </c>
      <c r="U143" s="32" t="str">
        <f t="shared" ca="1" si="10"/>
        <v>paul***@jossmail.com</v>
      </c>
      <c r="V143" s="32">
        <f t="shared" si="11"/>
        <v>33</v>
      </c>
      <c r="W143" s="36">
        <f t="shared" si="12"/>
        <v>0.02</v>
      </c>
    </row>
    <row r="144" spans="4:23" ht="27" customHeight="1" x14ac:dyDescent="0.25">
      <c r="D144" s="14" t="s">
        <v>740</v>
      </c>
      <c r="E144" s="14" t="s">
        <v>741</v>
      </c>
      <c r="F144" s="84" t="s">
        <v>742</v>
      </c>
      <c r="G144" s="15" t="s">
        <v>27</v>
      </c>
      <c r="H144" s="16" t="s">
        <v>743</v>
      </c>
      <c r="I144" s="17"/>
      <c r="J144" s="17"/>
      <c r="K144" s="17"/>
      <c r="L144" s="17"/>
      <c r="N144" s="31">
        <v>142</v>
      </c>
      <c r="O144" s="32" t="s">
        <v>744</v>
      </c>
      <c r="P144" s="33" t="s">
        <v>31</v>
      </c>
      <c r="Q144" s="32" t="s">
        <v>32</v>
      </c>
      <c r="R144" s="69">
        <v>44258.838622685187</v>
      </c>
      <c r="S144" s="71">
        <v>44352</v>
      </c>
      <c r="T144" s="32" t="str">
        <f t="shared" si="9"/>
        <v>+81279461***</v>
      </c>
      <c r="U144" s="32" t="str">
        <f t="shared" ca="1" si="10"/>
        <v>dari***@yuhuumail.com</v>
      </c>
      <c r="V144" s="32">
        <f t="shared" si="11"/>
        <v>33</v>
      </c>
      <c r="W144" s="36">
        <f t="shared" si="12"/>
        <v>0.02</v>
      </c>
    </row>
    <row r="145" spans="4:23" ht="27" customHeight="1" x14ac:dyDescent="0.25">
      <c r="D145" s="14" t="s">
        <v>745</v>
      </c>
      <c r="E145" s="14" t="s">
        <v>746</v>
      </c>
      <c r="F145" s="84" t="s">
        <v>466</v>
      </c>
      <c r="G145" s="15" t="s">
        <v>27</v>
      </c>
      <c r="H145" s="16" t="s">
        <v>747</v>
      </c>
      <c r="I145" s="17"/>
      <c r="J145" s="17"/>
      <c r="K145" s="17"/>
      <c r="L145" s="17"/>
      <c r="N145" s="31">
        <v>143</v>
      </c>
      <c r="O145" s="32" t="s">
        <v>748</v>
      </c>
      <c r="P145" s="33" t="s">
        <v>57</v>
      </c>
      <c r="Q145" s="32" t="s">
        <v>32</v>
      </c>
      <c r="R145" s="69">
        <v>44258.839317129627</v>
      </c>
      <c r="S145" s="71">
        <v>44354</v>
      </c>
      <c r="T145" s="32" t="str">
        <f t="shared" si="9"/>
        <v>+84287208***</v>
      </c>
      <c r="U145" s="32" t="str">
        <f t="shared" ca="1" si="10"/>
        <v>cait***@jossmail.com</v>
      </c>
      <c r="V145" s="32">
        <f t="shared" si="11"/>
        <v>33</v>
      </c>
      <c r="W145" s="36">
        <f t="shared" si="12"/>
        <v>0.02</v>
      </c>
    </row>
    <row r="146" spans="4:23" ht="27" customHeight="1" x14ac:dyDescent="0.25">
      <c r="D146" s="14" t="s">
        <v>749</v>
      </c>
      <c r="E146" s="14" t="s">
        <v>750</v>
      </c>
      <c r="F146" s="84" t="s">
        <v>751</v>
      </c>
      <c r="G146" s="15" t="s">
        <v>68</v>
      </c>
      <c r="H146" s="16" t="s">
        <v>752</v>
      </c>
      <c r="I146" s="17"/>
      <c r="J146" s="17"/>
      <c r="K146" s="17"/>
      <c r="L146" s="17"/>
      <c r="N146" s="31">
        <v>144</v>
      </c>
      <c r="O146" s="32" t="s">
        <v>753</v>
      </c>
      <c r="P146" s="33" t="s">
        <v>57</v>
      </c>
      <c r="Q146" s="32" t="s">
        <v>32</v>
      </c>
      <c r="R146" s="69">
        <v>44257.311354166668</v>
      </c>
      <c r="S146" s="71">
        <v>44320</v>
      </c>
      <c r="T146" s="32" t="str">
        <f t="shared" si="9"/>
        <v>+085219203***</v>
      </c>
      <c r="U146" s="32" t="str">
        <f t="shared" ca="1" si="10"/>
        <v>luci***@jossmail.com</v>
      </c>
      <c r="V146" s="32">
        <f t="shared" si="11"/>
        <v>33</v>
      </c>
      <c r="W146" s="36">
        <f t="shared" si="12"/>
        <v>0.02</v>
      </c>
    </row>
    <row r="147" spans="4:23" ht="27" customHeight="1" x14ac:dyDescent="0.25">
      <c r="D147" s="14" t="s">
        <v>754</v>
      </c>
      <c r="E147" s="14" t="s">
        <v>755</v>
      </c>
      <c r="F147" s="84" t="s">
        <v>74</v>
      </c>
      <c r="G147" s="15" t="s">
        <v>27</v>
      </c>
      <c r="H147" s="16" t="s">
        <v>756</v>
      </c>
      <c r="I147" s="17"/>
      <c r="J147" s="17"/>
      <c r="K147" s="17"/>
      <c r="L147" s="17"/>
      <c r="N147" s="31">
        <v>145</v>
      </c>
      <c r="O147" s="32" t="s">
        <v>757</v>
      </c>
      <c r="P147" s="33" t="s">
        <v>31</v>
      </c>
      <c r="Q147" s="32" t="s">
        <v>32</v>
      </c>
      <c r="R147" s="69">
        <v>42376.699108796296</v>
      </c>
      <c r="S147" s="71">
        <v>44354</v>
      </c>
      <c r="T147" s="32" t="str">
        <f t="shared" si="9"/>
        <v>+0852-44879***</v>
      </c>
      <c r="U147" s="32" t="str">
        <f t="shared" ca="1" si="10"/>
        <v>lesl***@jossmail.com</v>
      </c>
      <c r="V147" s="32">
        <f t="shared" si="11"/>
        <v>28</v>
      </c>
      <c r="W147" s="36">
        <f t="shared" si="12"/>
        <v>7.5000000000000011E-2</v>
      </c>
    </row>
    <row r="148" spans="4:23" ht="27" customHeight="1" x14ac:dyDescent="0.25">
      <c r="D148" s="14" t="s">
        <v>758</v>
      </c>
      <c r="E148" s="14" t="s">
        <v>759</v>
      </c>
      <c r="F148" s="84" t="s">
        <v>710</v>
      </c>
      <c r="G148" s="15" t="s">
        <v>27</v>
      </c>
      <c r="H148" s="16" t="s">
        <v>760</v>
      </c>
      <c r="I148" s="17"/>
      <c r="J148" s="17"/>
      <c r="K148" s="17"/>
      <c r="L148" s="17"/>
      <c r="N148" s="31">
        <v>146</v>
      </c>
      <c r="O148" s="32" t="s">
        <v>761</v>
      </c>
      <c r="P148" s="33" t="s">
        <v>42</v>
      </c>
      <c r="Q148" s="32" t="s">
        <v>32</v>
      </c>
      <c r="R148" s="69">
        <v>44258.843553240738</v>
      </c>
      <c r="S148" s="71">
        <v>44318</v>
      </c>
      <c r="T148" s="32" t="str">
        <f t="shared" si="9"/>
        <v>+822 63478***</v>
      </c>
      <c r="U148" s="32" t="str">
        <f t="shared" ca="1" si="10"/>
        <v>isaa***@yuhuumail.com</v>
      </c>
      <c r="V148" s="32">
        <f t="shared" si="11"/>
        <v>33</v>
      </c>
      <c r="W148" s="36">
        <f t="shared" si="12"/>
        <v>0.02</v>
      </c>
    </row>
    <row r="149" spans="4:23" ht="27" customHeight="1" x14ac:dyDescent="0.25">
      <c r="D149" s="14" t="s">
        <v>762</v>
      </c>
      <c r="E149" s="14" t="s">
        <v>763</v>
      </c>
      <c r="F149" s="84" t="s">
        <v>764</v>
      </c>
      <c r="G149" s="15" t="s">
        <v>27</v>
      </c>
      <c r="H149" s="16" t="s">
        <v>765</v>
      </c>
      <c r="I149" s="17"/>
      <c r="J149" s="17"/>
      <c r="K149" s="17"/>
      <c r="L149" s="17"/>
      <c r="N149" s="31">
        <v>147</v>
      </c>
      <c r="O149" s="32" t="s">
        <v>766</v>
      </c>
      <c r="P149" s="33" t="s">
        <v>31</v>
      </c>
      <c r="Q149" s="32" t="s">
        <v>32</v>
      </c>
      <c r="R149" s="69">
        <v>44258.833645833336</v>
      </c>
      <c r="S149" s="71">
        <v>44354</v>
      </c>
      <c r="T149" s="32" t="str">
        <f t="shared" si="9"/>
        <v>+6284254759***</v>
      </c>
      <c r="U149" s="32" t="str">
        <f t="shared" ca="1" si="10"/>
        <v>tren***@yuhuumail.com</v>
      </c>
      <c r="V149" s="32">
        <f t="shared" si="11"/>
        <v>33</v>
      </c>
      <c r="W149" s="36">
        <f t="shared" si="12"/>
        <v>0.02</v>
      </c>
    </row>
    <row r="150" spans="4:23" ht="27" customHeight="1" x14ac:dyDescent="0.25">
      <c r="D150" s="14" t="s">
        <v>767</v>
      </c>
      <c r="E150" s="14" t="s">
        <v>768</v>
      </c>
      <c r="F150" s="84" t="s">
        <v>159</v>
      </c>
      <c r="G150" s="15" t="s">
        <v>68</v>
      </c>
      <c r="H150" s="16" t="s">
        <v>769</v>
      </c>
      <c r="I150" s="17"/>
      <c r="J150" s="17"/>
      <c r="K150" s="17"/>
      <c r="L150" s="17"/>
      <c r="N150" s="31">
        <v>148</v>
      </c>
      <c r="O150" s="32" t="s">
        <v>770</v>
      </c>
      <c r="P150" s="33" t="s">
        <v>42</v>
      </c>
      <c r="Q150" s="32" t="s">
        <v>32</v>
      </c>
      <c r="R150" s="69">
        <v>42954.763564814813</v>
      </c>
      <c r="S150" s="71">
        <v>44361</v>
      </c>
      <c r="T150" s="32" t="str">
        <f t="shared" si="9"/>
        <v>+6283238941***</v>
      </c>
      <c r="U150" s="32" t="str">
        <f t="shared" ca="1" si="10"/>
        <v>bren***@yuhuumail.com</v>
      </c>
      <c r="V150" s="32">
        <f t="shared" si="11"/>
        <v>29</v>
      </c>
      <c r="W150" s="36">
        <f t="shared" si="12"/>
        <v>7.5000000000000011E-2</v>
      </c>
    </row>
    <row r="151" spans="4:23" ht="27" customHeight="1" x14ac:dyDescent="0.25">
      <c r="D151" s="14" t="s">
        <v>771</v>
      </c>
      <c r="E151" s="14" t="s">
        <v>772</v>
      </c>
      <c r="F151" s="84" t="s">
        <v>46</v>
      </c>
      <c r="G151" s="15" t="s">
        <v>27</v>
      </c>
      <c r="H151" s="16" t="s">
        <v>773</v>
      </c>
      <c r="I151" s="17"/>
      <c r="J151" s="17"/>
      <c r="K151" s="17"/>
      <c r="L151" s="17"/>
      <c r="N151" s="31">
        <v>149</v>
      </c>
      <c r="O151" s="32" t="s">
        <v>774</v>
      </c>
      <c r="P151" s="33" t="s">
        <v>57</v>
      </c>
      <c r="Q151" s="32" t="s">
        <v>32</v>
      </c>
      <c r="R151" s="69">
        <v>44258.8440162037</v>
      </c>
      <c r="S151" s="35">
        <v>44362</v>
      </c>
      <c r="T151" s="32" t="str">
        <f t="shared" si="9"/>
        <v>+822 85982***</v>
      </c>
      <c r="U151" s="32" t="str">
        <f t="shared" ca="1" si="10"/>
        <v>rebe***@yuhuumail.com</v>
      </c>
      <c r="V151" s="32">
        <f t="shared" si="11"/>
        <v>32</v>
      </c>
      <c r="W151" s="36">
        <f t="shared" si="12"/>
        <v>0.02</v>
      </c>
    </row>
    <row r="152" spans="4:23" ht="27" customHeight="1" x14ac:dyDescent="0.25">
      <c r="D152" s="14" t="s">
        <v>775</v>
      </c>
      <c r="E152" s="14" t="s">
        <v>776</v>
      </c>
      <c r="F152" s="84" t="s">
        <v>92</v>
      </c>
      <c r="G152" s="15" t="s">
        <v>68</v>
      </c>
      <c r="H152" s="16" t="s">
        <v>777</v>
      </c>
      <c r="I152" s="17"/>
      <c r="J152" s="17"/>
      <c r="K152" s="17"/>
      <c r="L152" s="17"/>
      <c r="N152" s="31">
        <v>150</v>
      </c>
      <c r="O152" s="32" t="s">
        <v>778</v>
      </c>
      <c r="P152" s="33" t="s">
        <v>57</v>
      </c>
      <c r="Q152" s="32" t="s">
        <v>32</v>
      </c>
      <c r="R152" s="69">
        <v>44258.829247685186</v>
      </c>
      <c r="S152" s="35">
        <v>44356</v>
      </c>
      <c r="T152" s="32" t="str">
        <f t="shared" si="9"/>
        <v>+6285228722***</v>
      </c>
      <c r="U152" s="32" t="str">
        <f t="shared" ca="1" si="10"/>
        <v>nasi***@yuhuumail.com</v>
      </c>
      <c r="V152" s="32">
        <f t="shared" si="11"/>
        <v>32</v>
      </c>
      <c r="W152" s="36">
        <f t="shared" si="12"/>
        <v>0.02</v>
      </c>
    </row>
    <row r="153" spans="4:23" ht="27" customHeight="1" x14ac:dyDescent="0.25">
      <c r="D153" s="14" t="s">
        <v>779</v>
      </c>
      <c r="E153" s="14" t="s">
        <v>780</v>
      </c>
      <c r="F153" s="84" t="s">
        <v>781</v>
      </c>
      <c r="G153" s="15" t="s">
        <v>27</v>
      </c>
      <c r="H153" s="16" t="s">
        <v>782</v>
      </c>
      <c r="I153" s="17"/>
      <c r="J153" s="17"/>
      <c r="K153" s="17"/>
      <c r="L153" s="17"/>
      <c r="N153" s="31">
        <v>151</v>
      </c>
      <c r="O153" s="32" t="s">
        <v>783</v>
      </c>
      <c r="P153" s="33" t="s">
        <v>42</v>
      </c>
      <c r="Q153" s="32" t="s">
        <v>32</v>
      </c>
      <c r="R153" s="69">
        <v>44258.849062499998</v>
      </c>
      <c r="S153" s="35">
        <v>44358</v>
      </c>
      <c r="T153" s="32" t="str">
        <f t="shared" si="9"/>
        <v>+6285296070***</v>
      </c>
      <c r="U153" s="32" t="str">
        <f t="shared" ca="1" si="10"/>
        <v>sele***@yuhuumail.com</v>
      </c>
      <c r="V153" s="32">
        <f t="shared" si="11"/>
        <v>32</v>
      </c>
      <c r="W153" s="36">
        <f t="shared" si="12"/>
        <v>0.02</v>
      </c>
    </row>
    <row r="154" spans="4:23" ht="27" customHeight="1" x14ac:dyDescent="0.25">
      <c r="D154" s="14" t="s">
        <v>784</v>
      </c>
      <c r="E154" s="14" t="s">
        <v>785</v>
      </c>
      <c r="F154" s="84" t="s">
        <v>781</v>
      </c>
      <c r="G154" s="15" t="s">
        <v>68</v>
      </c>
      <c r="H154" s="16" t="s">
        <v>786</v>
      </c>
      <c r="I154" s="17"/>
      <c r="J154" s="17"/>
      <c r="K154" s="17"/>
      <c r="L154" s="17"/>
      <c r="N154" s="31">
        <v>152</v>
      </c>
      <c r="O154" s="32" t="s">
        <v>787</v>
      </c>
      <c r="P154" s="33" t="s">
        <v>31</v>
      </c>
      <c r="Q154" s="32" t="s">
        <v>32</v>
      </c>
      <c r="R154" s="69">
        <v>44258.847557870373</v>
      </c>
      <c r="S154" s="35">
        <v>44352</v>
      </c>
      <c r="T154" s="32" t="str">
        <f t="shared" si="9"/>
        <v>+084288232***</v>
      </c>
      <c r="U154" s="32" t="str">
        <f t="shared" ca="1" si="10"/>
        <v>aver***@jossmail.com</v>
      </c>
      <c r="V154" s="32">
        <f t="shared" si="11"/>
        <v>32</v>
      </c>
      <c r="W154" s="36">
        <f t="shared" si="12"/>
        <v>0.02</v>
      </c>
    </row>
    <row r="155" spans="4:23" ht="27" customHeight="1" x14ac:dyDescent="0.25">
      <c r="D155" s="14" t="s">
        <v>788</v>
      </c>
      <c r="E155" s="14" t="s">
        <v>789</v>
      </c>
      <c r="F155" s="84" t="s">
        <v>206</v>
      </c>
      <c r="G155" s="15" t="s">
        <v>27</v>
      </c>
      <c r="H155" s="16" t="s">
        <v>790</v>
      </c>
      <c r="I155" s="17"/>
      <c r="J155" s="17"/>
      <c r="K155" s="17"/>
      <c r="L155" s="17"/>
      <c r="N155" s="31">
        <v>153</v>
      </c>
      <c r="O155" s="32" t="s">
        <v>791</v>
      </c>
      <c r="P155" s="33" t="s">
        <v>31</v>
      </c>
      <c r="Q155" s="32" t="s">
        <v>32</v>
      </c>
      <c r="R155" s="69">
        <v>44258.850891203707</v>
      </c>
      <c r="S155" s="35">
        <v>44356</v>
      </c>
      <c r="T155" s="32" t="str">
        <f t="shared" si="9"/>
        <v>+083297453***</v>
      </c>
      <c r="U155" s="32" t="str">
        <f t="shared" ca="1" si="10"/>
        <v>adri***@jossmail.com</v>
      </c>
      <c r="V155" s="32">
        <f t="shared" si="11"/>
        <v>32</v>
      </c>
      <c r="W155" s="36">
        <f t="shared" si="12"/>
        <v>0.02</v>
      </c>
    </row>
    <row r="156" spans="4:23" ht="27" customHeight="1" x14ac:dyDescent="0.25">
      <c r="D156" s="14" t="s">
        <v>792</v>
      </c>
      <c r="E156" s="14" t="s">
        <v>793</v>
      </c>
      <c r="F156" s="84" t="s">
        <v>61</v>
      </c>
      <c r="G156" s="15" t="s">
        <v>27</v>
      </c>
      <c r="H156" s="16" t="s">
        <v>794</v>
      </c>
      <c r="I156" s="17"/>
      <c r="J156" s="17"/>
      <c r="K156" s="17"/>
      <c r="L156" s="17"/>
      <c r="N156" s="31">
        <v>154</v>
      </c>
      <c r="O156" s="32" t="s">
        <v>795</v>
      </c>
      <c r="P156" s="33" t="s">
        <v>31</v>
      </c>
      <c r="Q156" s="32" t="s">
        <v>32</v>
      </c>
      <c r="R156" s="69">
        <v>44258.849895833337</v>
      </c>
      <c r="S156" s="35">
        <v>44362</v>
      </c>
      <c r="T156" s="32" t="str">
        <f t="shared" si="9"/>
        <v>+0812-13215***</v>
      </c>
      <c r="U156" s="32" t="str">
        <f t="shared" ca="1" si="10"/>
        <v>malc***@jossmail.com</v>
      </c>
      <c r="V156" s="32">
        <f t="shared" si="11"/>
        <v>32</v>
      </c>
      <c r="W156" s="36">
        <f t="shared" si="12"/>
        <v>0.02</v>
      </c>
    </row>
    <row r="157" spans="4:23" ht="27" customHeight="1" x14ac:dyDescent="0.25">
      <c r="D157" s="14" t="s">
        <v>796</v>
      </c>
      <c r="E157" s="14" t="s">
        <v>797</v>
      </c>
      <c r="F157" s="84" t="s">
        <v>143</v>
      </c>
      <c r="G157" s="15" t="s">
        <v>27</v>
      </c>
      <c r="H157" s="16" t="s">
        <v>798</v>
      </c>
      <c r="I157" s="17"/>
      <c r="J157" s="17"/>
      <c r="K157" s="17"/>
      <c r="L157" s="17"/>
      <c r="N157" s="31">
        <v>155</v>
      </c>
      <c r="O157" s="32" t="s">
        <v>799</v>
      </c>
      <c r="P157" s="33" t="s">
        <v>42</v>
      </c>
      <c r="Q157" s="32" t="s">
        <v>32</v>
      </c>
      <c r="R157" s="69">
        <v>43920.892395833333</v>
      </c>
      <c r="S157" s="35">
        <v>44318</v>
      </c>
      <c r="T157" s="32" t="str">
        <f t="shared" si="9"/>
        <v>+6282239576***</v>
      </c>
      <c r="U157" s="32" t="str">
        <f t="shared" ca="1" si="10"/>
        <v>dami***@yuhuumail.com</v>
      </c>
      <c r="V157" s="32">
        <f t="shared" si="11"/>
        <v>31</v>
      </c>
      <c r="W157" s="36">
        <f t="shared" si="12"/>
        <v>3.5000000000000003E-2</v>
      </c>
    </row>
    <row r="158" spans="4:23" ht="27" customHeight="1" x14ac:dyDescent="0.25">
      <c r="D158" s="14" t="s">
        <v>800</v>
      </c>
      <c r="E158" s="14" t="s">
        <v>801</v>
      </c>
      <c r="F158" s="84" t="s">
        <v>485</v>
      </c>
      <c r="G158" s="15" t="s">
        <v>27</v>
      </c>
      <c r="H158" s="16" t="s">
        <v>802</v>
      </c>
      <c r="I158" s="17"/>
      <c r="J158" s="17"/>
      <c r="K158" s="17"/>
      <c r="L158" s="17"/>
      <c r="N158" s="31">
        <v>156</v>
      </c>
      <c r="O158" s="32" t="s">
        <v>803</v>
      </c>
      <c r="P158" s="33" t="s">
        <v>57</v>
      </c>
      <c r="Q158" s="32" t="s">
        <v>32</v>
      </c>
      <c r="R158" s="69">
        <v>44130.52070601852</v>
      </c>
      <c r="S158" s="35">
        <v>44352</v>
      </c>
      <c r="T158" s="32" t="str">
        <f t="shared" si="9"/>
        <v>+0822-31137***</v>
      </c>
      <c r="U158" s="32" t="str">
        <f t="shared" ca="1" si="10"/>
        <v>germ***@yuhuumail.com</v>
      </c>
      <c r="V158" s="32">
        <f t="shared" si="11"/>
        <v>32</v>
      </c>
      <c r="W158" s="36">
        <f t="shared" si="12"/>
        <v>0.02</v>
      </c>
    </row>
    <row r="159" spans="4:23" ht="27" customHeight="1" x14ac:dyDescent="0.25">
      <c r="D159" s="14" t="s">
        <v>804</v>
      </c>
      <c r="E159" s="14" t="s">
        <v>748</v>
      </c>
      <c r="F159" s="84" t="s">
        <v>805</v>
      </c>
      <c r="G159" s="15" t="s">
        <v>27</v>
      </c>
      <c r="H159" s="16" t="s">
        <v>806</v>
      </c>
      <c r="I159" s="17"/>
      <c r="J159" s="17"/>
      <c r="K159" s="17"/>
      <c r="L159" s="17"/>
      <c r="N159" s="31">
        <v>157</v>
      </c>
      <c r="O159" s="32" t="s">
        <v>807</v>
      </c>
      <c r="P159" s="33" t="s">
        <v>42</v>
      </c>
      <c r="Q159" s="32" t="s">
        <v>32</v>
      </c>
      <c r="R159" s="69">
        <v>43909.563252314816</v>
      </c>
      <c r="S159" s="35">
        <v>44318</v>
      </c>
      <c r="T159" s="32" t="str">
        <f t="shared" si="9"/>
        <v>+0852-59107***</v>
      </c>
      <c r="U159" s="32" t="str">
        <f t="shared" ca="1" si="10"/>
        <v>mois***@yuhuumail.com</v>
      </c>
      <c r="V159" s="32">
        <f t="shared" si="11"/>
        <v>31</v>
      </c>
      <c r="W159" s="36">
        <f t="shared" si="12"/>
        <v>3.5000000000000003E-2</v>
      </c>
    </row>
    <row r="160" spans="4:23" ht="27" customHeight="1" x14ac:dyDescent="0.25">
      <c r="D160" s="14" t="s">
        <v>808</v>
      </c>
      <c r="E160" s="14" t="s">
        <v>809</v>
      </c>
      <c r="F160" s="84" t="s">
        <v>490</v>
      </c>
      <c r="G160" s="15" t="s">
        <v>27</v>
      </c>
      <c r="H160" s="16" t="s">
        <v>810</v>
      </c>
      <c r="I160" s="17"/>
      <c r="J160" s="17"/>
      <c r="K160" s="17"/>
      <c r="L160" s="17"/>
      <c r="N160" s="31">
        <v>158</v>
      </c>
      <c r="O160" s="32" t="s">
        <v>811</v>
      </c>
      <c r="P160" s="33" t="s">
        <v>31</v>
      </c>
      <c r="Q160" s="32" t="s">
        <v>32</v>
      </c>
      <c r="R160" s="69">
        <v>44258.851655092592</v>
      </c>
      <c r="S160" s="35">
        <v>44359</v>
      </c>
      <c r="T160" s="32" t="str">
        <f t="shared" si="9"/>
        <v>+082238237***</v>
      </c>
      <c r="U160" s="32" t="str">
        <f t="shared" ca="1" si="10"/>
        <v>garr***@jossmail.com</v>
      </c>
      <c r="V160" s="32">
        <f t="shared" si="11"/>
        <v>32</v>
      </c>
      <c r="W160" s="36">
        <f t="shared" si="12"/>
        <v>0.02</v>
      </c>
    </row>
    <row r="161" spans="4:23" ht="27" customHeight="1" x14ac:dyDescent="0.25">
      <c r="D161" s="14" t="s">
        <v>812</v>
      </c>
      <c r="E161" s="14" t="s">
        <v>813</v>
      </c>
      <c r="F161" s="84" t="s">
        <v>417</v>
      </c>
      <c r="G161" s="15" t="s">
        <v>27</v>
      </c>
      <c r="H161" s="16" t="s">
        <v>814</v>
      </c>
      <c r="I161" s="17"/>
      <c r="J161" s="17"/>
      <c r="K161" s="17"/>
      <c r="L161" s="17"/>
      <c r="N161" s="31">
        <v>159</v>
      </c>
      <c r="O161" s="32" t="s">
        <v>815</v>
      </c>
      <c r="P161" s="33" t="s">
        <v>57</v>
      </c>
      <c r="Q161" s="32" t="s">
        <v>32</v>
      </c>
      <c r="R161" s="69">
        <v>44258.855254629627</v>
      </c>
      <c r="S161" s="35">
        <v>44352</v>
      </c>
      <c r="T161" s="32" t="str">
        <f t="shared" si="9"/>
        <v>+0842-15353***</v>
      </c>
      <c r="U161" s="32" t="str">
        <f t="shared" ca="1" si="10"/>
        <v>este***@yuhuumail.com</v>
      </c>
      <c r="V161" s="32">
        <f t="shared" si="11"/>
        <v>32</v>
      </c>
      <c r="W161" s="36">
        <f t="shared" si="12"/>
        <v>0.02</v>
      </c>
    </row>
    <row r="162" spans="4:23" ht="27" customHeight="1" x14ac:dyDescent="0.25">
      <c r="D162" s="14" t="s">
        <v>816</v>
      </c>
      <c r="E162" s="14" t="s">
        <v>817</v>
      </c>
      <c r="F162" s="84" t="s">
        <v>359</v>
      </c>
      <c r="G162" s="15" t="s">
        <v>27</v>
      </c>
      <c r="H162" s="16" t="s">
        <v>818</v>
      </c>
      <c r="I162" s="17"/>
      <c r="J162" s="17"/>
      <c r="K162" s="17"/>
      <c r="L162" s="17"/>
      <c r="N162" s="31">
        <v>160</v>
      </c>
      <c r="O162" s="32" t="s">
        <v>819</v>
      </c>
      <c r="P162" s="33" t="s">
        <v>57</v>
      </c>
      <c r="Q162" s="32" t="s">
        <v>32</v>
      </c>
      <c r="R162" s="69">
        <v>44258.825254629628</v>
      </c>
      <c r="S162" s="35">
        <v>44362</v>
      </c>
      <c r="T162" s="32" t="str">
        <f t="shared" si="9"/>
        <v>+0822 78930***</v>
      </c>
      <c r="U162" s="32" t="str">
        <f t="shared" ca="1" si="10"/>
        <v>abel***@jossmail.com</v>
      </c>
      <c r="V162" s="32">
        <f t="shared" si="11"/>
        <v>32</v>
      </c>
      <c r="W162" s="36">
        <f t="shared" si="12"/>
        <v>0.02</v>
      </c>
    </row>
    <row r="163" spans="4:23" ht="27" customHeight="1" x14ac:dyDescent="0.25">
      <c r="D163" s="14" t="s">
        <v>820</v>
      </c>
      <c r="E163" s="14" t="s">
        <v>821</v>
      </c>
      <c r="F163" s="84" t="s">
        <v>159</v>
      </c>
      <c r="G163" s="15" t="s">
        <v>68</v>
      </c>
      <c r="H163" s="16" t="s">
        <v>822</v>
      </c>
      <c r="I163" s="17"/>
      <c r="J163" s="17"/>
      <c r="K163" s="17"/>
      <c r="L163" s="17"/>
      <c r="N163" s="31">
        <v>161</v>
      </c>
      <c r="O163" s="32" t="s">
        <v>823</v>
      </c>
      <c r="P163" s="33" t="s">
        <v>31</v>
      </c>
      <c r="Q163" s="32" t="s">
        <v>32</v>
      </c>
      <c r="R163" s="69">
        <v>42784.470300925925</v>
      </c>
      <c r="S163" s="35">
        <v>44356</v>
      </c>
      <c r="T163" s="32" t="str">
        <f t="shared" si="9"/>
        <v>+0832-28311***</v>
      </c>
      <c r="U163" s="32" t="str">
        <f t="shared" ca="1" si="10"/>
        <v>perl***@jossmail.com</v>
      </c>
      <c r="V163" s="32">
        <f t="shared" si="11"/>
        <v>28</v>
      </c>
      <c r="W163" s="36">
        <f t="shared" si="12"/>
        <v>7.5000000000000011E-2</v>
      </c>
    </row>
    <row r="164" spans="4:23" ht="27" customHeight="1" x14ac:dyDescent="0.25">
      <c r="D164" s="14" t="s">
        <v>824</v>
      </c>
      <c r="E164" s="14" t="s">
        <v>825</v>
      </c>
      <c r="F164" s="84" t="s">
        <v>407</v>
      </c>
      <c r="G164" s="15" t="s">
        <v>27</v>
      </c>
      <c r="H164" s="16" t="s">
        <v>826</v>
      </c>
      <c r="I164" s="17"/>
      <c r="J164" s="17"/>
      <c r="K164" s="17"/>
      <c r="L164" s="17"/>
      <c r="N164" s="31">
        <v>162</v>
      </c>
      <c r="O164" s="32" t="s">
        <v>827</v>
      </c>
      <c r="P164" s="33" t="s">
        <v>42</v>
      </c>
      <c r="Q164" s="32" t="s">
        <v>32</v>
      </c>
      <c r="R164" s="69">
        <v>44258.841909722221</v>
      </c>
      <c r="S164" s="35">
        <v>44324</v>
      </c>
      <c r="T164" s="32" t="str">
        <f t="shared" si="9"/>
        <v>+0842-88166***</v>
      </c>
      <c r="U164" s="32" t="str">
        <f t="shared" ca="1" si="10"/>
        <v>juli***@jossmail.com</v>
      </c>
      <c r="V164" s="32">
        <f t="shared" si="11"/>
        <v>32</v>
      </c>
      <c r="W164" s="36">
        <f t="shared" si="12"/>
        <v>0.02</v>
      </c>
    </row>
    <row r="165" spans="4:23" ht="27" customHeight="1" x14ac:dyDescent="0.25">
      <c r="D165" s="14" t="s">
        <v>828</v>
      </c>
      <c r="E165" s="14" t="s">
        <v>829</v>
      </c>
      <c r="F165" s="84" t="s">
        <v>114</v>
      </c>
      <c r="G165" s="15" t="s">
        <v>27</v>
      </c>
      <c r="H165" s="16" t="s">
        <v>830</v>
      </c>
      <c r="I165" s="17"/>
      <c r="J165" s="17"/>
      <c r="K165" s="17"/>
      <c r="L165" s="17"/>
      <c r="N165" s="31">
        <v>163</v>
      </c>
      <c r="O165" s="32" t="s">
        <v>831</v>
      </c>
      <c r="P165" s="33" t="s">
        <v>42</v>
      </c>
      <c r="Q165" s="32" t="s">
        <v>32</v>
      </c>
      <c r="R165" s="69">
        <v>44258.867407407408</v>
      </c>
      <c r="S165" s="71">
        <v>44359</v>
      </c>
      <c r="T165" s="32" t="str">
        <f t="shared" si="9"/>
        <v>+85282001***</v>
      </c>
      <c r="U165" s="32" t="str">
        <f t="shared" ca="1" si="10"/>
        <v>isai***@yuhuumail.com</v>
      </c>
      <c r="V165" s="32">
        <f t="shared" si="11"/>
        <v>32</v>
      </c>
      <c r="W165" s="36">
        <f t="shared" si="12"/>
        <v>0.02</v>
      </c>
    </row>
    <row r="166" spans="4:23" ht="27" customHeight="1" x14ac:dyDescent="0.25">
      <c r="D166" s="14" t="s">
        <v>832</v>
      </c>
      <c r="E166" s="14" t="s">
        <v>833</v>
      </c>
      <c r="F166" s="84" t="s">
        <v>834</v>
      </c>
      <c r="G166" s="15" t="s">
        <v>27</v>
      </c>
      <c r="H166" s="16" t="s">
        <v>835</v>
      </c>
      <c r="I166" s="17"/>
      <c r="J166" s="17"/>
      <c r="K166" s="17"/>
      <c r="L166" s="17"/>
      <c r="N166" s="31">
        <v>164</v>
      </c>
      <c r="O166" s="32" t="s">
        <v>836</v>
      </c>
      <c r="P166" s="33" t="s">
        <v>42</v>
      </c>
      <c r="Q166" s="32" t="s">
        <v>32</v>
      </c>
      <c r="R166" s="69">
        <v>44258.860486111109</v>
      </c>
      <c r="S166" s="71">
        <v>44356</v>
      </c>
      <c r="T166" s="32" t="str">
        <f t="shared" si="9"/>
        <v>+85291480***</v>
      </c>
      <c r="U166" s="32" t="str">
        <f t="shared" ca="1" si="10"/>
        <v>jane***@yuhuumail.com</v>
      </c>
      <c r="V166" s="32">
        <f t="shared" si="11"/>
        <v>32</v>
      </c>
      <c r="W166" s="36">
        <f t="shared" si="12"/>
        <v>0.02</v>
      </c>
    </row>
    <row r="167" spans="4:23" ht="27" customHeight="1" x14ac:dyDescent="0.25">
      <c r="D167" s="14" t="s">
        <v>837</v>
      </c>
      <c r="E167" s="14" t="s">
        <v>838</v>
      </c>
      <c r="F167" s="84" t="s">
        <v>129</v>
      </c>
      <c r="G167" s="15" t="s">
        <v>27</v>
      </c>
      <c r="H167" s="16" t="s">
        <v>839</v>
      </c>
      <c r="I167" s="17"/>
      <c r="J167" s="17"/>
      <c r="K167" s="17"/>
      <c r="L167" s="17"/>
      <c r="N167" s="31">
        <v>165</v>
      </c>
      <c r="O167" s="32" t="s">
        <v>840</v>
      </c>
      <c r="P167" s="33" t="s">
        <v>57</v>
      </c>
      <c r="Q167" s="32" t="s">
        <v>32</v>
      </c>
      <c r="R167" s="69">
        <v>44258.870057870372</v>
      </c>
      <c r="S167" s="71">
        <v>44352</v>
      </c>
      <c r="T167" s="32" t="str">
        <f t="shared" si="9"/>
        <v>+822 57994***</v>
      </c>
      <c r="U167" s="32" t="str">
        <f t="shared" ca="1" si="10"/>
        <v>anna***@jossmail.com</v>
      </c>
      <c r="V167" s="32">
        <f t="shared" si="11"/>
        <v>32</v>
      </c>
      <c r="W167" s="36">
        <f t="shared" si="12"/>
        <v>0.02</v>
      </c>
    </row>
    <row r="168" spans="4:23" ht="27" customHeight="1" x14ac:dyDescent="0.25">
      <c r="D168" s="14" t="s">
        <v>841</v>
      </c>
      <c r="E168" s="14" t="s">
        <v>842</v>
      </c>
      <c r="F168" s="84" t="s">
        <v>149</v>
      </c>
      <c r="G168" s="15" t="s">
        <v>27</v>
      </c>
      <c r="H168" s="16" t="s">
        <v>843</v>
      </c>
      <c r="I168" s="17"/>
      <c r="J168" s="17"/>
      <c r="K168" s="17"/>
      <c r="L168" s="17"/>
      <c r="N168" s="31">
        <v>166</v>
      </c>
      <c r="O168" s="32" t="s">
        <v>844</v>
      </c>
      <c r="P168" s="33" t="s">
        <v>31</v>
      </c>
      <c r="Q168" s="32" t="s">
        <v>32</v>
      </c>
      <c r="R168" s="69">
        <v>44258.870613425926</v>
      </c>
      <c r="S168" s="71">
        <v>44318</v>
      </c>
      <c r="T168" s="32" t="str">
        <f t="shared" si="9"/>
        <v>+81284422***</v>
      </c>
      <c r="U168" s="32" t="str">
        <f t="shared" ca="1" si="10"/>
        <v>sloa***@yuhuumail.com</v>
      </c>
      <c r="V168" s="32">
        <f t="shared" si="11"/>
        <v>32</v>
      </c>
      <c r="W168" s="36">
        <f t="shared" si="12"/>
        <v>0.02</v>
      </c>
    </row>
    <row r="169" spans="4:23" ht="27" customHeight="1" x14ac:dyDescent="0.25">
      <c r="D169" s="14" t="s">
        <v>845</v>
      </c>
      <c r="E169" s="14" t="s">
        <v>846</v>
      </c>
      <c r="F169" s="84" t="s">
        <v>847</v>
      </c>
      <c r="G169" s="15" t="s">
        <v>27</v>
      </c>
      <c r="H169" s="16" t="s">
        <v>848</v>
      </c>
      <c r="I169" s="17"/>
      <c r="J169" s="17"/>
      <c r="K169" s="17"/>
      <c r="L169" s="17"/>
      <c r="N169" s="31">
        <v>167</v>
      </c>
      <c r="O169" s="32" t="s">
        <v>849</v>
      </c>
      <c r="P169" s="33" t="s">
        <v>31</v>
      </c>
      <c r="Q169" s="32" t="s">
        <v>32</v>
      </c>
      <c r="R169" s="69">
        <v>44258.871527777781</v>
      </c>
      <c r="S169" s="71">
        <v>44352</v>
      </c>
      <c r="T169" s="32" t="str">
        <f t="shared" si="9"/>
        <v>+6281255777***</v>
      </c>
      <c r="U169" s="32" t="str">
        <f t="shared" ca="1" si="10"/>
        <v>brad***@jossmail.com</v>
      </c>
      <c r="V169" s="32">
        <f t="shared" si="11"/>
        <v>32</v>
      </c>
      <c r="W169" s="36">
        <f t="shared" si="12"/>
        <v>0.02</v>
      </c>
    </row>
    <row r="170" spans="4:23" ht="27" customHeight="1" x14ac:dyDescent="0.25">
      <c r="D170" s="14" t="s">
        <v>850</v>
      </c>
      <c r="E170" s="14" t="s">
        <v>851</v>
      </c>
      <c r="F170" s="84" t="s">
        <v>670</v>
      </c>
      <c r="G170" s="15" t="s">
        <v>27</v>
      </c>
      <c r="H170" s="16" t="s">
        <v>852</v>
      </c>
      <c r="I170" s="17"/>
      <c r="J170" s="17"/>
      <c r="K170" s="17"/>
      <c r="L170" s="17"/>
      <c r="N170" s="31">
        <v>168</v>
      </c>
      <c r="O170" s="32" t="s">
        <v>853</v>
      </c>
      <c r="P170" s="33" t="s">
        <v>42</v>
      </c>
      <c r="Q170" s="32" t="s">
        <v>32</v>
      </c>
      <c r="R170" s="69">
        <v>44258.87159722222</v>
      </c>
      <c r="S170" s="71">
        <v>44359</v>
      </c>
      <c r="T170" s="32" t="str">
        <f t="shared" si="9"/>
        <v>+83220606***</v>
      </c>
      <c r="U170" s="32" t="str">
        <f t="shared" ca="1" si="10"/>
        <v>luis***@jossmail.com</v>
      </c>
      <c r="V170" s="32">
        <f t="shared" si="11"/>
        <v>32</v>
      </c>
      <c r="W170" s="36">
        <f t="shared" si="12"/>
        <v>0.02</v>
      </c>
    </row>
    <row r="171" spans="4:23" ht="27" customHeight="1" x14ac:dyDescent="0.25">
      <c r="D171" s="14" t="s">
        <v>854</v>
      </c>
      <c r="E171" s="14" t="s">
        <v>855</v>
      </c>
      <c r="F171" s="84" t="s">
        <v>524</v>
      </c>
      <c r="G171" s="15" t="s">
        <v>68</v>
      </c>
      <c r="H171" s="16" t="s">
        <v>856</v>
      </c>
      <c r="I171" s="17"/>
      <c r="J171" s="17"/>
      <c r="K171" s="17"/>
      <c r="L171" s="17"/>
      <c r="N171" s="31">
        <v>169</v>
      </c>
      <c r="O171" s="32" t="s">
        <v>857</v>
      </c>
      <c r="P171" s="33" t="s">
        <v>42</v>
      </c>
      <c r="Q171" s="32" t="s">
        <v>32</v>
      </c>
      <c r="R171" s="69">
        <v>44258.831736111111</v>
      </c>
      <c r="S171" s="71">
        <v>44318</v>
      </c>
      <c r="T171" s="32" t="str">
        <f t="shared" si="9"/>
        <v>+6285288480***</v>
      </c>
      <c r="U171" s="32" t="str">
        <f t="shared" ca="1" si="10"/>
        <v>osca***@jossmail.com</v>
      </c>
      <c r="V171" s="32">
        <f t="shared" si="11"/>
        <v>32</v>
      </c>
      <c r="W171" s="36">
        <f t="shared" si="12"/>
        <v>0.02</v>
      </c>
    </row>
    <row r="172" spans="4:23" ht="27" customHeight="1" x14ac:dyDescent="0.25">
      <c r="D172" s="14" t="s">
        <v>858</v>
      </c>
      <c r="E172" s="14" t="s">
        <v>859</v>
      </c>
      <c r="F172" s="84" t="s">
        <v>183</v>
      </c>
      <c r="G172" s="15" t="s">
        <v>68</v>
      </c>
      <c r="H172" s="16" t="s">
        <v>860</v>
      </c>
      <c r="I172" s="17"/>
      <c r="J172" s="17"/>
      <c r="K172" s="17"/>
      <c r="L172" s="17"/>
      <c r="N172" s="31">
        <v>170</v>
      </c>
      <c r="O172" s="32" t="s">
        <v>861</v>
      </c>
      <c r="P172" s="33" t="s">
        <v>31</v>
      </c>
      <c r="Q172" s="32" t="s">
        <v>32</v>
      </c>
      <c r="R172" s="69">
        <v>43399.600659722222</v>
      </c>
      <c r="S172" s="71">
        <v>44359</v>
      </c>
      <c r="T172" s="32" t="str">
        <f t="shared" si="9"/>
        <v>+0852 73615***</v>
      </c>
      <c r="U172" s="32" t="str">
        <f t="shared" ca="1" si="10"/>
        <v>rhet***@yuhuumail.com</v>
      </c>
      <c r="V172" s="32">
        <f t="shared" si="11"/>
        <v>29</v>
      </c>
      <c r="W172" s="36">
        <f t="shared" si="12"/>
        <v>6.5000000000000002E-2</v>
      </c>
    </row>
    <row r="173" spans="4:23" ht="27" customHeight="1" x14ac:dyDescent="0.25">
      <c r="D173" s="14" t="s">
        <v>862</v>
      </c>
      <c r="E173" s="14" t="s">
        <v>863</v>
      </c>
      <c r="F173" s="84" t="s">
        <v>194</v>
      </c>
      <c r="G173" s="15" t="s">
        <v>27</v>
      </c>
      <c r="H173" s="16" t="s">
        <v>864</v>
      </c>
      <c r="I173" s="17"/>
      <c r="J173" s="17"/>
      <c r="K173" s="17"/>
      <c r="L173" s="17"/>
      <c r="N173" s="31">
        <v>171</v>
      </c>
      <c r="O173" s="32" t="s">
        <v>865</v>
      </c>
      <c r="P173" s="33" t="s">
        <v>31</v>
      </c>
      <c r="Q173" s="32" t="s">
        <v>32</v>
      </c>
      <c r="R173" s="69">
        <v>44258.858622685184</v>
      </c>
      <c r="S173" s="71">
        <v>44352</v>
      </c>
      <c r="T173" s="32" t="str">
        <f t="shared" si="9"/>
        <v>+084240477***</v>
      </c>
      <c r="U173" s="32" t="str">
        <f t="shared" ca="1" si="10"/>
        <v>trav***@yuhuumail.com</v>
      </c>
      <c r="V173" s="32">
        <f t="shared" si="11"/>
        <v>31</v>
      </c>
      <c r="W173" s="36">
        <f t="shared" si="12"/>
        <v>0.02</v>
      </c>
    </row>
    <row r="174" spans="4:23" ht="27" customHeight="1" x14ac:dyDescent="0.25">
      <c r="D174" s="14" t="s">
        <v>866</v>
      </c>
      <c r="E174" s="14" t="s">
        <v>867</v>
      </c>
      <c r="F174" s="84" t="s">
        <v>194</v>
      </c>
      <c r="G174" s="15" t="s">
        <v>27</v>
      </c>
      <c r="H174" s="16" t="s">
        <v>868</v>
      </c>
      <c r="I174" s="17"/>
      <c r="J174" s="17"/>
      <c r="K174" s="17"/>
      <c r="L174" s="17"/>
      <c r="N174" s="31">
        <v>172</v>
      </c>
      <c r="O174" s="32" t="s">
        <v>869</v>
      </c>
      <c r="P174" s="33" t="s">
        <v>870</v>
      </c>
      <c r="Q174" s="32" t="s">
        <v>32</v>
      </c>
      <c r="R174" s="69">
        <v>44258.878217592595</v>
      </c>
      <c r="S174" s="71">
        <v>44362</v>
      </c>
      <c r="T174" s="32" t="str">
        <f t="shared" si="9"/>
        <v>+83225750***</v>
      </c>
      <c r="U174" s="32" t="str">
        <f t="shared" ca="1" si="10"/>
        <v>jasi***@jossmail.com</v>
      </c>
      <c r="V174" s="32">
        <f t="shared" si="11"/>
        <v>31</v>
      </c>
      <c r="W174" s="36">
        <f t="shared" si="12"/>
        <v>0.02</v>
      </c>
    </row>
    <row r="175" spans="4:23" ht="27" customHeight="1" x14ac:dyDescent="0.25">
      <c r="D175" s="14" t="s">
        <v>871</v>
      </c>
      <c r="E175" s="14" t="s">
        <v>872</v>
      </c>
      <c r="F175" s="84" t="s">
        <v>280</v>
      </c>
      <c r="G175" s="15" t="s">
        <v>68</v>
      </c>
      <c r="H175" s="16" t="s">
        <v>873</v>
      </c>
      <c r="I175" s="17"/>
      <c r="J175" s="17"/>
      <c r="K175" s="17"/>
      <c r="L175" s="17"/>
      <c r="N175" s="31">
        <v>173</v>
      </c>
      <c r="O175" s="32" t="s">
        <v>874</v>
      </c>
      <c r="P175" s="33" t="s">
        <v>875</v>
      </c>
      <c r="Q175" s="32" t="s">
        <v>32</v>
      </c>
      <c r="R175" s="69">
        <v>44258.871747685182</v>
      </c>
      <c r="S175" s="71">
        <v>44318</v>
      </c>
      <c r="T175" s="32" t="str">
        <f t="shared" si="9"/>
        <v>+84284178***</v>
      </c>
      <c r="U175" s="32" t="str">
        <f t="shared" ca="1" si="10"/>
        <v>kyma***@yuhuumail.com</v>
      </c>
      <c r="V175" s="32">
        <f t="shared" si="11"/>
        <v>31</v>
      </c>
      <c r="W175" s="36">
        <f t="shared" si="12"/>
        <v>0.02</v>
      </c>
    </row>
    <row r="176" spans="4:23" ht="27" customHeight="1" x14ac:dyDescent="0.25">
      <c r="D176" s="14" t="s">
        <v>876</v>
      </c>
      <c r="E176" s="14" t="s">
        <v>30</v>
      </c>
      <c r="F176" s="85" t="s">
        <v>877</v>
      </c>
      <c r="G176" s="15" t="s">
        <v>27</v>
      </c>
      <c r="H176" s="16" t="s">
        <v>878</v>
      </c>
      <c r="I176" s="17"/>
      <c r="J176" s="17"/>
      <c r="K176" s="17"/>
      <c r="L176" s="17"/>
      <c r="N176" s="31">
        <v>174</v>
      </c>
      <c r="O176" s="32" t="s">
        <v>879</v>
      </c>
      <c r="P176" s="33" t="s">
        <v>880</v>
      </c>
      <c r="Q176" s="32" t="s">
        <v>32</v>
      </c>
      <c r="R176" s="69">
        <v>44258.87704861111</v>
      </c>
      <c r="S176" s="71">
        <v>44354</v>
      </c>
      <c r="T176" s="32" t="str">
        <f t="shared" si="9"/>
        <v>+0812 78749***</v>
      </c>
      <c r="U176" s="32" t="str">
        <f t="shared" ca="1" si="10"/>
        <v>dext***@jossmail.com</v>
      </c>
      <c r="V176" s="32">
        <f t="shared" si="11"/>
        <v>31</v>
      </c>
      <c r="W176" s="36">
        <f t="shared" si="12"/>
        <v>0.02</v>
      </c>
    </row>
    <row r="177" spans="4:23" ht="27" customHeight="1" x14ac:dyDescent="0.25">
      <c r="D177" s="14" t="s">
        <v>881</v>
      </c>
      <c r="E177" s="14" t="s">
        <v>882</v>
      </c>
      <c r="F177" s="84" t="s">
        <v>266</v>
      </c>
      <c r="G177" s="15" t="s">
        <v>27</v>
      </c>
      <c r="H177" s="16" t="s">
        <v>883</v>
      </c>
      <c r="I177" s="17"/>
      <c r="J177" s="17"/>
      <c r="K177" s="17"/>
      <c r="L177" s="17"/>
      <c r="N177" s="31">
        <v>175</v>
      </c>
      <c r="O177" s="32" t="s">
        <v>884</v>
      </c>
      <c r="P177" s="33" t="s">
        <v>870</v>
      </c>
      <c r="Q177" s="32" t="s">
        <v>32</v>
      </c>
      <c r="R177" s="69">
        <v>44258.882233796299</v>
      </c>
      <c r="S177" s="71">
        <v>44322</v>
      </c>
      <c r="T177" s="32" t="str">
        <f t="shared" si="9"/>
        <v>+812 65359***</v>
      </c>
      <c r="U177" s="32" t="str">
        <f t="shared" ca="1" si="10"/>
        <v>ethe***@jossmail.com</v>
      </c>
      <c r="V177" s="32">
        <f t="shared" si="11"/>
        <v>31</v>
      </c>
      <c r="W177" s="36">
        <f t="shared" si="12"/>
        <v>0.02</v>
      </c>
    </row>
    <row r="178" spans="4:23" ht="27" customHeight="1" x14ac:dyDescent="0.25">
      <c r="D178" s="14" t="s">
        <v>885</v>
      </c>
      <c r="E178" s="14" t="s">
        <v>886</v>
      </c>
      <c r="F178" s="84" t="s">
        <v>887</v>
      </c>
      <c r="G178" s="15" t="s">
        <v>27</v>
      </c>
      <c r="H178" s="16" t="s">
        <v>888</v>
      </c>
      <c r="I178" s="17"/>
      <c r="J178" s="17"/>
      <c r="K178" s="17"/>
      <c r="L178" s="17"/>
      <c r="N178" s="31">
        <v>176</v>
      </c>
      <c r="O178" s="32" t="s">
        <v>889</v>
      </c>
      <c r="P178" s="33" t="s">
        <v>870</v>
      </c>
      <c r="Q178" s="32" t="s">
        <v>32</v>
      </c>
      <c r="R178" s="69">
        <v>44258.878113425926</v>
      </c>
      <c r="S178" s="71">
        <v>44352</v>
      </c>
      <c r="T178" s="32" t="str">
        <f t="shared" si="9"/>
        <v>+6281245266***</v>
      </c>
      <c r="U178" s="32" t="str">
        <f t="shared" ca="1" si="10"/>
        <v>tyre***@yuhuumail.com</v>
      </c>
      <c r="V178" s="32">
        <f t="shared" si="11"/>
        <v>31</v>
      </c>
      <c r="W178" s="36">
        <f t="shared" si="12"/>
        <v>0.02</v>
      </c>
    </row>
    <row r="179" spans="4:23" ht="27" customHeight="1" x14ac:dyDescent="0.25">
      <c r="D179" s="14" t="s">
        <v>890</v>
      </c>
      <c r="E179" s="14" t="s">
        <v>891</v>
      </c>
      <c r="F179" s="84" t="s">
        <v>524</v>
      </c>
      <c r="G179" s="15" t="s">
        <v>27</v>
      </c>
      <c r="H179" s="16" t="s">
        <v>892</v>
      </c>
      <c r="I179" s="17"/>
      <c r="J179" s="17"/>
      <c r="K179" s="17"/>
      <c r="L179" s="17"/>
      <c r="N179" s="31">
        <v>177</v>
      </c>
      <c r="O179" s="32" t="s">
        <v>893</v>
      </c>
      <c r="P179" s="33" t="s">
        <v>875</v>
      </c>
      <c r="Q179" s="32" t="s">
        <v>32</v>
      </c>
      <c r="R179" s="69">
        <v>44258.876550925925</v>
      </c>
      <c r="S179" s="71">
        <v>44352</v>
      </c>
      <c r="T179" s="32" t="str">
        <f t="shared" si="9"/>
        <v>+84223382***</v>
      </c>
      <c r="U179" s="32" t="str">
        <f t="shared" ca="1" si="10"/>
        <v>rile***@yuhuumail.com</v>
      </c>
      <c r="V179" s="32">
        <f t="shared" si="11"/>
        <v>31</v>
      </c>
      <c r="W179" s="36">
        <f t="shared" si="12"/>
        <v>0.02</v>
      </c>
    </row>
    <row r="180" spans="4:23" ht="27" customHeight="1" x14ac:dyDescent="0.25">
      <c r="D180" s="14" t="s">
        <v>894</v>
      </c>
      <c r="E180" s="14" t="s">
        <v>895</v>
      </c>
      <c r="F180" s="84" t="s">
        <v>74</v>
      </c>
      <c r="G180" s="15" t="s">
        <v>68</v>
      </c>
      <c r="H180" s="16" t="s">
        <v>896</v>
      </c>
      <c r="I180" s="17"/>
      <c r="J180" s="17"/>
      <c r="K180" s="17"/>
      <c r="L180" s="17"/>
      <c r="N180" s="31">
        <v>178</v>
      </c>
      <c r="O180" s="32" t="s">
        <v>897</v>
      </c>
      <c r="P180" s="33" t="s">
        <v>870</v>
      </c>
      <c r="Q180" s="32" t="s">
        <v>32</v>
      </c>
      <c r="R180" s="69">
        <v>44258.860324074078</v>
      </c>
      <c r="S180" s="71">
        <v>44362</v>
      </c>
      <c r="T180" s="32" t="str">
        <f t="shared" si="9"/>
        <v>+6282290048***</v>
      </c>
      <c r="U180" s="32" t="str">
        <f t="shared" ca="1" si="10"/>
        <v>sami***@yuhuumail.com</v>
      </c>
      <c r="V180" s="32">
        <f t="shared" si="11"/>
        <v>31</v>
      </c>
      <c r="W180" s="36">
        <f t="shared" si="12"/>
        <v>0.02</v>
      </c>
    </row>
    <row r="181" spans="4:23" ht="27" customHeight="1" x14ac:dyDescent="0.25">
      <c r="D181" s="14" t="s">
        <v>898</v>
      </c>
      <c r="E181" s="14" t="s">
        <v>899</v>
      </c>
      <c r="F181" s="84" t="s">
        <v>900</v>
      </c>
      <c r="G181" s="15" t="s">
        <v>27</v>
      </c>
      <c r="H181" s="16" t="s">
        <v>901</v>
      </c>
      <c r="I181" s="17"/>
      <c r="J181" s="17"/>
      <c r="K181" s="17"/>
      <c r="L181" s="17"/>
      <c r="N181" s="31">
        <v>179</v>
      </c>
      <c r="O181" s="32" t="s">
        <v>902</v>
      </c>
      <c r="P181" s="33" t="s">
        <v>870</v>
      </c>
      <c r="Q181" s="32" t="s">
        <v>32</v>
      </c>
      <c r="R181" s="69">
        <v>44258.882268518515</v>
      </c>
      <c r="S181" s="71">
        <v>44359</v>
      </c>
      <c r="T181" s="32" t="str">
        <f t="shared" si="9"/>
        <v>+6283272092***</v>
      </c>
      <c r="U181" s="32" t="str">
        <f t="shared" ca="1" si="10"/>
        <v>char***@yuhuumail.com</v>
      </c>
      <c r="V181" s="32">
        <f t="shared" si="11"/>
        <v>31</v>
      </c>
      <c r="W181" s="36">
        <f t="shared" si="12"/>
        <v>0.02</v>
      </c>
    </row>
    <row r="182" spans="4:23" ht="27" customHeight="1" x14ac:dyDescent="0.25">
      <c r="D182" s="14" t="s">
        <v>903</v>
      </c>
      <c r="E182" s="14" t="s">
        <v>904</v>
      </c>
      <c r="F182" s="84" t="s">
        <v>280</v>
      </c>
      <c r="G182" s="15" t="s">
        <v>68</v>
      </c>
      <c r="H182" s="16" t="s">
        <v>905</v>
      </c>
      <c r="I182" s="17"/>
      <c r="J182" s="17"/>
      <c r="K182" s="17"/>
      <c r="L182" s="17"/>
      <c r="N182" s="31">
        <v>180</v>
      </c>
      <c r="O182" s="32" t="s">
        <v>906</v>
      </c>
      <c r="P182" s="33" t="s">
        <v>880</v>
      </c>
      <c r="Q182" s="32" t="s">
        <v>32</v>
      </c>
      <c r="R182" s="69">
        <v>44258.861550925925</v>
      </c>
      <c r="S182" s="71">
        <v>44356</v>
      </c>
      <c r="T182" s="32" t="str">
        <f t="shared" si="9"/>
        <v>+82283204***</v>
      </c>
      <c r="U182" s="32" t="str">
        <f t="shared" ca="1" si="10"/>
        <v>cars***@yuhuumail.com</v>
      </c>
      <c r="V182" s="32">
        <f t="shared" si="11"/>
        <v>31</v>
      </c>
      <c r="W182" s="36">
        <f t="shared" si="12"/>
        <v>0.02</v>
      </c>
    </row>
    <row r="183" spans="4:23" ht="27" customHeight="1" x14ac:dyDescent="0.25">
      <c r="D183" s="14" t="s">
        <v>907</v>
      </c>
      <c r="E183" s="14" t="s">
        <v>908</v>
      </c>
      <c r="F183" s="84" t="s">
        <v>909</v>
      </c>
      <c r="G183" s="15" t="s">
        <v>68</v>
      </c>
      <c r="H183" s="16" t="s">
        <v>910</v>
      </c>
      <c r="I183" s="17"/>
      <c r="J183" s="17"/>
      <c r="K183" s="17"/>
      <c r="L183" s="17"/>
      <c r="N183" s="31">
        <v>181</v>
      </c>
      <c r="O183" s="32" t="s">
        <v>911</v>
      </c>
      <c r="P183" s="33" t="s">
        <v>870</v>
      </c>
      <c r="Q183" s="32" t="s">
        <v>32</v>
      </c>
      <c r="R183" s="69">
        <v>44258.898229166669</v>
      </c>
      <c r="S183" s="71">
        <v>44362</v>
      </c>
      <c r="T183" s="32" t="str">
        <f t="shared" si="9"/>
        <v>+83278892***</v>
      </c>
      <c r="U183" s="32" t="str">
        <f t="shared" ca="1" si="10"/>
        <v>ezra***@jossmail.com</v>
      </c>
      <c r="V183" s="32">
        <f t="shared" si="11"/>
        <v>31</v>
      </c>
      <c r="W183" s="36">
        <f t="shared" si="12"/>
        <v>0.02</v>
      </c>
    </row>
    <row r="184" spans="4:23" ht="27" customHeight="1" x14ac:dyDescent="0.25">
      <c r="D184" s="14" t="s">
        <v>912</v>
      </c>
      <c r="E184" s="14" t="s">
        <v>913</v>
      </c>
      <c r="F184" s="84" t="s">
        <v>280</v>
      </c>
      <c r="G184" s="15" t="s">
        <v>68</v>
      </c>
      <c r="H184" s="16" t="s">
        <v>914</v>
      </c>
      <c r="I184" s="17"/>
      <c r="J184" s="17"/>
      <c r="K184" s="17"/>
      <c r="L184" s="17"/>
      <c r="N184" s="31">
        <v>182</v>
      </c>
      <c r="O184" s="32" t="s">
        <v>915</v>
      </c>
      <c r="P184" s="33" t="s">
        <v>875</v>
      </c>
      <c r="Q184" s="32" t="s">
        <v>32</v>
      </c>
      <c r="R184" s="69">
        <v>44258.890335648146</v>
      </c>
      <c r="S184" s="71">
        <v>44352</v>
      </c>
      <c r="T184" s="32" t="str">
        <f t="shared" si="9"/>
        <v>+812 62064***</v>
      </c>
      <c r="U184" s="32" t="str">
        <f t="shared" ca="1" si="10"/>
        <v>gian***@yuhuumail.com</v>
      </c>
      <c r="V184" s="32">
        <f t="shared" si="11"/>
        <v>31</v>
      </c>
      <c r="W184" s="36">
        <f t="shared" si="12"/>
        <v>0.02</v>
      </c>
    </row>
    <row r="185" spans="4:23" ht="27" customHeight="1" x14ac:dyDescent="0.25">
      <c r="D185" s="14" t="s">
        <v>916</v>
      </c>
      <c r="E185" s="14" t="s">
        <v>917</v>
      </c>
      <c r="F185" s="84" t="s">
        <v>46</v>
      </c>
      <c r="G185" s="15" t="s">
        <v>27</v>
      </c>
      <c r="H185" s="16" t="s">
        <v>918</v>
      </c>
      <c r="I185" s="17"/>
      <c r="J185" s="17"/>
      <c r="K185" s="17"/>
      <c r="L185" s="17"/>
      <c r="N185" s="31">
        <v>183</v>
      </c>
      <c r="O185" s="32" t="s">
        <v>919</v>
      </c>
      <c r="P185" s="33" t="s">
        <v>870</v>
      </c>
      <c r="Q185" s="32" t="s">
        <v>32</v>
      </c>
      <c r="R185" s="69">
        <v>44258.903541666667</v>
      </c>
      <c r="S185" s="35">
        <v>44359</v>
      </c>
      <c r="T185" s="32" t="str">
        <f t="shared" si="9"/>
        <v>+083219835***</v>
      </c>
      <c r="U185" s="32" t="str">
        <f t="shared" ca="1" si="10"/>
        <v>roge***@yuhuumail.com</v>
      </c>
      <c r="V185" s="32">
        <f t="shared" si="11"/>
        <v>31</v>
      </c>
      <c r="W185" s="36">
        <f t="shared" si="12"/>
        <v>0.02</v>
      </c>
    </row>
    <row r="186" spans="4:23" ht="27" customHeight="1" x14ac:dyDescent="0.25">
      <c r="D186" s="14" t="s">
        <v>920</v>
      </c>
      <c r="E186" s="14" t="s">
        <v>921</v>
      </c>
      <c r="F186" s="84" t="s">
        <v>67</v>
      </c>
      <c r="G186" s="15" t="s">
        <v>68</v>
      </c>
      <c r="H186" s="16" t="s">
        <v>922</v>
      </c>
      <c r="I186" s="17"/>
      <c r="J186" s="17"/>
      <c r="K186" s="17"/>
      <c r="L186" s="17"/>
      <c r="N186" s="31">
        <v>184</v>
      </c>
      <c r="O186" s="32" t="s">
        <v>923</v>
      </c>
      <c r="P186" s="33" t="s">
        <v>870</v>
      </c>
      <c r="Q186" s="32" t="s">
        <v>32</v>
      </c>
      <c r="R186" s="69">
        <v>43536.541909722226</v>
      </c>
      <c r="S186" s="35">
        <v>44354</v>
      </c>
      <c r="T186" s="32" t="str">
        <f t="shared" si="9"/>
        <v>+0822-22449***</v>
      </c>
      <c r="U186" s="32" t="str">
        <f t="shared" ca="1" si="10"/>
        <v>leon***@jossmail.com</v>
      </c>
      <c r="V186" s="32">
        <f t="shared" si="11"/>
        <v>29</v>
      </c>
      <c r="W186" s="36">
        <f t="shared" si="12"/>
        <v>6.5000000000000002E-2</v>
      </c>
    </row>
    <row r="187" spans="4:23" ht="27" customHeight="1" x14ac:dyDescent="0.25">
      <c r="D187" s="14" t="s">
        <v>924</v>
      </c>
      <c r="E187" s="14" t="s">
        <v>925</v>
      </c>
      <c r="F187" s="84" t="s">
        <v>466</v>
      </c>
      <c r="G187" s="15" t="s">
        <v>27</v>
      </c>
      <c r="H187" s="16" t="s">
        <v>926</v>
      </c>
      <c r="I187" s="17"/>
      <c r="J187" s="17"/>
      <c r="K187" s="17"/>
      <c r="L187" s="17"/>
      <c r="N187" s="31">
        <v>185</v>
      </c>
      <c r="O187" s="32" t="s">
        <v>927</v>
      </c>
      <c r="P187" s="33" t="s">
        <v>880</v>
      </c>
      <c r="Q187" s="32" t="s">
        <v>32</v>
      </c>
      <c r="R187" s="69">
        <v>44258.915509259263</v>
      </c>
      <c r="S187" s="35">
        <v>44340</v>
      </c>
      <c r="T187" s="32" t="str">
        <f t="shared" si="9"/>
        <v>+6284285167***</v>
      </c>
      <c r="U187" s="32" t="str">
        <f t="shared" ca="1" si="10"/>
        <v>curt***@jossmail.com</v>
      </c>
      <c r="V187" s="32">
        <f t="shared" si="11"/>
        <v>31</v>
      </c>
      <c r="W187" s="36">
        <f t="shared" si="12"/>
        <v>0.02</v>
      </c>
    </row>
    <row r="188" spans="4:23" ht="27" customHeight="1" x14ac:dyDescent="0.25">
      <c r="D188" s="14" t="s">
        <v>928</v>
      </c>
      <c r="E188" s="14" t="s">
        <v>929</v>
      </c>
      <c r="F188" s="84" t="s">
        <v>211</v>
      </c>
      <c r="G188" s="15" t="s">
        <v>27</v>
      </c>
      <c r="H188" s="16" t="s">
        <v>930</v>
      </c>
      <c r="I188" s="17"/>
      <c r="J188" s="17"/>
      <c r="K188" s="17"/>
      <c r="L188" s="17"/>
      <c r="N188" s="31">
        <v>186</v>
      </c>
      <c r="O188" s="32" t="s">
        <v>931</v>
      </c>
      <c r="P188" s="33" t="s">
        <v>880</v>
      </c>
      <c r="Q188" s="32" t="s">
        <v>32</v>
      </c>
      <c r="R188" s="69">
        <v>43436.075810185182</v>
      </c>
      <c r="S188" s="35">
        <v>44354</v>
      </c>
      <c r="T188" s="32" t="str">
        <f t="shared" si="9"/>
        <v>+0852-43001***</v>
      </c>
      <c r="U188" s="32" t="str">
        <f t="shared" ca="1" si="10"/>
        <v>andr***@yuhuumail.com</v>
      </c>
      <c r="V188" s="32">
        <f t="shared" si="11"/>
        <v>29</v>
      </c>
      <c r="W188" s="36">
        <f t="shared" si="12"/>
        <v>6.5000000000000002E-2</v>
      </c>
    </row>
    <row r="189" spans="4:23" ht="27" customHeight="1" x14ac:dyDescent="0.25">
      <c r="D189" s="14" t="s">
        <v>932</v>
      </c>
      <c r="E189" s="14" t="s">
        <v>933</v>
      </c>
      <c r="F189" s="84" t="s">
        <v>934</v>
      </c>
      <c r="G189" s="15" t="s">
        <v>27</v>
      </c>
      <c r="H189" s="16" t="s">
        <v>935</v>
      </c>
      <c r="I189" s="17"/>
      <c r="J189" s="17"/>
      <c r="K189" s="17"/>
      <c r="L189" s="17"/>
      <c r="N189" s="31">
        <v>187</v>
      </c>
      <c r="O189" s="32" t="s">
        <v>936</v>
      </c>
      <c r="P189" s="33" t="s">
        <v>880</v>
      </c>
      <c r="Q189" s="32" t="s">
        <v>32</v>
      </c>
      <c r="R189" s="69">
        <v>44258.91846064815</v>
      </c>
      <c r="S189" s="35">
        <v>44354</v>
      </c>
      <c r="T189" s="32" t="str">
        <f t="shared" si="9"/>
        <v>+085259165***</v>
      </c>
      <c r="U189" s="32" t="str">
        <f t="shared" ca="1" si="10"/>
        <v>kyle***@jossmail.com</v>
      </c>
      <c r="V189" s="32">
        <f t="shared" si="11"/>
        <v>31</v>
      </c>
      <c r="W189" s="36">
        <f t="shared" si="12"/>
        <v>0.02</v>
      </c>
    </row>
    <row r="190" spans="4:23" ht="27" customHeight="1" x14ac:dyDescent="0.25">
      <c r="D190" s="14" t="s">
        <v>937</v>
      </c>
      <c r="E190" s="14" t="s">
        <v>938</v>
      </c>
      <c r="F190" s="84" t="s">
        <v>939</v>
      </c>
      <c r="G190" s="15" t="s">
        <v>68</v>
      </c>
      <c r="H190" s="16" t="s">
        <v>940</v>
      </c>
      <c r="I190" s="17"/>
      <c r="J190" s="17"/>
      <c r="K190" s="17"/>
      <c r="L190" s="17"/>
      <c r="N190" s="31">
        <v>188</v>
      </c>
      <c r="O190" s="32" t="s">
        <v>941</v>
      </c>
      <c r="P190" s="33" t="s">
        <v>870</v>
      </c>
      <c r="Q190" s="32" t="s">
        <v>32</v>
      </c>
      <c r="R190" s="69">
        <v>44258.922708333332</v>
      </c>
      <c r="S190" s="35">
        <v>44359</v>
      </c>
      <c r="T190" s="32" t="str">
        <f t="shared" si="9"/>
        <v>+6284211602***</v>
      </c>
      <c r="U190" s="32" t="str">
        <f t="shared" ca="1" si="10"/>
        <v>alma***@jossmail.com</v>
      </c>
      <c r="V190" s="32">
        <f t="shared" si="11"/>
        <v>31</v>
      </c>
      <c r="W190" s="36">
        <f t="shared" si="12"/>
        <v>0.02</v>
      </c>
    </row>
    <row r="191" spans="4:23" ht="27" customHeight="1" x14ac:dyDescent="0.25">
      <c r="D191" s="14" t="s">
        <v>942</v>
      </c>
      <c r="E191" s="14" t="s">
        <v>943</v>
      </c>
      <c r="F191" s="84" t="s">
        <v>719</v>
      </c>
      <c r="G191" s="15" t="s">
        <v>27</v>
      </c>
      <c r="H191" s="16" t="s">
        <v>944</v>
      </c>
      <c r="I191" s="17"/>
      <c r="J191" s="17"/>
      <c r="K191" s="17"/>
      <c r="L191" s="17"/>
      <c r="N191" s="31">
        <v>189</v>
      </c>
      <c r="O191" s="32" t="s">
        <v>945</v>
      </c>
      <c r="P191" s="33" t="s">
        <v>875</v>
      </c>
      <c r="Q191" s="32" t="s">
        <v>32</v>
      </c>
      <c r="R191" s="69">
        <v>44258.790879629632</v>
      </c>
      <c r="S191" s="35">
        <v>44318</v>
      </c>
      <c r="T191" s="32" t="str">
        <f t="shared" si="9"/>
        <v>+82282060***</v>
      </c>
      <c r="U191" s="32" t="str">
        <f t="shared" ca="1" si="10"/>
        <v>beck***@jossmail.com</v>
      </c>
      <c r="V191" s="32">
        <f t="shared" si="11"/>
        <v>31</v>
      </c>
      <c r="W191" s="36">
        <f t="shared" si="12"/>
        <v>0.02</v>
      </c>
    </row>
    <row r="192" spans="4:23" ht="27" customHeight="1" x14ac:dyDescent="0.25">
      <c r="D192" s="14" t="s">
        <v>946</v>
      </c>
      <c r="E192" s="14" t="s">
        <v>947</v>
      </c>
      <c r="F192" s="84" t="s">
        <v>444</v>
      </c>
      <c r="G192" s="15" t="s">
        <v>27</v>
      </c>
      <c r="H192" s="16" t="s">
        <v>948</v>
      </c>
      <c r="I192" s="17"/>
      <c r="J192" s="17"/>
      <c r="K192" s="17"/>
      <c r="L192" s="17"/>
      <c r="N192" s="31">
        <v>190</v>
      </c>
      <c r="O192" s="32" t="s">
        <v>949</v>
      </c>
      <c r="P192" s="33" t="s">
        <v>870</v>
      </c>
      <c r="Q192" s="32" t="s">
        <v>32</v>
      </c>
      <c r="R192" s="69">
        <v>44258.92324074074</v>
      </c>
      <c r="S192" s="35">
        <v>44359</v>
      </c>
      <c r="T192" s="32" t="str">
        <f t="shared" si="9"/>
        <v>+0852 84224***</v>
      </c>
      <c r="U192" s="32" t="str">
        <f t="shared" ca="1" si="10"/>
        <v>jali***@jossmail.com</v>
      </c>
      <c r="V192" s="32">
        <f t="shared" si="11"/>
        <v>31</v>
      </c>
      <c r="W192" s="36">
        <f t="shared" si="12"/>
        <v>0.02</v>
      </c>
    </row>
    <row r="193" spans="4:23" ht="27" customHeight="1" x14ac:dyDescent="0.25">
      <c r="D193" s="14" t="s">
        <v>950</v>
      </c>
      <c r="E193" s="14" t="s">
        <v>951</v>
      </c>
      <c r="F193" s="84" t="s">
        <v>952</v>
      </c>
      <c r="G193" s="15" t="s">
        <v>27</v>
      </c>
      <c r="H193" s="16" t="s">
        <v>953</v>
      </c>
      <c r="I193" s="17"/>
      <c r="J193" s="17"/>
      <c r="K193" s="17"/>
      <c r="L193" s="17"/>
      <c r="N193" s="31">
        <v>191</v>
      </c>
      <c r="O193" s="32" t="s">
        <v>954</v>
      </c>
      <c r="P193" s="33" t="s">
        <v>870</v>
      </c>
      <c r="Q193" s="32" t="s">
        <v>32</v>
      </c>
      <c r="R193" s="69">
        <v>43839.59883101852</v>
      </c>
      <c r="S193" s="35">
        <v>44318</v>
      </c>
      <c r="T193" s="32" t="str">
        <f t="shared" si="9"/>
        <v>+0842 35690***</v>
      </c>
      <c r="U193" s="32" t="str">
        <f t="shared" ca="1" si="10"/>
        <v>tayl***@jossmail.com</v>
      </c>
      <c r="V193" s="32">
        <f t="shared" si="11"/>
        <v>30</v>
      </c>
      <c r="W193" s="36">
        <f t="shared" si="12"/>
        <v>3.5000000000000003E-2</v>
      </c>
    </row>
    <row r="194" spans="4:23" ht="27" customHeight="1" x14ac:dyDescent="0.25">
      <c r="D194" s="14" t="s">
        <v>955</v>
      </c>
      <c r="E194" s="14" t="s">
        <v>956</v>
      </c>
      <c r="F194" s="84" t="s">
        <v>359</v>
      </c>
      <c r="G194" s="15" t="s">
        <v>68</v>
      </c>
      <c r="H194" s="16" t="s">
        <v>957</v>
      </c>
      <c r="I194" s="17"/>
      <c r="J194" s="17"/>
      <c r="K194" s="17"/>
      <c r="L194" s="17"/>
      <c r="N194" s="31">
        <v>192</v>
      </c>
      <c r="O194" s="32" t="s">
        <v>958</v>
      </c>
      <c r="P194" s="33" t="s">
        <v>870</v>
      </c>
      <c r="Q194" s="32" t="s">
        <v>32</v>
      </c>
      <c r="R194" s="69">
        <v>44258.934710648151</v>
      </c>
      <c r="S194" s="35">
        <v>44352</v>
      </c>
      <c r="T194" s="32" t="str">
        <f t="shared" si="9"/>
        <v>+0852-96127***</v>
      </c>
      <c r="U194" s="32" t="str">
        <f t="shared" ca="1" si="10"/>
        <v>brya***@yuhuumail.com</v>
      </c>
      <c r="V194" s="32">
        <f t="shared" si="11"/>
        <v>31</v>
      </c>
      <c r="W194" s="36">
        <f t="shared" si="12"/>
        <v>0.02</v>
      </c>
    </row>
    <row r="195" spans="4:23" ht="27" customHeight="1" x14ac:dyDescent="0.25">
      <c r="D195" s="14" t="s">
        <v>959</v>
      </c>
      <c r="E195" s="14" t="s">
        <v>960</v>
      </c>
      <c r="F195" s="84" t="s">
        <v>627</v>
      </c>
      <c r="G195" s="15" t="s">
        <v>27</v>
      </c>
      <c r="H195" s="16" t="s">
        <v>961</v>
      </c>
      <c r="I195" s="17"/>
      <c r="J195" s="17"/>
      <c r="K195" s="17"/>
      <c r="L195" s="17"/>
      <c r="N195" s="31">
        <v>193</v>
      </c>
      <c r="O195" s="32" t="s">
        <v>962</v>
      </c>
      <c r="P195" s="33" t="s">
        <v>870</v>
      </c>
      <c r="Q195" s="32" t="s">
        <v>32</v>
      </c>
      <c r="R195" s="69">
        <v>43727.880393518521</v>
      </c>
      <c r="S195" s="35">
        <v>44319</v>
      </c>
      <c r="T195" s="32" t="str">
        <f t="shared" si="9"/>
        <v>+85214713***</v>
      </c>
      <c r="U195" s="32" t="str">
        <f t="shared" ca="1" si="10"/>
        <v>sonn***@jossmail.com</v>
      </c>
      <c r="V195" s="32">
        <f t="shared" si="11"/>
        <v>29</v>
      </c>
      <c r="W195" s="36">
        <f t="shared" si="12"/>
        <v>6.5000000000000002E-2</v>
      </c>
    </row>
    <row r="196" spans="4:23" ht="27" customHeight="1" x14ac:dyDescent="0.25">
      <c r="D196" s="14" t="s">
        <v>963</v>
      </c>
      <c r="E196" s="14" t="s">
        <v>964</v>
      </c>
      <c r="F196" s="84" t="s">
        <v>114</v>
      </c>
      <c r="G196" s="15" t="s">
        <v>27</v>
      </c>
      <c r="H196" s="16" t="s">
        <v>965</v>
      </c>
      <c r="I196" s="17"/>
      <c r="J196" s="17"/>
      <c r="K196" s="17"/>
      <c r="L196" s="17"/>
      <c r="N196" s="31">
        <v>194</v>
      </c>
      <c r="O196" s="32" t="s">
        <v>966</v>
      </c>
      <c r="P196" s="33" t="s">
        <v>880</v>
      </c>
      <c r="Q196" s="32" t="s">
        <v>32</v>
      </c>
      <c r="R196" s="69">
        <v>44258.906944444447</v>
      </c>
      <c r="S196" s="35">
        <v>44354</v>
      </c>
      <c r="T196" s="32" t="str">
        <f t="shared" si="9"/>
        <v>+6281252130***</v>
      </c>
      <c r="U196" s="32" t="str">
        <f t="shared" ca="1" si="10"/>
        <v>marg***@yuhuumail.com</v>
      </c>
      <c r="V196" s="32">
        <f t="shared" si="11"/>
        <v>31</v>
      </c>
      <c r="W196" s="36">
        <f t="shared" si="12"/>
        <v>0.02</v>
      </c>
    </row>
    <row r="197" spans="4:23" ht="27" customHeight="1" x14ac:dyDescent="0.25">
      <c r="D197" s="14" t="s">
        <v>967</v>
      </c>
      <c r="E197" s="14" t="s">
        <v>968</v>
      </c>
      <c r="F197" s="84" t="s">
        <v>969</v>
      </c>
      <c r="G197" s="15" t="s">
        <v>27</v>
      </c>
      <c r="H197" s="16" t="s">
        <v>970</v>
      </c>
      <c r="I197" s="17"/>
      <c r="J197" s="17"/>
      <c r="K197" s="17"/>
      <c r="L197" s="17"/>
      <c r="N197" s="31">
        <v>195</v>
      </c>
      <c r="O197" s="32" t="s">
        <v>971</v>
      </c>
      <c r="P197" s="33" t="s">
        <v>870</v>
      </c>
      <c r="Q197" s="32" t="s">
        <v>32</v>
      </c>
      <c r="R197" s="69">
        <v>42706.587013888886</v>
      </c>
      <c r="S197" s="35">
        <v>44362</v>
      </c>
      <c r="T197" s="32" t="str">
        <f t="shared" ref="T197:T260" si="13">"+"&amp;_xlfn.XLOOKUP($O197, $E$2:$E$3002, $H$2:$H$3002, "Not Found")</f>
        <v>+83279898***</v>
      </c>
      <c r="U197" s="32" t="str">
        <f t="shared" ref="U197:U260" ca="1" si="14" xml:space="preserve"> LOWER(LEFT(_xlfn.XLOOKUP($O197, $E$2:$E$3002, $D$2:$D$3002), 4))
  &amp; "***@"
  &amp; IF(RAND()&gt;0.5, "jossmail.com", "yuhuumail.com")</f>
        <v>abig***@yuhuumail.com</v>
      </c>
      <c r="V197" s="32">
        <f t="shared" ref="V197:V260" si="15">DATEDIF(_xlfn.XLOOKUP($O197, $E$2:$E$3002, $F$2:$F$3002), $R197, "Y")</f>
        <v>27</v>
      </c>
      <c r="W197" s="36">
        <f t="shared" ref="W197:W260" si="16">IF(DATEDIF($R197, $S197, "Y") &gt;= 3, 0.025,
   IF(DATEDIF($R197, $S197, "Y") &gt;= 1, 0.015, 0)) +
 IF($V197 &gt;= 50, 0.04,
   IF($V197 &gt;= 40, 0.03,
     IF($V197 &gt;= 30, 0.02,
       IF($V197 &gt;= 20, 0.05, 0))))</f>
        <v>7.5000000000000011E-2</v>
      </c>
    </row>
    <row r="198" spans="4:23" ht="27" customHeight="1" x14ac:dyDescent="0.25">
      <c r="D198" s="14" t="s">
        <v>972</v>
      </c>
      <c r="E198" s="14" t="s">
        <v>973</v>
      </c>
      <c r="F198" s="84" t="s">
        <v>834</v>
      </c>
      <c r="G198" s="15" t="s">
        <v>27</v>
      </c>
      <c r="H198" s="16" t="s">
        <v>974</v>
      </c>
      <c r="I198" s="17"/>
      <c r="J198" s="17"/>
      <c r="K198" s="17"/>
      <c r="L198" s="17"/>
      <c r="N198" s="31">
        <v>196</v>
      </c>
      <c r="O198" s="32" t="s">
        <v>975</v>
      </c>
      <c r="P198" s="33" t="s">
        <v>875</v>
      </c>
      <c r="Q198" s="32" t="s">
        <v>32</v>
      </c>
      <c r="R198" s="69">
        <v>44258.943842592591</v>
      </c>
      <c r="S198" s="35">
        <v>44356</v>
      </c>
      <c r="T198" s="32" t="str">
        <f t="shared" si="13"/>
        <v>+0852 57311***</v>
      </c>
      <c r="U198" s="32" t="str">
        <f t="shared" ca="1" si="14"/>
        <v>just***@jossmail.com</v>
      </c>
      <c r="V198" s="32">
        <f t="shared" si="15"/>
        <v>31</v>
      </c>
      <c r="W198" s="36">
        <f t="shared" si="16"/>
        <v>0.02</v>
      </c>
    </row>
    <row r="199" spans="4:23" ht="27" customHeight="1" x14ac:dyDescent="0.25">
      <c r="D199" s="14" t="s">
        <v>976</v>
      </c>
      <c r="E199" s="14" t="s">
        <v>977</v>
      </c>
      <c r="F199" s="84" t="s">
        <v>592</v>
      </c>
      <c r="G199" s="15" t="s">
        <v>68</v>
      </c>
      <c r="H199" s="16" t="s">
        <v>978</v>
      </c>
      <c r="I199" s="17"/>
      <c r="J199" s="17"/>
      <c r="K199" s="17"/>
      <c r="L199" s="17"/>
      <c r="N199" s="31">
        <v>197</v>
      </c>
      <c r="O199" s="32" t="s">
        <v>979</v>
      </c>
      <c r="P199" s="33" t="s">
        <v>870</v>
      </c>
      <c r="Q199" s="32" t="s">
        <v>32</v>
      </c>
      <c r="R199" s="69">
        <v>44258.937731481485</v>
      </c>
      <c r="S199" s="71">
        <v>44354</v>
      </c>
      <c r="T199" s="32" t="str">
        <f t="shared" si="13"/>
        <v>+0832-90591***</v>
      </c>
      <c r="U199" s="32" t="str">
        <f t="shared" ca="1" si="14"/>
        <v>jaxo***@yuhuumail.com</v>
      </c>
      <c r="V199" s="32">
        <f t="shared" si="15"/>
        <v>31</v>
      </c>
      <c r="W199" s="36">
        <f t="shared" si="16"/>
        <v>0.02</v>
      </c>
    </row>
    <row r="200" spans="4:23" ht="27" customHeight="1" x14ac:dyDescent="0.25">
      <c r="D200" s="14" t="s">
        <v>980</v>
      </c>
      <c r="E200" s="14" t="s">
        <v>981</v>
      </c>
      <c r="F200" s="84" t="s">
        <v>183</v>
      </c>
      <c r="G200" s="15" t="s">
        <v>27</v>
      </c>
      <c r="H200" s="16" t="s">
        <v>982</v>
      </c>
      <c r="I200" s="17"/>
      <c r="J200" s="17"/>
      <c r="K200" s="17"/>
      <c r="L200" s="17"/>
      <c r="N200" s="31">
        <v>198</v>
      </c>
      <c r="O200" s="32" t="s">
        <v>983</v>
      </c>
      <c r="P200" s="33" t="s">
        <v>870</v>
      </c>
      <c r="Q200" s="32" t="s">
        <v>32</v>
      </c>
      <c r="R200" s="69">
        <v>44258.939201388886</v>
      </c>
      <c r="S200" s="71">
        <v>44362</v>
      </c>
      <c r="T200" s="32" t="str">
        <f t="shared" si="13"/>
        <v>+6285265246***</v>
      </c>
      <c r="U200" s="32" t="str">
        <f t="shared" ca="1" si="14"/>
        <v>jayl***@jossmail.com</v>
      </c>
      <c r="V200" s="32">
        <f t="shared" si="15"/>
        <v>31</v>
      </c>
      <c r="W200" s="36">
        <f t="shared" si="16"/>
        <v>0.02</v>
      </c>
    </row>
    <row r="201" spans="4:23" ht="27" customHeight="1" x14ac:dyDescent="0.25">
      <c r="D201" s="14" t="s">
        <v>984</v>
      </c>
      <c r="E201" s="14" t="s">
        <v>985</v>
      </c>
      <c r="F201" s="84" t="s">
        <v>444</v>
      </c>
      <c r="G201" s="15" t="s">
        <v>27</v>
      </c>
      <c r="H201" s="16" t="s">
        <v>986</v>
      </c>
      <c r="I201" s="17"/>
      <c r="J201" s="17"/>
      <c r="K201" s="17"/>
      <c r="L201" s="17"/>
      <c r="N201" s="31">
        <v>199</v>
      </c>
      <c r="O201" s="32" t="s">
        <v>987</v>
      </c>
      <c r="P201" s="33" t="s">
        <v>880</v>
      </c>
      <c r="Q201" s="32" t="s">
        <v>32</v>
      </c>
      <c r="R201" s="69">
        <v>44258.935428240744</v>
      </c>
      <c r="S201" s="71">
        <v>44318</v>
      </c>
      <c r="T201" s="32" t="str">
        <f t="shared" si="13"/>
        <v>+0822-50935***</v>
      </c>
      <c r="U201" s="32" t="str">
        <f t="shared" ca="1" si="14"/>
        <v>carl***@yuhuumail.com</v>
      </c>
      <c r="V201" s="32">
        <f t="shared" si="15"/>
        <v>31</v>
      </c>
      <c r="W201" s="36">
        <f t="shared" si="16"/>
        <v>0.02</v>
      </c>
    </row>
    <row r="202" spans="4:23" ht="27" customHeight="1" x14ac:dyDescent="0.25">
      <c r="D202" s="14" t="s">
        <v>988</v>
      </c>
      <c r="E202" s="14" t="s">
        <v>989</v>
      </c>
      <c r="F202" s="84" t="s">
        <v>561</v>
      </c>
      <c r="G202" s="15" t="s">
        <v>27</v>
      </c>
      <c r="H202" s="16" t="s">
        <v>990</v>
      </c>
      <c r="I202" s="17"/>
      <c r="J202" s="17"/>
      <c r="K202" s="17"/>
      <c r="L202" s="17"/>
      <c r="N202" s="31">
        <v>200</v>
      </c>
      <c r="O202" s="32" t="s">
        <v>991</v>
      </c>
      <c r="P202" s="33" t="s">
        <v>875</v>
      </c>
      <c r="Q202" s="32" t="s">
        <v>32</v>
      </c>
      <c r="R202" s="69">
        <v>44258.949374999997</v>
      </c>
      <c r="S202" s="71">
        <v>44352</v>
      </c>
      <c r="T202" s="32" t="str">
        <f t="shared" si="13"/>
        <v>+0812 88953***</v>
      </c>
      <c r="U202" s="32" t="str">
        <f t="shared" ca="1" si="14"/>
        <v>josu***@yuhuumail.com</v>
      </c>
      <c r="V202" s="32">
        <f t="shared" si="15"/>
        <v>30</v>
      </c>
      <c r="W202" s="36">
        <f t="shared" si="16"/>
        <v>0.02</v>
      </c>
    </row>
    <row r="203" spans="4:23" ht="27" customHeight="1" x14ac:dyDescent="0.25">
      <c r="D203" s="14" t="s">
        <v>992</v>
      </c>
      <c r="E203" s="14" t="s">
        <v>993</v>
      </c>
      <c r="F203" s="84" t="s">
        <v>129</v>
      </c>
      <c r="G203" s="15" t="s">
        <v>68</v>
      </c>
      <c r="H203" s="16" t="s">
        <v>994</v>
      </c>
      <c r="I203" s="17"/>
      <c r="J203" s="17"/>
      <c r="K203" s="17"/>
      <c r="L203" s="17"/>
      <c r="N203" s="31">
        <v>201</v>
      </c>
      <c r="O203" s="32" t="s">
        <v>995</v>
      </c>
      <c r="P203" s="33" t="s">
        <v>880</v>
      </c>
      <c r="Q203" s="32" t="s">
        <v>32</v>
      </c>
      <c r="R203" s="69">
        <v>44258.931006944447</v>
      </c>
      <c r="S203" s="71">
        <v>44359</v>
      </c>
      <c r="T203" s="32" t="str">
        <f t="shared" si="13"/>
        <v>+82256018***</v>
      </c>
      <c r="U203" s="32" t="str">
        <f t="shared" ca="1" si="14"/>
        <v>sema***@jossmail.com</v>
      </c>
      <c r="V203" s="32">
        <f t="shared" si="15"/>
        <v>30</v>
      </c>
      <c r="W203" s="36">
        <f t="shared" si="16"/>
        <v>0.02</v>
      </c>
    </row>
    <row r="204" spans="4:23" ht="27" customHeight="1" x14ac:dyDescent="0.25">
      <c r="D204" s="14" t="s">
        <v>996</v>
      </c>
      <c r="E204" s="14" t="s">
        <v>997</v>
      </c>
      <c r="F204" s="84" t="s">
        <v>710</v>
      </c>
      <c r="G204" s="15" t="s">
        <v>27</v>
      </c>
      <c r="H204" s="16" t="s">
        <v>998</v>
      </c>
      <c r="I204" s="17"/>
      <c r="J204" s="17"/>
      <c r="K204" s="17"/>
      <c r="L204" s="17"/>
      <c r="N204" s="31">
        <v>202</v>
      </c>
      <c r="O204" s="32" t="s">
        <v>999</v>
      </c>
      <c r="P204" s="33" t="s">
        <v>875</v>
      </c>
      <c r="Q204" s="32" t="s">
        <v>32</v>
      </c>
      <c r="R204" s="69">
        <v>44258.942893518521</v>
      </c>
      <c r="S204" s="71">
        <v>44362</v>
      </c>
      <c r="T204" s="32" t="str">
        <f t="shared" si="13"/>
        <v>+084294567***</v>
      </c>
      <c r="U204" s="32" t="str">
        <f t="shared" ca="1" si="14"/>
        <v>kamo***@yuhuumail.com</v>
      </c>
      <c r="V204" s="32">
        <f t="shared" si="15"/>
        <v>30</v>
      </c>
      <c r="W204" s="36">
        <f t="shared" si="16"/>
        <v>0.02</v>
      </c>
    </row>
    <row r="205" spans="4:23" ht="27" customHeight="1" x14ac:dyDescent="0.25">
      <c r="D205" s="14" t="s">
        <v>1000</v>
      </c>
      <c r="E205" s="14" t="s">
        <v>1001</v>
      </c>
      <c r="F205" s="84" t="s">
        <v>597</v>
      </c>
      <c r="G205" s="15" t="s">
        <v>27</v>
      </c>
      <c r="H205" s="16" t="s">
        <v>1002</v>
      </c>
      <c r="I205" s="17"/>
      <c r="J205" s="17"/>
      <c r="K205" s="17"/>
      <c r="L205" s="17"/>
      <c r="N205" s="31">
        <v>203</v>
      </c>
      <c r="O205" s="32" t="s">
        <v>1003</v>
      </c>
      <c r="P205" s="33" t="s">
        <v>870</v>
      </c>
      <c r="Q205" s="32" t="s">
        <v>32</v>
      </c>
      <c r="R205" s="69">
        <v>44258.923356481479</v>
      </c>
      <c r="S205" s="71">
        <v>44356</v>
      </c>
      <c r="T205" s="32" t="str">
        <f t="shared" si="13"/>
        <v>+0822-12720***</v>
      </c>
      <c r="U205" s="32" t="str">
        <f t="shared" ca="1" si="14"/>
        <v>emil***@yuhuumail.com</v>
      </c>
      <c r="V205" s="32">
        <f t="shared" si="15"/>
        <v>30</v>
      </c>
      <c r="W205" s="36">
        <f t="shared" si="16"/>
        <v>0.02</v>
      </c>
    </row>
    <row r="206" spans="4:23" ht="27" customHeight="1" x14ac:dyDescent="0.25">
      <c r="D206" s="14" t="s">
        <v>1004</v>
      </c>
      <c r="E206" s="14" t="s">
        <v>1005</v>
      </c>
      <c r="F206" s="84" t="s">
        <v>46</v>
      </c>
      <c r="G206" s="15" t="s">
        <v>27</v>
      </c>
      <c r="H206" s="16" t="s">
        <v>1006</v>
      </c>
      <c r="I206" s="17"/>
      <c r="J206" s="17"/>
      <c r="K206" s="17"/>
      <c r="L206" s="17"/>
      <c r="N206" s="31">
        <v>204</v>
      </c>
      <c r="O206" s="32" t="s">
        <v>1007</v>
      </c>
      <c r="P206" s="33" t="s">
        <v>875</v>
      </c>
      <c r="Q206" s="32" t="s">
        <v>32</v>
      </c>
      <c r="R206" s="69">
        <v>44258.950486111113</v>
      </c>
      <c r="S206" s="71">
        <v>44352</v>
      </c>
      <c r="T206" s="32" t="str">
        <f t="shared" si="13"/>
        <v>+6281221437***</v>
      </c>
      <c r="U206" s="32" t="str">
        <f t="shared" ca="1" si="14"/>
        <v>cour***@jossmail.com</v>
      </c>
      <c r="V206" s="32">
        <f t="shared" si="15"/>
        <v>30</v>
      </c>
      <c r="W206" s="36">
        <f t="shared" si="16"/>
        <v>0.02</v>
      </c>
    </row>
    <row r="207" spans="4:23" ht="27" customHeight="1" x14ac:dyDescent="0.25">
      <c r="D207" s="14" t="s">
        <v>1008</v>
      </c>
      <c r="E207" s="14" t="s">
        <v>1009</v>
      </c>
      <c r="F207" s="84" t="s">
        <v>194</v>
      </c>
      <c r="G207" s="15" t="s">
        <v>27</v>
      </c>
      <c r="H207" s="16" t="s">
        <v>1010</v>
      </c>
      <c r="I207" s="17"/>
      <c r="J207" s="17"/>
      <c r="K207" s="17"/>
      <c r="L207" s="17"/>
      <c r="N207" s="31">
        <v>205</v>
      </c>
      <c r="O207" s="32" t="s">
        <v>1011</v>
      </c>
      <c r="P207" s="33" t="s">
        <v>880</v>
      </c>
      <c r="Q207" s="32" t="s">
        <v>32</v>
      </c>
      <c r="R207" s="69">
        <v>44258.957569444443</v>
      </c>
      <c r="S207" s="71">
        <v>44359</v>
      </c>
      <c r="T207" s="32" t="str">
        <f t="shared" si="13"/>
        <v>+0842-11837***</v>
      </c>
      <c r="U207" s="32" t="str">
        <f t="shared" ca="1" si="14"/>
        <v>tayl***@jossmail.com</v>
      </c>
      <c r="V207" s="32">
        <f t="shared" si="15"/>
        <v>30</v>
      </c>
      <c r="W207" s="36">
        <f t="shared" si="16"/>
        <v>0.02</v>
      </c>
    </row>
    <row r="208" spans="4:23" ht="27" customHeight="1" x14ac:dyDescent="0.25">
      <c r="D208" s="14" t="s">
        <v>1012</v>
      </c>
      <c r="E208" s="14" t="s">
        <v>1013</v>
      </c>
      <c r="F208" s="84" t="s">
        <v>359</v>
      </c>
      <c r="G208" s="15" t="s">
        <v>27</v>
      </c>
      <c r="H208" s="16" t="s">
        <v>1014</v>
      </c>
      <c r="I208" s="17"/>
      <c r="J208" s="17"/>
      <c r="K208" s="17"/>
      <c r="L208" s="17"/>
      <c r="N208" s="31">
        <v>206</v>
      </c>
      <c r="O208" s="32" t="s">
        <v>1015</v>
      </c>
      <c r="P208" s="33" t="s">
        <v>880</v>
      </c>
      <c r="Q208" s="32" t="s">
        <v>32</v>
      </c>
      <c r="R208" s="69">
        <v>44258.953981481478</v>
      </c>
      <c r="S208" s="71">
        <v>44354</v>
      </c>
      <c r="T208" s="32" t="str">
        <f t="shared" si="13"/>
        <v>+0842 97871***</v>
      </c>
      <c r="U208" s="32" t="str">
        <f t="shared" ca="1" si="14"/>
        <v>leeh***@yuhuumail.com</v>
      </c>
      <c r="V208" s="32">
        <f t="shared" si="15"/>
        <v>30</v>
      </c>
      <c r="W208" s="36">
        <f t="shared" si="16"/>
        <v>0.02</v>
      </c>
    </row>
    <row r="209" spans="4:23" ht="27" customHeight="1" x14ac:dyDescent="0.25">
      <c r="D209" s="14" t="s">
        <v>1016</v>
      </c>
      <c r="E209" s="14" t="s">
        <v>1017</v>
      </c>
      <c r="F209" s="84" t="s">
        <v>316</v>
      </c>
      <c r="G209" s="15" t="s">
        <v>68</v>
      </c>
      <c r="H209" s="16" t="s">
        <v>1018</v>
      </c>
      <c r="I209" s="17"/>
      <c r="J209" s="17"/>
      <c r="K209" s="17"/>
      <c r="L209" s="17"/>
      <c r="N209" s="31">
        <v>207</v>
      </c>
      <c r="O209" s="32" t="s">
        <v>586</v>
      </c>
      <c r="P209" s="33" t="s">
        <v>880</v>
      </c>
      <c r="Q209" s="32" t="s">
        <v>32</v>
      </c>
      <c r="R209" s="69">
        <v>43931.943761574075</v>
      </c>
      <c r="S209" s="71">
        <v>44356</v>
      </c>
      <c r="T209" s="32" t="str">
        <f t="shared" si="13"/>
        <v>+82258116***</v>
      </c>
      <c r="U209" s="32" t="str">
        <f t="shared" ca="1" si="14"/>
        <v>ross***@jossmail.com</v>
      </c>
      <c r="V209" s="32">
        <f t="shared" si="15"/>
        <v>29</v>
      </c>
      <c r="W209" s="36">
        <f t="shared" si="16"/>
        <v>6.5000000000000002E-2</v>
      </c>
    </row>
    <row r="210" spans="4:23" ht="27" customHeight="1" x14ac:dyDescent="0.25">
      <c r="D210" s="14" t="s">
        <v>1019</v>
      </c>
      <c r="E210" s="14" t="s">
        <v>1020</v>
      </c>
      <c r="F210" s="84" t="s">
        <v>114</v>
      </c>
      <c r="G210" s="15" t="s">
        <v>27</v>
      </c>
      <c r="H210" s="16" t="s">
        <v>1021</v>
      </c>
      <c r="I210" s="17"/>
      <c r="J210" s="17"/>
      <c r="K210" s="17"/>
      <c r="L210" s="17"/>
      <c r="N210" s="31">
        <v>208</v>
      </c>
      <c r="O210" s="32" t="s">
        <v>1022</v>
      </c>
      <c r="P210" s="33" t="s">
        <v>880</v>
      </c>
      <c r="Q210" s="32" t="s">
        <v>32</v>
      </c>
      <c r="R210" s="69">
        <v>44258.963171296295</v>
      </c>
      <c r="S210" s="71">
        <v>44320</v>
      </c>
      <c r="T210" s="32" t="str">
        <f t="shared" si="13"/>
        <v>+0832-20093***</v>
      </c>
      <c r="U210" s="32" t="str">
        <f t="shared" ca="1" si="14"/>
        <v>cara***@jossmail.com</v>
      </c>
      <c r="V210" s="32">
        <f t="shared" si="15"/>
        <v>30</v>
      </c>
      <c r="W210" s="36">
        <f t="shared" si="16"/>
        <v>0.02</v>
      </c>
    </row>
    <row r="211" spans="4:23" ht="27" customHeight="1" x14ac:dyDescent="0.25">
      <c r="D211" s="14" t="s">
        <v>1023</v>
      </c>
      <c r="E211" s="14" t="s">
        <v>1024</v>
      </c>
      <c r="F211" s="84" t="s">
        <v>533</v>
      </c>
      <c r="G211" s="15" t="s">
        <v>27</v>
      </c>
      <c r="H211" s="16" t="s">
        <v>1025</v>
      </c>
      <c r="I211" s="17"/>
      <c r="J211" s="17"/>
      <c r="K211" s="17"/>
      <c r="L211" s="17"/>
      <c r="N211" s="31">
        <v>209</v>
      </c>
      <c r="O211" s="32" t="s">
        <v>1026</v>
      </c>
      <c r="P211" s="33" t="s">
        <v>880</v>
      </c>
      <c r="Q211" s="32" t="s">
        <v>32</v>
      </c>
      <c r="R211" s="69">
        <v>44258.960011574076</v>
      </c>
      <c r="S211" s="71">
        <v>44355</v>
      </c>
      <c r="T211" s="32" t="str">
        <f t="shared" si="13"/>
        <v>+0842 77249***</v>
      </c>
      <c r="U211" s="32" t="str">
        <f t="shared" ca="1" si="14"/>
        <v>ally***@yuhuumail.com</v>
      </c>
      <c r="V211" s="32">
        <f t="shared" si="15"/>
        <v>30</v>
      </c>
      <c r="W211" s="36">
        <f t="shared" si="16"/>
        <v>0.02</v>
      </c>
    </row>
    <row r="212" spans="4:23" ht="27" customHeight="1" x14ac:dyDescent="0.25">
      <c r="D212" s="14" t="s">
        <v>1027</v>
      </c>
      <c r="E212" s="14" t="s">
        <v>1028</v>
      </c>
      <c r="F212" s="84" t="s">
        <v>1029</v>
      </c>
      <c r="G212" s="15" t="s">
        <v>27</v>
      </c>
      <c r="H212" s="16" t="s">
        <v>1030</v>
      </c>
      <c r="I212" s="17"/>
      <c r="J212" s="17"/>
      <c r="K212" s="17"/>
      <c r="L212" s="17"/>
      <c r="N212" s="31">
        <v>210</v>
      </c>
      <c r="O212" s="32" t="s">
        <v>1031</v>
      </c>
      <c r="P212" s="33" t="s">
        <v>870</v>
      </c>
      <c r="Q212" s="32" t="s">
        <v>32</v>
      </c>
      <c r="R212" s="69">
        <v>44258.96025462963</v>
      </c>
      <c r="S212" s="71">
        <v>44318</v>
      </c>
      <c r="T212" s="32" t="str">
        <f t="shared" si="13"/>
        <v>+82254804***</v>
      </c>
      <c r="U212" s="32" t="str">
        <f t="shared" ca="1" si="14"/>
        <v>matt***@yuhuumail.com</v>
      </c>
      <c r="V212" s="32">
        <f t="shared" si="15"/>
        <v>30</v>
      </c>
      <c r="W212" s="36">
        <f t="shared" si="16"/>
        <v>0.02</v>
      </c>
    </row>
    <row r="213" spans="4:23" ht="27" customHeight="1" x14ac:dyDescent="0.25">
      <c r="D213" s="14" t="s">
        <v>1032</v>
      </c>
      <c r="E213" s="14" t="s">
        <v>1033</v>
      </c>
      <c r="F213" s="84" t="s">
        <v>602</v>
      </c>
      <c r="G213" s="15" t="s">
        <v>27</v>
      </c>
      <c r="H213" s="16" t="s">
        <v>1034</v>
      </c>
      <c r="I213" s="17"/>
      <c r="J213" s="17"/>
      <c r="K213" s="17"/>
      <c r="L213" s="17"/>
      <c r="N213" s="31">
        <v>211</v>
      </c>
      <c r="O213" s="32" t="s">
        <v>1035</v>
      </c>
      <c r="P213" s="33" t="s">
        <v>870</v>
      </c>
      <c r="Q213" s="32" t="s">
        <v>32</v>
      </c>
      <c r="R213" s="69">
        <v>43038.336712962962</v>
      </c>
      <c r="S213" s="71">
        <v>44354</v>
      </c>
      <c r="T213" s="32" t="str">
        <f t="shared" si="13"/>
        <v>+6282252807***</v>
      </c>
      <c r="U213" s="32" t="str">
        <f t="shared" ca="1" si="14"/>
        <v>cole***@jossmail.com</v>
      </c>
      <c r="V213" s="32">
        <f t="shared" si="15"/>
        <v>27</v>
      </c>
      <c r="W213" s="36">
        <f t="shared" si="16"/>
        <v>7.5000000000000011E-2</v>
      </c>
    </row>
    <row r="214" spans="4:23" ht="27" customHeight="1" x14ac:dyDescent="0.25">
      <c r="D214" s="14" t="s">
        <v>1036</v>
      </c>
      <c r="E214" s="14" t="s">
        <v>71</v>
      </c>
      <c r="F214" s="84" t="s">
        <v>1037</v>
      </c>
      <c r="G214" s="15" t="s">
        <v>68</v>
      </c>
      <c r="H214" s="16" t="s">
        <v>1038</v>
      </c>
      <c r="I214" s="17"/>
      <c r="J214" s="17"/>
      <c r="K214" s="17"/>
      <c r="L214" s="17"/>
      <c r="N214" s="31">
        <v>212</v>
      </c>
      <c r="O214" s="32" t="s">
        <v>1039</v>
      </c>
      <c r="P214" s="33" t="s">
        <v>870</v>
      </c>
      <c r="Q214" s="32" t="s">
        <v>32</v>
      </c>
      <c r="R214" s="69">
        <v>44258.968958333331</v>
      </c>
      <c r="S214" s="71">
        <v>44356</v>
      </c>
      <c r="T214" s="32" t="str">
        <f t="shared" si="13"/>
        <v>+0842-14276***</v>
      </c>
      <c r="U214" s="32" t="str">
        <f t="shared" ca="1" si="14"/>
        <v>asap***@jossmail.com</v>
      </c>
      <c r="V214" s="32">
        <f t="shared" si="15"/>
        <v>30</v>
      </c>
      <c r="W214" s="36">
        <f t="shared" si="16"/>
        <v>0.02</v>
      </c>
    </row>
    <row r="215" spans="4:23" ht="27" customHeight="1" x14ac:dyDescent="0.25">
      <c r="D215" s="14" t="s">
        <v>1040</v>
      </c>
      <c r="E215" s="14" t="s">
        <v>1041</v>
      </c>
      <c r="F215" s="84" t="s">
        <v>444</v>
      </c>
      <c r="G215" s="15" t="s">
        <v>27</v>
      </c>
      <c r="H215" s="16" t="s">
        <v>1042</v>
      </c>
      <c r="I215" s="17"/>
      <c r="J215" s="17"/>
      <c r="K215" s="17"/>
      <c r="L215" s="17"/>
      <c r="N215" s="31">
        <v>213</v>
      </c>
      <c r="O215" s="32" t="s">
        <v>1043</v>
      </c>
      <c r="P215" s="33" t="s">
        <v>880</v>
      </c>
      <c r="Q215" s="32" t="s">
        <v>32</v>
      </c>
      <c r="R215" s="69">
        <v>44258.970023148147</v>
      </c>
      <c r="S215" s="71">
        <v>44320</v>
      </c>
      <c r="T215" s="32" t="str">
        <f t="shared" si="13"/>
        <v>+0812-90084***</v>
      </c>
      <c r="U215" s="32" t="str">
        <f t="shared" ca="1" si="14"/>
        <v>shau***@yuhuumail.com</v>
      </c>
      <c r="V215" s="32">
        <f t="shared" si="15"/>
        <v>30</v>
      </c>
      <c r="W215" s="36">
        <f t="shared" si="16"/>
        <v>0.02</v>
      </c>
    </row>
    <row r="216" spans="4:23" ht="27" customHeight="1" x14ac:dyDescent="0.25">
      <c r="D216" s="14" t="s">
        <v>1044</v>
      </c>
      <c r="E216" s="14" t="s">
        <v>1045</v>
      </c>
      <c r="F216" s="84" t="s">
        <v>316</v>
      </c>
      <c r="G216" s="15" t="s">
        <v>27</v>
      </c>
      <c r="H216" s="16" t="s">
        <v>1046</v>
      </c>
      <c r="I216" s="17"/>
      <c r="J216" s="17"/>
      <c r="K216" s="17"/>
      <c r="L216" s="17"/>
      <c r="N216" s="31">
        <v>214</v>
      </c>
      <c r="O216" s="32" t="s">
        <v>1047</v>
      </c>
      <c r="P216" s="33" t="s">
        <v>875</v>
      </c>
      <c r="Q216" s="32" t="s">
        <v>32</v>
      </c>
      <c r="R216" s="69">
        <v>44258.9690162037</v>
      </c>
      <c r="S216" s="71">
        <v>44356</v>
      </c>
      <c r="T216" s="32" t="str">
        <f t="shared" si="13"/>
        <v>+0812-36104***</v>
      </c>
      <c r="U216" s="32" t="str">
        <f t="shared" ca="1" si="14"/>
        <v>mika***@yuhuumail.com</v>
      </c>
      <c r="V216" s="32">
        <f t="shared" si="15"/>
        <v>30</v>
      </c>
      <c r="W216" s="36">
        <f t="shared" si="16"/>
        <v>0.02</v>
      </c>
    </row>
    <row r="217" spans="4:23" ht="27" customHeight="1" x14ac:dyDescent="0.25">
      <c r="D217" s="14" t="s">
        <v>1048</v>
      </c>
      <c r="E217" s="14" t="s">
        <v>1049</v>
      </c>
      <c r="F217" s="84" t="s">
        <v>508</v>
      </c>
      <c r="G217" s="15" t="s">
        <v>27</v>
      </c>
      <c r="H217" s="16" t="s">
        <v>1050</v>
      </c>
      <c r="I217" s="17"/>
      <c r="J217" s="17"/>
      <c r="K217" s="17"/>
      <c r="L217" s="17"/>
      <c r="N217" s="31">
        <v>215</v>
      </c>
      <c r="O217" s="32" t="s">
        <v>1051</v>
      </c>
      <c r="P217" s="33" t="s">
        <v>870</v>
      </c>
      <c r="Q217" s="32" t="s">
        <v>32</v>
      </c>
      <c r="R217" s="69">
        <v>44258.741990740738</v>
      </c>
      <c r="S217" s="71">
        <v>44320</v>
      </c>
      <c r="T217" s="32" t="str">
        <f t="shared" si="13"/>
        <v>+81264985***</v>
      </c>
      <c r="U217" s="32" t="str">
        <f t="shared" ca="1" si="14"/>
        <v>samb***@jossmail.com</v>
      </c>
      <c r="V217" s="32">
        <f t="shared" si="15"/>
        <v>30</v>
      </c>
      <c r="W217" s="36">
        <f t="shared" si="16"/>
        <v>0.02</v>
      </c>
    </row>
    <row r="218" spans="4:23" ht="27" customHeight="1" x14ac:dyDescent="0.25">
      <c r="D218" s="14" t="s">
        <v>1052</v>
      </c>
      <c r="E218" s="14" t="s">
        <v>1053</v>
      </c>
      <c r="F218" s="84" t="s">
        <v>407</v>
      </c>
      <c r="G218" s="15" t="s">
        <v>27</v>
      </c>
      <c r="H218" s="16" t="s">
        <v>1054</v>
      </c>
      <c r="I218" s="17"/>
      <c r="J218" s="17"/>
      <c r="K218" s="17"/>
      <c r="L218" s="17"/>
      <c r="N218" s="31">
        <v>216</v>
      </c>
      <c r="O218" s="32" t="s">
        <v>1055</v>
      </c>
      <c r="P218" s="33" t="s">
        <v>880</v>
      </c>
      <c r="Q218" s="32" t="s">
        <v>32</v>
      </c>
      <c r="R218" s="69">
        <v>44258.957789351851</v>
      </c>
      <c r="S218" s="71">
        <v>44354</v>
      </c>
      <c r="T218" s="32" t="str">
        <f t="shared" si="13"/>
        <v>+6284277634***</v>
      </c>
      <c r="U218" s="32" t="str">
        <f t="shared" ca="1" si="14"/>
        <v>alli***@jossmail.com</v>
      </c>
      <c r="V218" s="32">
        <f t="shared" si="15"/>
        <v>30</v>
      </c>
      <c r="W218" s="36">
        <f t="shared" si="16"/>
        <v>0.02</v>
      </c>
    </row>
    <row r="219" spans="4:23" ht="27" customHeight="1" x14ac:dyDescent="0.25">
      <c r="D219" s="14" t="s">
        <v>1056</v>
      </c>
      <c r="E219" s="14" t="s">
        <v>1057</v>
      </c>
      <c r="F219" s="84" t="s">
        <v>592</v>
      </c>
      <c r="G219" s="15" t="s">
        <v>27</v>
      </c>
      <c r="H219" s="16" t="s">
        <v>1058</v>
      </c>
      <c r="I219" s="17"/>
      <c r="J219" s="17"/>
      <c r="K219" s="17"/>
      <c r="L219" s="17"/>
      <c r="N219" s="31">
        <v>217</v>
      </c>
      <c r="O219" s="32" t="s">
        <v>1059</v>
      </c>
      <c r="P219" s="33" t="s">
        <v>875</v>
      </c>
      <c r="Q219" s="32" t="s">
        <v>32</v>
      </c>
      <c r="R219" s="69">
        <v>44237.080636574072</v>
      </c>
      <c r="S219" s="35">
        <v>44318</v>
      </c>
      <c r="T219" s="32" t="str">
        <f t="shared" si="13"/>
        <v>+0822 78093***</v>
      </c>
      <c r="U219" s="32" t="str">
        <f t="shared" ca="1" si="14"/>
        <v>jane***@jossmail.com</v>
      </c>
      <c r="V219" s="32">
        <f t="shared" si="15"/>
        <v>30</v>
      </c>
      <c r="W219" s="36">
        <f t="shared" si="16"/>
        <v>0.02</v>
      </c>
    </row>
    <row r="220" spans="4:23" ht="27" customHeight="1" x14ac:dyDescent="0.25">
      <c r="D220" s="14" t="s">
        <v>1060</v>
      </c>
      <c r="E220" s="14" t="s">
        <v>1061</v>
      </c>
      <c r="F220" s="84" t="s">
        <v>485</v>
      </c>
      <c r="G220" s="15" t="s">
        <v>27</v>
      </c>
      <c r="H220" s="16" t="s">
        <v>1062</v>
      </c>
      <c r="I220" s="17"/>
      <c r="J220" s="17"/>
      <c r="K220" s="17"/>
      <c r="L220" s="17"/>
      <c r="N220" s="31">
        <v>218</v>
      </c>
      <c r="O220" s="32" t="s">
        <v>763</v>
      </c>
      <c r="P220" s="33" t="s">
        <v>870</v>
      </c>
      <c r="Q220" s="32" t="s">
        <v>32</v>
      </c>
      <c r="R220" s="69">
        <v>44258.886446759258</v>
      </c>
      <c r="S220" s="35">
        <v>44352</v>
      </c>
      <c r="T220" s="32" t="str">
        <f t="shared" si="13"/>
        <v>+0812-82494***</v>
      </c>
      <c r="U220" s="32" t="str">
        <f t="shared" ca="1" si="14"/>
        <v>maka***@yuhuumail.com</v>
      </c>
      <c r="V220" s="32">
        <f t="shared" si="15"/>
        <v>30</v>
      </c>
      <c r="W220" s="36">
        <f t="shared" si="16"/>
        <v>0.02</v>
      </c>
    </row>
    <row r="221" spans="4:23" ht="27" customHeight="1" x14ac:dyDescent="0.25">
      <c r="D221" s="14" t="s">
        <v>1063</v>
      </c>
      <c r="E221" s="14" t="s">
        <v>1064</v>
      </c>
      <c r="F221" s="84" t="s">
        <v>653</v>
      </c>
      <c r="G221" s="15" t="s">
        <v>27</v>
      </c>
      <c r="H221" s="16" t="s">
        <v>1065</v>
      </c>
      <c r="I221" s="17"/>
      <c r="J221" s="17"/>
      <c r="K221" s="17"/>
      <c r="L221" s="17"/>
      <c r="N221" s="31">
        <v>219</v>
      </c>
      <c r="O221" s="32" t="s">
        <v>1066</v>
      </c>
      <c r="P221" s="33" t="s">
        <v>870</v>
      </c>
      <c r="Q221" s="32" t="s">
        <v>32</v>
      </c>
      <c r="R221" s="69">
        <v>44258.991226851853</v>
      </c>
      <c r="S221" s="35">
        <v>44362</v>
      </c>
      <c r="T221" s="32" t="str">
        <f t="shared" si="13"/>
        <v>+0812-83881***</v>
      </c>
      <c r="U221" s="32" t="str">
        <f t="shared" ca="1" si="14"/>
        <v>kayl***@jossmail.com</v>
      </c>
      <c r="V221" s="32">
        <f t="shared" si="15"/>
        <v>30</v>
      </c>
      <c r="W221" s="36">
        <f t="shared" si="16"/>
        <v>0.02</v>
      </c>
    </row>
    <row r="222" spans="4:23" ht="27" customHeight="1" x14ac:dyDescent="0.25">
      <c r="D222" s="14" t="s">
        <v>1067</v>
      </c>
      <c r="E222" s="14" t="s">
        <v>1068</v>
      </c>
      <c r="F222" s="84" t="s">
        <v>200</v>
      </c>
      <c r="G222" s="15" t="s">
        <v>27</v>
      </c>
      <c r="H222" s="16" t="s">
        <v>1069</v>
      </c>
      <c r="I222" s="17"/>
      <c r="J222" s="17"/>
      <c r="K222" s="17"/>
      <c r="L222" s="17"/>
      <c r="N222" s="31">
        <v>220</v>
      </c>
      <c r="O222" s="32" t="s">
        <v>1070</v>
      </c>
      <c r="P222" s="33" t="s">
        <v>870</v>
      </c>
      <c r="Q222" s="32" t="s">
        <v>32</v>
      </c>
      <c r="R222" s="69">
        <v>44258.920266203706</v>
      </c>
      <c r="S222" s="35">
        <v>44352</v>
      </c>
      <c r="T222" s="32" t="str">
        <f t="shared" si="13"/>
        <v>+084236802***</v>
      </c>
      <c r="U222" s="32" t="str">
        <f t="shared" ca="1" si="14"/>
        <v>sher***@yuhuumail.com</v>
      </c>
      <c r="V222" s="32">
        <f t="shared" si="15"/>
        <v>30</v>
      </c>
      <c r="W222" s="36">
        <f t="shared" si="16"/>
        <v>0.02</v>
      </c>
    </row>
    <row r="223" spans="4:23" ht="27" customHeight="1" x14ac:dyDescent="0.25">
      <c r="D223" s="14" t="s">
        <v>1071</v>
      </c>
      <c r="E223" s="14" t="s">
        <v>1072</v>
      </c>
      <c r="F223" s="84" t="s">
        <v>92</v>
      </c>
      <c r="G223" s="15" t="s">
        <v>27</v>
      </c>
      <c r="H223" s="16" t="s">
        <v>1073</v>
      </c>
      <c r="I223" s="17"/>
      <c r="J223" s="17"/>
      <c r="K223" s="17"/>
      <c r="L223" s="17"/>
      <c r="N223" s="31">
        <v>221</v>
      </c>
      <c r="O223" s="32" t="s">
        <v>1074</v>
      </c>
      <c r="P223" s="33" t="s">
        <v>870</v>
      </c>
      <c r="Q223" s="32" t="s">
        <v>32</v>
      </c>
      <c r="R223" s="69">
        <v>44258.997870370367</v>
      </c>
      <c r="S223" s="35">
        <v>44354</v>
      </c>
      <c r="T223" s="32" t="str">
        <f t="shared" si="13"/>
        <v>+0852 67364***</v>
      </c>
      <c r="U223" s="32" t="str">
        <f t="shared" ca="1" si="14"/>
        <v>cass***@yuhuumail.com</v>
      </c>
      <c r="V223" s="32">
        <f t="shared" si="15"/>
        <v>30</v>
      </c>
      <c r="W223" s="36">
        <f t="shared" si="16"/>
        <v>0.02</v>
      </c>
    </row>
    <row r="224" spans="4:23" ht="27" customHeight="1" x14ac:dyDescent="0.25">
      <c r="D224" s="14" t="s">
        <v>1075</v>
      </c>
      <c r="E224" s="14" t="s">
        <v>468</v>
      </c>
      <c r="F224" s="84" t="s">
        <v>715</v>
      </c>
      <c r="G224" s="15" t="s">
        <v>68</v>
      </c>
      <c r="H224" s="16" t="s">
        <v>1076</v>
      </c>
      <c r="I224" s="17"/>
      <c r="J224" s="17"/>
      <c r="K224" s="17"/>
      <c r="L224" s="17"/>
      <c r="N224" s="31">
        <v>222</v>
      </c>
      <c r="O224" s="32" t="s">
        <v>1077</v>
      </c>
      <c r="P224" s="33" t="s">
        <v>880</v>
      </c>
      <c r="Q224" s="32" t="s">
        <v>32</v>
      </c>
      <c r="R224" s="69">
        <v>44259.003240740742</v>
      </c>
      <c r="S224" s="35">
        <v>44318</v>
      </c>
      <c r="T224" s="32" t="str">
        <f t="shared" si="13"/>
        <v>+6284261604***</v>
      </c>
      <c r="U224" s="32" t="str">
        <f t="shared" ca="1" si="14"/>
        <v>brya***@yuhuumail.com</v>
      </c>
      <c r="V224" s="32">
        <f t="shared" si="15"/>
        <v>30</v>
      </c>
      <c r="W224" s="36">
        <f t="shared" si="16"/>
        <v>0.02</v>
      </c>
    </row>
    <row r="225" spans="4:23" ht="27" customHeight="1" x14ac:dyDescent="0.25">
      <c r="D225" s="14" t="s">
        <v>1078</v>
      </c>
      <c r="E225" s="14" t="s">
        <v>1079</v>
      </c>
      <c r="F225" s="84" t="s">
        <v>296</v>
      </c>
      <c r="G225" s="15" t="s">
        <v>27</v>
      </c>
      <c r="H225" s="16" t="s">
        <v>1080</v>
      </c>
      <c r="I225" s="17"/>
      <c r="J225" s="17"/>
      <c r="K225" s="17"/>
      <c r="L225" s="17"/>
      <c r="N225" s="31">
        <v>223</v>
      </c>
      <c r="O225" s="32" t="s">
        <v>1081</v>
      </c>
      <c r="P225" s="33" t="s">
        <v>870</v>
      </c>
      <c r="Q225" s="32" t="s">
        <v>32</v>
      </c>
      <c r="R225" s="69">
        <v>44259.002314814818</v>
      </c>
      <c r="S225" s="35">
        <v>44321</v>
      </c>
      <c r="T225" s="32" t="str">
        <f t="shared" si="13"/>
        <v>+6281286686***</v>
      </c>
      <c r="U225" s="32" t="str">
        <f t="shared" ca="1" si="14"/>
        <v>reyb***@yuhuumail.com</v>
      </c>
      <c r="V225" s="32">
        <f t="shared" si="15"/>
        <v>30</v>
      </c>
      <c r="W225" s="36">
        <f t="shared" si="16"/>
        <v>0.02</v>
      </c>
    </row>
    <row r="226" spans="4:23" ht="27" customHeight="1" x14ac:dyDescent="0.25">
      <c r="D226" s="14" t="s">
        <v>1082</v>
      </c>
      <c r="E226" s="14" t="s">
        <v>1083</v>
      </c>
      <c r="F226" s="84" t="s">
        <v>239</v>
      </c>
      <c r="G226" s="15" t="s">
        <v>68</v>
      </c>
      <c r="H226" s="16" t="s">
        <v>1084</v>
      </c>
      <c r="I226" s="17"/>
      <c r="J226" s="17"/>
      <c r="K226" s="17"/>
      <c r="L226" s="17"/>
      <c r="N226" s="31">
        <v>224</v>
      </c>
      <c r="O226" s="32" t="s">
        <v>1085</v>
      </c>
      <c r="P226" s="33" t="s">
        <v>880</v>
      </c>
      <c r="Q226" s="32" t="s">
        <v>32</v>
      </c>
      <c r="R226" s="69">
        <v>44259.007106481484</v>
      </c>
      <c r="S226" s="35">
        <v>44321</v>
      </c>
      <c r="T226" s="32" t="str">
        <f t="shared" si="13"/>
        <v>+0812-34562***</v>
      </c>
      <c r="U226" s="32" t="str">
        <f t="shared" ca="1" si="14"/>
        <v>vanc***@jossmail.com</v>
      </c>
      <c r="V226" s="32">
        <f t="shared" si="15"/>
        <v>30</v>
      </c>
      <c r="W226" s="36">
        <f t="shared" si="16"/>
        <v>0.02</v>
      </c>
    </row>
    <row r="227" spans="4:23" ht="27" customHeight="1" x14ac:dyDescent="0.25">
      <c r="D227" s="14" t="s">
        <v>1086</v>
      </c>
      <c r="E227" s="14" t="s">
        <v>1087</v>
      </c>
      <c r="F227" s="84" t="s">
        <v>1088</v>
      </c>
      <c r="G227" s="15" t="s">
        <v>68</v>
      </c>
      <c r="H227" s="16" t="s">
        <v>1089</v>
      </c>
      <c r="I227" s="17"/>
      <c r="J227" s="17"/>
      <c r="K227" s="17"/>
      <c r="L227" s="17"/>
      <c r="N227" s="31">
        <v>225</v>
      </c>
      <c r="O227" s="32" t="s">
        <v>1090</v>
      </c>
      <c r="P227" s="33" t="s">
        <v>870</v>
      </c>
      <c r="Q227" s="32" t="s">
        <v>32</v>
      </c>
      <c r="R227" s="69">
        <v>44259.006053240744</v>
      </c>
      <c r="S227" s="35">
        <v>44318</v>
      </c>
      <c r="T227" s="32" t="str">
        <f t="shared" si="13"/>
        <v>+085258216***</v>
      </c>
      <c r="U227" s="32" t="str">
        <f t="shared" ca="1" si="14"/>
        <v>karl***@yuhuumail.com</v>
      </c>
      <c r="V227" s="32">
        <f t="shared" si="15"/>
        <v>30</v>
      </c>
      <c r="W227" s="36">
        <f t="shared" si="16"/>
        <v>0.02</v>
      </c>
    </row>
    <row r="228" spans="4:23" ht="27" customHeight="1" x14ac:dyDescent="0.25">
      <c r="D228" s="14" t="s">
        <v>1091</v>
      </c>
      <c r="E228" s="14" t="s">
        <v>1092</v>
      </c>
      <c r="F228" s="84" t="s">
        <v>1093</v>
      </c>
      <c r="G228" s="15" t="s">
        <v>27</v>
      </c>
      <c r="H228" s="16" t="s">
        <v>1094</v>
      </c>
      <c r="I228" s="17"/>
      <c r="J228" s="17"/>
      <c r="K228" s="17"/>
      <c r="L228" s="17"/>
      <c r="N228" s="31">
        <v>226</v>
      </c>
      <c r="O228" s="32" t="s">
        <v>1095</v>
      </c>
      <c r="P228" s="33" t="s">
        <v>870</v>
      </c>
      <c r="Q228" s="32" t="s">
        <v>32</v>
      </c>
      <c r="R228" s="69">
        <v>44259.022592592592</v>
      </c>
      <c r="S228" s="35">
        <v>44322</v>
      </c>
      <c r="T228" s="32" t="str">
        <f t="shared" si="13"/>
        <v>+83284195***</v>
      </c>
      <c r="U228" s="32" t="str">
        <f t="shared" ca="1" si="14"/>
        <v>kill***@jossmail.com</v>
      </c>
      <c r="V228" s="32">
        <f t="shared" si="15"/>
        <v>30</v>
      </c>
      <c r="W228" s="36">
        <f t="shared" si="16"/>
        <v>0.02</v>
      </c>
    </row>
    <row r="229" spans="4:23" ht="27" customHeight="1" x14ac:dyDescent="0.25">
      <c r="D229" s="14" t="s">
        <v>1096</v>
      </c>
      <c r="E229" s="14" t="s">
        <v>1097</v>
      </c>
      <c r="F229" s="84" t="s">
        <v>159</v>
      </c>
      <c r="G229" s="15" t="s">
        <v>27</v>
      </c>
      <c r="H229" s="16" t="s">
        <v>1098</v>
      </c>
      <c r="I229" s="17"/>
      <c r="J229" s="17"/>
      <c r="K229" s="17"/>
      <c r="L229" s="17"/>
      <c r="N229" s="31">
        <v>227</v>
      </c>
      <c r="O229" s="32" t="s">
        <v>1099</v>
      </c>
      <c r="P229" s="33" t="s">
        <v>870</v>
      </c>
      <c r="Q229" s="32" t="s">
        <v>32</v>
      </c>
      <c r="R229" s="69">
        <v>43935.654675925929</v>
      </c>
      <c r="S229" s="35">
        <v>44359</v>
      </c>
      <c r="T229" s="32" t="str">
        <f t="shared" si="13"/>
        <v>+81241668***</v>
      </c>
      <c r="U229" s="32" t="str">
        <f t="shared" ca="1" si="14"/>
        <v>yazm***@yuhuumail.com</v>
      </c>
      <c r="V229" s="32">
        <f t="shared" si="15"/>
        <v>29</v>
      </c>
      <c r="W229" s="36">
        <f t="shared" si="16"/>
        <v>6.5000000000000002E-2</v>
      </c>
    </row>
    <row r="230" spans="4:23" ht="27" customHeight="1" x14ac:dyDescent="0.25">
      <c r="D230" s="14" t="s">
        <v>1100</v>
      </c>
      <c r="E230" s="14" t="s">
        <v>1101</v>
      </c>
      <c r="F230" s="84" t="s">
        <v>556</v>
      </c>
      <c r="G230" s="15" t="s">
        <v>27</v>
      </c>
      <c r="H230" s="16" t="s">
        <v>1102</v>
      </c>
      <c r="I230" s="17"/>
      <c r="J230" s="17"/>
      <c r="K230" s="17"/>
      <c r="L230" s="17"/>
      <c r="N230" s="31">
        <v>228</v>
      </c>
      <c r="O230" s="32" t="s">
        <v>1103</v>
      </c>
      <c r="P230" s="33" t="s">
        <v>870</v>
      </c>
      <c r="Q230" s="32" t="s">
        <v>32</v>
      </c>
      <c r="R230" s="69">
        <v>44259.036053240743</v>
      </c>
      <c r="S230" s="35">
        <v>44354</v>
      </c>
      <c r="T230" s="32" t="str">
        <f t="shared" si="13"/>
        <v>+0822 69553***</v>
      </c>
      <c r="U230" s="32" t="str">
        <f t="shared" ca="1" si="14"/>
        <v>ryan***@jossmail.com</v>
      </c>
      <c r="V230" s="32">
        <f t="shared" si="15"/>
        <v>30</v>
      </c>
      <c r="W230" s="36">
        <f t="shared" si="16"/>
        <v>0.02</v>
      </c>
    </row>
    <row r="231" spans="4:23" ht="27" customHeight="1" x14ac:dyDescent="0.25">
      <c r="D231" s="14" t="s">
        <v>1104</v>
      </c>
      <c r="E231" s="14" t="s">
        <v>1105</v>
      </c>
      <c r="F231" s="84" t="s">
        <v>233</v>
      </c>
      <c r="G231" s="15" t="s">
        <v>27</v>
      </c>
      <c r="H231" s="16" t="s">
        <v>1106</v>
      </c>
      <c r="I231" s="17"/>
      <c r="J231" s="17"/>
      <c r="K231" s="17"/>
      <c r="L231" s="17"/>
      <c r="N231" s="31">
        <v>229</v>
      </c>
      <c r="O231" s="32" t="s">
        <v>1107</v>
      </c>
      <c r="P231" s="33" t="s">
        <v>875</v>
      </c>
      <c r="Q231" s="32" t="s">
        <v>32</v>
      </c>
      <c r="R231" s="69">
        <v>44259.042233796295</v>
      </c>
      <c r="S231" s="35">
        <v>44320</v>
      </c>
      <c r="T231" s="32" t="str">
        <f t="shared" si="13"/>
        <v>+084262924***</v>
      </c>
      <c r="U231" s="32" t="str">
        <f t="shared" ca="1" si="14"/>
        <v>bail***@yuhuumail.com</v>
      </c>
      <c r="V231" s="32">
        <f t="shared" si="15"/>
        <v>30</v>
      </c>
      <c r="W231" s="36">
        <f t="shared" si="16"/>
        <v>0.02</v>
      </c>
    </row>
    <row r="232" spans="4:23" ht="27" customHeight="1" x14ac:dyDescent="0.25">
      <c r="D232" s="14" t="s">
        <v>1108</v>
      </c>
      <c r="E232" s="14" t="s">
        <v>1109</v>
      </c>
      <c r="F232" s="84" t="s">
        <v>614</v>
      </c>
      <c r="G232" s="15" t="s">
        <v>27</v>
      </c>
      <c r="H232" s="16" t="s">
        <v>1110</v>
      </c>
      <c r="I232" s="17"/>
      <c r="J232" s="17"/>
      <c r="K232" s="17"/>
      <c r="L232" s="17"/>
      <c r="N232" s="31">
        <v>230</v>
      </c>
      <c r="O232" s="32" t="s">
        <v>1111</v>
      </c>
      <c r="P232" s="33" t="s">
        <v>880</v>
      </c>
      <c r="Q232" s="32" t="s">
        <v>32</v>
      </c>
      <c r="R232" s="69">
        <v>44259.073113425926</v>
      </c>
      <c r="S232" s="35">
        <v>44320</v>
      </c>
      <c r="T232" s="32" t="str">
        <f t="shared" si="13"/>
        <v>+082242102***</v>
      </c>
      <c r="U232" s="32" t="str">
        <f t="shared" ca="1" si="14"/>
        <v>reed***@jossmail.com</v>
      </c>
      <c r="V232" s="32">
        <f t="shared" si="15"/>
        <v>30</v>
      </c>
      <c r="W232" s="36">
        <f t="shared" si="16"/>
        <v>0.02</v>
      </c>
    </row>
    <row r="233" spans="4:23" ht="27" customHeight="1" x14ac:dyDescent="0.25">
      <c r="D233" s="14" t="s">
        <v>1112</v>
      </c>
      <c r="E233" s="14" t="s">
        <v>1113</v>
      </c>
      <c r="F233" s="84" t="s">
        <v>92</v>
      </c>
      <c r="G233" s="15" t="s">
        <v>68</v>
      </c>
      <c r="H233" s="16" t="s">
        <v>1114</v>
      </c>
      <c r="I233" s="17"/>
      <c r="J233" s="17"/>
      <c r="K233" s="17"/>
      <c r="L233" s="17"/>
      <c r="N233" s="31">
        <v>231</v>
      </c>
      <c r="O233" s="32" t="s">
        <v>1115</v>
      </c>
      <c r="P233" s="33" t="s">
        <v>880</v>
      </c>
      <c r="Q233" s="32" t="s">
        <v>32</v>
      </c>
      <c r="R233" s="69">
        <v>43697.151076388887</v>
      </c>
      <c r="S233" s="71">
        <v>44359</v>
      </c>
      <c r="T233" s="32" t="str">
        <f t="shared" si="13"/>
        <v>+6281229861***</v>
      </c>
      <c r="U233" s="32" t="str">
        <f t="shared" ca="1" si="14"/>
        <v>kris***@yuhuumail.com</v>
      </c>
      <c r="V233" s="32">
        <f t="shared" si="15"/>
        <v>28</v>
      </c>
      <c r="W233" s="36">
        <f t="shared" si="16"/>
        <v>6.5000000000000002E-2</v>
      </c>
    </row>
    <row r="234" spans="4:23" ht="27" customHeight="1" x14ac:dyDescent="0.25">
      <c r="D234" s="14" t="s">
        <v>1116</v>
      </c>
      <c r="E234" s="14" t="s">
        <v>1117</v>
      </c>
      <c r="F234" s="84" t="s">
        <v>1118</v>
      </c>
      <c r="G234" s="15" t="s">
        <v>27</v>
      </c>
      <c r="H234" s="16" t="s">
        <v>1119</v>
      </c>
      <c r="I234" s="17"/>
      <c r="J234" s="17"/>
      <c r="K234" s="17"/>
      <c r="L234" s="17"/>
      <c r="N234" s="31">
        <v>232</v>
      </c>
      <c r="O234" s="32" t="s">
        <v>1120</v>
      </c>
      <c r="P234" s="33" t="s">
        <v>870</v>
      </c>
      <c r="Q234" s="32" t="s">
        <v>32</v>
      </c>
      <c r="R234" s="69">
        <v>44259.074942129628</v>
      </c>
      <c r="S234" s="71">
        <v>44359</v>
      </c>
      <c r="T234" s="32" t="str">
        <f t="shared" si="13"/>
        <v>+83216948***</v>
      </c>
      <c r="U234" s="32" t="str">
        <f t="shared" ca="1" si="14"/>
        <v>adon***@jossmail.com</v>
      </c>
      <c r="V234" s="32">
        <f t="shared" si="15"/>
        <v>30</v>
      </c>
      <c r="W234" s="36">
        <f t="shared" si="16"/>
        <v>0.02</v>
      </c>
    </row>
    <row r="235" spans="4:23" ht="27" customHeight="1" x14ac:dyDescent="0.25">
      <c r="D235" s="14" t="s">
        <v>1121</v>
      </c>
      <c r="E235" s="14" t="s">
        <v>1122</v>
      </c>
      <c r="F235" s="84" t="s">
        <v>627</v>
      </c>
      <c r="G235" s="15" t="s">
        <v>27</v>
      </c>
      <c r="H235" s="16" t="s">
        <v>1123</v>
      </c>
      <c r="I235" s="17"/>
      <c r="J235" s="17"/>
      <c r="K235" s="17"/>
      <c r="L235" s="17"/>
      <c r="N235" s="31">
        <v>233</v>
      </c>
      <c r="O235" s="32" t="s">
        <v>1124</v>
      </c>
      <c r="P235" s="33" t="s">
        <v>875</v>
      </c>
      <c r="Q235" s="32" t="s">
        <v>32</v>
      </c>
      <c r="R235" s="69">
        <v>44259.079722222225</v>
      </c>
      <c r="S235" s="71">
        <v>44354</v>
      </c>
      <c r="T235" s="32" t="str">
        <f t="shared" si="13"/>
        <v>+6282245388***</v>
      </c>
      <c r="U235" s="32" t="str">
        <f t="shared" ca="1" si="14"/>
        <v>jami***@jossmail.com</v>
      </c>
      <c r="V235" s="32">
        <f t="shared" si="15"/>
        <v>30</v>
      </c>
      <c r="W235" s="36">
        <f t="shared" si="16"/>
        <v>0.02</v>
      </c>
    </row>
    <row r="236" spans="4:23" ht="27" customHeight="1" x14ac:dyDescent="0.25">
      <c r="D236" s="14" t="s">
        <v>1125</v>
      </c>
      <c r="E236" s="14" t="s">
        <v>1126</v>
      </c>
      <c r="F236" s="84" t="s">
        <v>149</v>
      </c>
      <c r="G236" s="15" t="s">
        <v>27</v>
      </c>
      <c r="H236" s="16" t="s">
        <v>1127</v>
      </c>
      <c r="I236" s="17"/>
      <c r="J236" s="17"/>
      <c r="K236" s="17"/>
      <c r="L236" s="17"/>
      <c r="N236" s="31">
        <v>234</v>
      </c>
      <c r="O236" s="32" t="s">
        <v>1128</v>
      </c>
      <c r="P236" s="33" t="s">
        <v>870</v>
      </c>
      <c r="Q236" s="32" t="s">
        <v>32</v>
      </c>
      <c r="R236" s="69">
        <v>44259.076886574076</v>
      </c>
      <c r="S236" s="71">
        <v>44318</v>
      </c>
      <c r="T236" s="32" t="str">
        <f t="shared" si="13"/>
        <v>+6281237024***</v>
      </c>
      <c r="U236" s="32" t="str">
        <f t="shared" ca="1" si="14"/>
        <v>gera***@jossmail.com</v>
      </c>
      <c r="V236" s="32">
        <f t="shared" si="15"/>
        <v>30</v>
      </c>
      <c r="W236" s="36">
        <f t="shared" si="16"/>
        <v>0.02</v>
      </c>
    </row>
    <row r="237" spans="4:23" ht="27" customHeight="1" x14ac:dyDescent="0.25">
      <c r="D237" s="14" t="s">
        <v>1129</v>
      </c>
      <c r="E237" s="14" t="s">
        <v>1130</v>
      </c>
      <c r="F237" s="84" t="s">
        <v>51</v>
      </c>
      <c r="G237" s="15" t="s">
        <v>27</v>
      </c>
      <c r="H237" s="16" t="s">
        <v>1131</v>
      </c>
      <c r="I237" s="17"/>
      <c r="J237" s="17"/>
      <c r="K237" s="17"/>
      <c r="L237" s="17"/>
      <c r="N237" s="31">
        <v>235</v>
      </c>
      <c r="O237" s="32" t="s">
        <v>1132</v>
      </c>
      <c r="P237" s="33" t="s">
        <v>870</v>
      </c>
      <c r="Q237" s="32" t="s">
        <v>32</v>
      </c>
      <c r="R237" s="69">
        <v>44259.089525462965</v>
      </c>
      <c r="S237" s="71">
        <v>44320</v>
      </c>
      <c r="T237" s="32" t="str">
        <f t="shared" si="13"/>
        <v>+85287055***</v>
      </c>
      <c r="U237" s="32" t="str">
        <f t="shared" ca="1" si="14"/>
        <v>kimb***@yuhuumail.com</v>
      </c>
      <c r="V237" s="32">
        <f t="shared" si="15"/>
        <v>30</v>
      </c>
      <c r="W237" s="36">
        <f t="shared" si="16"/>
        <v>0.02</v>
      </c>
    </row>
    <row r="238" spans="4:23" ht="27" customHeight="1" x14ac:dyDescent="0.25">
      <c r="D238" s="14" t="s">
        <v>1133</v>
      </c>
      <c r="E238" s="14" t="s">
        <v>1134</v>
      </c>
      <c r="F238" s="84" t="s">
        <v>266</v>
      </c>
      <c r="G238" s="15" t="s">
        <v>68</v>
      </c>
      <c r="H238" s="16" t="s">
        <v>1135</v>
      </c>
      <c r="I238" s="17"/>
      <c r="J238" s="17"/>
      <c r="K238" s="17"/>
      <c r="L238" s="17"/>
      <c r="N238" s="31">
        <v>236</v>
      </c>
      <c r="O238" s="32" t="s">
        <v>1136</v>
      </c>
      <c r="P238" s="33" t="s">
        <v>870</v>
      </c>
      <c r="Q238" s="32" t="s">
        <v>32</v>
      </c>
      <c r="R238" s="69">
        <v>44259.113321759258</v>
      </c>
      <c r="S238" s="71">
        <v>44354</v>
      </c>
      <c r="T238" s="32" t="str">
        <f t="shared" si="13"/>
        <v>+84216301***</v>
      </c>
      <c r="U238" s="32" t="str">
        <f t="shared" ca="1" si="14"/>
        <v>tiag***@yuhuumail.com</v>
      </c>
      <c r="V238" s="32">
        <f t="shared" si="15"/>
        <v>30</v>
      </c>
      <c r="W238" s="36">
        <f t="shared" si="16"/>
        <v>0.02</v>
      </c>
    </row>
    <row r="239" spans="4:23" ht="27" customHeight="1" x14ac:dyDescent="0.25">
      <c r="D239" s="14" t="s">
        <v>1137</v>
      </c>
      <c r="E239" s="14" t="s">
        <v>1138</v>
      </c>
      <c r="F239" s="84" t="s">
        <v>46</v>
      </c>
      <c r="G239" s="15" t="s">
        <v>68</v>
      </c>
      <c r="H239" s="16" t="s">
        <v>1139</v>
      </c>
      <c r="I239" s="17"/>
      <c r="J239" s="17"/>
      <c r="K239" s="17"/>
      <c r="L239" s="17"/>
      <c r="N239" s="31">
        <v>237</v>
      </c>
      <c r="O239" s="32" t="s">
        <v>1140</v>
      </c>
      <c r="P239" s="33" t="s">
        <v>880</v>
      </c>
      <c r="Q239" s="32" t="s">
        <v>32</v>
      </c>
      <c r="R239" s="69">
        <v>44259.175844907404</v>
      </c>
      <c r="S239" s="71">
        <v>44320</v>
      </c>
      <c r="T239" s="32" t="str">
        <f t="shared" si="13"/>
        <v>+84245894***</v>
      </c>
      <c r="U239" s="32" t="str">
        <f t="shared" ca="1" si="14"/>
        <v>grah***@jossmail.com</v>
      </c>
      <c r="V239" s="32">
        <f t="shared" si="15"/>
        <v>30</v>
      </c>
      <c r="W239" s="36">
        <f t="shared" si="16"/>
        <v>0.02</v>
      </c>
    </row>
    <row r="240" spans="4:23" ht="27" customHeight="1" x14ac:dyDescent="0.25">
      <c r="D240" s="14" t="s">
        <v>1141</v>
      </c>
      <c r="E240" s="14" t="s">
        <v>1142</v>
      </c>
      <c r="F240" s="84" t="s">
        <v>296</v>
      </c>
      <c r="G240" s="15" t="s">
        <v>27</v>
      </c>
      <c r="H240" s="16" t="s">
        <v>1143</v>
      </c>
      <c r="I240" s="17"/>
      <c r="J240" s="17"/>
      <c r="K240" s="17"/>
      <c r="L240" s="17"/>
      <c r="N240" s="31">
        <v>238</v>
      </c>
      <c r="O240" s="32" t="s">
        <v>1144</v>
      </c>
      <c r="P240" s="33" t="s">
        <v>870</v>
      </c>
      <c r="Q240" s="32" t="s">
        <v>32</v>
      </c>
      <c r="R240" s="69">
        <v>44200.912592592591</v>
      </c>
      <c r="S240" s="71">
        <v>44318</v>
      </c>
      <c r="T240" s="32" t="str">
        <f t="shared" si="13"/>
        <v>+84240321***</v>
      </c>
      <c r="U240" s="32" t="str">
        <f t="shared" ca="1" si="14"/>
        <v>izai***@yuhuumail.com</v>
      </c>
      <c r="V240" s="32">
        <f t="shared" si="15"/>
        <v>30</v>
      </c>
      <c r="W240" s="36">
        <f t="shared" si="16"/>
        <v>0.02</v>
      </c>
    </row>
    <row r="241" spans="4:23" ht="27" customHeight="1" x14ac:dyDescent="0.25">
      <c r="D241" s="14" t="s">
        <v>1145</v>
      </c>
      <c r="E241" s="14" t="s">
        <v>1146</v>
      </c>
      <c r="F241" s="84" t="s">
        <v>627</v>
      </c>
      <c r="G241" s="15" t="s">
        <v>68</v>
      </c>
      <c r="H241" s="16" t="s">
        <v>1147</v>
      </c>
      <c r="I241" s="17"/>
      <c r="J241" s="17"/>
      <c r="K241" s="17"/>
      <c r="L241" s="17"/>
      <c r="N241" s="31">
        <v>239</v>
      </c>
      <c r="O241" s="32" t="s">
        <v>1148</v>
      </c>
      <c r="P241" s="33" t="s">
        <v>875</v>
      </c>
      <c r="Q241" s="32" t="s">
        <v>32</v>
      </c>
      <c r="R241" s="69">
        <v>44258.933449074073</v>
      </c>
      <c r="S241" s="71">
        <v>44359</v>
      </c>
      <c r="T241" s="32" t="str">
        <f t="shared" si="13"/>
        <v>+0852-84656***</v>
      </c>
      <c r="U241" s="32" t="str">
        <f t="shared" ca="1" si="14"/>
        <v>ayan***@jossmail.com</v>
      </c>
      <c r="V241" s="32">
        <f t="shared" si="15"/>
        <v>30</v>
      </c>
      <c r="W241" s="36">
        <f t="shared" si="16"/>
        <v>0.02</v>
      </c>
    </row>
    <row r="242" spans="4:23" ht="27" customHeight="1" x14ac:dyDescent="0.25">
      <c r="D242" s="14" t="s">
        <v>1149</v>
      </c>
      <c r="E242" s="14" t="s">
        <v>1150</v>
      </c>
      <c r="F242" s="84" t="s">
        <v>159</v>
      </c>
      <c r="G242" s="15" t="s">
        <v>27</v>
      </c>
      <c r="H242" s="16" t="s">
        <v>1151</v>
      </c>
      <c r="I242" s="17"/>
      <c r="J242" s="17"/>
      <c r="K242" s="17"/>
      <c r="L242" s="17"/>
      <c r="N242" s="31">
        <v>240</v>
      </c>
      <c r="O242" s="32" t="s">
        <v>66</v>
      </c>
      <c r="P242" s="33" t="s">
        <v>880</v>
      </c>
      <c r="Q242" s="32" t="s">
        <v>32</v>
      </c>
      <c r="R242" s="69">
        <v>44259.201249999998</v>
      </c>
      <c r="S242" s="71">
        <v>44359</v>
      </c>
      <c r="T242" s="32" t="str">
        <f t="shared" si="13"/>
        <v>+84247335***</v>
      </c>
      <c r="U242" s="32" t="str">
        <f t="shared" ca="1" si="14"/>
        <v>madi***@yuhuumail.com</v>
      </c>
      <c r="V242" s="32">
        <f t="shared" si="15"/>
        <v>30</v>
      </c>
      <c r="W242" s="36">
        <f t="shared" si="16"/>
        <v>0.02</v>
      </c>
    </row>
    <row r="243" spans="4:23" ht="27" customHeight="1" x14ac:dyDescent="0.25">
      <c r="D243" s="14" t="s">
        <v>1152</v>
      </c>
      <c r="E243" s="14" t="s">
        <v>1153</v>
      </c>
      <c r="F243" s="84" t="s">
        <v>121</v>
      </c>
      <c r="G243" s="15" t="s">
        <v>27</v>
      </c>
      <c r="H243" s="16" t="s">
        <v>1154</v>
      </c>
      <c r="I243" s="17"/>
      <c r="J243" s="17"/>
      <c r="K243" s="17"/>
      <c r="L243" s="17"/>
      <c r="N243" s="31">
        <v>241</v>
      </c>
      <c r="O243" s="32" t="s">
        <v>1155</v>
      </c>
      <c r="P243" s="33" t="s">
        <v>875</v>
      </c>
      <c r="Q243" s="32" t="s">
        <v>32</v>
      </c>
      <c r="R243" s="69">
        <v>43943.350810185184</v>
      </c>
      <c r="S243" s="71">
        <v>44356</v>
      </c>
      <c r="T243" s="32" t="str">
        <f t="shared" si="13"/>
        <v>+832 20987***</v>
      </c>
      <c r="U243" s="32" t="str">
        <f t="shared" ca="1" si="14"/>
        <v>bran***@yuhuumail.com</v>
      </c>
      <c r="V243" s="32">
        <f t="shared" si="15"/>
        <v>29</v>
      </c>
      <c r="W243" s="36">
        <f t="shared" si="16"/>
        <v>6.5000000000000002E-2</v>
      </c>
    </row>
    <row r="244" spans="4:23" ht="27" customHeight="1" x14ac:dyDescent="0.25">
      <c r="D244" s="14" t="s">
        <v>1156</v>
      </c>
      <c r="E244" s="14" t="s">
        <v>1157</v>
      </c>
      <c r="F244" s="84" t="s">
        <v>402</v>
      </c>
      <c r="G244" s="15" t="s">
        <v>27</v>
      </c>
      <c r="H244" s="16" t="s">
        <v>1158</v>
      </c>
      <c r="I244" s="17"/>
      <c r="J244" s="17"/>
      <c r="K244" s="17"/>
      <c r="L244" s="17"/>
      <c r="N244" s="31">
        <v>242</v>
      </c>
      <c r="O244" s="32" t="s">
        <v>1159</v>
      </c>
      <c r="P244" s="33" t="s">
        <v>870</v>
      </c>
      <c r="Q244" s="32" t="s">
        <v>32</v>
      </c>
      <c r="R244" s="69">
        <v>44259.231435185182</v>
      </c>
      <c r="S244" s="71">
        <v>44353</v>
      </c>
      <c r="T244" s="32" t="str">
        <f t="shared" si="13"/>
        <v>+0832-67833***</v>
      </c>
      <c r="U244" s="32" t="str">
        <f t="shared" ca="1" si="14"/>
        <v>aida***@jossmail.com</v>
      </c>
      <c r="V244" s="32">
        <f t="shared" si="15"/>
        <v>30</v>
      </c>
      <c r="W244" s="36">
        <f t="shared" si="16"/>
        <v>0.02</v>
      </c>
    </row>
    <row r="245" spans="4:23" ht="27" customHeight="1" x14ac:dyDescent="0.25">
      <c r="D245" s="14" t="s">
        <v>1160</v>
      </c>
      <c r="E245" s="14" t="s">
        <v>1161</v>
      </c>
      <c r="F245" s="84" t="s">
        <v>524</v>
      </c>
      <c r="G245" s="15" t="s">
        <v>27</v>
      </c>
      <c r="H245" s="16" t="s">
        <v>1162</v>
      </c>
      <c r="I245" s="17"/>
      <c r="J245" s="17"/>
      <c r="K245" s="17"/>
      <c r="L245" s="17"/>
      <c r="N245" s="31">
        <v>243</v>
      </c>
      <c r="O245" s="32" t="s">
        <v>1163</v>
      </c>
      <c r="P245" s="33" t="s">
        <v>870</v>
      </c>
      <c r="Q245" s="32" t="s">
        <v>32</v>
      </c>
      <c r="R245" s="69">
        <v>44259.260289351849</v>
      </c>
      <c r="S245" s="71">
        <v>44318</v>
      </c>
      <c r="T245" s="32" t="str">
        <f t="shared" si="13"/>
        <v>+85288800***</v>
      </c>
      <c r="U245" s="32" t="str">
        <f t="shared" ca="1" si="14"/>
        <v>reyn***@jossmail.com</v>
      </c>
      <c r="V245" s="32">
        <f t="shared" si="15"/>
        <v>29</v>
      </c>
      <c r="W245" s="36">
        <f t="shared" si="16"/>
        <v>0.05</v>
      </c>
    </row>
    <row r="246" spans="4:23" ht="27" customHeight="1" x14ac:dyDescent="0.25">
      <c r="D246" s="14" t="s">
        <v>1164</v>
      </c>
      <c r="E246" s="14" t="s">
        <v>1165</v>
      </c>
      <c r="F246" s="84" t="s">
        <v>1166</v>
      </c>
      <c r="G246" s="15" t="s">
        <v>68</v>
      </c>
      <c r="H246" s="16" t="s">
        <v>1167</v>
      </c>
      <c r="I246" s="17"/>
      <c r="J246" s="17"/>
      <c r="K246" s="17"/>
      <c r="L246" s="17"/>
      <c r="N246" s="31">
        <v>244</v>
      </c>
      <c r="O246" s="32" t="s">
        <v>489</v>
      </c>
      <c r="P246" s="33" t="s">
        <v>870</v>
      </c>
      <c r="Q246" s="32" t="s">
        <v>32</v>
      </c>
      <c r="R246" s="69">
        <v>43120.371319444443</v>
      </c>
      <c r="S246" s="71">
        <v>44320</v>
      </c>
      <c r="T246" s="32" t="str">
        <f t="shared" si="13"/>
        <v>+6285287408***</v>
      </c>
      <c r="U246" s="32" t="str">
        <f t="shared" ca="1" si="14"/>
        <v>nico***@yuhuumail.com</v>
      </c>
      <c r="V246" s="32">
        <f t="shared" si="15"/>
        <v>26</v>
      </c>
      <c r="W246" s="36">
        <f t="shared" si="16"/>
        <v>7.5000000000000011E-2</v>
      </c>
    </row>
    <row r="247" spans="4:23" ht="27" customHeight="1" x14ac:dyDescent="0.25">
      <c r="D247" s="14" t="s">
        <v>1168</v>
      </c>
      <c r="E247" s="14" t="s">
        <v>991</v>
      </c>
      <c r="F247" s="84" t="s">
        <v>1169</v>
      </c>
      <c r="G247" s="15" t="s">
        <v>27</v>
      </c>
      <c r="H247" s="16" t="s">
        <v>1170</v>
      </c>
      <c r="I247" s="17"/>
      <c r="J247" s="17"/>
      <c r="K247" s="17"/>
      <c r="L247" s="17"/>
      <c r="N247" s="31">
        <v>245</v>
      </c>
      <c r="O247" s="32" t="s">
        <v>1171</v>
      </c>
      <c r="P247" s="33" t="s">
        <v>870</v>
      </c>
      <c r="Q247" s="32" t="s">
        <v>32</v>
      </c>
      <c r="R247" s="69">
        <v>43835.781331018516</v>
      </c>
      <c r="S247" s="71">
        <v>44356</v>
      </c>
      <c r="T247" s="32" t="str">
        <f t="shared" si="13"/>
        <v>+81247614***</v>
      </c>
      <c r="U247" s="32" t="str">
        <f t="shared" ca="1" si="14"/>
        <v>pres***@jossmail.com</v>
      </c>
      <c r="V247" s="32">
        <f t="shared" si="15"/>
        <v>28</v>
      </c>
      <c r="W247" s="36">
        <f t="shared" si="16"/>
        <v>6.5000000000000002E-2</v>
      </c>
    </row>
    <row r="248" spans="4:23" ht="27" customHeight="1" x14ac:dyDescent="0.25">
      <c r="D248" s="14" t="s">
        <v>1172</v>
      </c>
      <c r="E248" s="14" t="s">
        <v>1173</v>
      </c>
      <c r="F248" s="84" t="s">
        <v>444</v>
      </c>
      <c r="G248" s="15" t="s">
        <v>27</v>
      </c>
      <c r="H248" s="16" t="s">
        <v>1174</v>
      </c>
      <c r="I248" s="17"/>
      <c r="J248" s="17"/>
      <c r="K248" s="17"/>
      <c r="L248" s="17"/>
      <c r="N248" s="31">
        <v>246</v>
      </c>
      <c r="O248" s="32" t="s">
        <v>1175</v>
      </c>
      <c r="P248" s="33" t="s">
        <v>870</v>
      </c>
      <c r="Q248" s="32" t="s">
        <v>32</v>
      </c>
      <c r="R248" s="69">
        <v>44259.265428240738</v>
      </c>
      <c r="S248" s="71">
        <v>44318</v>
      </c>
      <c r="T248" s="32" t="str">
        <f t="shared" si="13"/>
        <v>+83262800***</v>
      </c>
      <c r="U248" s="32" t="str">
        <f t="shared" ca="1" si="14"/>
        <v>peyt***@jossmail.com</v>
      </c>
      <c r="V248" s="32">
        <f t="shared" si="15"/>
        <v>29</v>
      </c>
      <c r="W248" s="36">
        <f t="shared" si="16"/>
        <v>0.05</v>
      </c>
    </row>
    <row r="249" spans="4:23" ht="27" customHeight="1" x14ac:dyDescent="0.25">
      <c r="D249" s="14" t="s">
        <v>1176</v>
      </c>
      <c r="E249" s="14" t="s">
        <v>1177</v>
      </c>
      <c r="F249" s="84" t="s">
        <v>321</v>
      </c>
      <c r="G249" s="15" t="s">
        <v>68</v>
      </c>
      <c r="H249" s="16" t="s">
        <v>1178</v>
      </c>
      <c r="I249" s="17"/>
      <c r="J249" s="17"/>
      <c r="K249" s="17"/>
      <c r="L249" s="17"/>
      <c r="N249" s="31">
        <v>247</v>
      </c>
      <c r="O249" s="32" t="s">
        <v>1179</v>
      </c>
      <c r="P249" s="33" t="s">
        <v>880</v>
      </c>
      <c r="Q249" s="32" t="s">
        <v>32</v>
      </c>
      <c r="R249" s="69">
        <v>43349.223032407404</v>
      </c>
      <c r="S249" s="71">
        <v>44362</v>
      </c>
      <c r="T249" s="32" t="str">
        <f t="shared" si="13"/>
        <v>+0832-33741***</v>
      </c>
      <c r="U249" s="32" t="str">
        <f t="shared" ca="1" si="14"/>
        <v>jazm***@jossmail.com</v>
      </c>
      <c r="V249" s="32">
        <f t="shared" si="15"/>
        <v>26</v>
      </c>
      <c r="W249" s="36">
        <f t="shared" si="16"/>
        <v>6.5000000000000002E-2</v>
      </c>
    </row>
    <row r="250" spans="4:23" ht="27" customHeight="1" x14ac:dyDescent="0.25">
      <c r="D250" s="14" t="s">
        <v>1180</v>
      </c>
      <c r="E250" s="14" t="s">
        <v>1181</v>
      </c>
      <c r="F250" s="84" t="s">
        <v>92</v>
      </c>
      <c r="G250" s="15" t="s">
        <v>68</v>
      </c>
      <c r="H250" s="16" t="s">
        <v>1182</v>
      </c>
      <c r="I250" s="17"/>
      <c r="J250" s="17"/>
      <c r="K250" s="17"/>
      <c r="L250" s="17"/>
      <c r="N250" s="31">
        <v>248</v>
      </c>
      <c r="O250" s="32" t="s">
        <v>1183</v>
      </c>
      <c r="P250" s="33" t="s">
        <v>870</v>
      </c>
      <c r="Q250" s="32" t="s">
        <v>32</v>
      </c>
      <c r="R250" s="69">
        <v>44259.287881944445</v>
      </c>
      <c r="S250" s="71">
        <v>44362</v>
      </c>
      <c r="T250" s="32" t="str">
        <f t="shared" si="13"/>
        <v>+0812 30143***</v>
      </c>
      <c r="U250" s="32" t="str">
        <f t="shared" ca="1" si="14"/>
        <v>jane***@yuhuumail.com</v>
      </c>
      <c r="V250" s="32">
        <f t="shared" si="15"/>
        <v>29</v>
      </c>
      <c r="W250" s="36">
        <f t="shared" si="16"/>
        <v>0.05</v>
      </c>
    </row>
    <row r="251" spans="4:23" ht="27" customHeight="1" x14ac:dyDescent="0.25">
      <c r="D251" s="14" t="s">
        <v>1184</v>
      </c>
      <c r="E251" s="14" t="s">
        <v>1185</v>
      </c>
      <c r="F251" s="84" t="s">
        <v>92</v>
      </c>
      <c r="G251" s="15" t="s">
        <v>27</v>
      </c>
      <c r="H251" s="16" t="s">
        <v>1186</v>
      </c>
      <c r="I251" s="17"/>
      <c r="J251" s="17"/>
      <c r="K251" s="17"/>
      <c r="L251" s="17"/>
      <c r="N251" s="31">
        <v>249</v>
      </c>
      <c r="O251" s="32" t="s">
        <v>1187</v>
      </c>
      <c r="P251" s="33" t="s">
        <v>875</v>
      </c>
      <c r="Q251" s="32" t="s">
        <v>32</v>
      </c>
      <c r="R251" s="69">
        <v>43897.724259259259</v>
      </c>
      <c r="S251" s="71">
        <v>44352</v>
      </c>
      <c r="T251" s="32" t="str">
        <f t="shared" si="13"/>
        <v>+0852 89603***</v>
      </c>
      <c r="U251" s="32" t="str">
        <f t="shared" ca="1" si="14"/>
        <v>vinc***@yuhuumail.com</v>
      </c>
      <c r="V251" s="32">
        <f t="shared" si="15"/>
        <v>28</v>
      </c>
      <c r="W251" s="36">
        <f t="shared" si="16"/>
        <v>6.5000000000000002E-2</v>
      </c>
    </row>
    <row r="252" spans="4:23" ht="27" customHeight="1" x14ac:dyDescent="0.25">
      <c r="D252" s="14" t="s">
        <v>1188</v>
      </c>
      <c r="E252" s="14" t="s">
        <v>884</v>
      </c>
      <c r="F252" s="84" t="s">
        <v>719</v>
      </c>
      <c r="G252" s="15" t="s">
        <v>27</v>
      </c>
      <c r="H252" s="16" t="s">
        <v>1189</v>
      </c>
      <c r="I252" s="17"/>
      <c r="J252" s="17"/>
      <c r="K252" s="17"/>
      <c r="L252" s="17"/>
      <c r="N252" s="31">
        <v>250</v>
      </c>
      <c r="O252" s="32" t="s">
        <v>1190</v>
      </c>
      <c r="P252" s="33" t="s">
        <v>870</v>
      </c>
      <c r="Q252" s="32" t="s">
        <v>32</v>
      </c>
      <c r="R252" s="69">
        <v>44259.286400462966</v>
      </c>
      <c r="S252" s="71">
        <v>44318</v>
      </c>
      <c r="T252" s="32" t="str">
        <f t="shared" si="13"/>
        <v>+082216193***</v>
      </c>
      <c r="U252" s="32" t="str">
        <f t="shared" ca="1" si="14"/>
        <v>jayl***@jossmail.com</v>
      </c>
      <c r="V252" s="32">
        <f t="shared" si="15"/>
        <v>29</v>
      </c>
      <c r="W252" s="36">
        <f t="shared" si="16"/>
        <v>0.05</v>
      </c>
    </row>
    <row r="253" spans="4:23" ht="27" customHeight="1" x14ac:dyDescent="0.25">
      <c r="D253" s="14" t="s">
        <v>1191</v>
      </c>
      <c r="E253" s="14" t="s">
        <v>1192</v>
      </c>
      <c r="F253" s="84" t="s">
        <v>597</v>
      </c>
      <c r="G253" s="15" t="s">
        <v>27</v>
      </c>
      <c r="H253" s="16" t="s">
        <v>1193</v>
      </c>
      <c r="I253" s="17"/>
      <c r="J253" s="17"/>
      <c r="K253" s="17"/>
      <c r="L253" s="17"/>
      <c r="N253" s="31">
        <v>251</v>
      </c>
      <c r="O253" s="32" t="s">
        <v>1194</v>
      </c>
      <c r="P253" s="33" t="s">
        <v>870</v>
      </c>
      <c r="Q253" s="32" t="s">
        <v>32</v>
      </c>
      <c r="R253" s="69">
        <v>44259.299004629633</v>
      </c>
      <c r="S253" s="35">
        <v>44318</v>
      </c>
      <c r="T253" s="32" t="str">
        <f t="shared" si="13"/>
        <v>+081251901***</v>
      </c>
      <c r="U253" s="32" t="str">
        <f t="shared" ca="1" si="14"/>
        <v>mari***@yuhuumail.com</v>
      </c>
      <c r="V253" s="32">
        <f t="shared" si="15"/>
        <v>29</v>
      </c>
      <c r="W253" s="36">
        <f t="shared" si="16"/>
        <v>0.05</v>
      </c>
    </row>
    <row r="254" spans="4:23" ht="27" customHeight="1" x14ac:dyDescent="0.25">
      <c r="D254" s="14" t="s">
        <v>1195</v>
      </c>
      <c r="E254" s="14" t="s">
        <v>1196</v>
      </c>
      <c r="F254" s="84" t="s">
        <v>233</v>
      </c>
      <c r="G254" s="15" t="s">
        <v>27</v>
      </c>
      <c r="H254" s="16" t="s">
        <v>1197</v>
      </c>
      <c r="I254" s="17"/>
      <c r="J254" s="17"/>
      <c r="K254" s="17"/>
      <c r="L254" s="17"/>
      <c r="N254" s="31">
        <v>252</v>
      </c>
      <c r="O254" s="32" t="s">
        <v>1198</v>
      </c>
      <c r="P254" s="33" t="s">
        <v>880</v>
      </c>
      <c r="Q254" s="32" t="s">
        <v>32</v>
      </c>
      <c r="R254" s="69">
        <v>44259.318506944444</v>
      </c>
      <c r="S254" s="35">
        <v>44359</v>
      </c>
      <c r="T254" s="32" t="str">
        <f t="shared" si="13"/>
        <v>+085245146***</v>
      </c>
      <c r="U254" s="32" t="str">
        <f t="shared" ca="1" si="14"/>
        <v>aldo***@jossmail.com</v>
      </c>
      <c r="V254" s="32">
        <f t="shared" si="15"/>
        <v>29</v>
      </c>
      <c r="W254" s="36">
        <f t="shared" si="16"/>
        <v>0.05</v>
      </c>
    </row>
    <row r="255" spans="4:23" ht="27" customHeight="1" x14ac:dyDescent="0.25">
      <c r="D255" s="14" t="s">
        <v>1199</v>
      </c>
      <c r="E255" s="14" t="s">
        <v>1200</v>
      </c>
      <c r="F255" s="84" t="s">
        <v>1201</v>
      </c>
      <c r="G255" s="15" t="s">
        <v>27</v>
      </c>
      <c r="H255" s="16" t="s">
        <v>1202</v>
      </c>
      <c r="I255" s="17"/>
      <c r="J255" s="17"/>
      <c r="K255" s="17"/>
      <c r="L255" s="17"/>
      <c r="N255" s="31">
        <v>253</v>
      </c>
      <c r="O255" s="32" t="s">
        <v>1203</v>
      </c>
      <c r="P255" s="33" t="s">
        <v>880</v>
      </c>
      <c r="Q255" s="32" t="s">
        <v>32</v>
      </c>
      <c r="R255" s="69">
        <v>44259.30972222222</v>
      </c>
      <c r="S255" s="35">
        <v>44320</v>
      </c>
      <c r="T255" s="32" t="str">
        <f t="shared" si="13"/>
        <v>+6285221849***</v>
      </c>
      <c r="U255" s="32" t="str">
        <f t="shared" ca="1" si="14"/>
        <v>sabr***@yuhuumail.com</v>
      </c>
      <c r="V255" s="32">
        <f t="shared" si="15"/>
        <v>29</v>
      </c>
      <c r="W255" s="36">
        <f t="shared" si="16"/>
        <v>0.05</v>
      </c>
    </row>
    <row r="256" spans="4:23" ht="27" customHeight="1" x14ac:dyDescent="0.25">
      <c r="D256" s="14" t="s">
        <v>1204</v>
      </c>
      <c r="E256" s="14" t="s">
        <v>1205</v>
      </c>
      <c r="F256" s="84" t="s">
        <v>444</v>
      </c>
      <c r="G256" s="15" t="s">
        <v>27</v>
      </c>
      <c r="H256" s="16" t="s">
        <v>1206</v>
      </c>
      <c r="I256" s="17"/>
      <c r="J256" s="17"/>
      <c r="K256" s="17"/>
      <c r="L256" s="17"/>
      <c r="N256" s="31">
        <v>254</v>
      </c>
      <c r="O256" s="32" t="s">
        <v>1207</v>
      </c>
      <c r="P256" s="33" t="s">
        <v>880</v>
      </c>
      <c r="Q256" s="32" t="s">
        <v>32</v>
      </c>
      <c r="R256" s="69">
        <v>44259.321261574078</v>
      </c>
      <c r="S256" s="35">
        <v>44356</v>
      </c>
      <c r="T256" s="32" t="str">
        <f t="shared" si="13"/>
        <v>+082270706***</v>
      </c>
      <c r="U256" s="32" t="str">
        <f t="shared" ca="1" si="14"/>
        <v>nina***@yuhuumail.com</v>
      </c>
      <c r="V256" s="32">
        <f t="shared" si="15"/>
        <v>29</v>
      </c>
      <c r="W256" s="36">
        <f t="shared" si="16"/>
        <v>0.05</v>
      </c>
    </row>
    <row r="257" spans="4:23" ht="27" customHeight="1" x14ac:dyDescent="0.25">
      <c r="D257" s="14" t="s">
        <v>1208</v>
      </c>
      <c r="E257" s="14" t="s">
        <v>1209</v>
      </c>
      <c r="F257" s="84" t="s">
        <v>149</v>
      </c>
      <c r="G257" s="15" t="s">
        <v>68</v>
      </c>
      <c r="H257" s="16" t="s">
        <v>1210</v>
      </c>
      <c r="I257" s="17"/>
      <c r="J257" s="17"/>
      <c r="K257" s="17"/>
      <c r="L257" s="17"/>
      <c r="N257" s="31">
        <v>255</v>
      </c>
      <c r="O257" s="32" t="s">
        <v>1211</v>
      </c>
      <c r="P257" s="33" t="s">
        <v>870</v>
      </c>
      <c r="Q257" s="32" t="s">
        <v>32</v>
      </c>
      <c r="R257" s="69">
        <v>44259.327199074076</v>
      </c>
      <c r="S257" s="35">
        <v>44354</v>
      </c>
      <c r="T257" s="32" t="str">
        <f t="shared" si="13"/>
        <v>+83236756***</v>
      </c>
      <c r="U257" s="32" t="str">
        <f t="shared" ca="1" si="14"/>
        <v>alih***@yuhuumail.com</v>
      </c>
      <c r="V257" s="32">
        <f t="shared" si="15"/>
        <v>29</v>
      </c>
      <c r="W257" s="36">
        <f t="shared" si="16"/>
        <v>0.05</v>
      </c>
    </row>
    <row r="258" spans="4:23" ht="27" customHeight="1" x14ac:dyDescent="0.25">
      <c r="D258" s="14" t="s">
        <v>1212</v>
      </c>
      <c r="E258" s="14" t="s">
        <v>1213</v>
      </c>
      <c r="F258" s="84" t="s">
        <v>524</v>
      </c>
      <c r="G258" s="15" t="s">
        <v>27</v>
      </c>
      <c r="H258" s="16" t="s">
        <v>1214</v>
      </c>
      <c r="I258" s="17"/>
      <c r="J258" s="17"/>
      <c r="K258" s="17"/>
      <c r="L258" s="17"/>
      <c r="N258" s="31">
        <v>256</v>
      </c>
      <c r="O258" s="32" t="s">
        <v>1215</v>
      </c>
      <c r="P258" s="33" t="s">
        <v>870</v>
      </c>
      <c r="Q258" s="32" t="s">
        <v>32</v>
      </c>
      <c r="R258" s="69">
        <v>43910.995057870372</v>
      </c>
      <c r="S258" s="35">
        <v>44362</v>
      </c>
      <c r="T258" s="32" t="str">
        <f t="shared" si="13"/>
        <v>+0822-33076***</v>
      </c>
      <c r="U258" s="32" t="str">
        <f t="shared" ca="1" si="14"/>
        <v>rubi***@yuhuumail.com</v>
      </c>
      <c r="V258" s="32">
        <f t="shared" si="15"/>
        <v>28</v>
      </c>
      <c r="W258" s="36">
        <f t="shared" si="16"/>
        <v>6.5000000000000002E-2</v>
      </c>
    </row>
    <row r="259" spans="4:23" ht="27" customHeight="1" x14ac:dyDescent="0.25">
      <c r="D259" s="14" t="s">
        <v>1216</v>
      </c>
      <c r="E259" s="14" t="s">
        <v>1217</v>
      </c>
      <c r="F259" s="84" t="s">
        <v>46</v>
      </c>
      <c r="G259" s="15" t="s">
        <v>68</v>
      </c>
      <c r="H259" s="16" t="s">
        <v>1218</v>
      </c>
      <c r="I259" s="17"/>
      <c r="J259" s="17"/>
      <c r="K259" s="17"/>
      <c r="L259" s="17"/>
      <c r="N259" s="31">
        <v>257</v>
      </c>
      <c r="O259" s="32" t="s">
        <v>1219</v>
      </c>
      <c r="P259" s="33" t="s">
        <v>870</v>
      </c>
      <c r="Q259" s="32" t="s">
        <v>32</v>
      </c>
      <c r="R259" s="69">
        <v>44259.346215277779</v>
      </c>
      <c r="S259" s="35">
        <v>44362</v>
      </c>
      <c r="T259" s="32" t="str">
        <f t="shared" si="13"/>
        <v>+084266636***</v>
      </c>
      <c r="U259" s="32" t="str">
        <f t="shared" ca="1" si="14"/>
        <v>paol***@yuhuumail.com</v>
      </c>
      <c r="V259" s="32">
        <f t="shared" si="15"/>
        <v>29</v>
      </c>
      <c r="W259" s="36">
        <f t="shared" si="16"/>
        <v>0.05</v>
      </c>
    </row>
    <row r="260" spans="4:23" ht="27" customHeight="1" x14ac:dyDescent="0.25">
      <c r="D260" s="14" t="s">
        <v>1220</v>
      </c>
      <c r="E260" s="14" t="s">
        <v>1221</v>
      </c>
      <c r="F260" s="84" t="s">
        <v>538</v>
      </c>
      <c r="G260" s="15" t="s">
        <v>68</v>
      </c>
      <c r="H260" s="16" t="s">
        <v>1222</v>
      </c>
      <c r="I260" s="17"/>
      <c r="J260" s="17"/>
      <c r="K260" s="17"/>
      <c r="L260" s="17"/>
      <c r="N260" s="31">
        <v>258</v>
      </c>
      <c r="O260" s="32" t="s">
        <v>1223</v>
      </c>
      <c r="P260" s="33" t="s">
        <v>870</v>
      </c>
      <c r="Q260" s="32" t="s">
        <v>32</v>
      </c>
      <c r="R260" s="69">
        <v>43910.017106481479</v>
      </c>
      <c r="S260" s="35">
        <v>44354</v>
      </c>
      <c r="T260" s="32" t="str">
        <f t="shared" si="13"/>
        <v>+85222779***</v>
      </c>
      <c r="U260" s="32" t="str">
        <f t="shared" ca="1" si="14"/>
        <v>atti***@jossmail.com</v>
      </c>
      <c r="V260" s="32">
        <f t="shared" si="15"/>
        <v>28</v>
      </c>
      <c r="W260" s="36">
        <f t="shared" si="16"/>
        <v>6.5000000000000002E-2</v>
      </c>
    </row>
    <row r="261" spans="4:23" ht="27" customHeight="1" x14ac:dyDescent="0.25">
      <c r="D261" s="14" t="s">
        <v>1224</v>
      </c>
      <c r="E261" s="14" t="s">
        <v>1225</v>
      </c>
      <c r="F261" s="84" t="s">
        <v>764</v>
      </c>
      <c r="G261" s="15" t="s">
        <v>68</v>
      </c>
      <c r="H261" s="16" t="s">
        <v>1226</v>
      </c>
      <c r="I261" s="17"/>
      <c r="J261" s="17"/>
      <c r="K261" s="17"/>
      <c r="L261" s="17"/>
      <c r="N261" s="31">
        <v>259</v>
      </c>
      <c r="O261" s="32" t="s">
        <v>1227</v>
      </c>
      <c r="P261" s="33" t="s">
        <v>870</v>
      </c>
      <c r="Q261" s="32" t="s">
        <v>32</v>
      </c>
      <c r="R261" s="69">
        <v>44259.361111111109</v>
      </c>
      <c r="S261" s="35">
        <v>44362</v>
      </c>
      <c r="T261" s="32" t="str">
        <f t="shared" ref="T261:T324" si="17">"+"&amp;_xlfn.XLOOKUP($O261, $E$2:$E$3002, $H$2:$H$3002, "Not Found")</f>
        <v>+6285292121***</v>
      </c>
      <c r="U261" s="32" t="str">
        <f t="shared" ref="U261:U324" ca="1" si="18" xml:space="preserve"> LOWER(LEFT(_xlfn.XLOOKUP($O261, $E$2:$E$3002, $D$2:$D$3002), 4))
  &amp; "***@"
  &amp; IF(RAND()&gt;0.5, "jossmail.com", "yuhuumail.com")</f>
        <v>moni***@yuhuumail.com</v>
      </c>
      <c r="V261" s="32">
        <f t="shared" ref="V261:V324" si="19">DATEDIF(_xlfn.XLOOKUP($O261, $E$2:$E$3002, $F$2:$F$3002), $R261, "Y")</f>
        <v>29</v>
      </c>
      <c r="W261" s="36">
        <f t="shared" ref="W261:W324" si="20">IF(DATEDIF($R261, $S261, "Y") &gt;= 3, 0.025,
   IF(DATEDIF($R261, $S261, "Y") &gt;= 1, 0.015, 0)) +
 IF($V261 &gt;= 50, 0.04,
   IF($V261 &gt;= 40, 0.03,
     IF($V261 &gt;= 30, 0.02,
       IF($V261 &gt;= 20, 0.05, 0))))</f>
        <v>0.05</v>
      </c>
    </row>
    <row r="262" spans="4:23" ht="27" customHeight="1" x14ac:dyDescent="0.25">
      <c r="D262" s="14" t="s">
        <v>1228</v>
      </c>
      <c r="E262" s="14" t="s">
        <v>1229</v>
      </c>
      <c r="F262" s="84" t="s">
        <v>533</v>
      </c>
      <c r="G262" s="15" t="s">
        <v>27</v>
      </c>
      <c r="H262" s="16" t="s">
        <v>1230</v>
      </c>
      <c r="I262" s="17"/>
      <c r="J262" s="17"/>
      <c r="K262" s="17"/>
      <c r="L262" s="17"/>
      <c r="N262" s="31">
        <v>260</v>
      </c>
      <c r="O262" s="32" t="s">
        <v>1231</v>
      </c>
      <c r="P262" s="33" t="s">
        <v>880</v>
      </c>
      <c r="Q262" s="32" t="s">
        <v>32</v>
      </c>
      <c r="R262" s="69">
        <v>44258.807696759257</v>
      </c>
      <c r="S262" s="35">
        <v>44359</v>
      </c>
      <c r="T262" s="32" t="str">
        <f t="shared" si="17"/>
        <v>+6282274444***</v>
      </c>
      <c r="U262" s="32" t="str">
        <f t="shared" ca="1" si="18"/>
        <v>artu***@yuhuumail.com</v>
      </c>
      <c r="V262" s="32">
        <f t="shared" si="19"/>
        <v>29</v>
      </c>
      <c r="W262" s="36">
        <f t="shared" si="20"/>
        <v>0.05</v>
      </c>
    </row>
    <row r="263" spans="4:23" ht="27" customHeight="1" x14ac:dyDescent="0.25">
      <c r="D263" s="14" t="s">
        <v>1232</v>
      </c>
      <c r="E263" s="14" t="s">
        <v>1233</v>
      </c>
      <c r="F263" s="84" t="s">
        <v>107</v>
      </c>
      <c r="G263" s="15" t="s">
        <v>27</v>
      </c>
      <c r="H263" s="16" t="s">
        <v>1234</v>
      </c>
      <c r="I263" s="17"/>
      <c r="J263" s="17"/>
      <c r="K263" s="17"/>
      <c r="L263" s="17"/>
      <c r="N263" s="31">
        <v>261</v>
      </c>
      <c r="O263" s="32" t="s">
        <v>1235</v>
      </c>
      <c r="P263" s="33" t="s">
        <v>875</v>
      </c>
      <c r="Q263" s="32" t="s">
        <v>32</v>
      </c>
      <c r="R263" s="69">
        <v>44259.332731481481</v>
      </c>
      <c r="S263" s="35">
        <v>44359</v>
      </c>
      <c r="T263" s="32" t="str">
        <f t="shared" si="17"/>
        <v>+85221294***</v>
      </c>
      <c r="U263" s="32" t="str">
        <f t="shared" ca="1" si="18"/>
        <v>tyre***@yuhuumail.com</v>
      </c>
      <c r="V263" s="32">
        <f t="shared" si="19"/>
        <v>29</v>
      </c>
      <c r="W263" s="36">
        <f t="shared" si="20"/>
        <v>0.05</v>
      </c>
    </row>
    <row r="264" spans="4:23" ht="27" customHeight="1" x14ac:dyDescent="0.25">
      <c r="D264" s="14" t="s">
        <v>1236</v>
      </c>
      <c r="E264" s="14" t="s">
        <v>1237</v>
      </c>
      <c r="F264" s="84" t="s">
        <v>444</v>
      </c>
      <c r="G264" s="15" t="s">
        <v>68</v>
      </c>
      <c r="H264" s="16" t="s">
        <v>1238</v>
      </c>
      <c r="I264" s="17"/>
      <c r="J264" s="17"/>
      <c r="K264" s="17"/>
      <c r="L264" s="17"/>
      <c r="N264" s="31">
        <v>262</v>
      </c>
      <c r="O264" s="32" t="s">
        <v>1239</v>
      </c>
      <c r="P264" s="33" t="s">
        <v>880</v>
      </c>
      <c r="Q264" s="32" t="s">
        <v>32</v>
      </c>
      <c r="R264" s="69">
        <v>44258.950833333336</v>
      </c>
      <c r="S264" s="35">
        <v>44318</v>
      </c>
      <c r="T264" s="32" t="str">
        <f t="shared" si="17"/>
        <v>+0832 71959***</v>
      </c>
      <c r="U264" s="32" t="str">
        <f t="shared" ca="1" si="18"/>
        <v>abbe***@yuhuumail.com</v>
      </c>
      <c r="V264" s="32">
        <f t="shared" si="19"/>
        <v>29</v>
      </c>
      <c r="W264" s="36">
        <f t="shared" si="20"/>
        <v>0.05</v>
      </c>
    </row>
    <row r="265" spans="4:23" ht="27" customHeight="1" x14ac:dyDescent="0.25">
      <c r="D265" s="14" t="s">
        <v>1240</v>
      </c>
      <c r="E265" s="14" t="s">
        <v>1241</v>
      </c>
      <c r="F265" s="84" t="s">
        <v>51</v>
      </c>
      <c r="G265" s="15" t="s">
        <v>27</v>
      </c>
      <c r="H265" s="16" t="s">
        <v>1242</v>
      </c>
      <c r="I265" s="17"/>
      <c r="J265" s="17"/>
      <c r="K265" s="17"/>
      <c r="L265" s="17"/>
      <c r="N265" s="31">
        <v>263</v>
      </c>
      <c r="O265" s="32" t="s">
        <v>1243</v>
      </c>
      <c r="P265" s="33" t="s">
        <v>880</v>
      </c>
      <c r="Q265" s="32" t="s">
        <v>32</v>
      </c>
      <c r="R265" s="69">
        <v>44259.33053240741</v>
      </c>
      <c r="S265" s="35">
        <v>44318</v>
      </c>
      <c r="T265" s="32" t="str">
        <f t="shared" si="17"/>
        <v>+81281340***</v>
      </c>
      <c r="U265" s="32" t="str">
        <f t="shared" ca="1" si="18"/>
        <v>mica***@jossmail.com</v>
      </c>
      <c r="V265" s="32">
        <f t="shared" si="19"/>
        <v>29</v>
      </c>
      <c r="W265" s="36">
        <f t="shared" si="20"/>
        <v>0.05</v>
      </c>
    </row>
    <row r="266" spans="4:23" ht="27" customHeight="1" x14ac:dyDescent="0.25">
      <c r="D266" s="14" t="s">
        <v>1244</v>
      </c>
      <c r="E266" s="14" t="s">
        <v>902</v>
      </c>
      <c r="F266" s="84" t="s">
        <v>742</v>
      </c>
      <c r="G266" s="15" t="s">
        <v>27</v>
      </c>
      <c r="H266" s="16" t="s">
        <v>1245</v>
      </c>
      <c r="I266" s="17"/>
      <c r="J266" s="17"/>
      <c r="K266" s="17"/>
      <c r="L266" s="17"/>
      <c r="N266" s="31">
        <v>264</v>
      </c>
      <c r="O266" s="32" t="s">
        <v>1246</v>
      </c>
      <c r="P266" s="33" t="s">
        <v>880</v>
      </c>
      <c r="Q266" s="32" t="s">
        <v>32</v>
      </c>
      <c r="R266" s="69">
        <v>44259.372083333335</v>
      </c>
      <c r="S266" s="35">
        <v>44355</v>
      </c>
      <c r="T266" s="32" t="str">
        <f t="shared" si="17"/>
        <v>+0822-36702***</v>
      </c>
      <c r="U266" s="32" t="str">
        <f t="shared" ca="1" si="18"/>
        <v>quin***@yuhuumail.com</v>
      </c>
      <c r="V266" s="32">
        <f t="shared" si="19"/>
        <v>29</v>
      </c>
      <c r="W266" s="36">
        <f t="shared" si="20"/>
        <v>0.05</v>
      </c>
    </row>
    <row r="267" spans="4:23" ht="27" customHeight="1" x14ac:dyDescent="0.25">
      <c r="D267" s="14" t="s">
        <v>1247</v>
      </c>
      <c r="E267" s="14" t="s">
        <v>1248</v>
      </c>
      <c r="F267" s="84" t="s">
        <v>422</v>
      </c>
      <c r="G267" s="15" t="s">
        <v>68</v>
      </c>
      <c r="H267" s="16" t="s">
        <v>1249</v>
      </c>
      <c r="I267" s="17"/>
      <c r="J267" s="17"/>
      <c r="K267" s="17"/>
      <c r="L267" s="17"/>
      <c r="N267" s="31">
        <v>265</v>
      </c>
      <c r="O267" s="32" t="s">
        <v>1250</v>
      </c>
      <c r="P267" s="33" t="s">
        <v>870</v>
      </c>
      <c r="Q267" s="32" t="s">
        <v>32</v>
      </c>
      <c r="R267" s="69">
        <v>44259.383530092593</v>
      </c>
      <c r="S267" s="71">
        <v>44356</v>
      </c>
      <c r="T267" s="32" t="str">
        <f t="shared" si="17"/>
        <v>+81216256***</v>
      </c>
      <c r="U267" s="32" t="str">
        <f t="shared" ca="1" si="18"/>
        <v>haid***@jossmail.com</v>
      </c>
      <c r="V267" s="32">
        <f t="shared" si="19"/>
        <v>29</v>
      </c>
      <c r="W267" s="36">
        <f t="shared" si="20"/>
        <v>0.05</v>
      </c>
    </row>
    <row r="268" spans="4:23" ht="27" customHeight="1" x14ac:dyDescent="0.25">
      <c r="D268" s="14" t="s">
        <v>1251</v>
      </c>
      <c r="E268" s="14" t="s">
        <v>1252</v>
      </c>
      <c r="F268" s="84" t="s">
        <v>261</v>
      </c>
      <c r="G268" s="15" t="s">
        <v>27</v>
      </c>
      <c r="H268" s="16" t="s">
        <v>1253</v>
      </c>
      <c r="I268" s="17"/>
      <c r="J268" s="17"/>
      <c r="K268" s="17"/>
      <c r="L268" s="17"/>
      <c r="N268" s="31">
        <v>266</v>
      </c>
      <c r="O268" s="32" t="s">
        <v>1254</v>
      </c>
      <c r="P268" s="33" t="s">
        <v>870</v>
      </c>
      <c r="Q268" s="32" t="s">
        <v>32</v>
      </c>
      <c r="R268" s="69">
        <v>44253.42119212963</v>
      </c>
      <c r="S268" s="71">
        <v>44356</v>
      </c>
      <c r="T268" s="32" t="str">
        <f t="shared" si="17"/>
        <v>+82247465***</v>
      </c>
      <c r="U268" s="32" t="str">
        <f t="shared" ca="1" si="18"/>
        <v>rowa***@jossmail.com</v>
      </c>
      <c r="V268" s="32">
        <f t="shared" si="19"/>
        <v>29</v>
      </c>
      <c r="W268" s="36">
        <f t="shared" si="20"/>
        <v>0.05</v>
      </c>
    </row>
    <row r="269" spans="4:23" ht="27" customHeight="1" x14ac:dyDescent="0.25">
      <c r="D269" s="14" t="s">
        <v>1255</v>
      </c>
      <c r="E269" s="14" t="s">
        <v>1256</v>
      </c>
      <c r="F269" s="84" t="s">
        <v>316</v>
      </c>
      <c r="G269" s="15" t="s">
        <v>27</v>
      </c>
      <c r="H269" s="16" t="s">
        <v>1257</v>
      </c>
      <c r="I269" s="17"/>
      <c r="J269" s="17"/>
      <c r="K269" s="17"/>
      <c r="L269" s="17"/>
      <c r="N269" s="31">
        <v>267</v>
      </c>
      <c r="O269" s="32" t="s">
        <v>1258</v>
      </c>
      <c r="P269" s="33" t="s">
        <v>870</v>
      </c>
      <c r="Q269" s="32" t="s">
        <v>32</v>
      </c>
      <c r="R269" s="69">
        <v>44259.391412037039</v>
      </c>
      <c r="S269" s="71">
        <v>44352</v>
      </c>
      <c r="T269" s="32" t="str">
        <f t="shared" si="17"/>
        <v>+83296640***</v>
      </c>
      <c r="U269" s="32" t="str">
        <f t="shared" ca="1" si="18"/>
        <v>arma***@yuhuumail.com</v>
      </c>
      <c r="V269" s="32">
        <f t="shared" si="19"/>
        <v>29</v>
      </c>
      <c r="W269" s="36">
        <f t="shared" si="20"/>
        <v>0.05</v>
      </c>
    </row>
    <row r="270" spans="4:23" ht="27" customHeight="1" x14ac:dyDescent="0.25">
      <c r="D270" s="14" t="s">
        <v>1259</v>
      </c>
      <c r="E270" s="14" t="s">
        <v>1260</v>
      </c>
      <c r="F270" s="84" t="s">
        <v>46</v>
      </c>
      <c r="G270" s="15" t="s">
        <v>68</v>
      </c>
      <c r="H270" s="16" t="s">
        <v>1261</v>
      </c>
      <c r="I270" s="17"/>
      <c r="J270" s="17"/>
      <c r="K270" s="17"/>
      <c r="L270" s="17"/>
      <c r="N270" s="31">
        <v>268</v>
      </c>
      <c r="O270" s="32" t="s">
        <v>1262</v>
      </c>
      <c r="P270" s="33" t="s">
        <v>870</v>
      </c>
      <c r="Q270" s="32" t="s">
        <v>32</v>
      </c>
      <c r="R270" s="69">
        <v>44259.395601851851</v>
      </c>
      <c r="S270" s="71">
        <v>44362</v>
      </c>
      <c r="T270" s="32" t="str">
        <f t="shared" si="17"/>
        <v>+83271555***</v>
      </c>
      <c r="U270" s="32" t="str">
        <f t="shared" ca="1" si="18"/>
        <v>kait***@jossmail.com</v>
      </c>
      <c r="V270" s="32">
        <f t="shared" si="19"/>
        <v>29</v>
      </c>
      <c r="W270" s="36">
        <f t="shared" si="20"/>
        <v>0.05</v>
      </c>
    </row>
    <row r="271" spans="4:23" ht="27" customHeight="1" x14ac:dyDescent="0.25">
      <c r="D271" s="14" t="s">
        <v>1263</v>
      </c>
      <c r="E271" s="14" t="s">
        <v>1183</v>
      </c>
      <c r="F271" s="84" t="s">
        <v>490</v>
      </c>
      <c r="G271" s="15" t="s">
        <v>27</v>
      </c>
      <c r="H271" s="16" t="s">
        <v>1264</v>
      </c>
      <c r="I271" s="17"/>
      <c r="J271" s="17"/>
      <c r="K271" s="17"/>
      <c r="L271" s="17"/>
      <c r="N271" s="31">
        <v>269</v>
      </c>
      <c r="O271" s="32" t="s">
        <v>1265</v>
      </c>
      <c r="P271" s="33" t="s">
        <v>875</v>
      </c>
      <c r="Q271" s="32" t="s">
        <v>32</v>
      </c>
      <c r="R271" s="69">
        <v>44259.397685185184</v>
      </c>
      <c r="S271" s="71">
        <v>44357</v>
      </c>
      <c r="T271" s="32" t="str">
        <f t="shared" si="17"/>
        <v>+0842-31160***</v>
      </c>
      <c r="U271" s="32" t="str">
        <f t="shared" ca="1" si="18"/>
        <v>kars***@jossmail.com</v>
      </c>
      <c r="V271" s="32">
        <f t="shared" si="19"/>
        <v>29</v>
      </c>
      <c r="W271" s="36">
        <f t="shared" si="20"/>
        <v>0.05</v>
      </c>
    </row>
    <row r="272" spans="4:23" ht="27" customHeight="1" x14ac:dyDescent="0.25">
      <c r="D272" s="14" t="s">
        <v>1266</v>
      </c>
      <c r="E272" s="14" t="s">
        <v>1267</v>
      </c>
      <c r="F272" s="84" t="s">
        <v>92</v>
      </c>
      <c r="G272" s="15" t="s">
        <v>27</v>
      </c>
      <c r="H272" s="16" t="s">
        <v>1268</v>
      </c>
      <c r="I272" s="17"/>
      <c r="J272" s="17"/>
      <c r="K272" s="17"/>
      <c r="L272" s="17"/>
      <c r="N272" s="31">
        <v>270</v>
      </c>
      <c r="O272" s="32" t="s">
        <v>1269</v>
      </c>
      <c r="P272" s="33" t="s">
        <v>870</v>
      </c>
      <c r="Q272" s="32" t="s">
        <v>32</v>
      </c>
      <c r="R272" s="69">
        <v>44259.407708333332</v>
      </c>
      <c r="S272" s="71">
        <v>44318</v>
      </c>
      <c r="T272" s="32" t="str">
        <f t="shared" si="17"/>
        <v>+83268886***</v>
      </c>
      <c r="U272" s="32" t="str">
        <f t="shared" ca="1" si="18"/>
        <v>moni***@jossmail.com</v>
      </c>
      <c r="V272" s="32">
        <f t="shared" si="19"/>
        <v>29</v>
      </c>
      <c r="W272" s="36">
        <f t="shared" si="20"/>
        <v>0.05</v>
      </c>
    </row>
    <row r="273" spans="4:23" ht="27" customHeight="1" x14ac:dyDescent="0.25">
      <c r="D273" s="14" t="s">
        <v>1270</v>
      </c>
      <c r="E273" s="14" t="s">
        <v>1271</v>
      </c>
      <c r="F273" s="84" t="s">
        <v>381</v>
      </c>
      <c r="G273" s="15" t="s">
        <v>27</v>
      </c>
      <c r="H273" s="16" t="s">
        <v>1272</v>
      </c>
      <c r="I273" s="17"/>
      <c r="J273" s="17"/>
      <c r="K273" s="17"/>
      <c r="L273" s="17"/>
      <c r="N273" s="31">
        <v>271</v>
      </c>
      <c r="O273" s="32" t="s">
        <v>1273</v>
      </c>
      <c r="P273" s="33" t="s">
        <v>870</v>
      </c>
      <c r="Q273" s="32" t="s">
        <v>32</v>
      </c>
      <c r="R273" s="69">
        <v>44011.580775462964</v>
      </c>
      <c r="S273" s="71">
        <v>44354</v>
      </c>
      <c r="T273" s="32" t="str">
        <f t="shared" si="17"/>
        <v>+82266485***</v>
      </c>
      <c r="U273" s="32" t="str">
        <f t="shared" ca="1" si="18"/>
        <v>wils***@yuhuumail.com</v>
      </c>
      <c r="V273" s="32">
        <f t="shared" si="19"/>
        <v>28</v>
      </c>
      <c r="W273" s="36">
        <f t="shared" si="20"/>
        <v>0.05</v>
      </c>
    </row>
    <row r="274" spans="4:23" ht="27" customHeight="1" x14ac:dyDescent="0.25">
      <c r="D274" s="14" t="s">
        <v>1274</v>
      </c>
      <c r="E274" s="14" t="s">
        <v>1275</v>
      </c>
      <c r="F274" s="84" t="s">
        <v>632</v>
      </c>
      <c r="G274" s="15" t="s">
        <v>27</v>
      </c>
      <c r="H274" s="16" t="s">
        <v>1276</v>
      </c>
      <c r="I274" s="17"/>
      <c r="J274" s="17"/>
      <c r="K274" s="17"/>
      <c r="L274" s="17"/>
      <c r="N274" s="31">
        <v>272</v>
      </c>
      <c r="O274" s="32" t="s">
        <v>1277</v>
      </c>
      <c r="P274" s="33" t="s">
        <v>875</v>
      </c>
      <c r="Q274" s="32" t="s">
        <v>32</v>
      </c>
      <c r="R274" s="69">
        <v>44259.383414351854</v>
      </c>
      <c r="S274" s="71">
        <v>44359</v>
      </c>
      <c r="T274" s="32" t="str">
        <f t="shared" si="17"/>
        <v>+0852-44490***</v>
      </c>
      <c r="U274" s="32" t="str">
        <f t="shared" ca="1" si="18"/>
        <v>abbi***@yuhuumail.com</v>
      </c>
      <c r="V274" s="32">
        <f t="shared" si="19"/>
        <v>29</v>
      </c>
      <c r="W274" s="36">
        <f t="shared" si="20"/>
        <v>0.05</v>
      </c>
    </row>
    <row r="275" spans="4:23" ht="27" customHeight="1" x14ac:dyDescent="0.25">
      <c r="D275" s="14" t="s">
        <v>1278</v>
      </c>
      <c r="E275" s="14" t="s">
        <v>1279</v>
      </c>
      <c r="F275" s="84" t="s">
        <v>934</v>
      </c>
      <c r="G275" s="15" t="s">
        <v>68</v>
      </c>
      <c r="H275" s="16" t="s">
        <v>1280</v>
      </c>
      <c r="I275" s="17"/>
      <c r="J275" s="17"/>
      <c r="K275" s="17"/>
      <c r="L275" s="17"/>
      <c r="N275" s="31">
        <v>273</v>
      </c>
      <c r="O275" s="32" t="s">
        <v>1281</v>
      </c>
      <c r="P275" s="33" t="s">
        <v>875</v>
      </c>
      <c r="Q275" s="32" t="s">
        <v>32</v>
      </c>
      <c r="R275" s="69">
        <v>44032.377060185187</v>
      </c>
      <c r="S275" s="71">
        <v>44354</v>
      </c>
      <c r="T275" s="32" t="str">
        <f t="shared" si="17"/>
        <v>+081251029***</v>
      </c>
      <c r="U275" s="32" t="str">
        <f t="shared" ca="1" si="18"/>
        <v>chan***@jossmail.com</v>
      </c>
      <c r="V275" s="32">
        <f t="shared" si="19"/>
        <v>28</v>
      </c>
      <c r="W275" s="36">
        <f t="shared" si="20"/>
        <v>0.05</v>
      </c>
    </row>
    <row r="276" spans="4:23" ht="27" customHeight="1" x14ac:dyDescent="0.25">
      <c r="D276" s="14" t="s">
        <v>1282</v>
      </c>
      <c r="E276" s="14" t="s">
        <v>1283</v>
      </c>
      <c r="F276" s="84" t="s">
        <v>183</v>
      </c>
      <c r="G276" s="15" t="s">
        <v>27</v>
      </c>
      <c r="H276" s="16" t="s">
        <v>1284</v>
      </c>
      <c r="I276" s="17"/>
      <c r="J276" s="17"/>
      <c r="K276" s="17"/>
      <c r="L276" s="17"/>
      <c r="N276" s="31">
        <v>274</v>
      </c>
      <c r="O276" s="32" t="s">
        <v>1285</v>
      </c>
      <c r="P276" s="33" t="s">
        <v>880</v>
      </c>
      <c r="Q276" s="32" t="s">
        <v>32</v>
      </c>
      <c r="R276" s="69">
        <v>44259.423807870371</v>
      </c>
      <c r="S276" s="71">
        <v>44354</v>
      </c>
      <c r="T276" s="32" t="str">
        <f t="shared" si="17"/>
        <v>+6285258780***</v>
      </c>
      <c r="U276" s="32" t="str">
        <f t="shared" ca="1" si="18"/>
        <v>nata***@yuhuumail.com</v>
      </c>
      <c r="V276" s="32">
        <f t="shared" si="19"/>
        <v>29</v>
      </c>
      <c r="W276" s="36">
        <f t="shared" si="20"/>
        <v>0.05</v>
      </c>
    </row>
    <row r="277" spans="4:23" ht="27" customHeight="1" x14ac:dyDescent="0.25">
      <c r="D277" s="14" t="s">
        <v>1286</v>
      </c>
      <c r="E277" s="14" t="s">
        <v>1287</v>
      </c>
      <c r="F277" s="84" t="s">
        <v>1288</v>
      </c>
      <c r="G277" s="15" t="s">
        <v>68</v>
      </c>
      <c r="H277" s="16" t="s">
        <v>1289</v>
      </c>
      <c r="I277" s="17"/>
      <c r="J277" s="17"/>
      <c r="K277" s="17"/>
      <c r="L277" s="17"/>
      <c r="N277" s="31">
        <v>275</v>
      </c>
      <c r="O277" s="32" t="s">
        <v>1290</v>
      </c>
      <c r="P277" s="33" t="s">
        <v>875</v>
      </c>
      <c r="Q277" s="32" t="s">
        <v>32</v>
      </c>
      <c r="R277" s="69">
        <v>44259.424861111111</v>
      </c>
      <c r="S277" s="71">
        <v>44359</v>
      </c>
      <c r="T277" s="32" t="str">
        <f t="shared" si="17"/>
        <v>+0812-80526***</v>
      </c>
      <c r="U277" s="32" t="str">
        <f t="shared" ca="1" si="18"/>
        <v>jace***@jossmail.com</v>
      </c>
      <c r="V277" s="32">
        <f t="shared" si="19"/>
        <v>29</v>
      </c>
      <c r="W277" s="36">
        <f t="shared" si="20"/>
        <v>0.05</v>
      </c>
    </row>
    <row r="278" spans="4:23" ht="27" customHeight="1" x14ac:dyDescent="0.25">
      <c r="D278" s="14" t="s">
        <v>1291</v>
      </c>
      <c r="E278" s="14" t="s">
        <v>1292</v>
      </c>
      <c r="F278" s="84" t="s">
        <v>211</v>
      </c>
      <c r="G278" s="15" t="s">
        <v>27</v>
      </c>
      <c r="H278" s="16" t="s">
        <v>1293</v>
      </c>
      <c r="I278" s="17"/>
      <c r="J278" s="17"/>
      <c r="K278" s="17"/>
      <c r="L278" s="17"/>
      <c r="N278" s="31">
        <v>276</v>
      </c>
      <c r="O278" s="32" t="s">
        <v>956</v>
      </c>
      <c r="P278" s="33" t="s">
        <v>870</v>
      </c>
      <c r="Q278" s="32" t="s">
        <v>32</v>
      </c>
      <c r="R278" s="69">
        <v>43719.81690972222</v>
      </c>
      <c r="S278" s="71">
        <v>44359</v>
      </c>
      <c r="T278" s="32" t="str">
        <f t="shared" si="17"/>
        <v>+0832-26678***</v>
      </c>
      <c r="U278" s="32" t="str">
        <f t="shared" ca="1" si="18"/>
        <v>yese***@jossmail.com</v>
      </c>
      <c r="V278" s="32">
        <f t="shared" si="19"/>
        <v>27</v>
      </c>
      <c r="W278" s="36">
        <f t="shared" si="20"/>
        <v>6.5000000000000002E-2</v>
      </c>
    </row>
    <row r="279" spans="4:23" ht="27" customHeight="1" x14ac:dyDescent="0.25">
      <c r="D279" s="14" t="s">
        <v>1294</v>
      </c>
      <c r="E279" s="14" t="s">
        <v>1295</v>
      </c>
      <c r="F279" s="84" t="s">
        <v>485</v>
      </c>
      <c r="G279" s="15" t="s">
        <v>68</v>
      </c>
      <c r="H279" s="16" t="s">
        <v>1296</v>
      </c>
      <c r="I279" s="17"/>
      <c r="J279" s="17"/>
      <c r="K279" s="17"/>
      <c r="L279" s="17"/>
      <c r="N279" s="31">
        <v>277</v>
      </c>
      <c r="O279" s="32" t="s">
        <v>1297</v>
      </c>
      <c r="P279" s="33" t="s">
        <v>870</v>
      </c>
      <c r="Q279" s="32" t="s">
        <v>32</v>
      </c>
      <c r="R279" s="69">
        <v>44259.366898148146</v>
      </c>
      <c r="S279" s="71">
        <v>44320</v>
      </c>
      <c r="T279" s="32" t="str">
        <f t="shared" si="17"/>
        <v>+083261697***</v>
      </c>
      <c r="U279" s="32" t="str">
        <f t="shared" ca="1" si="18"/>
        <v>cari***@jossmail.com</v>
      </c>
      <c r="V279" s="32">
        <f t="shared" si="19"/>
        <v>29</v>
      </c>
      <c r="W279" s="36">
        <f t="shared" si="20"/>
        <v>0.05</v>
      </c>
    </row>
    <row r="280" spans="4:23" ht="27" customHeight="1" x14ac:dyDescent="0.25">
      <c r="D280" s="14" t="s">
        <v>1298</v>
      </c>
      <c r="E280" s="14" t="s">
        <v>1299</v>
      </c>
      <c r="F280" s="84" t="s">
        <v>407</v>
      </c>
      <c r="G280" s="15" t="s">
        <v>27</v>
      </c>
      <c r="H280" s="16" t="s">
        <v>1300</v>
      </c>
      <c r="I280" s="17"/>
      <c r="J280" s="17"/>
      <c r="K280" s="17"/>
      <c r="L280" s="17"/>
      <c r="N280" s="31">
        <v>278</v>
      </c>
      <c r="O280" s="32" t="s">
        <v>1301</v>
      </c>
      <c r="P280" s="33" t="s">
        <v>870</v>
      </c>
      <c r="Q280" s="32" t="s">
        <v>32</v>
      </c>
      <c r="R280" s="69">
        <v>44259.412824074076</v>
      </c>
      <c r="S280" s="71">
        <v>44320</v>
      </c>
      <c r="T280" s="32" t="str">
        <f t="shared" si="17"/>
        <v>+0852-38634***</v>
      </c>
      <c r="U280" s="32" t="str">
        <f t="shared" ca="1" si="18"/>
        <v>jasi***@jossmail.com</v>
      </c>
      <c r="V280" s="32">
        <f t="shared" si="19"/>
        <v>29</v>
      </c>
      <c r="W280" s="36">
        <f t="shared" si="20"/>
        <v>0.05</v>
      </c>
    </row>
    <row r="281" spans="4:23" ht="27" customHeight="1" x14ac:dyDescent="0.25">
      <c r="D281" s="14" t="s">
        <v>1302</v>
      </c>
      <c r="E281" s="14" t="s">
        <v>1303</v>
      </c>
      <c r="F281" s="84" t="s">
        <v>524</v>
      </c>
      <c r="G281" s="15" t="s">
        <v>27</v>
      </c>
      <c r="H281" s="16" t="s">
        <v>1304</v>
      </c>
      <c r="I281" s="17"/>
      <c r="J281" s="17"/>
      <c r="K281" s="17"/>
      <c r="L281" s="17"/>
      <c r="N281" s="31">
        <v>279</v>
      </c>
      <c r="O281" s="32" t="s">
        <v>1305</v>
      </c>
      <c r="P281" s="33" t="s">
        <v>875</v>
      </c>
      <c r="Q281" s="32" t="s">
        <v>32</v>
      </c>
      <c r="R281" s="69">
        <v>44259.429710648146</v>
      </c>
      <c r="S281" s="71">
        <v>44361</v>
      </c>
      <c r="T281" s="32" t="str">
        <f t="shared" si="17"/>
        <v>+832 33629***</v>
      </c>
      <c r="U281" s="32" t="str">
        <f t="shared" ca="1" si="18"/>
        <v>mela***@jossmail.com</v>
      </c>
      <c r="V281" s="32">
        <f t="shared" si="19"/>
        <v>29</v>
      </c>
      <c r="W281" s="36">
        <f t="shared" si="20"/>
        <v>0.05</v>
      </c>
    </row>
    <row r="282" spans="4:23" ht="27" customHeight="1" x14ac:dyDescent="0.25">
      <c r="D282" s="14" t="s">
        <v>1306</v>
      </c>
      <c r="E282" s="14" t="s">
        <v>1307</v>
      </c>
      <c r="F282" s="84" t="s">
        <v>114</v>
      </c>
      <c r="G282" s="15" t="s">
        <v>27</v>
      </c>
      <c r="H282" s="16" t="s">
        <v>1308</v>
      </c>
      <c r="I282" s="17"/>
      <c r="J282" s="17"/>
      <c r="K282" s="17"/>
      <c r="L282" s="17"/>
      <c r="N282" s="31">
        <v>280</v>
      </c>
      <c r="O282" s="32" t="s">
        <v>1013</v>
      </c>
      <c r="P282" s="33" t="s">
        <v>875</v>
      </c>
      <c r="Q282" s="32" t="s">
        <v>32</v>
      </c>
      <c r="R282" s="69">
        <v>44259.425659722219</v>
      </c>
      <c r="S282" s="71">
        <v>44354</v>
      </c>
      <c r="T282" s="32" t="str">
        <f t="shared" si="17"/>
        <v>+84245086***</v>
      </c>
      <c r="U282" s="32" t="str">
        <f t="shared" ca="1" si="18"/>
        <v>muha***@jossmail.com</v>
      </c>
      <c r="V282" s="32">
        <f t="shared" si="19"/>
        <v>29</v>
      </c>
      <c r="W282" s="36">
        <f t="shared" si="20"/>
        <v>0.05</v>
      </c>
    </row>
    <row r="283" spans="4:23" ht="27" customHeight="1" x14ac:dyDescent="0.25">
      <c r="D283" s="14" t="s">
        <v>1309</v>
      </c>
      <c r="E283" s="14" t="s">
        <v>1310</v>
      </c>
      <c r="F283" s="84" t="s">
        <v>561</v>
      </c>
      <c r="G283" s="15" t="s">
        <v>27</v>
      </c>
      <c r="H283" s="16" t="s">
        <v>1311</v>
      </c>
      <c r="I283" s="17"/>
      <c r="J283" s="17"/>
      <c r="K283" s="17"/>
      <c r="L283" s="17"/>
      <c r="N283" s="31">
        <v>281</v>
      </c>
      <c r="O283" s="32" t="s">
        <v>1312</v>
      </c>
      <c r="P283" s="33" t="s">
        <v>880</v>
      </c>
      <c r="Q283" s="32" t="s">
        <v>32</v>
      </c>
      <c r="R283" s="69">
        <v>44259.433032407411</v>
      </c>
      <c r="S283" s="71">
        <v>44320</v>
      </c>
      <c r="T283" s="32" t="str">
        <f t="shared" si="17"/>
        <v>+0832-80254***</v>
      </c>
      <c r="U283" s="32" t="str">
        <f t="shared" ca="1" si="18"/>
        <v>neve***@jossmail.com</v>
      </c>
      <c r="V283" s="32">
        <f t="shared" si="19"/>
        <v>29</v>
      </c>
      <c r="W283" s="36">
        <f t="shared" si="20"/>
        <v>0.05</v>
      </c>
    </row>
    <row r="284" spans="4:23" ht="27" customHeight="1" x14ac:dyDescent="0.25">
      <c r="D284" s="14" t="s">
        <v>1313</v>
      </c>
      <c r="E284" s="14" t="s">
        <v>1099</v>
      </c>
      <c r="F284" s="84" t="s">
        <v>556</v>
      </c>
      <c r="G284" s="15" t="s">
        <v>27</v>
      </c>
      <c r="H284" s="16" t="s">
        <v>1314</v>
      </c>
      <c r="I284" s="17"/>
      <c r="J284" s="17"/>
      <c r="K284" s="17"/>
      <c r="L284" s="17"/>
      <c r="N284" s="31">
        <v>282</v>
      </c>
      <c r="O284" s="32" t="s">
        <v>1315</v>
      </c>
      <c r="P284" s="33" t="s">
        <v>870</v>
      </c>
      <c r="Q284" s="32" t="s">
        <v>32</v>
      </c>
      <c r="R284" s="69">
        <v>44259.430995370371</v>
      </c>
      <c r="S284" s="71">
        <v>44318</v>
      </c>
      <c r="T284" s="32" t="str">
        <f t="shared" si="17"/>
        <v>+82248379***</v>
      </c>
      <c r="U284" s="32" t="str">
        <f t="shared" ca="1" si="18"/>
        <v>kolb***@jossmail.com</v>
      </c>
      <c r="V284" s="32">
        <f t="shared" si="19"/>
        <v>29</v>
      </c>
      <c r="W284" s="36">
        <f t="shared" si="20"/>
        <v>0.05</v>
      </c>
    </row>
    <row r="285" spans="4:23" ht="27" customHeight="1" x14ac:dyDescent="0.25">
      <c r="D285" s="14" t="s">
        <v>1316</v>
      </c>
      <c r="E285" s="14" t="s">
        <v>1317</v>
      </c>
      <c r="F285" s="84" t="s">
        <v>1318</v>
      </c>
      <c r="G285" s="15" t="s">
        <v>68</v>
      </c>
      <c r="H285" s="16" t="s">
        <v>1319</v>
      </c>
      <c r="I285" s="17"/>
      <c r="J285" s="17"/>
      <c r="K285" s="17"/>
      <c r="L285" s="17"/>
      <c r="N285" s="31">
        <v>283</v>
      </c>
      <c r="O285" s="32" t="s">
        <v>1320</v>
      </c>
      <c r="P285" s="33" t="s">
        <v>875</v>
      </c>
      <c r="Q285" s="32" t="s">
        <v>32</v>
      </c>
      <c r="R285" s="69">
        <v>44259.432511574072</v>
      </c>
      <c r="S285" s="71">
        <v>44318</v>
      </c>
      <c r="T285" s="32" t="str">
        <f t="shared" si="17"/>
        <v>+83279460***</v>
      </c>
      <c r="U285" s="32" t="str">
        <f t="shared" ca="1" si="18"/>
        <v>jayd***@jossmail.com</v>
      </c>
      <c r="V285" s="32">
        <f t="shared" si="19"/>
        <v>29</v>
      </c>
      <c r="W285" s="36">
        <f t="shared" si="20"/>
        <v>0.05</v>
      </c>
    </row>
    <row r="286" spans="4:23" ht="27" customHeight="1" x14ac:dyDescent="0.25">
      <c r="D286" s="14" t="s">
        <v>1321</v>
      </c>
      <c r="E286" s="14" t="s">
        <v>1322</v>
      </c>
      <c r="F286" s="84" t="s">
        <v>1201</v>
      </c>
      <c r="G286" s="15" t="s">
        <v>27</v>
      </c>
      <c r="H286" s="16" t="s">
        <v>1323</v>
      </c>
      <c r="I286" s="17"/>
      <c r="J286" s="17"/>
      <c r="K286" s="17"/>
      <c r="L286" s="17"/>
      <c r="N286" s="31">
        <v>284</v>
      </c>
      <c r="O286" s="32" t="s">
        <v>1324</v>
      </c>
      <c r="P286" s="33" t="s">
        <v>870</v>
      </c>
      <c r="Q286" s="32" t="s">
        <v>32</v>
      </c>
      <c r="R286" s="69">
        <v>44259.440208333333</v>
      </c>
      <c r="S286" s="71">
        <v>44320</v>
      </c>
      <c r="T286" s="32" t="str">
        <f t="shared" si="17"/>
        <v>+0822-29476***</v>
      </c>
      <c r="U286" s="32" t="str">
        <f t="shared" ca="1" si="18"/>
        <v>kend***@yuhuumail.com</v>
      </c>
      <c r="V286" s="32">
        <f t="shared" si="19"/>
        <v>29</v>
      </c>
      <c r="W286" s="36">
        <f t="shared" si="20"/>
        <v>0.05</v>
      </c>
    </row>
    <row r="287" spans="4:23" ht="27" customHeight="1" x14ac:dyDescent="0.25">
      <c r="D287" s="14" t="s">
        <v>1325</v>
      </c>
      <c r="E287" s="14" t="s">
        <v>1326</v>
      </c>
      <c r="F287" s="84" t="s">
        <v>1118</v>
      </c>
      <c r="G287" s="15" t="s">
        <v>68</v>
      </c>
      <c r="H287" s="16" t="s">
        <v>1327</v>
      </c>
      <c r="I287" s="17"/>
      <c r="J287" s="17"/>
      <c r="K287" s="17"/>
      <c r="L287" s="17"/>
      <c r="N287" s="31">
        <v>285</v>
      </c>
      <c r="O287" s="32" t="s">
        <v>1328</v>
      </c>
      <c r="P287" s="33" t="s">
        <v>880</v>
      </c>
      <c r="Q287" s="32" t="s">
        <v>32</v>
      </c>
      <c r="R287" s="69">
        <v>44259.429363425923</v>
      </c>
      <c r="S287" s="35">
        <v>44320</v>
      </c>
      <c r="T287" s="32" t="str">
        <f t="shared" si="17"/>
        <v>+82268750***</v>
      </c>
      <c r="U287" s="32" t="str">
        <f t="shared" ca="1" si="18"/>
        <v>igna***@yuhuumail.com</v>
      </c>
      <c r="V287" s="32">
        <f t="shared" si="19"/>
        <v>29</v>
      </c>
      <c r="W287" s="36">
        <f t="shared" si="20"/>
        <v>0.05</v>
      </c>
    </row>
    <row r="288" spans="4:23" ht="27" customHeight="1" x14ac:dyDescent="0.25">
      <c r="D288" s="14" t="s">
        <v>1329</v>
      </c>
      <c r="E288" s="14" t="s">
        <v>1330</v>
      </c>
      <c r="F288" s="84" t="s">
        <v>211</v>
      </c>
      <c r="G288" s="15" t="s">
        <v>27</v>
      </c>
      <c r="H288" s="16" t="s">
        <v>1331</v>
      </c>
      <c r="I288" s="17"/>
      <c r="J288" s="17"/>
      <c r="K288" s="17"/>
      <c r="L288" s="17"/>
      <c r="N288" s="31">
        <v>286</v>
      </c>
      <c r="O288" s="32" t="s">
        <v>1332</v>
      </c>
      <c r="P288" s="33" t="s">
        <v>880</v>
      </c>
      <c r="Q288" s="32" t="s">
        <v>40</v>
      </c>
      <c r="R288" s="69">
        <v>44259.447268518517</v>
      </c>
      <c r="S288" s="35">
        <v>44352</v>
      </c>
      <c r="T288" s="32" t="str">
        <f t="shared" si="17"/>
        <v>+81230963***</v>
      </c>
      <c r="U288" s="32" t="str">
        <f t="shared" ca="1" si="18"/>
        <v>summ***@yuhuumail.com</v>
      </c>
      <c r="V288" s="32">
        <f t="shared" si="19"/>
        <v>29</v>
      </c>
      <c r="W288" s="36">
        <f t="shared" si="20"/>
        <v>0.05</v>
      </c>
    </row>
    <row r="289" spans="4:23" ht="27" customHeight="1" x14ac:dyDescent="0.25">
      <c r="D289" s="14" t="s">
        <v>1333</v>
      </c>
      <c r="E289" s="14" t="s">
        <v>1334</v>
      </c>
      <c r="F289" s="84" t="s">
        <v>627</v>
      </c>
      <c r="G289" s="15" t="s">
        <v>68</v>
      </c>
      <c r="H289" s="16" t="s">
        <v>1335</v>
      </c>
      <c r="I289" s="17"/>
      <c r="J289" s="17"/>
      <c r="K289" s="17"/>
      <c r="L289" s="17"/>
      <c r="N289" s="31">
        <v>287</v>
      </c>
      <c r="O289" s="32" t="s">
        <v>1336</v>
      </c>
      <c r="P289" s="33" t="s">
        <v>870</v>
      </c>
      <c r="Q289" s="32" t="s">
        <v>32</v>
      </c>
      <c r="R289" s="69">
        <v>44259.346944444442</v>
      </c>
      <c r="S289" s="35">
        <v>44352</v>
      </c>
      <c r="T289" s="32" t="str">
        <f t="shared" si="17"/>
        <v>+83268915***</v>
      </c>
      <c r="U289" s="32" t="str">
        <f t="shared" ca="1" si="18"/>
        <v>cayd***@yuhuumail.com</v>
      </c>
      <c r="V289" s="32">
        <f t="shared" si="19"/>
        <v>29</v>
      </c>
      <c r="W289" s="36">
        <f t="shared" si="20"/>
        <v>0.05</v>
      </c>
    </row>
    <row r="290" spans="4:23" ht="27" customHeight="1" x14ac:dyDescent="0.25">
      <c r="D290" s="14" t="s">
        <v>1337</v>
      </c>
      <c r="E290" s="14" t="s">
        <v>1338</v>
      </c>
      <c r="F290" s="84" t="s">
        <v>444</v>
      </c>
      <c r="G290" s="15" t="s">
        <v>27</v>
      </c>
      <c r="H290" s="16" t="s">
        <v>1339</v>
      </c>
      <c r="I290" s="17"/>
      <c r="J290" s="17"/>
      <c r="K290" s="17"/>
      <c r="L290" s="17"/>
      <c r="N290" s="31">
        <v>288</v>
      </c>
      <c r="O290" s="32" t="s">
        <v>1340</v>
      </c>
      <c r="P290" s="33" t="s">
        <v>875</v>
      </c>
      <c r="Q290" s="32" t="s">
        <v>40</v>
      </c>
      <c r="R290" s="69">
        <v>44259.450729166667</v>
      </c>
      <c r="S290" s="35">
        <v>44351</v>
      </c>
      <c r="T290" s="32" t="str">
        <f t="shared" si="17"/>
        <v>+081231769***</v>
      </c>
      <c r="U290" s="32" t="str">
        <f t="shared" ca="1" si="18"/>
        <v>noel***@jossmail.com</v>
      </c>
      <c r="V290" s="32">
        <f t="shared" si="19"/>
        <v>29</v>
      </c>
      <c r="W290" s="36">
        <f t="shared" si="20"/>
        <v>0.05</v>
      </c>
    </row>
    <row r="291" spans="4:23" ht="27" customHeight="1" x14ac:dyDescent="0.25">
      <c r="D291" s="14" t="s">
        <v>1341</v>
      </c>
      <c r="E291" s="14" t="s">
        <v>783</v>
      </c>
      <c r="F291" s="84" t="s">
        <v>1342</v>
      </c>
      <c r="G291" s="15" t="s">
        <v>68</v>
      </c>
      <c r="H291" s="16" t="s">
        <v>1343</v>
      </c>
      <c r="I291" s="17"/>
      <c r="J291" s="17"/>
      <c r="K291" s="17"/>
      <c r="L291" s="17"/>
      <c r="N291" s="31">
        <v>289</v>
      </c>
      <c r="O291" s="32" t="s">
        <v>1344</v>
      </c>
      <c r="P291" s="33" t="s">
        <v>870</v>
      </c>
      <c r="Q291" s="32" t="s">
        <v>32</v>
      </c>
      <c r="R291" s="69">
        <v>44035.798888888887</v>
      </c>
      <c r="S291" s="35">
        <v>44355</v>
      </c>
      <c r="T291" s="32" t="str">
        <f t="shared" si="17"/>
        <v>+0832-53633***</v>
      </c>
      <c r="U291" s="32" t="str">
        <f t="shared" ca="1" si="18"/>
        <v>dana***@jossmail.com</v>
      </c>
      <c r="V291" s="32">
        <f t="shared" si="19"/>
        <v>28</v>
      </c>
      <c r="W291" s="36">
        <f t="shared" si="20"/>
        <v>0.05</v>
      </c>
    </row>
    <row r="292" spans="4:23" ht="27" customHeight="1" x14ac:dyDescent="0.25">
      <c r="D292" s="14" t="s">
        <v>1345</v>
      </c>
      <c r="E292" s="14" t="s">
        <v>1346</v>
      </c>
      <c r="F292" s="84" t="s">
        <v>1201</v>
      </c>
      <c r="G292" s="15" t="s">
        <v>68</v>
      </c>
      <c r="H292" s="16" t="s">
        <v>1347</v>
      </c>
      <c r="I292" s="17"/>
      <c r="J292" s="17"/>
      <c r="K292" s="17"/>
      <c r="L292" s="17"/>
      <c r="N292" s="31">
        <v>290</v>
      </c>
      <c r="O292" s="32" t="s">
        <v>1348</v>
      </c>
      <c r="P292" s="33" t="s">
        <v>875</v>
      </c>
      <c r="Q292" s="32" t="s">
        <v>40</v>
      </c>
      <c r="R292" s="69">
        <v>44259.455706018518</v>
      </c>
      <c r="S292" s="35">
        <v>44362</v>
      </c>
      <c r="T292" s="32" t="str">
        <f t="shared" si="17"/>
        <v>+832 49313***</v>
      </c>
      <c r="U292" s="32" t="str">
        <f t="shared" ca="1" si="18"/>
        <v>jase***@yuhuumail.com</v>
      </c>
      <c r="V292" s="32">
        <f t="shared" si="19"/>
        <v>29</v>
      </c>
      <c r="W292" s="36">
        <f t="shared" si="20"/>
        <v>0.05</v>
      </c>
    </row>
    <row r="293" spans="4:23" ht="27" customHeight="1" x14ac:dyDescent="0.25">
      <c r="D293" s="14" t="s">
        <v>1349</v>
      </c>
      <c r="E293" s="14" t="s">
        <v>1350</v>
      </c>
      <c r="F293" s="84" t="s">
        <v>407</v>
      </c>
      <c r="G293" s="15" t="s">
        <v>27</v>
      </c>
      <c r="H293" s="16" t="s">
        <v>1351</v>
      </c>
      <c r="I293" s="17"/>
      <c r="J293" s="17"/>
      <c r="K293" s="17"/>
      <c r="L293" s="17"/>
      <c r="N293" s="31">
        <v>291</v>
      </c>
      <c r="O293" s="32" t="s">
        <v>1352</v>
      </c>
      <c r="P293" s="33" t="s">
        <v>880</v>
      </c>
      <c r="Q293" s="32" t="s">
        <v>32</v>
      </c>
      <c r="R293" s="69">
        <v>44259.450590277775</v>
      </c>
      <c r="S293" s="35">
        <v>44359</v>
      </c>
      <c r="T293" s="32" t="str">
        <f t="shared" si="17"/>
        <v>+84261591***</v>
      </c>
      <c r="U293" s="32" t="str">
        <f t="shared" ca="1" si="18"/>
        <v>alia***@jossmail.com</v>
      </c>
      <c r="V293" s="32">
        <f t="shared" si="19"/>
        <v>29</v>
      </c>
      <c r="W293" s="36">
        <f t="shared" si="20"/>
        <v>0.05</v>
      </c>
    </row>
    <row r="294" spans="4:23" ht="27" customHeight="1" x14ac:dyDescent="0.25">
      <c r="D294" s="14" t="s">
        <v>1353</v>
      </c>
      <c r="E294" s="14" t="s">
        <v>1354</v>
      </c>
      <c r="F294" s="84" t="s">
        <v>194</v>
      </c>
      <c r="G294" s="15" t="s">
        <v>68</v>
      </c>
      <c r="H294" s="16" t="s">
        <v>1355</v>
      </c>
      <c r="I294" s="17"/>
      <c r="J294" s="17"/>
      <c r="K294" s="17"/>
      <c r="L294" s="17"/>
      <c r="N294" s="31">
        <v>292</v>
      </c>
      <c r="O294" s="32" t="s">
        <v>1356</v>
      </c>
      <c r="P294" s="33" t="s">
        <v>880</v>
      </c>
      <c r="Q294" s="32" t="s">
        <v>40</v>
      </c>
      <c r="R294" s="69">
        <v>43717.87327546296</v>
      </c>
      <c r="S294" s="35">
        <v>44355</v>
      </c>
      <c r="T294" s="32" t="str">
        <f t="shared" si="17"/>
        <v>+832 65443***</v>
      </c>
      <c r="U294" s="32" t="str">
        <f t="shared" ca="1" si="18"/>
        <v>mari***@yuhuumail.com</v>
      </c>
      <c r="V294" s="32">
        <f t="shared" si="19"/>
        <v>27</v>
      </c>
      <c r="W294" s="36">
        <f t="shared" si="20"/>
        <v>6.5000000000000002E-2</v>
      </c>
    </row>
    <row r="295" spans="4:23" ht="27" customHeight="1" x14ac:dyDescent="0.25">
      <c r="D295" s="14" t="s">
        <v>1357</v>
      </c>
      <c r="E295" s="14" t="s">
        <v>1358</v>
      </c>
      <c r="F295" s="84" t="s">
        <v>444</v>
      </c>
      <c r="G295" s="15" t="s">
        <v>68</v>
      </c>
      <c r="H295" s="16" t="s">
        <v>1359</v>
      </c>
      <c r="I295" s="17"/>
      <c r="J295" s="17"/>
      <c r="K295" s="17"/>
      <c r="L295" s="17"/>
      <c r="N295" s="31">
        <v>293</v>
      </c>
      <c r="O295" s="32" t="s">
        <v>1360</v>
      </c>
      <c r="P295" s="33" t="s">
        <v>875</v>
      </c>
      <c r="Q295" s="32" t="s">
        <v>32</v>
      </c>
      <c r="R295" s="69">
        <v>44258.671944444446</v>
      </c>
      <c r="S295" s="35">
        <v>44362</v>
      </c>
      <c r="T295" s="32" t="str">
        <f t="shared" si="17"/>
        <v>+0852-19710***</v>
      </c>
      <c r="U295" s="32" t="str">
        <f t="shared" ca="1" si="18"/>
        <v>john***@yuhuumail.com</v>
      </c>
      <c r="V295" s="32">
        <f t="shared" si="19"/>
        <v>29</v>
      </c>
      <c r="W295" s="36">
        <f t="shared" si="20"/>
        <v>0.05</v>
      </c>
    </row>
    <row r="296" spans="4:23" ht="27" customHeight="1" x14ac:dyDescent="0.25">
      <c r="D296" s="14" t="s">
        <v>1361</v>
      </c>
      <c r="E296" s="14" t="s">
        <v>1362</v>
      </c>
      <c r="F296" s="84" t="s">
        <v>453</v>
      </c>
      <c r="G296" s="15" t="s">
        <v>27</v>
      </c>
      <c r="H296" s="16" t="s">
        <v>1363</v>
      </c>
      <c r="I296" s="17"/>
      <c r="J296" s="17"/>
      <c r="K296" s="17"/>
      <c r="L296" s="17"/>
      <c r="N296" s="31">
        <v>294</v>
      </c>
      <c r="O296" s="32" t="s">
        <v>1364</v>
      </c>
      <c r="P296" s="33" t="s">
        <v>870</v>
      </c>
      <c r="Q296" s="32" t="s">
        <v>40</v>
      </c>
      <c r="R296" s="69">
        <v>44259.443101851852</v>
      </c>
      <c r="S296" s="35">
        <v>44356</v>
      </c>
      <c r="T296" s="32" t="str">
        <f t="shared" si="17"/>
        <v>+812 96477***</v>
      </c>
      <c r="U296" s="32" t="str">
        <f t="shared" ca="1" si="18"/>
        <v>leia***@yuhuumail.com</v>
      </c>
      <c r="V296" s="32">
        <f t="shared" si="19"/>
        <v>29</v>
      </c>
      <c r="W296" s="36">
        <f t="shared" si="20"/>
        <v>0.05</v>
      </c>
    </row>
    <row r="297" spans="4:23" ht="27" customHeight="1" x14ac:dyDescent="0.25">
      <c r="D297" s="14" t="s">
        <v>1365</v>
      </c>
      <c r="E297" s="14" t="s">
        <v>1366</v>
      </c>
      <c r="F297" s="84" t="s">
        <v>206</v>
      </c>
      <c r="G297" s="15" t="s">
        <v>68</v>
      </c>
      <c r="H297" s="16" t="s">
        <v>1367</v>
      </c>
      <c r="I297" s="17"/>
      <c r="J297" s="17"/>
      <c r="K297" s="17"/>
      <c r="L297" s="17"/>
      <c r="N297" s="31">
        <v>295</v>
      </c>
      <c r="O297" s="32" t="s">
        <v>1368</v>
      </c>
      <c r="P297" s="33" t="s">
        <v>870</v>
      </c>
      <c r="Q297" s="32" t="s">
        <v>32</v>
      </c>
      <c r="R297" s="69">
        <v>44259.455081018517</v>
      </c>
      <c r="S297" s="35">
        <v>44354</v>
      </c>
      <c r="T297" s="32" t="str">
        <f t="shared" si="17"/>
        <v>+0852 64392***</v>
      </c>
      <c r="U297" s="32" t="str">
        <f t="shared" ca="1" si="18"/>
        <v>rega***@jossmail.com</v>
      </c>
      <c r="V297" s="32">
        <f t="shared" si="19"/>
        <v>29</v>
      </c>
      <c r="W297" s="36">
        <f t="shared" si="20"/>
        <v>0.05</v>
      </c>
    </row>
    <row r="298" spans="4:23" ht="27" customHeight="1" x14ac:dyDescent="0.25">
      <c r="D298" s="14" t="s">
        <v>1369</v>
      </c>
      <c r="E298" s="14" t="s">
        <v>1370</v>
      </c>
      <c r="F298" s="84" t="s">
        <v>407</v>
      </c>
      <c r="G298" s="15" t="s">
        <v>27</v>
      </c>
      <c r="H298" s="16" t="s">
        <v>1371</v>
      </c>
      <c r="I298" s="17"/>
      <c r="J298" s="17"/>
      <c r="K298" s="17"/>
      <c r="L298" s="17"/>
      <c r="N298" s="31">
        <v>296</v>
      </c>
      <c r="O298" s="32" t="s">
        <v>1372</v>
      </c>
      <c r="P298" s="33" t="s">
        <v>870</v>
      </c>
      <c r="Q298" s="32" t="s">
        <v>40</v>
      </c>
      <c r="R298" s="69">
        <v>44177.440625000003</v>
      </c>
      <c r="S298" s="35">
        <v>44354</v>
      </c>
      <c r="T298" s="32" t="str">
        <f t="shared" si="17"/>
        <v>+0842 45966***</v>
      </c>
      <c r="U298" s="32" t="str">
        <f t="shared" ca="1" si="18"/>
        <v>megh***@yuhuumail.com</v>
      </c>
      <c r="V298" s="32">
        <f t="shared" si="19"/>
        <v>29</v>
      </c>
      <c r="W298" s="36">
        <f t="shared" si="20"/>
        <v>0.05</v>
      </c>
    </row>
    <row r="299" spans="4:23" ht="27" customHeight="1" x14ac:dyDescent="0.25">
      <c r="D299" s="14" t="s">
        <v>1373</v>
      </c>
      <c r="E299" s="14" t="s">
        <v>1179</v>
      </c>
      <c r="F299" s="84" t="s">
        <v>490</v>
      </c>
      <c r="G299" s="15" t="s">
        <v>27</v>
      </c>
      <c r="H299" s="16" t="s">
        <v>1374</v>
      </c>
      <c r="I299" s="17"/>
      <c r="J299" s="17"/>
      <c r="K299" s="17"/>
      <c r="L299" s="17"/>
      <c r="N299" s="31">
        <v>297</v>
      </c>
      <c r="O299" s="32" t="s">
        <v>1375</v>
      </c>
      <c r="P299" s="33" t="s">
        <v>875</v>
      </c>
      <c r="Q299" s="32" t="s">
        <v>32</v>
      </c>
      <c r="R299" s="69">
        <v>44259.469004629631</v>
      </c>
      <c r="S299" s="35">
        <v>44318</v>
      </c>
      <c r="T299" s="32" t="str">
        <f t="shared" si="17"/>
        <v>+6284294504***</v>
      </c>
      <c r="U299" s="32" t="str">
        <f t="shared" ca="1" si="18"/>
        <v>toma***@jossmail.com</v>
      </c>
      <c r="V299" s="32">
        <f t="shared" si="19"/>
        <v>29</v>
      </c>
      <c r="W299" s="36">
        <f t="shared" si="20"/>
        <v>0.05</v>
      </c>
    </row>
    <row r="300" spans="4:23" ht="27" customHeight="1" x14ac:dyDescent="0.25">
      <c r="D300" s="14" t="s">
        <v>1376</v>
      </c>
      <c r="E300" s="14" t="s">
        <v>1377</v>
      </c>
      <c r="F300" s="84" t="s">
        <v>592</v>
      </c>
      <c r="G300" s="15" t="s">
        <v>68</v>
      </c>
      <c r="H300" s="16" t="s">
        <v>1378</v>
      </c>
      <c r="I300" s="17"/>
      <c r="J300" s="17"/>
      <c r="K300" s="17"/>
      <c r="L300" s="17"/>
      <c r="N300" s="31">
        <v>298</v>
      </c>
      <c r="O300" s="32" t="s">
        <v>1379</v>
      </c>
      <c r="P300" s="33" t="s">
        <v>880</v>
      </c>
      <c r="Q300" s="32" t="s">
        <v>40</v>
      </c>
      <c r="R300" s="69">
        <v>44259.468159722222</v>
      </c>
      <c r="S300" s="35">
        <v>44318</v>
      </c>
      <c r="T300" s="32" t="str">
        <f t="shared" si="17"/>
        <v>+0822-28282***</v>
      </c>
      <c r="U300" s="32" t="str">
        <f t="shared" ca="1" si="18"/>
        <v>mark***@yuhuumail.com</v>
      </c>
      <c r="V300" s="32">
        <f t="shared" si="19"/>
        <v>29</v>
      </c>
      <c r="W300" s="36">
        <f t="shared" si="20"/>
        <v>0.05</v>
      </c>
    </row>
    <row r="301" spans="4:23" ht="27" customHeight="1" x14ac:dyDescent="0.25">
      <c r="D301" s="14" t="s">
        <v>1380</v>
      </c>
      <c r="E301" s="14" t="s">
        <v>1381</v>
      </c>
      <c r="F301" s="84" t="s">
        <v>149</v>
      </c>
      <c r="G301" s="15" t="s">
        <v>27</v>
      </c>
      <c r="H301" s="16" t="s">
        <v>1382</v>
      </c>
      <c r="I301" s="17"/>
      <c r="J301" s="17"/>
      <c r="K301" s="17"/>
      <c r="L301" s="17"/>
      <c r="N301" s="31">
        <v>299</v>
      </c>
      <c r="O301" s="32" t="s">
        <v>1383</v>
      </c>
      <c r="P301" s="33" t="s">
        <v>875</v>
      </c>
      <c r="Q301" s="32" t="s">
        <v>32</v>
      </c>
      <c r="R301" s="69">
        <v>44259.46497685185</v>
      </c>
      <c r="S301" s="71">
        <v>44356</v>
      </c>
      <c r="T301" s="32" t="str">
        <f t="shared" si="17"/>
        <v>+084292748***</v>
      </c>
      <c r="U301" s="32" t="str">
        <f t="shared" ca="1" si="18"/>
        <v>cart***@jossmail.com</v>
      </c>
      <c r="V301" s="32">
        <f t="shared" si="19"/>
        <v>29</v>
      </c>
      <c r="W301" s="36">
        <f t="shared" si="20"/>
        <v>0.05</v>
      </c>
    </row>
    <row r="302" spans="4:23" ht="27" customHeight="1" x14ac:dyDescent="0.25">
      <c r="D302" s="14" t="s">
        <v>1384</v>
      </c>
      <c r="E302" s="14" t="s">
        <v>1385</v>
      </c>
      <c r="F302" s="84" t="s">
        <v>582</v>
      </c>
      <c r="G302" s="15" t="s">
        <v>68</v>
      </c>
      <c r="H302" s="16" t="s">
        <v>1386</v>
      </c>
      <c r="I302" s="17"/>
      <c r="J302" s="17"/>
      <c r="K302" s="17"/>
      <c r="L302" s="17"/>
      <c r="N302" s="31">
        <v>300</v>
      </c>
      <c r="O302" s="32" t="s">
        <v>686</v>
      </c>
      <c r="P302" s="33" t="s">
        <v>870</v>
      </c>
      <c r="Q302" s="32" t="s">
        <v>40</v>
      </c>
      <c r="R302" s="69">
        <v>44259.479351851849</v>
      </c>
      <c r="S302" s="71">
        <v>44352</v>
      </c>
      <c r="T302" s="32" t="str">
        <f t="shared" si="17"/>
        <v>+081267046***</v>
      </c>
      <c r="U302" s="32" t="str">
        <f t="shared" ca="1" si="18"/>
        <v>kale***@yuhuumail.com</v>
      </c>
      <c r="V302" s="32">
        <f t="shared" si="19"/>
        <v>29</v>
      </c>
      <c r="W302" s="36">
        <f t="shared" si="20"/>
        <v>0.05</v>
      </c>
    </row>
    <row r="303" spans="4:23" ht="27" customHeight="1" x14ac:dyDescent="0.25">
      <c r="D303" s="14" t="s">
        <v>1387</v>
      </c>
      <c r="E303" s="14" t="s">
        <v>1388</v>
      </c>
      <c r="F303" s="84" t="s">
        <v>280</v>
      </c>
      <c r="G303" s="15" t="s">
        <v>27</v>
      </c>
      <c r="H303" s="16" t="s">
        <v>1389</v>
      </c>
      <c r="I303" s="17"/>
      <c r="J303" s="17"/>
      <c r="K303" s="17"/>
      <c r="L303" s="17"/>
      <c r="N303" s="31">
        <v>301</v>
      </c>
      <c r="O303" s="32" t="s">
        <v>1390</v>
      </c>
      <c r="P303" s="33" t="s">
        <v>880</v>
      </c>
      <c r="Q303" s="32" t="s">
        <v>32</v>
      </c>
      <c r="R303" s="69">
        <v>44259.268379629626</v>
      </c>
      <c r="S303" s="71">
        <v>44354</v>
      </c>
      <c r="T303" s="32" t="str">
        <f t="shared" si="17"/>
        <v>+084234799***</v>
      </c>
      <c r="U303" s="32" t="str">
        <f t="shared" ca="1" si="18"/>
        <v>tany***@yuhuumail.com</v>
      </c>
      <c r="V303" s="32">
        <f t="shared" si="19"/>
        <v>29</v>
      </c>
      <c r="W303" s="36">
        <f t="shared" si="20"/>
        <v>0.05</v>
      </c>
    </row>
    <row r="304" spans="4:23" ht="27" customHeight="1" x14ac:dyDescent="0.25">
      <c r="D304" s="14" t="s">
        <v>1391</v>
      </c>
      <c r="E304" s="14" t="s">
        <v>196</v>
      </c>
      <c r="F304" s="84" t="s">
        <v>1392</v>
      </c>
      <c r="G304" s="15" t="s">
        <v>68</v>
      </c>
      <c r="H304" s="16" t="s">
        <v>1393</v>
      </c>
      <c r="I304" s="17"/>
      <c r="J304" s="17"/>
      <c r="K304" s="17"/>
      <c r="L304" s="17"/>
      <c r="N304" s="31">
        <v>302</v>
      </c>
      <c r="O304" s="32" t="s">
        <v>1394</v>
      </c>
      <c r="P304" s="33" t="s">
        <v>880</v>
      </c>
      <c r="Q304" s="32" t="s">
        <v>40</v>
      </c>
      <c r="R304" s="69">
        <v>44259.48777777778</v>
      </c>
      <c r="S304" s="71">
        <v>44354</v>
      </c>
      <c r="T304" s="32" t="str">
        <f t="shared" si="17"/>
        <v>+0852 67236***</v>
      </c>
      <c r="U304" s="32" t="str">
        <f t="shared" ca="1" si="18"/>
        <v>ange***@jossmail.com</v>
      </c>
      <c r="V304" s="32">
        <f t="shared" si="19"/>
        <v>29</v>
      </c>
      <c r="W304" s="36">
        <f t="shared" si="20"/>
        <v>0.05</v>
      </c>
    </row>
    <row r="305" spans="4:23" ht="27" customHeight="1" x14ac:dyDescent="0.25">
      <c r="D305" s="14" t="s">
        <v>1395</v>
      </c>
      <c r="E305" s="14" t="s">
        <v>1396</v>
      </c>
      <c r="F305" s="84" t="s">
        <v>280</v>
      </c>
      <c r="G305" s="15" t="s">
        <v>27</v>
      </c>
      <c r="H305" s="16" t="s">
        <v>1397</v>
      </c>
      <c r="I305" s="17"/>
      <c r="J305" s="17"/>
      <c r="K305" s="17"/>
      <c r="L305" s="17"/>
      <c r="N305" s="31">
        <v>303</v>
      </c>
      <c r="O305" s="32" t="s">
        <v>1398</v>
      </c>
      <c r="P305" s="33" t="s">
        <v>870</v>
      </c>
      <c r="Q305" s="32" t="s">
        <v>32</v>
      </c>
      <c r="R305" s="69">
        <v>44259.490416666667</v>
      </c>
      <c r="S305" s="71">
        <v>44320</v>
      </c>
      <c r="T305" s="32" t="str">
        <f t="shared" si="17"/>
        <v>+0832 30179***</v>
      </c>
      <c r="U305" s="32" t="str">
        <f t="shared" ca="1" si="18"/>
        <v>dari***@yuhuumail.com</v>
      </c>
      <c r="V305" s="32">
        <f t="shared" si="19"/>
        <v>28</v>
      </c>
      <c r="W305" s="36">
        <f t="shared" si="20"/>
        <v>0.05</v>
      </c>
    </row>
    <row r="306" spans="4:23" ht="27" customHeight="1" x14ac:dyDescent="0.25">
      <c r="D306" s="14" t="s">
        <v>1399</v>
      </c>
      <c r="E306" s="14" t="s">
        <v>1400</v>
      </c>
      <c r="F306" s="84" t="s">
        <v>422</v>
      </c>
      <c r="G306" s="15" t="s">
        <v>68</v>
      </c>
      <c r="H306" s="16" t="s">
        <v>1401</v>
      </c>
      <c r="I306" s="17"/>
      <c r="J306" s="17"/>
      <c r="K306" s="17"/>
      <c r="L306" s="17"/>
      <c r="N306" s="31">
        <v>304</v>
      </c>
      <c r="O306" s="32" t="s">
        <v>154</v>
      </c>
      <c r="P306" s="33" t="s">
        <v>875</v>
      </c>
      <c r="Q306" s="32" t="s">
        <v>40</v>
      </c>
      <c r="R306" s="69">
        <v>44259.477581018517</v>
      </c>
      <c r="S306" s="71">
        <v>44319</v>
      </c>
      <c r="T306" s="32" t="str">
        <f t="shared" si="17"/>
        <v>+0852 23174***</v>
      </c>
      <c r="U306" s="32" t="str">
        <f t="shared" ca="1" si="18"/>
        <v>fran***@yuhuumail.com</v>
      </c>
      <c r="V306" s="32">
        <f t="shared" si="19"/>
        <v>28</v>
      </c>
      <c r="W306" s="36">
        <f t="shared" si="20"/>
        <v>0.05</v>
      </c>
    </row>
    <row r="307" spans="4:23" ht="27" customHeight="1" x14ac:dyDescent="0.25">
      <c r="D307" s="14" t="s">
        <v>1402</v>
      </c>
      <c r="E307" s="14" t="s">
        <v>1403</v>
      </c>
      <c r="F307" s="84" t="s">
        <v>266</v>
      </c>
      <c r="G307" s="15" t="s">
        <v>68</v>
      </c>
      <c r="H307" s="16" t="s">
        <v>1404</v>
      </c>
      <c r="I307" s="17"/>
      <c r="J307" s="17"/>
      <c r="K307" s="17"/>
      <c r="L307" s="17"/>
      <c r="N307" s="31">
        <v>305</v>
      </c>
      <c r="O307" s="32" t="s">
        <v>1405</v>
      </c>
      <c r="P307" s="33" t="s">
        <v>875</v>
      </c>
      <c r="Q307" s="32" t="s">
        <v>32</v>
      </c>
      <c r="R307" s="69">
        <v>43758.733888888892</v>
      </c>
      <c r="S307" s="71">
        <v>44318</v>
      </c>
      <c r="T307" s="32" t="str">
        <f t="shared" si="17"/>
        <v>+84215068***</v>
      </c>
      <c r="U307" s="32" t="str">
        <f t="shared" ca="1" si="18"/>
        <v>sash***@yuhuumail.com</v>
      </c>
      <c r="V307" s="32">
        <f t="shared" si="19"/>
        <v>27</v>
      </c>
      <c r="W307" s="36">
        <f t="shared" si="20"/>
        <v>6.5000000000000002E-2</v>
      </c>
    </row>
    <row r="308" spans="4:23" ht="27" customHeight="1" x14ac:dyDescent="0.25">
      <c r="D308" s="14" t="s">
        <v>1406</v>
      </c>
      <c r="E308" s="14" t="s">
        <v>1407</v>
      </c>
      <c r="F308" s="84" t="s">
        <v>719</v>
      </c>
      <c r="G308" s="15" t="s">
        <v>27</v>
      </c>
      <c r="H308" s="16" t="s">
        <v>1408</v>
      </c>
      <c r="I308" s="17"/>
      <c r="J308" s="17"/>
      <c r="K308" s="17"/>
      <c r="L308" s="17"/>
      <c r="N308" s="31">
        <v>306</v>
      </c>
      <c r="O308" s="32" t="s">
        <v>1409</v>
      </c>
      <c r="P308" s="33" t="s">
        <v>875</v>
      </c>
      <c r="Q308" s="32" t="s">
        <v>40</v>
      </c>
      <c r="R308" s="69">
        <v>44259.499340277776</v>
      </c>
      <c r="S308" s="71">
        <v>44356</v>
      </c>
      <c r="T308" s="32" t="str">
        <f t="shared" si="17"/>
        <v>+6282283672***</v>
      </c>
      <c r="U308" s="32" t="str">
        <f t="shared" ca="1" si="18"/>
        <v>urie***@jossmail.com</v>
      </c>
      <c r="V308" s="32">
        <f t="shared" si="19"/>
        <v>28</v>
      </c>
      <c r="W308" s="36">
        <f t="shared" si="20"/>
        <v>0.05</v>
      </c>
    </row>
    <row r="309" spans="4:23" ht="27" customHeight="1" x14ac:dyDescent="0.25">
      <c r="D309" s="14" t="s">
        <v>1410</v>
      </c>
      <c r="E309" s="14" t="s">
        <v>1411</v>
      </c>
      <c r="F309" s="84" t="s">
        <v>302</v>
      </c>
      <c r="G309" s="15" t="s">
        <v>68</v>
      </c>
      <c r="H309" s="16" t="s">
        <v>1412</v>
      </c>
      <c r="I309" s="17"/>
      <c r="J309" s="17"/>
      <c r="K309" s="17"/>
      <c r="L309" s="17"/>
      <c r="N309" s="31">
        <v>307</v>
      </c>
      <c r="O309" s="32" t="s">
        <v>1413</v>
      </c>
      <c r="P309" s="33" t="s">
        <v>880</v>
      </c>
      <c r="Q309" s="32" t="s">
        <v>32</v>
      </c>
      <c r="R309" s="69">
        <v>44259.524872685186</v>
      </c>
      <c r="S309" s="71">
        <v>44357</v>
      </c>
      <c r="T309" s="32" t="str">
        <f t="shared" si="17"/>
        <v>+81282744***</v>
      </c>
      <c r="U309" s="32" t="str">
        <f t="shared" ca="1" si="18"/>
        <v>fran***@yuhuumail.com</v>
      </c>
      <c r="V309" s="32">
        <f t="shared" si="19"/>
        <v>28</v>
      </c>
      <c r="W309" s="36">
        <f t="shared" si="20"/>
        <v>0.05</v>
      </c>
    </row>
    <row r="310" spans="4:23" ht="27" customHeight="1" x14ac:dyDescent="0.25">
      <c r="D310" s="14" t="s">
        <v>1414</v>
      </c>
      <c r="E310" s="14" t="s">
        <v>1415</v>
      </c>
      <c r="F310" s="84" t="s">
        <v>302</v>
      </c>
      <c r="G310" s="15" t="s">
        <v>27</v>
      </c>
      <c r="H310" s="16" t="s">
        <v>1416</v>
      </c>
      <c r="I310" s="17"/>
      <c r="J310" s="17"/>
      <c r="K310" s="17"/>
      <c r="L310" s="17"/>
      <c r="N310" s="31">
        <v>308</v>
      </c>
      <c r="O310" s="32" t="s">
        <v>515</v>
      </c>
      <c r="P310" s="33" t="s">
        <v>870</v>
      </c>
      <c r="Q310" s="32" t="s">
        <v>40</v>
      </c>
      <c r="R310" s="69">
        <v>44259.522094907406</v>
      </c>
      <c r="S310" s="71">
        <v>44358</v>
      </c>
      <c r="T310" s="32" t="str">
        <f t="shared" si="17"/>
        <v>+6284295753***</v>
      </c>
      <c r="U310" s="32" t="str">
        <f t="shared" ca="1" si="18"/>
        <v>sham***@jossmail.com</v>
      </c>
      <c r="V310" s="32">
        <f t="shared" si="19"/>
        <v>28</v>
      </c>
      <c r="W310" s="36">
        <f t="shared" si="20"/>
        <v>0.05</v>
      </c>
    </row>
    <row r="311" spans="4:23" ht="27" customHeight="1" x14ac:dyDescent="0.25">
      <c r="D311" s="14" t="s">
        <v>1417</v>
      </c>
      <c r="E311" s="14" t="s">
        <v>1418</v>
      </c>
      <c r="F311" s="84" t="s">
        <v>402</v>
      </c>
      <c r="G311" s="15" t="s">
        <v>68</v>
      </c>
      <c r="H311" s="16" t="s">
        <v>1419</v>
      </c>
      <c r="I311" s="17"/>
      <c r="J311" s="17"/>
      <c r="K311" s="17"/>
      <c r="L311" s="17"/>
      <c r="N311" s="31">
        <v>309</v>
      </c>
      <c r="O311" s="32" t="s">
        <v>1420</v>
      </c>
      <c r="P311" s="33" t="s">
        <v>870</v>
      </c>
      <c r="Q311" s="32" t="s">
        <v>32</v>
      </c>
      <c r="R311" s="69">
        <v>44259.521527777775</v>
      </c>
      <c r="S311" s="71">
        <v>44320</v>
      </c>
      <c r="T311" s="32" t="str">
        <f t="shared" si="17"/>
        <v>+083250897***</v>
      </c>
      <c r="U311" s="32" t="str">
        <f t="shared" ca="1" si="18"/>
        <v>skyl***@yuhuumail.com</v>
      </c>
      <c r="V311" s="32">
        <f t="shared" si="19"/>
        <v>28</v>
      </c>
      <c r="W311" s="36">
        <f t="shared" si="20"/>
        <v>0.05</v>
      </c>
    </row>
    <row r="312" spans="4:23" ht="27" customHeight="1" x14ac:dyDescent="0.25">
      <c r="D312" s="14" t="s">
        <v>1421</v>
      </c>
      <c r="E312" s="14" t="s">
        <v>1336</v>
      </c>
      <c r="F312" s="84" t="s">
        <v>1093</v>
      </c>
      <c r="G312" s="15" t="s">
        <v>27</v>
      </c>
      <c r="H312" s="16" t="s">
        <v>1422</v>
      </c>
      <c r="I312" s="17"/>
      <c r="J312" s="17"/>
      <c r="K312" s="17"/>
      <c r="L312" s="17"/>
      <c r="N312" s="31">
        <v>310</v>
      </c>
      <c r="O312" s="32" t="s">
        <v>1423</v>
      </c>
      <c r="P312" s="33" t="s">
        <v>875</v>
      </c>
      <c r="Q312" s="32" t="s">
        <v>40</v>
      </c>
      <c r="R312" s="69">
        <v>43705.62641203704</v>
      </c>
      <c r="S312" s="71">
        <v>44362</v>
      </c>
      <c r="T312" s="32" t="str">
        <f t="shared" si="17"/>
        <v>+0832 71178***</v>
      </c>
      <c r="U312" s="32" t="str">
        <f t="shared" ca="1" si="18"/>
        <v>mich***@jossmail.com</v>
      </c>
      <c r="V312" s="32">
        <f t="shared" si="19"/>
        <v>26</v>
      </c>
      <c r="W312" s="36">
        <f t="shared" si="20"/>
        <v>6.5000000000000002E-2</v>
      </c>
    </row>
    <row r="313" spans="4:23" ht="27" customHeight="1" x14ac:dyDescent="0.25">
      <c r="D313" s="14" t="s">
        <v>1424</v>
      </c>
      <c r="E313" s="14" t="s">
        <v>1425</v>
      </c>
      <c r="F313" s="84" t="s">
        <v>233</v>
      </c>
      <c r="G313" s="15" t="s">
        <v>68</v>
      </c>
      <c r="H313" s="16" t="s">
        <v>1426</v>
      </c>
      <c r="I313" s="17"/>
      <c r="J313" s="17"/>
      <c r="K313" s="17"/>
      <c r="L313" s="17"/>
      <c r="N313" s="31">
        <v>311</v>
      </c>
      <c r="O313" s="32" t="s">
        <v>1427</v>
      </c>
      <c r="P313" s="33" t="s">
        <v>875</v>
      </c>
      <c r="Q313" s="32" t="s">
        <v>32</v>
      </c>
      <c r="R313" s="69">
        <v>42135.750439814816</v>
      </c>
      <c r="S313" s="71">
        <v>44354</v>
      </c>
      <c r="T313" s="32" t="str">
        <f t="shared" si="17"/>
        <v>+832 97228***</v>
      </c>
      <c r="U313" s="32" t="str">
        <f t="shared" ca="1" si="18"/>
        <v>jayv***@jossmail.com</v>
      </c>
      <c r="V313" s="32">
        <f t="shared" si="19"/>
        <v>22</v>
      </c>
      <c r="W313" s="36">
        <f t="shared" si="20"/>
        <v>7.5000000000000011E-2</v>
      </c>
    </row>
    <row r="314" spans="4:23" ht="27" customHeight="1" x14ac:dyDescent="0.25">
      <c r="D314" s="14" t="s">
        <v>1428</v>
      </c>
      <c r="E314" s="14" t="s">
        <v>1429</v>
      </c>
      <c r="F314" s="84" t="s">
        <v>74</v>
      </c>
      <c r="G314" s="15" t="s">
        <v>27</v>
      </c>
      <c r="H314" s="16" t="s">
        <v>1430</v>
      </c>
      <c r="I314" s="17"/>
      <c r="J314" s="17"/>
      <c r="K314" s="17"/>
      <c r="L314" s="17"/>
      <c r="N314" s="31">
        <v>312</v>
      </c>
      <c r="O314" s="32" t="s">
        <v>1431</v>
      </c>
      <c r="P314" s="33" t="s">
        <v>870</v>
      </c>
      <c r="Q314" s="32" t="s">
        <v>40</v>
      </c>
      <c r="R314" s="69">
        <v>44259.553587962961</v>
      </c>
      <c r="S314" s="71">
        <v>44356</v>
      </c>
      <c r="T314" s="32" t="str">
        <f t="shared" si="17"/>
        <v>+085220362***</v>
      </c>
      <c r="U314" s="32" t="str">
        <f t="shared" ca="1" si="18"/>
        <v>scar***@jossmail.com</v>
      </c>
      <c r="V314" s="32">
        <f t="shared" si="19"/>
        <v>28</v>
      </c>
      <c r="W314" s="36">
        <f t="shared" si="20"/>
        <v>0.05</v>
      </c>
    </row>
    <row r="315" spans="4:23" ht="27" customHeight="1" x14ac:dyDescent="0.25">
      <c r="D315" s="14" t="s">
        <v>1432</v>
      </c>
      <c r="E315" s="14" t="s">
        <v>1433</v>
      </c>
      <c r="F315" s="84" t="s">
        <v>566</v>
      </c>
      <c r="G315" s="15" t="s">
        <v>27</v>
      </c>
      <c r="H315" s="16" t="s">
        <v>1434</v>
      </c>
      <c r="I315" s="17"/>
      <c r="J315" s="17"/>
      <c r="K315" s="17"/>
      <c r="L315" s="17"/>
      <c r="N315" s="31">
        <v>313</v>
      </c>
      <c r="O315" s="32" t="s">
        <v>1435</v>
      </c>
      <c r="P315" s="33" t="s">
        <v>870</v>
      </c>
      <c r="Q315" s="32" t="s">
        <v>32</v>
      </c>
      <c r="R315" s="69">
        <v>44259.554710648146</v>
      </c>
      <c r="S315" s="71">
        <v>44318</v>
      </c>
      <c r="T315" s="32" t="str">
        <f t="shared" si="17"/>
        <v>+84287284***</v>
      </c>
      <c r="U315" s="32" t="str">
        <f t="shared" ca="1" si="18"/>
        <v>quen***@yuhuumail.com</v>
      </c>
      <c r="V315" s="32">
        <f t="shared" si="19"/>
        <v>28</v>
      </c>
      <c r="W315" s="36">
        <f t="shared" si="20"/>
        <v>0.05</v>
      </c>
    </row>
    <row r="316" spans="4:23" ht="27" customHeight="1" x14ac:dyDescent="0.25">
      <c r="D316" s="14" t="s">
        <v>1436</v>
      </c>
      <c r="E316" s="14" t="s">
        <v>1437</v>
      </c>
      <c r="F316" s="84" t="s">
        <v>402</v>
      </c>
      <c r="G316" s="15" t="s">
        <v>27</v>
      </c>
      <c r="H316" s="16" t="s">
        <v>1438</v>
      </c>
      <c r="I316" s="17"/>
      <c r="J316" s="17"/>
      <c r="K316" s="17"/>
      <c r="L316" s="17"/>
      <c r="N316" s="31">
        <v>314</v>
      </c>
      <c r="O316" s="32" t="s">
        <v>813</v>
      </c>
      <c r="P316" s="33" t="s">
        <v>1439</v>
      </c>
      <c r="Q316" s="32" t="s">
        <v>40</v>
      </c>
      <c r="R316" s="69">
        <v>44259.559976851851</v>
      </c>
      <c r="S316" s="71">
        <v>44362</v>
      </c>
      <c r="T316" s="32" t="str">
        <f t="shared" si="17"/>
        <v>+6282221511***</v>
      </c>
      <c r="U316" s="32" t="str">
        <f t="shared" ca="1" si="18"/>
        <v>dona***@yuhuumail.com</v>
      </c>
      <c r="V316" s="32">
        <f t="shared" si="19"/>
        <v>28</v>
      </c>
      <c r="W316" s="36">
        <f t="shared" si="20"/>
        <v>0.05</v>
      </c>
    </row>
    <row r="317" spans="4:23" ht="27" customHeight="1" x14ac:dyDescent="0.25">
      <c r="D317" s="14" t="s">
        <v>1440</v>
      </c>
      <c r="E317" s="14" t="s">
        <v>1441</v>
      </c>
      <c r="F317" s="84" t="s">
        <v>183</v>
      </c>
      <c r="G317" s="15" t="s">
        <v>27</v>
      </c>
      <c r="H317" s="16" t="s">
        <v>1442</v>
      </c>
      <c r="I317" s="17"/>
      <c r="J317" s="17"/>
      <c r="K317" s="17"/>
      <c r="L317" s="17"/>
      <c r="N317" s="31">
        <v>315</v>
      </c>
      <c r="O317" s="32" t="s">
        <v>1443</v>
      </c>
      <c r="P317" s="33" t="s">
        <v>1439</v>
      </c>
      <c r="Q317" s="32" t="s">
        <v>32</v>
      </c>
      <c r="R317" s="69">
        <v>44259.552199074074</v>
      </c>
      <c r="S317" s="71">
        <v>44359</v>
      </c>
      <c r="T317" s="32" t="str">
        <f t="shared" si="17"/>
        <v>+0832 53529***</v>
      </c>
      <c r="U317" s="32" t="str">
        <f t="shared" ca="1" si="18"/>
        <v>emil***@yuhuumail.com</v>
      </c>
      <c r="V317" s="32">
        <f t="shared" si="19"/>
        <v>28</v>
      </c>
      <c r="W317" s="36">
        <f t="shared" si="20"/>
        <v>0.05</v>
      </c>
    </row>
    <row r="318" spans="4:23" ht="27" customHeight="1" x14ac:dyDescent="0.25">
      <c r="D318" s="14" t="s">
        <v>1444</v>
      </c>
      <c r="E318" s="14" t="s">
        <v>1445</v>
      </c>
      <c r="F318" s="84" t="s">
        <v>715</v>
      </c>
      <c r="G318" s="15" t="s">
        <v>27</v>
      </c>
      <c r="H318" s="16" t="s">
        <v>1446</v>
      </c>
      <c r="I318" s="17"/>
      <c r="J318" s="17"/>
      <c r="K318" s="17"/>
      <c r="L318" s="17"/>
      <c r="N318" s="31">
        <v>316</v>
      </c>
      <c r="O318" s="32" t="s">
        <v>1447</v>
      </c>
      <c r="P318" s="33" t="s">
        <v>1439</v>
      </c>
      <c r="Q318" s="32" t="s">
        <v>40</v>
      </c>
      <c r="R318" s="69">
        <v>44259.564456018517</v>
      </c>
      <c r="S318" s="71">
        <v>44320</v>
      </c>
      <c r="T318" s="32" t="str">
        <f t="shared" si="17"/>
        <v>+6284238358***</v>
      </c>
      <c r="U318" s="32" t="str">
        <f t="shared" ca="1" si="18"/>
        <v>seth***@jossmail.com</v>
      </c>
      <c r="V318" s="32">
        <f t="shared" si="19"/>
        <v>28</v>
      </c>
      <c r="W318" s="36">
        <f t="shared" si="20"/>
        <v>0.05</v>
      </c>
    </row>
    <row r="319" spans="4:23" ht="27" customHeight="1" x14ac:dyDescent="0.25">
      <c r="D319" s="14" t="s">
        <v>1448</v>
      </c>
      <c r="E319" s="14" t="s">
        <v>1449</v>
      </c>
      <c r="F319" s="84" t="s">
        <v>670</v>
      </c>
      <c r="G319" s="15" t="s">
        <v>27</v>
      </c>
      <c r="H319" s="16" t="s">
        <v>1450</v>
      </c>
      <c r="I319" s="17"/>
      <c r="J319" s="17"/>
      <c r="K319" s="17"/>
      <c r="L319" s="17"/>
      <c r="N319" s="31">
        <v>317</v>
      </c>
      <c r="O319" s="32" t="s">
        <v>416</v>
      </c>
      <c r="P319" s="33" t="s">
        <v>1451</v>
      </c>
      <c r="Q319" s="32" t="s">
        <v>32</v>
      </c>
      <c r="R319" s="69">
        <v>44259.575798611113</v>
      </c>
      <c r="S319" s="71">
        <v>44354</v>
      </c>
      <c r="T319" s="32" t="str">
        <f t="shared" si="17"/>
        <v>+0842-37259***</v>
      </c>
      <c r="U319" s="32" t="str">
        <f t="shared" ca="1" si="18"/>
        <v>payt***@yuhuumail.com</v>
      </c>
      <c r="V319" s="32">
        <f t="shared" si="19"/>
        <v>28</v>
      </c>
      <c r="W319" s="36">
        <f t="shared" si="20"/>
        <v>0.05</v>
      </c>
    </row>
    <row r="320" spans="4:23" ht="27" customHeight="1" x14ac:dyDescent="0.25">
      <c r="D320" s="14" t="s">
        <v>1452</v>
      </c>
      <c r="E320" s="14" t="s">
        <v>1453</v>
      </c>
      <c r="F320" s="84" t="s">
        <v>46</v>
      </c>
      <c r="G320" s="15" t="s">
        <v>27</v>
      </c>
      <c r="H320" s="16" t="s">
        <v>1454</v>
      </c>
      <c r="I320" s="17"/>
      <c r="J320" s="17"/>
      <c r="K320" s="17"/>
      <c r="L320" s="17"/>
      <c r="N320" s="31">
        <v>318</v>
      </c>
      <c r="O320" s="32" t="s">
        <v>1455</v>
      </c>
      <c r="P320" s="33" t="s">
        <v>1439</v>
      </c>
      <c r="Q320" s="32" t="s">
        <v>40</v>
      </c>
      <c r="R320" s="69">
        <v>44259.554189814815</v>
      </c>
      <c r="S320" s="71">
        <v>44354</v>
      </c>
      <c r="T320" s="32" t="str">
        <f t="shared" si="17"/>
        <v>+084245773***</v>
      </c>
      <c r="U320" s="32" t="str">
        <f t="shared" ca="1" si="18"/>
        <v>alen***@yuhuumail.com</v>
      </c>
      <c r="V320" s="32">
        <f t="shared" si="19"/>
        <v>28</v>
      </c>
      <c r="W320" s="36">
        <f t="shared" si="20"/>
        <v>0.05</v>
      </c>
    </row>
    <row r="321" spans="4:23" ht="27" customHeight="1" x14ac:dyDescent="0.25">
      <c r="D321" s="14" t="s">
        <v>1456</v>
      </c>
      <c r="E321" s="14" t="s">
        <v>1457</v>
      </c>
      <c r="F321" s="84" t="s">
        <v>302</v>
      </c>
      <c r="G321" s="15" t="s">
        <v>68</v>
      </c>
      <c r="H321" s="16" t="s">
        <v>1458</v>
      </c>
      <c r="I321" s="17"/>
      <c r="J321" s="17"/>
      <c r="K321" s="17"/>
      <c r="L321" s="17"/>
      <c r="N321" s="31">
        <v>319</v>
      </c>
      <c r="O321" s="32" t="s">
        <v>1459</v>
      </c>
      <c r="P321" s="33" t="s">
        <v>1439</v>
      </c>
      <c r="Q321" s="32" t="s">
        <v>32</v>
      </c>
      <c r="R321" s="69">
        <v>44259.012858796297</v>
      </c>
      <c r="S321" s="35">
        <v>44318</v>
      </c>
      <c r="T321" s="32" t="str">
        <f t="shared" si="17"/>
        <v>+83214669***</v>
      </c>
      <c r="U321" s="32" t="str">
        <f t="shared" ca="1" si="18"/>
        <v>zoie***@jossmail.com</v>
      </c>
      <c r="V321" s="32">
        <f t="shared" si="19"/>
        <v>28</v>
      </c>
      <c r="W321" s="36">
        <f t="shared" si="20"/>
        <v>0.05</v>
      </c>
    </row>
    <row r="322" spans="4:23" ht="27" customHeight="1" x14ac:dyDescent="0.25">
      <c r="D322" s="14" t="s">
        <v>1460</v>
      </c>
      <c r="E322" s="14" t="s">
        <v>1461</v>
      </c>
      <c r="F322" s="84" t="s">
        <v>422</v>
      </c>
      <c r="G322" s="15" t="s">
        <v>27</v>
      </c>
      <c r="H322" s="16" t="s">
        <v>1462</v>
      </c>
      <c r="I322" s="17"/>
      <c r="J322" s="17"/>
      <c r="K322" s="17"/>
      <c r="L322" s="17"/>
      <c r="N322" s="31">
        <v>320</v>
      </c>
      <c r="O322" s="32" t="s">
        <v>1463</v>
      </c>
      <c r="P322" s="33" t="s">
        <v>1439</v>
      </c>
      <c r="Q322" s="32" t="s">
        <v>40</v>
      </c>
      <c r="R322" s="69">
        <v>44259.599108796298</v>
      </c>
      <c r="S322" s="35">
        <v>44359</v>
      </c>
      <c r="T322" s="32" t="str">
        <f t="shared" si="17"/>
        <v>+0822-14674***</v>
      </c>
      <c r="U322" s="32" t="str">
        <f t="shared" ca="1" si="18"/>
        <v>tori***@jossmail.com</v>
      </c>
      <c r="V322" s="32">
        <f t="shared" si="19"/>
        <v>28</v>
      </c>
      <c r="W322" s="36">
        <f t="shared" si="20"/>
        <v>0.05</v>
      </c>
    </row>
    <row r="323" spans="4:23" ht="27" customHeight="1" x14ac:dyDescent="0.25">
      <c r="D323" s="14" t="s">
        <v>1464</v>
      </c>
      <c r="E323" s="14" t="s">
        <v>1465</v>
      </c>
      <c r="F323" s="84" t="s">
        <v>92</v>
      </c>
      <c r="G323" s="15" t="s">
        <v>68</v>
      </c>
      <c r="H323" s="16" t="s">
        <v>1466</v>
      </c>
      <c r="I323" s="17"/>
      <c r="J323" s="17"/>
      <c r="K323" s="17"/>
      <c r="L323" s="17"/>
      <c r="N323" s="31">
        <v>321</v>
      </c>
      <c r="O323" s="32" t="s">
        <v>1467</v>
      </c>
      <c r="P323" s="33" t="s">
        <v>57</v>
      </c>
      <c r="Q323" s="32" t="s">
        <v>32</v>
      </c>
      <c r="R323" s="69">
        <v>44259.447314814817</v>
      </c>
      <c r="S323" s="35">
        <v>44318</v>
      </c>
      <c r="T323" s="32" t="str">
        <f t="shared" si="17"/>
        <v>+0832-28724***</v>
      </c>
      <c r="U323" s="32" t="str">
        <f t="shared" ca="1" si="18"/>
        <v>luci***@yuhuumail.com</v>
      </c>
      <c r="V323" s="32">
        <f t="shared" si="19"/>
        <v>28</v>
      </c>
      <c r="W323" s="36">
        <f t="shared" si="20"/>
        <v>0.05</v>
      </c>
    </row>
    <row r="324" spans="4:23" ht="27" customHeight="1" x14ac:dyDescent="0.25">
      <c r="D324" s="14" t="s">
        <v>1468</v>
      </c>
      <c r="E324" s="14" t="s">
        <v>1469</v>
      </c>
      <c r="F324" s="84" t="s">
        <v>233</v>
      </c>
      <c r="G324" s="15" t="s">
        <v>68</v>
      </c>
      <c r="H324" s="16" t="s">
        <v>1470</v>
      </c>
      <c r="I324" s="17"/>
      <c r="J324" s="17"/>
      <c r="K324" s="17"/>
      <c r="L324" s="17"/>
      <c r="N324" s="31">
        <v>322</v>
      </c>
      <c r="O324" s="32" t="s">
        <v>640</v>
      </c>
      <c r="P324" s="33" t="s">
        <v>31</v>
      </c>
      <c r="Q324" s="32" t="s">
        <v>40</v>
      </c>
      <c r="R324" s="69">
        <v>44259.573865740742</v>
      </c>
      <c r="S324" s="35">
        <v>44320</v>
      </c>
      <c r="T324" s="32" t="str">
        <f t="shared" si="17"/>
        <v>+0832-79115***</v>
      </c>
      <c r="U324" s="32" t="str">
        <f t="shared" ca="1" si="18"/>
        <v>rick***@jossmail.com</v>
      </c>
      <c r="V324" s="32">
        <f t="shared" si="19"/>
        <v>28</v>
      </c>
      <c r="W324" s="36">
        <f t="shared" si="20"/>
        <v>0.05</v>
      </c>
    </row>
    <row r="325" spans="4:23" ht="27" customHeight="1" x14ac:dyDescent="0.25">
      <c r="D325" s="14" t="s">
        <v>1471</v>
      </c>
      <c r="E325" s="14" t="s">
        <v>1472</v>
      </c>
      <c r="F325" s="84" t="s">
        <v>1473</v>
      </c>
      <c r="G325" s="15" t="s">
        <v>27</v>
      </c>
      <c r="H325" s="16" t="s">
        <v>739</v>
      </c>
      <c r="I325" s="17"/>
      <c r="J325" s="17"/>
      <c r="K325" s="17"/>
      <c r="L325" s="17"/>
      <c r="N325" s="31">
        <v>323</v>
      </c>
      <c r="O325" s="32" t="s">
        <v>1474</v>
      </c>
      <c r="P325" s="33" t="s">
        <v>42</v>
      </c>
      <c r="Q325" s="32" t="s">
        <v>32</v>
      </c>
      <c r="R325" s="69">
        <v>44259.614502314813</v>
      </c>
      <c r="S325" s="35">
        <v>44354</v>
      </c>
      <c r="T325" s="32" t="str">
        <f t="shared" ref="T325:T388" si="21">"+"&amp;_xlfn.XLOOKUP($O325, $E$2:$E$3002, $H$2:$H$3002, "Not Found")</f>
        <v>+82283461***</v>
      </c>
      <c r="U325" s="32" t="str">
        <f t="shared" ref="U325:U388" ca="1" si="22" xml:space="preserve"> LOWER(LEFT(_xlfn.XLOOKUP($O325, $E$2:$E$3002, $D$2:$D$3002), 4))
  &amp; "***@"
  &amp; IF(RAND()&gt;0.5, "jossmail.com", "yuhuumail.com")</f>
        <v>stac***@jossmail.com</v>
      </c>
      <c r="V325" s="32">
        <f t="shared" ref="V325:V388" si="23">DATEDIF(_xlfn.XLOOKUP($O325, $E$2:$E$3002, $F$2:$F$3002), $R325, "Y")</f>
        <v>28</v>
      </c>
      <c r="W325" s="36">
        <f t="shared" ref="W325:W388" si="24">IF(DATEDIF($R325, $S325, "Y") &gt;= 3, 0.025,
   IF(DATEDIF($R325, $S325, "Y") &gt;= 1, 0.015, 0)) +
 IF($V325 &gt;= 50, 0.04,
   IF($V325 &gt;= 40, 0.03,
     IF($V325 &gt;= 30, 0.02,
       IF($V325 &gt;= 20, 0.05, 0))))</f>
        <v>0.05</v>
      </c>
    </row>
    <row r="326" spans="4:23" ht="27" customHeight="1" x14ac:dyDescent="0.25">
      <c r="D326" s="14" t="s">
        <v>1475</v>
      </c>
      <c r="E326" s="14" t="s">
        <v>1305</v>
      </c>
      <c r="F326" s="84" t="s">
        <v>359</v>
      </c>
      <c r="G326" s="15" t="s">
        <v>68</v>
      </c>
      <c r="H326" s="16" t="s">
        <v>1476</v>
      </c>
      <c r="I326" s="17"/>
      <c r="J326" s="17"/>
      <c r="K326" s="17"/>
      <c r="L326" s="17"/>
      <c r="N326" s="31">
        <v>324</v>
      </c>
      <c r="O326" s="32" t="s">
        <v>1477</v>
      </c>
      <c r="P326" s="33" t="s">
        <v>31</v>
      </c>
      <c r="Q326" s="32" t="s">
        <v>40</v>
      </c>
      <c r="R326" s="69">
        <v>44259.620648148149</v>
      </c>
      <c r="S326" s="35">
        <v>44359</v>
      </c>
      <c r="T326" s="32" t="str">
        <f t="shared" si="21"/>
        <v>+0812-38129***</v>
      </c>
      <c r="U326" s="32" t="str">
        <f t="shared" ca="1" si="22"/>
        <v>ayan***@jossmail.com</v>
      </c>
      <c r="V326" s="32">
        <f t="shared" si="23"/>
        <v>28</v>
      </c>
      <c r="W326" s="36">
        <f t="shared" si="24"/>
        <v>0.05</v>
      </c>
    </row>
    <row r="327" spans="4:23" ht="27" customHeight="1" x14ac:dyDescent="0.25">
      <c r="D327" s="14" t="s">
        <v>1478</v>
      </c>
      <c r="E327" s="14" t="s">
        <v>604</v>
      </c>
      <c r="F327" s="84" t="s">
        <v>107</v>
      </c>
      <c r="G327" s="15" t="s">
        <v>68</v>
      </c>
      <c r="H327" s="16" t="s">
        <v>1479</v>
      </c>
      <c r="I327" s="17"/>
      <c r="J327" s="17"/>
      <c r="K327" s="17"/>
      <c r="L327" s="17"/>
      <c r="N327" s="31">
        <v>325</v>
      </c>
      <c r="O327" s="32" t="s">
        <v>1480</v>
      </c>
      <c r="P327" s="33" t="s">
        <v>31</v>
      </c>
      <c r="Q327" s="32" t="s">
        <v>32</v>
      </c>
      <c r="R327" s="69">
        <v>44259.611377314817</v>
      </c>
      <c r="S327" s="35">
        <v>44356</v>
      </c>
      <c r="T327" s="32" t="str">
        <f t="shared" si="21"/>
        <v>+0832 11924***</v>
      </c>
      <c r="U327" s="32" t="str">
        <f t="shared" ca="1" si="22"/>
        <v>thal***@yuhuumail.com</v>
      </c>
      <c r="V327" s="32">
        <f t="shared" si="23"/>
        <v>28</v>
      </c>
      <c r="W327" s="36">
        <f t="shared" si="24"/>
        <v>0.05</v>
      </c>
    </row>
    <row r="328" spans="4:23" ht="27" customHeight="1" x14ac:dyDescent="0.25">
      <c r="D328" s="14" t="s">
        <v>1481</v>
      </c>
      <c r="E328" s="14" t="s">
        <v>1482</v>
      </c>
      <c r="F328" s="84" t="s">
        <v>710</v>
      </c>
      <c r="G328" s="15" t="s">
        <v>27</v>
      </c>
      <c r="H328" s="16" t="s">
        <v>1483</v>
      </c>
      <c r="I328" s="17"/>
      <c r="J328" s="17"/>
      <c r="K328" s="17"/>
      <c r="L328" s="17"/>
      <c r="N328" s="31">
        <v>326</v>
      </c>
      <c r="O328" s="32" t="s">
        <v>1484</v>
      </c>
      <c r="P328" s="33" t="s">
        <v>31</v>
      </c>
      <c r="Q328" s="32" t="s">
        <v>40</v>
      </c>
      <c r="R328" s="69">
        <v>44259.633726851855</v>
      </c>
      <c r="S328" s="35">
        <v>44354</v>
      </c>
      <c r="T328" s="32" t="str">
        <f t="shared" si="21"/>
        <v>+84259302***</v>
      </c>
      <c r="U328" s="32" t="str">
        <f t="shared" ca="1" si="22"/>
        <v>coop***@jossmail.com</v>
      </c>
      <c r="V328" s="32">
        <f t="shared" si="23"/>
        <v>28</v>
      </c>
      <c r="W328" s="36">
        <f t="shared" si="24"/>
        <v>0.05</v>
      </c>
    </row>
    <row r="329" spans="4:23" ht="27" customHeight="1" x14ac:dyDescent="0.25">
      <c r="D329" s="14" t="s">
        <v>1485</v>
      </c>
      <c r="E329" s="14" t="s">
        <v>1486</v>
      </c>
      <c r="F329" s="84" t="s">
        <v>200</v>
      </c>
      <c r="G329" s="15" t="s">
        <v>68</v>
      </c>
      <c r="H329" s="16" t="s">
        <v>1487</v>
      </c>
      <c r="I329" s="17"/>
      <c r="J329" s="17"/>
      <c r="K329" s="17"/>
      <c r="L329" s="17"/>
      <c r="N329" s="31">
        <v>327</v>
      </c>
      <c r="O329" s="32" t="s">
        <v>498</v>
      </c>
      <c r="P329" s="33" t="s">
        <v>57</v>
      </c>
      <c r="Q329" s="32" t="s">
        <v>32</v>
      </c>
      <c r="R329" s="69">
        <v>44259.591331018521</v>
      </c>
      <c r="S329" s="35">
        <v>44352</v>
      </c>
      <c r="T329" s="32" t="str">
        <f t="shared" si="21"/>
        <v>+83275185***</v>
      </c>
      <c r="U329" s="32" t="str">
        <f t="shared" ca="1" si="22"/>
        <v>dang***@jossmail.com</v>
      </c>
      <c r="V329" s="32">
        <f t="shared" si="23"/>
        <v>28</v>
      </c>
      <c r="W329" s="36">
        <f t="shared" si="24"/>
        <v>0.05</v>
      </c>
    </row>
    <row r="330" spans="4:23" ht="27" customHeight="1" x14ac:dyDescent="0.25">
      <c r="D330" s="14" t="s">
        <v>1488</v>
      </c>
      <c r="E330" s="14" t="s">
        <v>1489</v>
      </c>
      <c r="F330" s="84" t="s">
        <v>524</v>
      </c>
      <c r="G330" s="15" t="s">
        <v>68</v>
      </c>
      <c r="H330" s="16" t="s">
        <v>1490</v>
      </c>
      <c r="I330" s="17"/>
      <c r="J330" s="17"/>
      <c r="K330" s="17"/>
      <c r="L330" s="17"/>
      <c r="N330" s="31">
        <v>328</v>
      </c>
      <c r="O330" s="32" t="s">
        <v>1491</v>
      </c>
      <c r="P330" s="33" t="s">
        <v>31</v>
      </c>
      <c r="Q330" s="32" t="s">
        <v>40</v>
      </c>
      <c r="R330" s="69">
        <v>44258.926319444443</v>
      </c>
      <c r="S330" s="35">
        <v>44359</v>
      </c>
      <c r="T330" s="32" t="str">
        <f t="shared" si="21"/>
        <v>+083258577***</v>
      </c>
      <c r="U330" s="32" t="str">
        <f t="shared" ca="1" si="22"/>
        <v>lisa***@yuhuumail.com</v>
      </c>
      <c r="V330" s="32">
        <f t="shared" si="23"/>
        <v>28</v>
      </c>
      <c r="W330" s="36">
        <f t="shared" si="24"/>
        <v>0.05</v>
      </c>
    </row>
    <row r="331" spans="4:23" ht="27" customHeight="1" x14ac:dyDescent="0.25">
      <c r="D331" s="14" t="s">
        <v>1492</v>
      </c>
      <c r="E331" s="14" t="s">
        <v>1493</v>
      </c>
      <c r="F331" s="84" t="s">
        <v>402</v>
      </c>
      <c r="G331" s="15" t="s">
        <v>68</v>
      </c>
      <c r="H331" s="16" t="s">
        <v>1494</v>
      </c>
      <c r="I331" s="17"/>
      <c r="J331" s="17"/>
      <c r="K331" s="17"/>
      <c r="L331" s="17"/>
      <c r="N331" s="31">
        <v>329</v>
      </c>
      <c r="O331" s="32" t="s">
        <v>1310</v>
      </c>
      <c r="P331" s="33" t="s">
        <v>57</v>
      </c>
      <c r="Q331" s="32" t="s">
        <v>32</v>
      </c>
      <c r="R331" s="69">
        <v>44259.678773148145</v>
      </c>
      <c r="S331" s="35">
        <v>44362</v>
      </c>
      <c r="T331" s="32" t="str">
        <f t="shared" si="21"/>
        <v>+81256958***</v>
      </c>
      <c r="U331" s="32" t="str">
        <f t="shared" ca="1" si="22"/>
        <v>tian***@yuhuumail.com</v>
      </c>
      <c r="V331" s="32">
        <f t="shared" si="23"/>
        <v>28</v>
      </c>
      <c r="W331" s="36">
        <f t="shared" si="24"/>
        <v>0.05</v>
      </c>
    </row>
    <row r="332" spans="4:23" ht="27" customHeight="1" x14ac:dyDescent="0.25">
      <c r="D332" s="14" t="s">
        <v>1495</v>
      </c>
      <c r="E332" s="14" t="s">
        <v>1496</v>
      </c>
      <c r="F332" s="84" t="s">
        <v>444</v>
      </c>
      <c r="G332" s="15" t="s">
        <v>27</v>
      </c>
      <c r="H332" s="16" t="s">
        <v>1497</v>
      </c>
      <c r="I332" s="17"/>
      <c r="J332" s="17"/>
      <c r="K332" s="17"/>
      <c r="L332" s="17"/>
      <c r="N332" s="31">
        <v>330</v>
      </c>
      <c r="O332" s="32" t="s">
        <v>1498</v>
      </c>
      <c r="P332" s="33" t="s">
        <v>57</v>
      </c>
      <c r="Q332" s="32" t="s">
        <v>40</v>
      </c>
      <c r="R332" s="69">
        <v>43172.407152777778</v>
      </c>
      <c r="S332" s="35">
        <v>44320</v>
      </c>
      <c r="T332" s="32" t="str">
        <f t="shared" si="21"/>
        <v>+6282268108***</v>
      </c>
      <c r="U332" s="32" t="str">
        <f t="shared" ca="1" si="22"/>
        <v>saul***@yuhuumail.com</v>
      </c>
      <c r="V332" s="32">
        <f t="shared" si="23"/>
        <v>25</v>
      </c>
      <c r="W332" s="36">
        <f t="shared" si="24"/>
        <v>7.5000000000000011E-2</v>
      </c>
    </row>
    <row r="333" spans="4:23" ht="27" customHeight="1" x14ac:dyDescent="0.25">
      <c r="D333" s="14" t="s">
        <v>1499</v>
      </c>
      <c r="E333" s="14" t="s">
        <v>1500</v>
      </c>
      <c r="F333" s="84" t="s">
        <v>909</v>
      </c>
      <c r="G333" s="15" t="s">
        <v>68</v>
      </c>
      <c r="H333" s="16" t="s">
        <v>1501</v>
      </c>
      <c r="I333" s="17"/>
      <c r="J333" s="17"/>
      <c r="K333" s="17"/>
      <c r="L333" s="17"/>
      <c r="N333" s="31">
        <v>331</v>
      </c>
      <c r="O333" s="32" t="s">
        <v>1502</v>
      </c>
      <c r="P333" s="33" t="s">
        <v>42</v>
      </c>
      <c r="Q333" s="32" t="s">
        <v>32</v>
      </c>
      <c r="R333" s="69">
        <v>44259.698576388888</v>
      </c>
      <c r="S333" s="35">
        <v>44362</v>
      </c>
      <c r="T333" s="32" t="str">
        <f t="shared" si="21"/>
        <v>+083290793***</v>
      </c>
      <c r="U333" s="32" t="str">
        <f t="shared" ca="1" si="22"/>
        <v>zack***@jossmail.com</v>
      </c>
      <c r="V333" s="32">
        <f t="shared" si="23"/>
        <v>28</v>
      </c>
      <c r="W333" s="36">
        <f t="shared" si="24"/>
        <v>0.05</v>
      </c>
    </row>
    <row r="334" spans="4:23" ht="27" customHeight="1" x14ac:dyDescent="0.25">
      <c r="D334" s="14" t="s">
        <v>1503</v>
      </c>
      <c r="E334" s="14" t="s">
        <v>1504</v>
      </c>
      <c r="F334" s="84" t="s">
        <v>1505</v>
      </c>
      <c r="G334" s="15" t="s">
        <v>27</v>
      </c>
      <c r="H334" s="16" t="s">
        <v>1506</v>
      </c>
      <c r="I334" s="17"/>
      <c r="J334" s="17"/>
      <c r="K334" s="17"/>
      <c r="L334" s="17"/>
      <c r="N334" s="31">
        <v>332</v>
      </c>
      <c r="O334" s="32" t="s">
        <v>989</v>
      </c>
      <c r="P334" s="33" t="s">
        <v>31</v>
      </c>
      <c r="Q334" s="32" t="s">
        <v>40</v>
      </c>
      <c r="R334" s="69">
        <v>44259.709733796299</v>
      </c>
      <c r="S334" s="35">
        <v>44354</v>
      </c>
      <c r="T334" s="32" t="str">
        <f t="shared" si="21"/>
        <v>+822 41977***</v>
      </c>
      <c r="U334" s="32" t="str">
        <f t="shared" ca="1" si="22"/>
        <v>bryn***@yuhuumail.com</v>
      </c>
      <c r="V334" s="32">
        <f t="shared" si="23"/>
        <v>28</v>
      </c>
      <c r="W334" s="36">
        <f t="shared" si="24"/>
        <v>0.05</v>
      </c>
    </row>
    <row r="335" spans="4:23" ht="27" customHeight="1" x14ac:dyDescent="0.25">
      <c r="D335" s="14" t="s">
        <v>1507</v>
      </c>
      <c r="E335" s="14" t="s">
        <v>1508</v>
      </c>
      <c r="F335" s="84" t="s">
        <v>316</v>
      </c>
      <c r="G335" s="15" t="s">
        <v>27</v>
      </c>
      <c r="H335" s="16" t="s">
        <v>1509</v>
      </c>
      <c r="I335" s="17"/>
      <c r="J335" s="17"/>
      <c r="K335" s="17"/>
      <c r="L335" s="17"/>
      <c r="N335" s="31">
        <v>333</v>
      </c>
      <c r="O335" s="32" t="s">
        <v>1510</v>
      </c>
      <c r="P335" s="33" t="s">
        <v>31</v>
      </c>
      <c r="Q335" s="32" t="s">
        <v>32</v>
      </c>
      <c r="R335" s="69">
        <v>44259.002245370371</v>
      </c>
      <c r="S335" s="71">
        <v>44320</v>
      </c>
      <c r="T335" s="32" t="str">
        <f t="shared" si="21"/>
        <v>+082261725***</v>
      </c>
      <c r="U335" s="32" t="str">
        <f t="shared" ca="1" si="22"/>
        <v>kayl***@yuhuumail.com</v>
      </c>
      <c r="V335" s="32">
        <f t="shared" si="23"/>
        <v>28</v>
      </c>
      <c r="W335" s="36">
        <f t="shared" si="24"/>
        <v>0.05</v>
      </c>
    </row>
    <row r="336" spans="4:23" ht="27" customHeight="1" x14ac:dyDescent="0.25">
      <c r="D336" s="14" t="s">
        <v>1511</v>
      </c>
      <c r="E336" s="14" t="s">
        <v>1512</v>
      </c>
      <c r="F336" s="84" t="s">
        <v>909</v>
      </c>
      <c r="G336" s="15" t="s">
        <v>27</v>
      </c>
      <c r="H336" s="16" t="s">
        <v>1513</v>
      </c>
      <c r="I336" s="17"/>
      <c r="J336" s="17"/>
      <c r="K336" s="17"/>
      <c r="L336" s="17"/>
      <c r="N336" s="31">
        <v>334</v>
      </c>
      <c r="O336" s="32" t="s">
        <v>1514</v>
      </c>
      <c r="P336" s="33" t="s">
        <v>57</v>
      </c>
      <c r="Q336" s="32" t="s">
        <v>40</v>
      </c>
      <c r="R336" s="69">
        <v>44259.561111111114</v>
      </c>
      <c r="S336" s="71">
        <v>44320</v>
      </c>
      <c r="T336" s="32" t="str">
        <f t="shared" si="21"/>
        <v>+0812 49721***</v>
      </c>
      <c r="U336" s="32" t="str">
        <f t="shared" ca="1" si="22"/>
        <v>amar***@jossmail.com</v>
      </c>
      <c r="V336" s="32">
        <f t="shared" si="23"/>
        <v>28</v>
      </c>
      <c r="W336" s="36">
        <f t="shared" si="24"/>
        <v>0.05</v>
      </c>
    </row>
    <row r="337" spans="4:23" ht="27" customHeight="1" x14ac:dyDescent="0.25">
      <c r="D337" s="14" t="s">
        <v>1515</v>
      </c>
      <c r="E337" s="14" t="s">
        <v>1516</v>
      </c>
      <c r="F337" s="84" t="s">
        <v>239</v>
      </c>
      <c r="G337" s="15" t="s">
        <v>27</v>
      </c>
      <c r="H337" s="16" t="s">
        <v>1517</v>
      </c>
      <c r="I337" s="17"/>
      <c r="J337" s="17"/>
      <c r="K337" s="17"/>
      <c r="L337" s="17"/>
      <c r="N337" s="31">
        <v>335</v>
      </c>
      <c r="O337" s="32" t="s">
        <v>1518</v>
      </c>
      <c r="P337" s="33" t="s">
        <v>31</v>
      </c>
      <c r="Q337" s="32" t="s">
        <v>32</v>
      </c>
      <c r="R337" s="69">
        <v>44259.736134259256</v>
      </c>
      <c r="S337" s="71">
        <v>44359</v>
      </c>
      <c r="T337" s="32" t="str">
        <f t="shared" si="21"/>
        <v>+085237572***</v>
      </c>
      <c r="U337" s="32" t="str">
        <f t="shared" ca="1" si="22"/>
        <v>laur***@jossmail.com</v>
      </c>
      <c r="V337" s="32">
        <f t="shared" si="23"/>
        <v>28</v>
      </c>
      <c r="W337" s="36">
        <f t="shared" si="24"/>
        <v>0.05</v>
      </c>
    </row>
    <row r="338" spans="4:23" ht="27" customHeight="1" x14ac:dyDescent="0.25">
      <c r="D338" s="14" t="s">
        <v>1519</v>
      </c>
      <c r="E338" s="14" t="s">
        <v>1520</v>
      </c>
      <c r="F338" s="84" t="s">
        <v>74</v>
      </c>
      <c r="G338" s="15" t="s">
        <v>27</v>
      </c>
      <c r="H338" s="16" t="s">
        <v>1521</v>
      </c>
      <c r="I338" s="17"/>
      <c r="J338" s="17"/>
      <c r="K338" s="17"/>
      <c r="L338" s="17"/>
      <c r="N338" s="31">
        <v>336</v>
      </c>
      <c r="O338" s="32" t="s">
        <v>1522</v>
      </c>
      <c r="P338" s="33" t="s">
        <v>57</v>
      </c>
      <c r="Q338" s="32" t="s">
        <v>40</v>
      </c>
      <c r="R338" s="69">
        <v>44259.346053240741</v>
      </c>
      <c r="S338" s="71">
        <v>44352</v>
      </c>
      <c r="T338" s="32" t="str">
        <f t="shared" si="21"/>
        <v>+83253924***</v>
      </c>
      <c r="U338" s="32" t="str">
        <f t="shared" ca="1" si="22"/>
        <v>kris***@yuhuumail.com</v>
      </c>
      <c r="V338" s="32">
        <f t="shared" si="23"/>
        <v>28</v>
      </c>
      <c r="W338" s="36">
        <f t="shared" si="24"/>
        <v>0.05</v>
      </c>
    </row>
    <row r="339" spans="4:23" ht="27" customHeight="1" x14ac:dyDescent="0.25">
      <c r="D339" s="14" t="s">
        <v>1523</v>
      </c>
      <c r="E339" s="14" t="s">
        <v>1524</v>
      </c>
      <c r="F339" s="84" t="s">
        <v>1525</v>
      </c>
      <c r="G339" s="15" t="s">
        <v>27</v>
      </c>
      <c r="H339" s="16" t="s">
        <v>1526</v>
      </c>
      <c r="I339" s="17"/>
      <c r="J339" s="17"/>
      <c r="K339" s="17"/>
      <c r="L339" s="17"/>
      <c r="N339" s="31">
        <v>337</v>
      </c>
      <c r="O339" s="32" t="s">
        <v>1527</v>
      </c>
      <c r="P339" s="33" t="s">
        <v>57</v>
      </c>
      <c r="Q339" s="32" t="s">
        <v>32</v>
      </c>
      <c r="R339" s="69">
        <v>43535.577361111114</v>
      </c>
      <c r="S339" s="71">
        <v>44318</v>
      </c>
      <c r="T339" s="32" t="str">
        <f t="shared" si="21"/>
        <v>+085223697***</v>
      </c>
      <c r="U339" s="32" t="str">
        <f t="shared" ca="1" si="22"/>
        <v>jaba***@jossmail.com</v>
      </c>
      <c r="V339" s="32">
        <f t="shared" si="23"/>
        <v>26</v>
      </c>
      <c r="W339" s="36">
        <f t="shared" si="24"/>
        <v>6.5000000000000002E-2</v>
      </c>
    </row>
    <row r="340" spans="4:23" ht="27" customHeight="1" x14ac:dyDescent="0.25">
      <c r="D340" s="14" t="s">
        <v>1528</v>
      </c>
      <c r="E340" s="14" t="s">
        <v>712</v>
      </c>
      <c r="F340" s="84" t="s">
        <v>285</v>
      </c>
      <c r="G340" s="15" t="s">
        <v>27</v>
      </c>
      <c r="H340" s="16" t="s">
        <v>1529</v>
      </c>
      <c r="I340" s="17"/>
      <c r="J340" s="17"/>
      <c r="K340" s="17"/>
      <c r="L340" s="17"/>
      <c r="N340" s="31">
        <v>338</v>
      </c>
      <c r="O340" s="32" t="s">
        <v>255</v>
      </c>
      <c r="P340" s="33" t="s">
        <v>42</v>
      </c>
      <c r="Q340" s="32" t="s">
        <v>40</v>
      </c>
      <c r="R340" s="69">
        <v>44259.800682870373</v>
      </c>
      <c r="S340" s="71">
        <v>44352</v>
      </c>
      <c r="T340" s="32" t="str">
        <f t="shared" si="21"/>
        <v>+85247665***</v>
      </c>
      <c r="U340" s="32" t="str">
        <f t="shared" ca="1" si="22"/>
        <v>uria***@yuhuumail.com</v>
      </c>
      <c r="V340" s="32">
        <f t="shared" si="23"/>
        <v>28</v>
      </c>
      <c r="W340" s="36">
        <f t="shared" si="24"/>
        <v>0.05</v>
      </c>
    </row>
    <row r="341" spans="4:23" ht="27" customHeight="1" x14ac:dyDescent="0.25">
      <c r="D341" s="14" t="s">
        <v>1530</v>
      </c>
      <c r="E341" s="14" t="s">
        <v>1055</v>
      </c>
      <c r="F341" s="84" t="s">
        <v>587</v>
      </c>
      <c r="G341" s="15" t="s">
        <v>68</v>
      </c>
      <c r="H341" s="16" t="s">
        <v>1531</v>
      </c>
      <c r="I341" s="17"/>
      <c r="J341" s="17"/>
      <c r="K341" s="17"/>
      <c r="L341" s="17"/>
      <c r="N341" s="31">
        <v>339</v>
      </c>
      <c r="O341" s="32" t="s">
        <v>1532</v>
      </c>
      <c r="P341" s="33" t="s">
        <v>31</v>
      </c>
      <c r="Q341" s="32" t="s">
        <v>32</v>
      </c>
      <c r="R341" s="69">
        <v>44259.807569444441</v>
      </c>
      <c r="S341" s="71">
        <v>44362</v>
      </c>
      <c r="T341" s="32" t="str">
        <f t="shared" si="21"/>
        <v>+0852 28329***</v>
      </c>
      <c r="U341" s="32" t="str">
        <f t="shared" ca="1" si="22"/>
        <v>arac***@jossmail.com</v>
      </c>
      <c r="V341" s="32">
        <f t="shared" si="23"/>
        <v>28</v>
      </c>
      <c r="W341" s="36">
        <f t="shared" si="24"/>
        <v>0.05</v>
      </c>
    </row>
    <row r="342" spans="4:23" ht="27" customHeight="1" x14ac:dyDescent="0.25">
      <c r="D342" s="14" t="s">
        <v>1533</v>
      </c>
      <c r="E342" s="14" t="s">
        <v>1534</v>
      </c>
      <c r="F342" s="84" t="s">
        <v>1535</v>
      </c>
      <c r="G342" s="15" t="s">
        <v>27</v>
      </c>
      <c r="H342" s="16" t="s">
        <v>1536</v>
      </c>
      <c r="I342" s="17"/>
      <c r="J342" s="17"/>
      <c r="K342" s="17"/>
      <c r="L342" s="17"/>
      <c r="N342" s="31">
        <v>340</v>
      </c>
      <c r="O342" s="32" t="s">
        <v>1537</v>
      </c>
      <c r="P342" s="33" t="s">
        <v>31</v>
      </c>
      <c r="Q342" s="32" t="s">
        <v>40</v>
      </c>
      <c r="R342" s="69">
        <v>44259.477986111109</v>
      </c>
      <c r="S342" s="71">
        <v>44318</v>
      </c>
      <c r="T342" s="32" t="str">
        <f t="shared" si="21"/>
        <v>+0822 85161***</v>
      </c>
      <c r="U342" s="32" t="str">
        <f t="shared" ca="1" si="22"/>
        <v>kend***@yuhuumail.com</v>
      </c>
      <c r="V342" s="32">
        <f t="shared" si="23"/>
        <v>28</v>
      </c>
      <c r="W342" s="36">
        <f t="shared" si="24"/>
        <v>0.05</v>
      </c>
    </row>
    <row r="343" spans="4:23" ht="27" customHeight="1" x14ac:dyDescent="0.25">
      <c r="D343" s="14" t="s">
        <v>1538</v>
      </c>
      <c r="E343" s="14" t="s">
        <v>1539</v>
      </c>
      <c r="F343" s="84" t="s">
        <v>592</v>
      </c>
      <c r="G343" s="15" t="s">
        <v>68</v>
      </c>
      <c r="H343" s="16" t="s">
        <v>1540</v>
      </c>
      <c r="I343" s="17"/>
      <c r="J343" s="17"/>
      <c r="K343" s="17"/>
      <c r="L343" s="17"/>
      <c r="N343" s="31">
        <v>341</v>
      </c>
      <c r="O343" s="32" t="s">
        <v>1541</v>
      </c>
      <c r="P343" s="33" t="s">
        <v>57</v>
      </c>
      <c r="Q343" s="32" t="s">
        <v>32</v>
      </c>
      <c r="R343" s="69">
        <v>44259.816921296297</v>
      </c>
      <c r="S343" s="71">
        <v>44362</v>
      </c>
      <c r="T343" s="32" t="str">
        <f t="shared" si="21"/>
        <v>+82274783***</v>
      </c>
      <c r="U343" s="32" t="str">
        <f t="shared" ca="1" si="22"/>
        <v>kell***@jossmail.com</v>
      </c>
      <c r="V343" s="32">
        <f t="shared" si="23"/>
        <v>28</v>
      </c>
      <c r="W343" s="36">
        <f t="shared" si="24"/>
        <v>0.05</v>
      </c>
    </row>
    <row r="344" spans="4:23" ht="27" customHeight="1" x14ac:dyDescent="0.25">
      <c r="D344" s="14" t="s">
        <v>1542</v>
      </c>
      <c r="E344" s="14" t="s">
        <v>1543</v>
      </c>
      <c r="F344" s="84" t="s">
        <v>592</v>
      </c>
      <c r="G344" s="15" t="s">
        <v>68</v>
      </c>
      <c r="H344" s="16" t="s">
        <v>1544</v>
      </c>
      <c r="I344" s="17"/>
      <c r="J344" s="17"/>
      <c r="K344" s="17"/>
      <c r="L344" s="17"/>
      <c r="N344" s="31">
        <v>342</v>
      </c>
      <c r="O344" s="32" t="s">
        <v>1545</v>
      </c>
      <c r="P344" s="33" t="s">
        <v>42</v>
      </c>
      <c r="Q344" s="32" t="s">
        <v>40</v>
      </c>
      <c r="R344" s="69">
        <v>44083.698449074072</v>
      </c>
      <c r="S344" s="71">
        <v>44339</v>
      </c>
      <c r="T344" s="32" t="str">
        <f t="shared" si="21"/>
        <v>+84241628***</v>
      </c>
      <c r="U344" s="32" t="str">
        <f t="shared" ca="1" si="22"/>
        <v>broo***@jossmail.com</v>
      </c>
      <c r="V344" s="32">
        <f t="shared" si="23"/>
        <v>27</v>
      </c>
      <c r="W344" s="36">
        <f t="shared" si="24"/>
        <v>0.05</v>
      </c>
    </row>
    <row r="345" spans="4:23" ht="27" customHeight="1" x14ac:dyDescent="0.25">
      <c r="D345" s="14" t="s">
        <v>1546</v>
      </c>
      <c r="E345" s="14" t="s">
        <v>1547</v>
      </c>
      <c r="F345" s="84" t="s">
        <v>61</v>
      </c>
      <c r="G345" s="15" t="s">
        <v>27</v>
      </c>
      <c r="H345" s="16" t="s">
        <v>1548</v>
      </c>
      <c r="I345" s="17"/>
      <c r="J345" s="17"/>
      <c r="K345" s="17"/>
      <c r="L345" s="17"/>
      <c r="N345" s="31">
        <v>343</v>
      </c>
      <c r="O345" s="32" t="s">
        <v>1549</v>
      </c>
      <c r="P345" s="33" t="s">
        <v>31</v>
      </c>
      <c r="Q345" s="32" t="s">
        <v>32</v>
      </c>
      <c r="R345" s="69">
        <v>44259.824166666665</v>
      </c>
      <c r="S345" s="71">
        <v>44320</v>
      </c>
      <c r="T345" s="32" t="str">
        <f t="shared" si="21"/>
        <v>+6284215979***</v>
      </c>
      <c r="U345" s="32" t="str">
        <f t="shared" ca="1" si="22"/>
        <v>mare***@yuhuumail.com</v>
      </c>
      <c r="V345" s="32">
        <f t="shared" si="23"/>
        <v>28</v>
      </c>
      <c r="W345" s="36">
        <f t="shared" si="24"/>
        <v>0.05</v>
      </c>
    </row>
    <row r="346" spans="4:23" ht="27" customHeight="1" x14ac:dyDescent="0.25">
      <c r="D346" s="14" t="s">
        <v>1550</v>
      </c>
      <c r="E346" s="14" t="s">
        <v>954</v>
      </c>
      <c r="F346" s="84" t="s">
        <v>1551</v>
      </c>
      <c r="G346" s="15" t="s">
        <v>27</v>
      </c>
      <c r="H346" s="16" t="s">
        <v>1552</v>
      </c>
      <c r="I346" s="17"/>
      <c r="J346" s="17"/>
      <c r="K346" s="17"/>
      <c r="L346" s="17"/>
      <c r="N346" s="31">
        <v>344</v>
      </c>
      <c r="O346" s="32" t="s">
        <v>1553</v>
      </c>
      <c r="P346" s="33" t="s">
        <v>57</v>
      </c>
      <c r="Q346" s="32" t="s">
        <v>40</v>
      </c>
      <c r="R346" s="69">
        <v>44259.829988425925</v>
      </c>
      <c r="S346" s="71">
        <v>44320</v>
      </c>
      <c r="T346" s="32" t="str">
        <f t="shared" si="21"/>
        <v>+0842 76184***</v>
      </c>
      <c r="U346" s="32" t="str">
        <f t="shared" ca="1" si="22"/>
        <v>dama***@yuhuumail.com</v>
      </c>
      <c r="V346" s="32">
        <f t="shared" si="23"/>
        <v>28</v>
      </c>
      <c r="W346" s="36">
        <f t="shared" si="24"/>
        <v>0.05</v>
      </c>
    </row>
    <row r="347" spans="4:23" ht="27" customHeight="1" x14ac:dyDescent="0.25">
      <c r="D347" s="14" t="s">
        <v>1554</v>
      </c>
      <c r="E347" s="14" t="s">
        <v>1555</v>
      </c>
      <c r="F347" s="84" t="s">
        <v>592</v>
      </c>
      <c r="G347" s="15" t="s">
        <v>68</v>
      </c>
      <c r="H347" s="16" t="s">
        <v>1556</v>
      </c>
      <c r="I347" s="17"/>
      <c r="J347" s="17"/>
      <c r="K347" s="17"/>
      <c r="L347" s="17"/>
      <c r="N347" s="31">
        <v>345</v>
      </c>
      <c r="O347" s="32" t="s">
        <v>1557</v>
      </c>
      <c r="P347" s="33" t="s">
        <v>57</v>
      </c>
      <c r="Q347" s="32" t="s">
        <v>32</v>
      </c>
      <c r="R347" s="69">
        <v>44259.813750000001</v>
      </c>
      <c r="S347" s="71">
        <v>44353</v>
      </c>
      <c r="T347" s="32" t="str">
        <f t="shared" si="21"/>
        <v>+084211935***</v>
      </c>
      <c r="U347" s="32" t="str">
        <f t="shared" ca="1" si="22"/>
        <v>alli***@jossmail.com</v>
      </c>
      <c r="V347" s="32">
        <f t="shared" si="23"/>
        <v>28</v>
      </c>
      <c r="W347" s="36">
        <f t="shared" si="24"/>
        <v>0.05</v>
      </c>
    </row>
    <row r="348" spans="4:23" ht="27" customHeight="1" x14ac:dyDescent="0.25">
      <c r="D348" s="14" t="s">
        <v>1558</v>
      </c>
      <c r="E348" s="14" t="s">
        <v>1559</v>
      </c>
      <c r="F348" s="84" t="s">
        <v>46</v>
      </c>
      <c r="G348" s="15" t="s">
        <v>27</v>
      </c>
      <c r="H348" s="16" t="s">
        <v>1560</v>
      </c>
      <c r="I348" s="17"/>
      <c r="J348" s="17"/>
      <c r="K348" s="17"/>
      <c r="L348" s="17"/>
      <c r="N348" s="31">
        <v>346</v>
      </c>
      <c r="O348" s="32" t="s">
        <v>1561</v>
      </c>
      <c r="P348" s="33" t="s">
        <v>57</v>
      </c>
      <c r="Q348" s="32" t="s">
        <v>40</v>
      </c>
      <c r="R348" s="69">
        <v>43203.558611111112</v>
      </c>
      <c r="S348" s="71">
        <v>44320</v>
      </c>
      <c r="T348" s="32" t="str">
        <f t="shared" si="21"/>
        <v>+0822 56072***</v>
      </c>
      <c r="U348" s="32" t="str">
        <f t="shared" ca="1" si="22"/>
        <v>keat***@jossmail.com</v>
      </c>
      <c r="V348" s="32">
        <f t="shared" si="23"/>
        <v>25</v>
      </c>
      <c r="W348" s="36">
        <f t="shared" si="24"/>
        <v>7.5000000000000011E-2</v>
      </c>
    </row>
    <row r="349" spans="4:23" ht="27" customHeight="1" x14ac:dyDescent="0.25">
      <c r="D349" s="14" t="s">
        <v>1562</v>
      </c>
      <c r="E349" s="14" t="s">
        <v>979</v>
      </c>
      <c r="F349" s="84" t="s">
        <v>1563</v>
      </c>
      <c r="G349" s="15" t="s">
        <v>27</v>
      </c>
      <c r="H349" s="16" t="s">
        <v>1564</v>
      </c>
      <c r="I349" s="17"/>
      <c r="J349" s="17"/>
      <c r="K349" s="17"/>
      <c r="L349" s="17"/>
      <c r="N349" s="31">
        <v>347</v>
      </c>
      <c r="O349" s="32" t="s">
        <v>1565</v>
      </c>
      <c r="P349" s="33" t="s">
        <v>31</v>
      </c>
      <c r="Q349" s="32" t="s">
        <v>32</v>
      </c>
      <c r="R349" s="69">
        <v>44259.841412037036</v>
      </c>
      <c r="S349" s="71">
        <v>44354</v>
      </c>
      <c r="T349" s="32" t="str">
        <f t="shared" si="21"/>
        <v>+083214892***</v>
      </c>
      <c r="U349" s="32" t="str">
        <f t="shared" ca="1" si="22"/>
        <v>nata***@yuhuumail.com</v>
      </c>
      <c r="V349" s="32">
        <f t="shared" si="23"/>
        <v>28</v>
      </c>
      <c r="W349" s="36">
        <f t="shared" si="24"/>
        <v>0.05</v>
      </c>
    </row>
    <row r="350" spans="4:23" ht="27" customHeight="1" x14ac:dyDescent="0.25">
      <c r="D350" s="14" t="s">
        <v>1566</v>
      </c>
      <c r="E350" s="14" t="s">
        <v>1567</v>
      </c>
      <c r="F350" s="84" t="s">
        <v>602</v>
      </c>
      <c r="G350" s="15" t="s">
        <v>27</v>
      </c>
      <c r="H350" s="16" t="s">
        <v>1568</v>
      </c>
      <c r="I350" s="17"/>
      <c r="J350" s="17"/>
      <c r="K350" s="17"/>
      <c r="L350" s="17"/>
      <c r="N350" s="31">
        <v>348</v>
      </c>
      <c r="O350" s="32" t="s">
        <v>1569</v>
      </c>
      <c r="P350" s="33" t="s">
        <v>31</v>
      </c>
      <c r="Q350" s="32" t="s">
        <v>40</v>
      </c>
      <c r="R350" s="69">
        <v>44259.839097222219</v>
      </c>
      <c r="S350" s="71">
        <v>44359</v>
      </c>
      <c r="T350" s="32" t="str">
        <f t="shared" si="21"/>
        <v>+0842 61747***</v>
      </c>
      <c r="U350" s="32" t="str">
        <f t="shared" ca="1" si="22"/>
        <v>kris***@yuhuumail.com</v>
      </c>
      <c r="V350" s="32">
        <f t="shared" si="23"/>
        <v>28</v>
      </c>
      <c r="W350" s="36">
        <f t="shared" si="24"/>
        <v>0.05</v>
      </c>
    </row>
    <row r="351" spans="4:23" ht="27" customHeight="1" x14ac:dyDescent="0.25">
      <c r="D351" s="14" t="s">
        <v>1570</v>
      </c>
      <c r="E351" s="14" t="s">
        <v>1571</v>
      </c>
      <c r="F351" s="84" t="s">
        <v>1572</v>
      </c>
      <c r="G351" s="15" t="s">
        <v>27</v>
      </c>
      <c r="H351" s="16" t="s">
        <v>1573</v>
      </c>
      <c r="I351" s="17"/>
      <c r="J351" s="17"/>
      <c r="K351" s="17"/>
      <c r="L351" s="17"/>
      <c r="N351" s="31">
        <v>349</v>
      </c>
      <c r="O351" s="32" t="s">
        <v>1574</v>
      </c>
      <c r="P351" s="33" t="s">
        <v>57</v>
      </c>
      <c r="Q351" s="32" t="s">
        <v>32</v>
      </c>
      <c r="R351" s="69">
        <v>44259.846655092595</v>
      </c>
      <c r="S351" s="71">
        <v>44351</v>
      </c>
      <c r="T351" s="32" t="str">
        <f t="shared" si="21"/>
        <v>+0852-28925***</v>
      </c>
      <c r="U351" s="32" t="str">
        <f t="shared" ca="1" si="22"/>
        <v>sull***@yuhuumail.com</v>
      </c>
      <c r="V351" s="32">
        <f t="shared" si="23"/>
        <v>28</v>
      </c>
      <c r="W351" s="36">
        <f t="shared" si="24"/>
        <v>0.05</v>
      </c>
    </row>
    <row r="352" spans="4:23" ht="27" customHeight="1" x14ac:dyDescent="0.25">
      <c r="D352" s="14" t="s">
        <v>1575</v>
      </c>
      <c r="E352" s="14" t="s">
        <v>1576</v>
      </c>
      <c r="F352" s="84" t="s">
        <v>92</v>
      </c>
      <c r="G352" s="15" t="s">
        <v>68</v>
      </c>
      <c r="H352" s="16" t="s">
        <v>1577</v>
      </c>
      <c r="I352" s="17"/>
      <c r="J352" s="17"/>
      <c r="K352" s="17"/>
      <c r="L352" s="17"/>
      <c r="N352" s="31">
        <v>350</v>
      </c>
      <c r="O352" s="32" t="s">
        <v>1578</v>
      </c>
      <c r="P352" s="33" t="s">
        <v>42</v>
      </c>
      <c r="Q352" s="32" t="s">
        <v>40</v>
      </c>
      <c r="R352" s="69">
        <v>44259.847754629627</v>
      </c>
      <c r="S352" s="71">
        <v>44318</v>
      </c>
      <c r="T352" s="32" t="str">
        <f t="shared" si="21"/>
        <v>+84238209***</v>
      </c>
      <c r="U352" s="32" t="str">
        <f t="shared" ca="1" si="22"/>
        <v>gabr***@yuhuumail.com</v>
      </c>
      <c r="V352" s="32">
        <f t="shared" si="23"/>
        <v>28</v>
      </c>
      <c r="W352" s="36">
        <f t="shared" si="24"/>
        <v>0.05</v>
      </c>
    </row>
    <row r="353" spans="4:23" ht="27" customHeight="1" x14ac:dyDescent="0.25">
      <c r="D353" s="14" t="s">
        <v>1579</v>
      </c>
      <c r="E353" s="14" t="s">
        <v>1580</v>
      </c>
      <c r="F353" s="84" t="s">
        <v>909</v>
      </c>
      <c r="G353" s="15" t="s">
        <v>68</v>
      </c>
      <c r="H353" s="16" t="s">
        <v>1581</v>
      </c>
      <c r="I353" s="17"/>
      <c r="J353" s="17"/>
      <c r="K353" s="17"/>
      <c r="L353" s="17"/>
      <c r="N353" s="31">
        <v>351</v>
      </c>
      <c r="O353" s="32" t="s">
        <v>1582</v>
      </c>
      <c r="P353" s="33" t="s">
        <v>31</v>
      </c>
      <c r="Q353" s="32" t="s">
        <v>32</v>
      </c>
      <c r="R353" s="69">
        <v>44259.845057870371</v>
      </c>
      <c r="S353" s="71">
        <v>44354</v>
      </c>
      <c r="T353" s="32" t="str">
        <f t="shared" si="21"/>
        <v>+0842 93204***</v>
      </c>
      <c r="U353" s="32" t="str">
        <f t="shared" ca="1" si="22"/>
        <v>bren***@yuhuumail.com</v>
      </c>
      <c r="V353" s="32">
        <f t="shared" si="23"/>
        <v>28</v>
      </c>
      <c r="W353" s="36">
        <f t="shared" si="24"/>
        <v>0.05</v>
      </c>
    </row>
    <row r="354" spans="4:23" ht="27" customHeight="1" x14ac:dyDescent="0.25">
      <c r="D354" s="14" t="s">
        <v>1583</v>
      </c>
      <c r="E354" s="14" t="s">
        <v>1584</v>
      </c>
      <c r="F354" s="84" t="s">
        <v>407</v>
      </c>
      <c r="G354" s="15" t="s">
        <v>27</v>
      </c>
      <c r="H354" s="16" t="s">
        <v>1585</v>
      </c>
      <c r="I354" s="17"/>
      <c r="J354" s="17"/>
      <c r="K354" s="17"/>
      <c r="L354" s="17"/>
      <c r="N354" s="31">
        <v>352</v>
      </c>
      <c r="O354" s="32" t="s">
        <v>1586</v>
      </c>
      <c r="P354" s="33" t="s">
        <v>31</v>
      </c>
      <c r="Q354" s="32" t="s">
        <v>40</v>
      </c>
      <c r="R354" s="69">
        <v>44259.851412037038</v>
      </c>
      <c r="S354" s="71">
        <v>44359</v>
      </c>
      <c r="T354" s="32" t="str">
        <f t="shared" si="21"/>
        <v>+085223432***</v>
      </c>
      <c r="U354" s="32" t="str">
        <f t="shared" ca="1" si="22"/>
        <v>lanc***@yuhuumail.com</v>
      </c>
      <c r="V354" s="32">
        <f t="shared" si="23"/>
        <v>28</v>
      </c>
      <c r="W354" s="36">
        <f t="shared" si="24"/>
        <v>0.05</v>
      </c>
    </row>
    <row r="355" spans="4:23" ht="27" customHeight="1" x14ac:dyDescent="0.25">
      <c r="D355" s="14" t="s">
        <v>1587</v>
      </c>
      <c r="E355" s="14" t="s">
        <v>1588</v>
      </c>
      <c r="F355" s="84" t="s">
        <v>614</v>
      </c>
      <c r="G355" s="15" t="s">
        <v>27</v>
      </c>
      <c r="H355" s="16" t="s">
        <v>1589</v>
      </c>
      <c r="I355" s="17"/>
      <c r="J355" s="17"/>
      <c r="K355" s="17"/>
      <c r="L355" s="17"/>
      <c r="N355" s="31">
        <v>353</v>
      </c>
      <c r="O355" s="32" t="s">
        <v>1524</v>
      </c>
      <c r="P355" s="33" t="s">
        <v>1451</v>
      </c>
      <c r="Q355" s="32" t="s">
        <v>32</v>
      </c>
      <c r="R355" s="69">
        <v>44258.75980324074</v>
      </c>
      <c r="S355" s="35">
        <v>44358</v>
      </c>
      <c r="T355" s="32" t="str">
        <f t="shared" si="21"/>
        <v>+84241541***</v>
      </c>
      <c r="U355" s="32" t="str">
        <f t="shared" ca="1" si="22"/>
        <v>shay***@yuhuumail.com</v>
      </c>
      <c r="V355" s="32">
        <f t="shared" si="23"/>
        <v>28</v>
      </c>
      <c r="W355" s="36">
        <f t="shared" si="24"/>
        <v>0.05</v>
      </c>
    </row>
    <row r="356" spans="4:23" ht="27" customHeight="1" x14ac:dyDescent="0.25">
      <c r="D356" s="14" t="s">
        <v>1590</v>
      </c>
      <c r="E356" s="14" t="s">
        <v>1591</v>
      </c>
      <c r="F356" s="84" t="s">
        <v>499</v>
      </c>
      <c r="G356" s="15" t="s">
        <v>68</v>
      </c>
      <c r="H356" s="16" t="s">
        <v>1592</v>
      </c>
      <c r="I356" s="17"/>
      <c r="J356" s="17"/>
      <c r="K356" s="17"/>
      <c r="L356" s="17"/>
      <c r="N356" s="31">
        <v>354</v>
      </c>
      <c r="O356" s="32" t="s">
        <v>1593</v>
      </c>
      <c r="P356" s="33" t="s">
        <v>1439</v>
      </c>
      <c r="Q356" s="32" t="s">
        <v>40</v>
      </c>
      <c r="R356" s="69">
        <v>44259.85324074074</v>
      </c>
      <c r="S356" s="35">
        <v>44320</v>
      </c>
      <c r="T356" s="32" t="str">
        <f t="shared" si="21"/>
        <v>+0832 72405***</v>
      </c>
      <c r="U356" s="32" t="str">
        <f t="shared" ca="1" si="22"/>
        <v>sant***@jossmail.com</v>
      </c>
      <c r="V356" s="32">
        <f t="shared" si="23"/>
        <v>28</v>
      </c>
      <c r="W356" s="36">
        <f t="shared" si="24"/>
        <v>0.05</v>
      </c>
    </row>
    <row r="357" spans="4:23" ht="27" customHeight="1" x14ac:dyDescent="0.25">
      <c r="D357" s="14" t="s">
        <v>1594</v>
      </c>
      <c r="E357" s="14" t="s">
        <v>1595</v>
      </c>
      <c r="F357" s="84" t="s">
        <v>206</v>
      </c>
      <c r="G357" s="15" t="s">
        <v>68</v>
      </c>
      <c r="H357" s="16" t="s">
        <v>1596</v>
      </c>
      <c r="I357" s="17"/>
      <c r="J357" s="17"/>
      <c r="K357" s="17"/>
      <c r="L357" s="17"/>
      <c r="N357" s="31">
        <v>355</v>
      </c>
      <c r="O357" s="32" t="s">
        <v>1597</v>
      </c>
      <c r="P357" s="33" t="s">
        <v>1439</v>
      </c>
      <c r="Q357" s="32" t="s">
        <v>32</v>
      </c>
      <c r="R357" s="69">
        <v>44259.857777777775</v>
      </c>
      <c r="S357" s="35">
        <v>44362</v>
      </c>
      <c r="T357" s="32" t="str">
        <f t="shared" si="21"/>
        <v>+081216676***</v>
      </c>
      <c r="U357" s="32" t="str">
        <f t="shared" ca="1" si="22"/>
        <v>adag***@yuhuumail.com</v>
      </c>
      <c r="V357" s="32">
        <f t="shared" si="23"/>
        <v>28</v>
      </c>
      <c r="W357" s="36">
        <f t="shared" si="24"/>
        <v>0.05</v>
      </c>
    </row>
    <row r="358" spans="4:23" ht="27" customHeight="1" x14ac:dyDescent="0.25">
      <c r="D358" s="14" t="s">
        <v>1598</v>
      </c>
      <c r="E358" s="14" t="s">
        <v>1599</v>
      </c>
      <c r="F358" s="84" t="s">
        <v>412</v>
      </c>
      <c r="G358" s="15" t="s">
        <v>27</v>
      </c>
      <c r="H358" s="16" t="s">
        <v>1600</v>
      </c>
      <c r="I358" s="17"/>
      <c r="J358" s="17"/>
      <c r="K358" s="17"/>
      <c r="L358" s="17"/>
      <c r="N358" s="31">
        <v>356</v>
      </c>
      <c r="O358" s="32" t="s">
        <v>1601</v>
      </c>
      <c r="P358" s="33" t="s">
        <v>1439</v>
      </c>
      <c r="Q358" s="32" t="s">
        <v>40</v>
      </c>
      <c r="R358" s="69">
        <v>44259.85224537037</v>
      </c>
      <c r="S358" s="35">
        <v>44352</v>
      </c>
      <c r="T358" s="32" t="str">
        <f t="shared" si="21"/>
        <v>+6281243878***</v>
      </c>
      <c r="U358" s="32" t="str">
        <f t="shared" ca="1" si="22"/>
        <v>clay***@yuhuumail.com</v>
      </c>
      <c r="V358" s="32">
        <f t="shared" si="23"/>
        <v>28</v>
      </c>
      <c r="W358" s="36">
        <f t="shared" si="24"/>
        <v>0.05</v>
      </c>
    </row>
    <row r="359" spans="4:23" ht="27" customHeight="1" x14ac:dyDescent="0.25">
      <c r="D359" s="14" t="s">
        <v>1602</v>
      </c>
      <c r="E359" s="14" t="s">
        <v>1250</v>
      </c>
      <c r="F359" s="84" t="s">
        <v>332</v>
      </c>
      <c r="G359" s="15" t="s">
        <v>27</v>
      </c>
      <c r="H359" s="16" t="s">
        <v>1603</v>
      </c>
      <c r="I359" s="17"/>
      <c r="J359" s="17"/>
      <c r="K359" s="17"/>
      <c r="L359" s="17"/>
      <c r="N359" s="31">
        <v>357</v>
      </c>
      <c r="O359" s="32" t="s">
        <v>1604</v>
      </c>
      <c r="P359" s="33" t="s">
        <v>57</v>
      </c>
      <c r="Q359" s="32" t="s">
        <v>32</v>
      </c>
      <c r="R359" s="69">
        <v>44259.851782407408</v>
      </c>
      <c r="S359" s="35">
        <v>44352</v>
      </c>
      <c r="T359" s="32" t="str">
        <f t="shared" si="21"/>
        <v>+084252904***</v>
      </c>
      <c r="U359" s="32" t="str">
        <f t="shared" ca="1" si="22"/>
        <v>bren***@jossmail.com</v>
      </c>
      <c r="V359" s="32">
        <f t="shared" si="23"/>
        <v>27</v>
      </c>
      <c r="W359" s="36">
        <f t="shared" si="24"/>
        <v>0.05</v>
      </c>
    </row>
    <row r="360" spans="4:23" ht="27" customHeight="1" x14ac:dyDescent="0.25">
      <c r="D360" s="14" t="s">
        <v>1605</v>
      </c>
      <c r="E360" s="14" t="s">
        <v>1606</v>
      </c>
      <c r="F360" s="84" t="s">
        <v>402</v>
      </c>
      <c r="G360" s="15" t="s">
        <v>27</v>
      </c>
      <c r="H360" s="16" t="s">
        <v>1607</v>
      </c>
      <c r="I360" s="17"/>
      <c r="J360" s="17"/>
      <c r="K360" s="17"/>
      <c r="L360" s="17"/>
      <c r="N360" s="31">
        <v>358</v>
      </c>
      <c r="O360" s="32" t="s">
        <v>1608</v>
      </c>
      <c r="P360" s="33" t="s">
        <v>31</v>
      </c>
      <c r="Q360" s="32" t="s">
        <v>40</v>
      </c>
      <c r="R360" s="69">
        <v>44259.84988425926</v>
      </c>
      <c r="S360" s="35">
        <v>44359</v>
      </c>
      <c r="T360" s="32" t="str">
        <f t="shared" si="21"/>
        <v>+0812-72165***</v>
      </c>
      <c r="U360" s="32" t="str">
        <f t="shared" ca="1" si="22"/>
        <v>maxi***@yuhuumail.com</v>
      </c>
      <c r="V360" s="32">
        <f t="shared" si="23"/>
        <v>27</v>
      </c>
      <c r="W360" s="36">
        <f t="shared" si="24"/>
        <v>0.05</v>
      </c>
    </row>
    <row r="361" spans="4:23" ht="27" customHeight="1" x14ac:dyDescent="0.25">
      <c r="D361" s="14" t="s">
        <v>1609</v>
      </c>
      <c r="E361" s="14" t="s">
        <v>1610</v>
      </c>
      <c r="F361" s="84" t="s">
        <v>321</v>
      </c>
      <c r="G361" s="15" t="s">
        <v>68</v>
      </c>
      <c r="H361" s="16" t="s">
        <v>1611</v>
      </c>
      <c r="I361" s="17"/>
      <c r="J361" s="17"/>
      <c r="K361" s="17"/>
      <c r="L361" s="17"/>
      <c r="N361" s="31">
        <v>359</v>
      </c>
      <c r="O361" s="32" t="s">
        <v>1612</v>
      </c>
      <c r="P361" s="33" t="s">
        <v>31</v>
      </c>
      <c r="Q361" s="32" t="s">
        <v>32</v>
      </c>
      <c r="R361" s="69">
        <v>44259.846712962964</v>
      </c>
      <c r="S361" s="35">
        <v>44356</v>
      </c>
      <c r="T361" s="32" t="str">
        <f t="shared" si="21"/>
        <v>+0852-76690***</v>
      </c>
      <c r="U361" s="32" t="str">
        <f t="shared" ca="1" si="22"/>
        <v>enzo***@yuhuumail.com</v>
      </c>
      <c r="V361" s="32">
        <f t="shared" si="23"/>
        <v>27</v>
      </c>
      <c r="W361" s="36">
        <f t="shared" si="24"/>
        <v>0.05</v>
      </c>
    </row>
    <row r="362" spans="4:23" ht="27" customHeight="1" x14ac:dyDescent="0.25">
      <c r="D362" s="14" t="s">
        <v>1613</v>
      </c>
      <c r="E362" s="14" t="s">
        <v>1614</v>
      </c>
      <c r="F362" s="84" t="s">
        <v>909</v>
      </c>
      <c r="G362" s="15" t="s">
        <v>27</v>
      </c>
      <c r="H362" s="16" t="s">
        <v>1615</v>
      </c>
      <c r="I362" s="17"/>
      <c r="J362" s="17"/>
      <c r="K362" s="17"/>
      <c r="L362" s="17"/>
      <c r="N362" s="31">
        <v>360</v>
      </c>
      <c r="O362" s="32" t="s">
        <v>1616</v>
      </c>
      <c r="P362" s="33" t="s">
        <v>57</v>
      </c>
      <c r="Q362" s="32" t="s">
        <v>40</v>
      </c>
      <c r="R362" s="69">
        <v>44259.861666666664</v>
      </c>
      <c r="S362" s="35">
        <v>44351</v>
      </c>
      <c r="T362" s="32" t="str">
        <f t="shared" si="21"/>
        <v>+82296587***</v>
      </c>
      <c r="U362" s="32" t="str">
        <f t="shared" ca="1" si="22"/>
        <v>came***@jossmail.com</v>
      </c>
      <c r="V362" s="32">
        <f t="shared" si="23"/>
        <v>27</v>
      </c>
      <c r="W362" s="36">
        <f t="shared" si="24"/>
        <v>0.05</v>
      </c>
    </row>
    <row r="363" spans="4:23" ht="27" customHeight="1" x14ac:dyDescent="0.25">
      <c r="D363" s="14" t="s">
        <v>1617</v>
      </c>
      <c r="E363" s="14" t="s">
        <v>1618</v>
      </c>
      <c r="F363" s="84" t="s">
        <v>614</v>
      </c>
      <c r="G363" s="15" t="s">
        <v>68</v>
      </c>
      <c r="H363" s="16" t="s">
        <v>1619</v>
      </c>
      <c r="I363" s="17"/>
      <c r="J363" s="17"/>
      <c r="K363" s="17"/>
      <c r="L363" s="17"/>
      <c r="N363" s="31">
        <v>361</v>
      </c>
      <c r="O363" s="32" t="s">
        <v>1620</v>
      </c>
      <c r="P363" s="33" t="s">
        <v>31</v>
      </c>
      <c r="Q363" s="32" t="s">
        <v>32</v>
      </c>
      <c r="R363" s="69">
        <v>44259.435960648145</v>
      </c>
      <c r="S363" s="35">
        <v>44361</v>
      </c>
      <c r="T363" s="32" t="str">
        <f t="shared" si="21"/>
        <v>+0832 19956***</v>
      </c>
      <c r="U363" s="32" t="str">
        <f t="shared" ca="1" si="22"/>
        <v>shya***@yuhuumail.com</v>
      </c>
      <c r="V363" s="32">
        <f t="shared" si="23"/>
        <v>27</v>
      </c>
      <c r="W363" s="36">
        <f t="shared" si="24"/>
        <v>0.05</v>
      </c>
    </row>
    <row r="364" spans="4:23" ht="27" customHeight="1" x14ac:dyDescent="0.25">
      <c r="D364" s="14" t="s">
        <v>1621</v>
      </c>
      <c r="E364" s="14" t="s">
        <v>688</v>
      </c>
      <c r="F364" s="84" t="s">
        <v>551</v>
      </c>
      <c r="G364" s="15" t="s">
        <v>27</v>
      </c>
      <c r="H364" s="16" t="s">
        <v>1622</v>
      </c>
      <c r="I364" s="17"/>
      <c r="J364" s="17"/>
      <c r="K364" s="17"/>
      <c r="L364" s="17"/>
      <c r="N364" s="31">
        <v>362</v>
      </c>
      <c r="O364" s="32" t="s">
        <v>1623</v>
      </c>
      <c r="P364" s="33" t="s">
        <v>31</v>
      </c>
      <c r="Q364" s="32" t="s">
        <v>40</v>
      </c>
      <c r="R364" s="69">
        <v>44259.887754629628</v>
      </c>
      <c r="S364" s="35">
        <v>44356</v>
      </c>
      <c r="T364" s="32" t="str">
        <f t="shared" si="21"/>
        <v>+85281323***</v>
      </c>
      <c r="U364" s="32" t="str">
        <f t="shared" ca="1" si="22"/>
        <v>raul***@jossmail.com</v>
      </c>
      <c r="V364" s="32">
        <f t="shared" si="23"/>
        <v>27</v>
      </c>
      <c r="W364" s="36">
        <f t="shared" si="24"/>
        <v>0.05</v>
      </c>
    </row>
    <row r="365" spans="4:23" ht="27" customHeight="1" x14ac:dyDescent="0.25">
      <c r="D365" s="14" t="s">
        <v>1624</v>
      </c>
      <c r="E365" s="14" t="s">
        <v>1625</v>
      </c>
      <c r="F365" s="84" t="s">
        <v>1626</v>
      </c>
      <c r="G365" s="15" t="s">
        <v>27</v>
      </c>
      <c r="H365" s="16" t="s">
        <v>1627</v>
      </c>
      <c r="I365" s="17"/>
      <c r="J365" s="17"/>
      <c r="K365" s="17"/>
      <c r="L365" s="17"/>
      <c r="N365" s="31">
        <v>363</v>
      </c>
      <c r="O365" s="32" t="s">
        <v>1628</v>
      </c>
      <c r="P365" s="33" t="s">
        <v>57</v>
      </c>
      <c r="Q365" s="32" t="s">
        <v>32</v>
      </c>
      <c r="R365" s="69">
        <v>44259.895868055559</v>
      </c>
      <c r="S365" s="35">
        <v>44320</v>
      </c>
      <c r="T365" s="32" t="str">
        <f t="shared" si="21"/>
        <v>+81234815***</v>
      </c>
      <c r="U365" s="32" t="str">
        <f t="shared" ca="1" si="22"/>
        <v>kyma***@yuhuumail.com</v>
      </c>
      <c r="V365" s="32">
        <f t="shared" si="23"/>
        <v>27</v>
      </c>
      <c r="W365" s="36">
        <f t="shared" si="24"/>
        <v>0.05</v>
      </c>
    </row>
    <row r="366" spans="4:23" ht="27" customHeight="1" x14ac:dyDescent="0.25">
      <c r="D366" s="14" t="s">
        <v>1629</v>
      </c>
      <c r="E366" s="14" t="s">
        <v>692</v>
      </c>
      <c r="F366" s="84" t="s">
        <v>551</v>
      </c>
      <c r="G366" s="15" t="s">
        <v>27</v>
      </c>
      <c r="H366" s="16" t="s">
        <v>1630</v>
      </c>
      <c r="I366" s="17"/>
      <c r="J366" s="17"/>
      <c r="K366" s="17"/>
      <c r="L366" s="17"/>
      <c r="N366" s="31">
        <v>364</v>
      </c>
      <c r="O366" s="32" t="s">
        <v>1631</v>
      </c>
      <c r="P366" s="33" t="s">
        <v>31</v>
      </c>
      <c r="Q366" s="32" t="s">
        <v>40</v>
      </c>
      <c r="R366" s="69">
        <v>44226.215567129628</v>
      </c>
      <c r="S366" s="35">
        <v>44356</v>
      </c>
      <c r="T366" s="32" t="str">
        <f t="shared" si="21"/>
        <v>+0852 55079***</v>
      </c>
      <c r="U366" s="32" t="str">
        <f t="shared" ca="1" si="22"/>
        <v>mira***@yuhuumail.com</v>
      </c>
      <c r="V366" s="32">
        <f t="shared" si="23"/>
        <v>27</v>
      </c>
      <c r="W366" s="36">
        <f t="shared" si="24"/>
        <v>0.05</v>
      </c>
    </row>
    <row r="367" spans="4:23" ht="27" customHeight="1" x14ac:dyDescent="0.25">
      <c r="D367" s="14" t="s">
        <v>1632</v>
      </c>
      <c r="E367" s="14" t="s">
        <v>1633</v>
      </c>
      <c r="F367" s="84" t="s">
        <v>316</v>
      </c>
      <c r="G367" s="15" t="s">
        <v>27</v>
      </c>
      <c r="H367" s="16" t="s">
        <v>1634</v>
      </c>
      <c r="I367" s="17"/>
      <c r="J367" s="17"/>
      <c r="K367" s="17"/>
      <c r="L367" s="17"/>
      <c r="N367" s="31">
        <v>365</v>
      </c>
      <c r="O367" s="32" t="s">
        <v>951</v>
      </c>
      <c r="P367" s="33" t="s">
        <v>31</v>
      </c>
      <c r="Q367" s="32" t="s">
        <v>32</v>
      </c>
      <c r="R367" s="69">
        <v>44259.910138888888</v>
      </c>
      <c r="S367" s="35">
        <v>44356</v>
      </c>
      <c r="T367" s="32" t="str">
        <f t="shared" si="21"/>
        <v>+0832-38265***</v>
      </c>
      <c r="U367" s="32" t="str">
        <f t="shared" ca="1" si="22"/>
        <v>jane***@jossmail.com</v>
      </c>
      <c r="V367" s="32">
        <f t="shared" si="23"/>
        <v>27</v>
      </c>
      <c r="W367" s="36">
        <f t="shared" si="24"/>
        <v>0.05</v>
      </c>
    </row>
    <row r="368" spans="4:23" ht="27" customHeight="1" x14ac:dyDescent="0.25">
      <c r="D368" s="14" t="s">
        <v>1635</v>
      </c>
      <c r="E368" s="14" t="s">
        <v>1636</v>
      </c>
      <c r="F368" s="84" t="s">
        <v>92</v>
      </c>
      <c r="G368" s="15" t="s">
        <v>27</v>
      </c>
      <c r="H368" s="16" t="s">
        <v>1637</v>
      </c>
      <c r="I368" s="17"/>
      <c r="J368" s="17"/>
      <c r="K368" s="17"/>
      <c r="L368" s="17"/>
      <c r="N368" s="31">
        <v>366</v>
      </c>
      <c r="O368" s="32" t="s">
        <v>1638</v>
      </c>
      <c r="P368" s="33" t="s">
        <v>57</v>
      </c>
      <c r="Q368" s="32" t="s">
        <v>40</v>
      </c>
      <c r="R368" s="69">
        <v>44259.530659722222</v>
      </c>
      <c r="S368" s="35">
        <v>44352</v>
      </c>
      <c r="T368" s="32" t="str">
        <f t="shared" si="21"/>
        <v>+842 32485***</v>
      </c>
      <c r="U368" s="32" t="str">
        <f t="shared" ca="1" si="22"/>
        <v>anas***@yuhuumail.com</v>
      </c>
      <c r="V368" s="32">
        <f t="shared" si="23"/>
        <v>27</v>
      </c>
      <c r="W368" s="36">
        <f t="shared" si="24"/>
        <v>0.05</v>
      </c>
    </row>
    <row r="369" spans="4:23" ht="27" customHeight="1" x14ac:dyDescent="0.25">
      <c r="D369" s="14" t="s">
        <v>1639</v>
      </c>
      <c r="E369" s="14" t="s">
        <v>177</v>
      </c>
      <c r="F369" s="84" t="s">
        <v>1640</v>
      </c>
      <c r="G369" s="15" t="s">
        <v>27</v>
      </c>
      <c r="H369" s="16" t="s">
        <v>1641</v>
      </c>
      <c r="I369" s="17"/>
      <c r="J369" s="17"/>
      <c r="K369" s="17"/>
      <c r="L369" s="17"/>
      <c r="N369" s="31">
        <v>367</v>
      </c>
      <c r="O369" s="32" t="s">
        <v>1642</v>
      </c>
      <c r="P369" s="33" t="s">
        <v>31</v>
      </c>
      <c r="Q369" s="32" t="s">
        <v>32</v>
      </c>
      <c r="R369" s="69">
        <v>43699.392233796294</v>
      </c>
      <c r="S369" s="71">
        <v>44317</v>
      </c>
      <c r="T369" s="32" t="str">
        <f t="shared" si="21"/>
        <v>+0842 20866***</v>
      </c>
      <c r="U369" s="32" t="str">
        <f t="shared" ca="1" si="22"/>
        <v>cass***@jossmail.com</v>
      </c>
      <c r="V369" s="32">
        <f t="shared" si="23"/>
        <v>25</v>
      </c>
      <c r="W369" s="36">
        <f t="shared" si="24"/>
        <v>6.5000000000000002E-2</v>
      </c>
    </row>
    <row r="370" spans="4:23" ht="27" customHeight="1" x14ac:dyDescent="0.25">
      <c r="D370" s="14" t="s">
        <v>1643</v>
      </c>
      <c r="E370" s="14" t="s">
        <v>1644</v>
      </c>
      <c r="F370" s="84" t="s">
        <v>129</v>
      </c>
      <c r="G370" s="15" t="s">
        <v>68</v>
      </c>
      <c r="H370" s="16" t="s">
        <v>1645</v>
      </c>
      <c r="I370" s="17"/>
      <c r="J370" s="17"/>
      <c r="K370" s="17"/>
      <c r="L370" s="17"/>
      <c r="N370" s="31">
        <v>368</v>
      </c>
      <c r="O370" s="32" t="s">
        <v>1646</v>
      </c>
      <c r="P370" s="33" t="s">
        <v>57</v>
      </c>
      <c r="Q370" s="32" t="s">
        <v>40</v>
      </c>
      <c r="R370" s="69">
        <v>44259.911724537036</v>
      </c>
      <c r="S370" s="71">
        <v>44320</v>
      </c>
      <c r="T370" s="32" t="str">
        <f t="shared" si="21"/>
        <v>+82282229***</v>
      </c>
      <c r="U370" s="32" t="str">
        <f t="shared" ca="1" si="22"/>
        <v>trav***@jossmail.com</v>
      </c>
      <c r="V370" s="32">
        <f t="shared" si="23"/>
        <v>27</v>
      </c>
      <c r="W370" s="36">
        <f t="shared" si="24"/>
        <v>0.05</v>
      </c>
    </row>
    <row r="371" spans="4:23" ht="27" customHeight="1" x14ac:dyDescent="0.25">
      <c r="D371" s="14" t="s">
        <v>1647</v>
      </c>
      <c r="E371" s="14" t="s">
        <v>1648</v>
      </c>
      <c r="F371" s="84" t="s">
        <v>834</v>
      </c>
      <c r="G371" s="15" t="s">
        <v>68</v>
      </c>
      <c r="H371" s="16" t="s">
        <v>1649</v>
      </c>
      <c r="I371" s="17"/>
      <c r="J371" s="17"/>
      <c r="K371" s="17"/>
      <c r="L371" s="17"/>
      <c r="N371" s="31">
        <v>369</v>
      </c>
      <c r="O371" s="32" t="s">
        <v>1650</v>
      </c>
      <c r="P371" s="33" t="s">
        <v>31</v>
      </c>
      <c r="Q371" s="32" t="s">
        <v>32</v>
      </c>
      <c r="R371" s="69">
        <v>44259.921724537038</v>
      </c>
      <c r="S371" s="71">
        <v>44351</v>
      </c>
      <c r="T371" s="32" t="str">
        <f t="shared" si="21"/>
        <v>+812 18829***</v>
      </c>
      <c r="U371" s="32" t="str">
        <f t="shared" ca="1" si="22"/>
        <v>cole***@yuhuumail.com</v>
      </c>
      <c r="V371" s="32">
        <f t="shared" si="23"/>
        <v>27</v>
      </c>
      <c r="W371" s="36">
        <f t="shared" si="24"/>
        <v>0.05</v>
      </c>
    </row>
    <row r="372" spans="4:23" ht="27" customHeight="1" x14ac:dyDescent="0.25">
      <c r="D372" s="14" t="s">
        <v>1651</v>
      </c>
      <c r="E372" s="14" t="s">
        <v>1652</v>
      </c>
      <c r="F372" s="84" t="s">
        <v>194</v>
      </c>
      <c r="G372" s="15" t="s">
        <v>27</v>
      </c>
      <c r="H372" s="16" t="s">
        <v>1653</v>
      </c>
      <c r="I372" s="17"/>
      <c r="J372" s="17"/>
      <c r="K372" s="17"/>
      <c r="L372" s="17"/>
      <c r="N372" s="31">
        <v>370</v>
      </c>
      <c r="O372" s="32" t="s">
        <v>1654</v>
      </c>
      <c r="P372" s="33" t="s">
        <v>57</v>
      </c>
      <c r="Q372" s="32" t="s">
        <v>40</v>
      </c>
      <c r="R372" s="69">
        <v>44259.927511574075</v>
      </c>
      <c r="S372" s="71">
        <v>44359</v>
      </c>
      <c r="T372" s="32" t="str">
        <f t="shared" si="21"/>
        <v>+082250297***</v>
      </c>
      <c r="U372" s="32" t="str">
        <f t="shared" ca="1" si="22"/>
        <v>sari***@yuhuumail.com</v>
      </c>
      <c r="V372" s="32">
        <f t="shared" si="23"/>
        <v>27</v>
      </c>
      <c r="W372" s="36">
        <f t="shared" si="24"/>
        <v>0.05</v>
      </c>
    </row>
    <row r="373" spans="4:23" ht="27" customHeight="1" x14ac:dyDescent="0.25">
      <c r="D373" s="14" t="s">
        <v>1655</v>
      </c>
      <c r="E373" s="14" t="s">
        <v>1656</v>
      </c>
      <c r="F373" s="84" t="s">
        <v>266</v>
      </c>
      <c r="G373" s="15" t="s">
        <v>68</v>
      </c>
      <c r="H373" s="16" t="s">
        <v>1657</v>
      </c>
      <c r="I373" s="17"/>
      <c r="J373" s="17"/>
      <c r="K373" s="17"/>
      <c r="L373" s="17"/>
      <c r="N373" s="31">
        <v>371</v>
      </c>
      <c r="O373" s="32" t="s">
        <v>1658</v>
      </c>
      <c r="P373" s="33" t="s">
        <v>31</v>
      </c>
      <c r="Q373" s="32" t="s">
        <v>32</v>
      </c>
      <c r="R373" s="69">
        <v>44259.937013888892</v>
      </c>
      <c r="S373" s="71">
        <v>44317</v>
      </c>
      <c r="T373" s="32" t="str">
        <f t="shared" si="21"/>
        <v>+0842 42058***</v>
      </c>
      <c r="U373" s="32" t="str">
        <f t="shared" ca="1" si="22"/>
        <v>tami***@jossmail.com</v>
      </c>
      <c r="V373" s="32">
        <f t="shared" si="23"/>
        <v>27</v>
      </c>
      <c r="W373" s="36">
        <f t="shared" si="24"/>
        <v>0.05</v>
      </c>
    </row>
    <row r="374" spans="4:23" ht="27" customHeight="1" x14ac:dyDescent="0.25">
      <c r="D374" s="14" t="s">
        <v>1659</v>
      </c>
      <c r="E374" s="14" t="s">
        <v>1660</v>
      </c>
      <c r="F374" s="84" t="s">
        <v>1661</v>
      </c>
      <c r="G374" s="15" t="s">
        <v>27</v>
      </c>
      <c r="H374" s="16" t="s">
        <v>1662</v>
      </c>
      <c r="I374" s="17"/>
      <c r="J374" s="17"/>
      <c r="K374" s="17"/>
      <c r="L374" s="17"/>
      <c r="N374" s="31">
        <v>372</v>
      </c>
      <c r="O374" s="32" t="s">
        <v>1663</v>
      </c>
      <c r="P374" s="33" t="s">
        <v>42</v>
      </c>
      <c r="Q374" s="32" t="s">
        <v>40</v>
      </c>
      <c r="R374" s="69">
        <v>44259.93787037037</v>
      </c>
      <c r="S374" s="71">
        <v>44320</v>
      </c>
      <c r="T374" s="32" t="str">
        <f t="shared" si="21"/>
        <v>+081255942***</v>
      </c>
      <c r="U374" s="32" t="str">
        <f t="shared" ca="1" si="22"/>
        <v>meli***@jossmail.com</v>
      </c>
      <c r="V374" s="32">
        <f t="shared" si="23"/>
        <v>27</v>
      </c>
      <c r="W374" s="36">
        <f t="shared" si="24"/>
        <v>0.05</v>
      </c>
    </row>
    <row r="375" spans="4:23" ht="27" customHeight="1" x14ac:dyDescent="0.25">
      <c r="D375" s="14" t="s">
        <v>1664</v>
      </c>
      <c r="E375" s="14" t="s">
        <v>1665</v>
      </c>
      <c r="F375" s="84" t="s">
        <v>233</v>
      </c>
      <c r="G375" s="15" t="s">
        <v>27</v>
      </c>
      <c r="H375" s="16" t="s">
        <v>1666</v>
      </c>
      <c r="I375" s="17"/>
      <c r="J375" s="17"/>
      <c r="K375" s="17"/>
      <c r="L375" s="17"/>
      <c r="N375" s="31">
        <v>373</v>
      </c>
      <c r="O375" s="32" t="s">
        <v>1667</v>
      </c>
      <c r="P375" s="33" t="s">
        <v>42</v>
      </c>
      <c r="Q375" s="32" t="s">
        <v>32</v>
      </c>
      <c r="R375" s="69">
        <v>44259.953761574077</v>
      </c>
      <c r="S375" s="71">
        <v>44362</v>
      </c>
      <c r="T375" s="32" t="str">
        <f t="shared" si="21"/>
        <v>+6284253787***</v>
      </c>
      <c r="U375" s="32" t="str">
        <f t="shared" ca="1" si="22"/>
        <v>wils***@jossmail.com</v>
      </c>
      <c r="V375" s="32">
        <f t="shared" si="23"/>
        <v>27</v>
      </c>
      <c r="W375" s="36">
        <f t="shared" si="24"/>
        <v>0.05</v>
      </c>
    </row>
    <row r="376" spans="4:23" ht="27" customHeight="1" x14ac:dyDescent="0.25">
      <c r="D376" s="14" t="s">
        <v>1668</v>
      </c>
      <c r="E376" s="14" t="s">
        <v>1669</v>
      </c>
      <c r="F376" s="84" t="s">
        <v>538</v>
      </c>
      <c r="G376" s="15" t="s">
        <v>68</v>
      </c>
      <c r="H376" s="16" t="s">
        <v>1670</v>
      </c>
      <c r="I376" s="17"/>
      <c r="J376" s="17"/>
      <c r="K376" s="17"/>
      <c r="L376" s="17"/>
      <c r="N376" s="31">
        <v>374</v>
      </c>
      <c r="O376" s="32" t="s">
        <v>1671</v>
      </c>
      <c r="P376" s="33" t="s">
        <v>31</v>
      </c>
      <c r="Q376" s="32" t="s">
        <v>40</v>
      </c>
      <c r="R376" s="69">
        <v>44259.908680555556</v>
      </c>
      <c r="S376" s="71">
        <v>44352</v>
      </c>
      <c r="T376" s="32" t="str">
        <f t="shared" si="21"/>
        <v>+0832 29913***</v>
      </c>
      <c r="U376" s="32" t="str">
        <f t="shared" ca="1" si="22"/>
        <v>xime***@yuhuumail.com</v>
      </c>
      <c r="V376" s="32">
        <f t="shared" si="23"/>
        <v>27</v>
      </c>
      <c r="W376" s="36">
        <f t="shared" si="24"/>
        <v>0.05</v>
      </c>
    </row>
    <row r="377" spans="4:23" ht="27" customHeight="1" x14ac:dyDescent="0.25">
      <c r="D377" s="14" t="s">
        <v>1672</v>
      </c>
      <c r="E377" s="14" t="s">
        <v>1673</v>
      </c>
      <c r="F377" s="84" t="s">
        <v>266</v>
      </c>
      <c r="G377" s="15" t="s">
        <v>27</v>
      </c>
      <c r="H377" s="16" t="s">
        <v>1674</v>
      </c>
      <c r="I377" s="17"/>
      <c r="J377" s="17"/>
      <c r="K377" s="17"/>
      <c r="L377" s="17"/>
      <c r="N377" s="31">
        <v>375</v>
      </c>
      <c r="O377" s="32" t="s">
        <v>1675</v>
      </c>
      <c r="P377" s="33" t="s">
        <v>57</v>
      </c>
      <c r="Q377" s="32" t="s">
        <v>32</v>
      </c>
      <c r="R377" s="69">
        <v>44259.960057870368</v>
      </c>
      <c r="S377" s="71">
        <v>44318</v>
      </c>
      <c r="T377" s="32" t="str">
        <f t="shared" si="21"/>
        <v>+84233658***</v>
      </c>
      <c r="U377" s="32" t="str">
        <f t="shared" ca="1" si="22"/>
        <v>kelt***@jossmail.com</v>
      </c>
      <c r="V377" s="32">
        <f t="shared" si="23"/>
        <v>27</v>
      </c>
      <c r="W377" s="36">
        <f t="shared" si="24"/>
        <v>0.05</v>
      </c>
    </row>
    <row r="378" spans="4:23" ht="27" customHeight="1" x14ac:dyDescent="0.25">
      <c r="D378" s="14" t="s">
        <v>1676</v>
      </c>
      <c r="E378" s="14" t="s">
        <v>1491</v>
      </c>
      <c r="F378" s="84" t="s">
        <v>499</v>
      </c>
      <c r="G378" s="15" t="s">
        <v>27</v>
      </c>
      <c r="H378" s="16" t="s">
        <v>1677</v>
      </c>
      <c r="I378" s="17"/>
      <c r="J378" s="17"/>
      <c r="K378" s="17"/>
      <c r="L378" s="17"/>
      <c r="N378" s="31">
        <v>376</v>
      </c>
      <c r="O378" s="32" t="s">
        <v>1678</v>
      </c>
      <c r="P378" s="33" t="s">
        <v>31</v>
      </c>
      <c r="Q378" s="32" t="s">
        <v>40</v>
      </c>
      <c r="R378" s="69">
        <v>44259.962708333333</v>
      </c>
      <c r="S378" s="71">
        <v>44320</v>
      </c>
      <c r="T378" s="32" t="str">
        <f t="shared" si="21"/>
        <v>+082293610***</v>
      </c>
      <c r="U378" s="32" t="str">
        <f t="shared" ca="1" si="22"/>
        <v>jaxo***@jossmail.com</v>
      </c>
      <c r="V378" s="32">
        <f t="shared" si="23"/>
        <v>27</v>
      </c>
      <c r="W378" s="36">
        <f t="shared" si="24"/>
        <v>0.05</v>
      </c>
    </row>
    <row r="379" spans="4:23" ht="27" customHeight="1" x14ac:dyDescent="0.25">
      <c r="D379" s="14" t="s">
        <v>1679</v>
      </c>
      <c r="E379" s="14" t="s">
        <v>1680</v>
      </c>
      <c r="F379" s="84" t="s">
        <v>290</v>
      </c>
      <c r="G379" s="15" t="s">
        <v>27</v>
      </c>
      <c r="H379" s="16" t="s">
        <v>1681</v>
      </c>
      <c r="I379" s="17"/>
      <c r="J379" s="17"/>
      <c r="K379" s="17"/>
      <c r="L379" s="17"/>
      <c r="N379" s="31">
        <v>377</v>
      </c>
      <c r="O379" s="32" t="s">
        <v>1682</v>
      </c>
      <c r="P379" s="33" t="s">
        <v>57</v>
      </c>
      <c r="Q379" s="32" t="s">
        <v>32</v>
      </c>
      <c r="R379" s="69">
        <v>44259.96947916667</v>
      </c>
      <c r="S379" s="71">
        <v>44354</v>
      </c>
      <c r="T379" s="32" t="str">
        <f t="shared" si="21"/>
        <v>+83261677***</v>
      </c>
      <c r="U379" s="32" t="str">
        <f t="shared" ca="1" si="22"/>
        <v>rayn***@jossmail.com</v>
      </c>
      <c r="V379" s="32">
        <f t="shared" si="23"/>
        <v>27</v>
      </c>
      <c r="W379" s="36">
        <f t="shared" si="24"/>
        <v>0.05</v>
      </c>
    </row>
    <row r="380" spans="4:23" ht="27" customHeight="1" x14ac:dyDescent="0.25">
      <c r="D380" s="14" t="s">
        <v>1683</v>
      </c>
      <c r="E380" s="14" t="s">
        <v>1684</v>
      </c>
      <c r="F380" s="84" t="s">
        <v>114</v>
      </c>
      <c r="G380" s="15" t="s">
        <v>27</v>
      </c>
      <c r="H380" s="16" t="s">
        <v>1685</v>
      </c>
      <c r="I380" s="17"/>
      <c r="J380" s="17"/>
      <c r="K380" s="17"/>
      <c r="L380" s="17"/>
      <c r="N380" s="31">
        <v>378</v>
      </c>
      <c r="O380" s="32" t="s">
        <v>1686</v>
      </c>
      <c r="P380" s="33" t="s">
        <v>57</v>
      </c>
      <c r="Q380" s="32" t="s">
        <v>40</v>
      </c>
      <c r="R380" s="69">
        <v>44010.122395833336</v>
      </c>
      <c r="S380" s="71">
        <v>44353</v>
      </c>
      <c r="T380" s="32" t="str">
        <f t="shared" si="21"/>
        <v>+832 48077***</v>
      </c>
      <c r="U380" s="32" t="str">
        <f t="shared" ca="1" si="22"/>
        <v>reub***@yuhuumail.com</v>
      </c>
      <c r="V380" s="32">
        <f t="shared" si="23"/>
        <v>26</v>
      </c>
      <c r="W380" s="36">
        <f t="shared" si="24"/>
        <v>0.05</v>
      </c>
    </row>
    <row r="381" spans="4:23" ht="27" customHeight="1" x14ac:dyDescent="0.25">
      <c r="D381" s="14" t="s">
        <v>1687</v>
      </c>
      <c r="E381" s="14" t="s">
        <v>1688</v>
      </c>
      <c r="F381" s="84" t="s">
        <v>538</v>
      </c>
      <c r="G381" s="15" t="s">
        <v>68</v>
      </c>
      <c r="H381" s="16" t="s">
        <v>1689</v>
      </c>
      <c r="I381" s="17"/>
      <c r="J381" s="17"/>
      <c r="K381" s="17"/>
      <c r="L381" s="17"/>
      <c r="N381" s="31">
        <v>379</v>
      </c>
      <c r="O381" s="32" t="s">
        <v>1690</v>
      </c>
      <c r="P381" s="33" t="s">
        <v>42</v>
      </c>
      <c r="Q381" s="32" t="s">
        <v>32</v>
      </c>
      <c r="R381" s="69">
        <v>43946.536192129628</v>
      </c>
      <c r="S381" s="71">
        <v>44320</v>
      </c>
      <c r="T381" s="32" t="str">
        <f t="shared" si="21"/>
        <v>+0822-76379***</v>
      </c>
      <c r="U381" s="32" t="str">
        <f t="shared" ca="1" si="22"/>
        <v>east***@jossmail.com</v>
      </c>
      <c r="V381" s="32">
        <f t="shared" si="23"/>
        <v>26</v>
      </c>
      <c r="W381" s="36">
        <f t="shared" si="24"/>
        <v>6.5000000000000002E-2</v>
      </c>
    </row>
    <row r="382" spans="4:23" ht="27" customHeight="1" x14ac:dyDescent="0.25">
      <c r="D382" s="14" t="s">
        <v>1691</v>
      </c>
      <c r="E382" s="14" t="s">
        <v>1692</v>
      </c>
      <c r="F382" s="84" t="s">
        <v>149</v>
      </c>
      <c r="G382" s="15" t="s">
        <v>68</v>
      </c>
      <c r="H382" s="16" t="s">
        <v>1693</v>
      </c>
      <c r="I382" s="17"/>
      <c r="J382" s="17"/>
      <c r="K382" s="17"/>
      <c r="L382" s="17"/>
      <c r="N382" s="31">
        <v>380</v>
      </c>
      <c r="O382" s="32" t="s">
        <v>1694</v>
      </c>
      <c r="P382" s="33" t="s">
        <v>57</v>
      </c>
      <c r="Q382" s="32" t="s">
        <v>40</v>
      </c>
      <c r="R382" s="69">
        <v>44259.973854166667</v>
      </c>
      <c r="S382" s="71">
        <v>44354</v>
      </c>
      <c r="T382" s="32" t="str">
        <f t="shared" si="21"/>
        <v>+0812-80472***</v>
      </c>
      <c r="U382" s="32" t="str">
        <f t="shared" ca="1" si="22"/>
        <v>ande***@jossmail.com</v>
      </c>
      <c r="V382" s="32">
        <f t="shared" si="23"/>
        <v>27</v>
      </c>
      <c r="W382" s="36">
        <f t="shared" si="24"/>
        <v>0.05</v>
      </c>
    </row>
    <row r="383" spans="4:23" ht="27" customHeight="1" x14ac:dyDescent="0.25">
      <c r="D383" s="14" t="s">
        <v>1695</v>
      </c>
      <c r="E383" s="14" t="s">
        <v>1696</v>
      </c>
      <c r="F383" s="84" t="s">
        <v>175</v>
      </c>
      <c r="G383" s="15" t="s">
        <v>68</v>
      </c>
      <c r="H383" s="16" t="s">
        <v>1697</v>
      </c>
      <c r="I383" s="17"/>
      <c r="J383" s="17"/>
      <c r="K383" s="17"/>
      <c r="L383" s="17"/>
      <c r="N383" s="31">
        <v>381</v>
      </c>
      <c r="O383" s="32" t="s">
        <v>1698</v>
      </c>
      <c r="P383" s="33" t="s">
        <v>57</v>
      </c>
      <c r="Q383" s="32" t="s">
        <v>32</v>
      </c>
      <c r="R383" s="69">
        <v>44259.98337962963</v>
      </c>
      <c r="S383" s="71">
        <v>44359</v>
      </c>
      <c r="T383" s="32" t="str">
        <f t="shared" si="21"/>
        <v>+0812 23625***</v>
      </c>
      <c r="U383" s="32" t="str">
        <f t="shared" ca="1" si="22"/>
        <v>sidn***@jossmail.com</v>
      </c>
      <c r="V383" s="32">
        <f t="shared" si="23"/>
        <v>27</v>
      </c>
      <c r="W383" s="36">
        <f t="shared" si="24"/>
        <v>0.05</v>
      </c>
    </row>
    <row r="384" spans="4:23" ht="27" customHeight="1" x14ac:dyDescent="0.25">
      <c r="D384" s="14" t="s">
        <v>1699</v>
      </c>
      <c r="E384" s="14" t="s">
        <v>1700</v>
      </c>
      <c r="F384" s="84" t="s">
        <v>566</v>
      </c>
      <c r="G384" s="15" t="s">
        <v>27</v>
      </c>
      <c r="H384" s="16" t="s">
        <v>1701</v>
      </c>
      <c r="I384" s="17"/>
      <c r="J384" s="17"/>
      <c r="K384" s="17"/>
      <c r="L384" s="17"/>
      <c r="N384" s="31">
        <v>382</v>
      </c>
      <c r="O384" s="32" t="s">
        <v>1702</v>
      </c>
      <c r="P384" s="33" t="s">
        <v>57</v>
      </c>
      <c r="Q384" s="32" t="s">
        <v>40</v>
      </c>
      <c r="R384" s="69">
        <v>44259.982129629629</v>
      </c>
      <c r="S384" s="71">
        <v>44352</v>
      </c>
      <c r="T384" s="32" t="str">
        <f t="shared" si="21"/>
        <v>+0842-19439***</v>
      </c>
      <c r="U384" s="32" t="str">
        <f t="shared" ca="1" si="22"/>
        <v>davi***@yuhuumail.com</v>
      </c>
      <c r="V384" s="32">
        <f t="shared" si="23"/>
        <v>27</v>
      </c>
      <c r="W384" s="36">
        <f t="shared" si="24"/>
        <v>0.05</v>
      </c>
    </row>
    <row r="385" spans="4:23" ht="27" customHeight="1" x14ac:dyDescent="0.25">
      <c r="D385" s="14" t="s">
        <v>1703</v>
      </c>
      <c r="E385" s="14" t="s">
        <v>1704</v>
      </c>
      <c r="F385" s="84" t="s">
        <v>233</v>
      </c>
      <c r="G385" s="15" t="s">
        <v>27</v>
      </c>
      <c r="H385" s="16" t="s">
        <v>1705</v>
      </c>
      <c r="I385" s="17"/>
      <c r="J385" s="17"/>
      <c r="K385" s="17"/>
      <c r="L385" s="17"/>
      <c r="N385" s="31">
        <v>383</v>
      </c>
      <c r="O385" s="32" t="s">
        <v>1706</v>
      </c>
      <c r="P385" s="33" t="s">
        <v>42</v>
      </c>
      <c r="Q385" s="32" t="s">
        <v>32</v>
      </c>
      <c r="R385" s="69">
        <v>42969.286689814813</v>
      </c>
      <c r="S385" s="71">
        <v>44320</v>
      </c>
      <c r="T385" s="32" t="str">
        <f t="shared" si="21"/>
        <v>+0842 68713***</v>
      </c>
      <c r="U385" s="32" t="str">
        <f t="shared" ca="1" si="22"/>
        <v>kelt***@yuhuumail.com</v>
      </c>
      <c r="V385" s="32">
        <f t="shared" si="23"/>
        <v>23</v>
      </c>
      <c r="W385" s="36">
        <f t="shared" si="24"/>
        <v>7.5000000000000011E-2</v>
      </c>
    </row>
    <row r="386" spans="4:23" ht="27" customHeight="1" x14ac:dyDescent="0.25">
      <c r="D386" s="14" t="s">
        <v>1707</v>
      </c>
      <c r="E386" s="14" t="s">
        <v>1081</v>
      </c>
      <c r="F386" s="84" t="s">
        <v>764</v>
      </c>
      <c r="G386" s="15" t="s">
        <v>68</v>
      </c>
      <c r="H386" s="16" t="s">
        <v>1708</v>
      </c>
      <c r="I386" s="17"/>
      <c r="J386" s="17"/>
      <c r="K386" s="17"/>
      <c r="L386" s="17"/>
      <c r="N386" s="31">
        <v>384</v>
      </c>
      <c r="O386" s="32" t="s">
        <v>1709</v>
      </c>
      <c r="P386" s="33" t="s">
        <v>31</v>
      </c>
      <c r="Q386" s="32" t="s">
        <v>40</v>
      </c>
      <c r="R386" s="69">
        <v>44259.891064814816</v>
      </c>
      <c r="S386" s="71">
        <v>44352</v>
      </c>
      <c r="T386" s="32" t="str">
        <f t="shared" si="21"/>
        <v>+6281272219***</v>
      </c>
      <c r="U386" s="32" t="str">
        <f t="shared" ca="1" si="22"/>
        <v>conn***@jossmail.com</v>
      </c>
      <c r="V386" s="32">
        <f t="shared" si="23"/>
        <v>27</v>
      </c>
      <c r="W386" s="36">
        <f t="shared" si="24"/>
        <v>0.05</v>
      </c>
    </row>
    <row r="387" spans="4:23" ht="27" customHeight="1" x14ac:dyDescent="0.25">
      <c r="D387" s="14" t="s">
        <v>1710</v>
      </c>
      <c r="E387" s="14" t="s">
        <v>1711</v>
      </c>
      <c r="F387" s="84" t="s">
        <v>444</v>
      </c>
      <c r="G387" s="15" t="s">
        <v>68</v>
      </c>
      <c r="H387" s="16" t="s">
        <v>1712</v>
      </c>
      <c r="I387" s="17"/>
      <c r="J387" s="17"/>
      <c r="K387" s="17"/>
      <c r="L387" s="17"/>
      <c r="N387" s="31">
        <v>385</v>
      </c>
      <c r="O387" s="32" t="s">
        <v>1713</v>
      </c>
      <c r="P387" s="33" t="s">
        <v>42</v>
      </c>
      <c r="Q387" s="32" t="s">
        <v>32</v>
      </c>
      <c r="R387" s="69">
        <v>44260.01871527778</v>
      </c>
      <c r="S387" s="71">
        <v>44320</v>
      </c>
      <c r="T387" s="32" t="str">
        <f t="shared" si="21"/>
        <v>+82212548***</v>
      </c>
      <c r="U387" s="32" t="str">
        <f t="shared" ca="1" si="22"/>
        <v>shau***@yuhuumail.com</v>
      </c>
      <c r="V387" s="32">
        <f t="shared" si="23"/>
        <v>27</v>
      </c>
      <c r="W387" s="36">
        <f t="shared" si="24"/>
        <v>0.05</v>
      </c>
    </row>
    <row r="388" spans="4:23" ht="27" customHeight="1" x14ac:dyDescent="0.25">
      <c r="D388" s="14" t="s">
        <v>1714</v>
      </c>
      <c r="E388" s="14" t="s">
        <v>1715</v>
      </c>
      <c r="F388" s="84" t="s">
        <v>1716</v>
      </c>
      <c r="G388" s="15" t="s">
        <v>27</v>
      </c>
      <c r="H388" s="16" t="s">
        <v>1717</v>
      </c>
      <c r="I388" s="17"/>
      <c r="J388" s="17"/>
      <c r="K388" s="17"/>
      <c r="L388" s="17"/>
      <c r="N388" s="31">
        <v>386</v>
      </c>
      <c r="O388" s="32" t="s">
        <v>1718</v>
      </c>
      <c r="P388" s="33" t="s">
        <v>57</v>
      </c>
      <c r="Q388" s="32" t="s">
        <v>40</v>
      </c>
      <c r="R388" s="69">
        <v>44019.044282407405</v>
      </c>
      <c r="S388" s="71">
        <v>44320</v>
      </c>
      <c r="T388" s="32" t="str">
        <f t="shared" si="21"/>
        <v>+6282253920***</v>
      </c>
      <c r="U388" s="32" t="str">
        <f t="shared" ca="1" si="22"/>
        <v>trey***@jossmail.com</v>
      </c>
      <c r="V388" s="32">
        <f t="shared" si="23"/>
        <v>26</v>
      </c>
      <c r="W388" s="36">
        <f t="shared" si="24"/>
        <v>0.05</v>
      </c>
    </row>
    <row r="389" spans="4:23" ht="27" customHeight="1" x14ac:dyDescent="0.25">
      <c r="D389" s="14" t="s">
        <v>1719</v>
      </c>
      <c r="E389" s="14" t="s">
        <v>1720</v>
      </c>
      <c r="F389" s="84" t="s">
        <v>566</v>
      </c>
      <c r="G389" s="15" t="s">
        <v>27</v>
      </c>
      <c r="H389" s="16" t="s">
        <v>1721</v>
      </c>
      <c r="I389" s="17"/>
      <c r="J389" s="17"/>
      <c r="K389" s="17"/>
      <c r="L389" s="17"/>
      <c r="N389" s="31">
        <v>387</v>
      </c>
      <c r="O389" s="32" t="s">
        <v>1722</v>
      </c>
      <c r="P389" s="33" t="s">
        <v>57</v>
      </c>
      <c r="Q389" s="32" t="s">
        <v>32</v>
      </c>
      <c r="R389" s="69">
        <v>44259.543865740743</v>
      </c>
      <c r="S389" s="35">
        <v>44320</v>
      </c>
      <c r="T389" s="32" t="str">
        <f t="shared" ref="T389:T452" si="25">"+"&amp;_xlfn.XLOOKUP($O389, $E$2:$E$3002, $H$2:$H$3002, "Not Found")</f>
        <v>+084264973***</v>
      </c>
      <c r="U389" s="32" t="str">
        <f t="shared" ref="U389:U452" ca="1" si="26" xml:space="preserve"> LOWER(LEFT(_xlfn.XLOOKUP($O389, $E$2:$E$3002, $D$2:$D$3002), 4))
  &amp; "***@"
  &amp; IF(RAND()&gt;0.5, "jossmail.com", "yuhuumail.com")</f>
        <v>ruby***@jossmail.com</v>
      </c>
      <c r="V389" s="32">
        <f t="shared" ref="V389:V452" si="27">DATEDIF(_xlfn.XLOOKUP($O389, $E$2:$E$3002, $F$2:$F$3002), $R389, "Y")</f>
        <v>27</v>
      </c>
      <c r="W389" s="36">
        <f t="shared" ref="W389:W452" si="28">IF(DATEDIF($R389, $S389, "Y") &gt;= 3, 0.025,
   IF(DATEDIF($R389, $S389, "Y") &gt;= 1, 0.015, 0)) +
 IF($V389 &gt;= 50, 0.04,
   IF($V389 &gt;= 40, 0.03,
     IF($V389 &gt;= 30, 0.02,
       IF($V389 &gt;= 20, 0.05, 0))))</f>
        <v>0.05</v>
      </c>
    </row>
    <row r="390" spans="4:23" ht="27" customHeight="1" x14ac:dyDescent="0.25">
      <c r="D390" s="14" t="s">
        <v>1723</v>
      </c>
      <c r="E390" s="14" t="s">
        <v>1724</v>
      </c>
      <c r="F390" s="84" t="s">
        <v>61</v>
      </c>
      <c r="G390" s="15" t="s">
        <v>27</v>
      </c>
      <c r="H390" s="16" t="s">
        <v>1725</v>
      </c>
      <c r="I390" s="17"/>
      <c r="J390" s="17"/>
      <c r="K390" s="17"/>
      <c r="L390" s="17"/>
      <c r="N390" s="31">
        <v>388</v>
      </c>
      <c r="O390" s="32" t="s">
        <v>1726</v>
      </c>
      <c r="P390" s="33" t="s">
        <v>57</v>
      </c>
      <c r="Q390" s="32" t="s">
        <v>40</v>
      </c>
      <c r="R390" s="69">
        <v>44260.069594907407</v>
      </c>
      <c r="S390" s="35">
        <v>44354</v>
      </c>
      <c r="T390" s="32" t="str">
        <f t="shared" si="25"/>
        <v>+6285225424***</v>
      </c>
      <c r="U390" s="32" t="str">
        <f t="shared" ca="1" si="26"/>
        <v>fran***@jossmail.com</v>
      </c>
      <c r="V390" s="32">
        <f t="shared" si="27"/>
        <v>27</v>
      </c>
      <c r="W390" s="36">
        <f t="shared" si="28"/>
        <v>0.05</v>
      </c>
    </row>
    <row r="391" spans="4:23" ht="27" customHeight="1" x14ac:dyDescent="0.25">
      <c r="D391" s="14" t="s">
        <v>1727</v>
      </c>
      <c r="E391" s="14" t="s">
        <v>1728</v>
      </c>
      <c r="F391" s="84" t="s">
        <v>1729</v>
      </c>
      <c r="G391" s="15" t="s">
        <v>27</v>
      </c>
      <c r="H391" s="16" t="s">
        <v>1730</v>
      </c>
      <c r="I391" s="17"/>
      <c r="J391" s="17"/>
      <c r="K391" s="17"/>
      <c r="L391" s="17"/>
      <c r="N391" s="31">
        <v>389</v>
      </c>
      <c r="O391" s="32" t="s">
        <v>1731</v>
      </c>
      <c r="P391" s="33" t="s">
        <v>31</v>
      </c>
      <c r="Q391" s="32" t="s">
        <v>32</v>
      </c>
      <c r="R391" s="69">
        <v>44260.096516203703</v>
      </c>
      <c r="S391" s="35">
        <v>44320</v>
      </c>
      <c r="T391" s="32" t="str">
        <f t="shared" si="25"/>
        <v>+852 35760***</v>
      </c>
      <c r="U391" s="32" t="str">
        <f t="shared" ca="1" si="26"/>
        <v>gary***@yuhuumail.com</v>
      </c>
      <c r="V391" s="32">
        <f t="shared" si="27"/>
        <v>27</v>
      </c>
      <c r="W391" s="36">
        <f t="shared" si="28"/>
        <v>0.05</v>
      </c>
    </row>
    <row r="392" spans="4:23" ht="27" customHeight="1" x14ac:dyDescent="0.25">
      <c r="D392" s="14" t="s">
        <v>1732</v>
      </c>
      <c r="E392" s="14" t="s">
        <v>1733</v>
      </c>
      <c r="F392" s="84" t="s">
        <v>266</v>
      </c>
      <c r="G392" s="15" t="s">
        <v>27</v>
      </c>
      <c r="H392" s="16" t="s">
        <v>1734</v>
      </c>
      <c r="I392" s="17"/>
      <c r="J392" s="17"/>
      <c r="K392" s="17"/>
      <c r="L392" s="17"/>
      <c r="N392" s="31">
        <v>390</v>
      </c>
      <c r="O392" s="32" t="s">
        <v>1735</v>
      </c>
      <c r="P392" s="33" t="s">
        <v>57</v>
      </c>
      <c r="Q392" s="32" t="s">
        <v>40</v>
      </c>
      <c r="R392" s="69">
        <v>44260.106192129628</v>
      </c>
      <c r="S392" s="35">
        <v>44318</v>
      </c>
      <c r="T392" s="32" t="str">
        <f t="shared" si="25"/>
        <v>+81234056***</v>
      </c>
      <c r="U392" s="32" t="str">
        <f t="shared" ca="1" si="26"/>
        <v>elli***@jossmail.com</v>
      </c>
      <c r="V392" s="32">
        <f t="shared" si="27"/>
        <v>27</v>
      </c>
      <c r="W392" s="36">
        <f t="shared" si="28"/>
        <v>0.05</v>
      </c>
    </row>
    <row r="393" spans="4:23" ht="27" customHeight="1" x14ac:dyDescent="0.25">
      <c r="D393" s="14" t="s">
        <v>1736</v>
      </c>
      <c r="E393" s="14" t="s">
        <v>1737</v>
      </c>
      <c r="F393" s="84" t="s">
        <v>280</v>
      </c>
      <c r="G393" s="15" t="s">
        <v>27</v>
      </c>
      <c r="H393" s="16" t="s">
        <v>1738</v>
      </c>
      <c r="I393" s="17"/>
      <c r="J393" s="17"/>
      <c r="K393" s="17"/>
      <c r="L393" s="17"/>
      <c r="N393" s="31">
        <v>391</v>
      </c>
      <c r="O393" s="32" t="s">
        <v>1739</v>
      </c>
      <c r="P393" s="33" t="s">
        <v>31</v>
      </c>
      <c r="Q393" s="32" t="s">
        <v>32</v>
      </c>
      <c r="R393" s="69">
        <v>44260.116261574076</v>
      </c>
      <c r="S393" s="35">
        <v>44352</v>
      </c>
      <c r="T393" s="32" t="str">
        <f t="shared" si="25"/>
        <v>+081260639***</v>
      </c>
      <c r="U393" s="32" t="str">
        <f t="shared" ca="1" si="26"/>
        <v>eliz***@jossmail.com</v>
      </c>
      <c r="V393" s="32">
        <f t="shared" si="27"/>
        <v>27</v>
      </c>
      <c r="W393" s="36">
        <f t="shared" si="28"/>
        <v>0.05</v>
      </c>
    </row>
    <row r="394" spans="4:23" ht="27" customHeight="1" x14ac:dyDescent="0.25">
      <c r="D394" s="14" t="s">
        <v>1740</v>
      </c>
      <c r="E394" s="14" t="s">
        <v>1741</v>
      </c>
      <c r="F394" s="84" t="s">
        <v>92</v>
      </c>
      <c r="G394" s="15" t="s">
        <v>27</v>
      </c>
      <c r="H394" s="16" t="s">
        <v>1742</v>
      </c>
      <c r="I394" s="17"/>
      <c r="J394" s="17"/>
      <c r="K394" s="17"/>
      <c r="L394" s="17"/>
      <c r="N394" s="31">
        <v>392</v>
      </c>
      <c r="O394" s="32" t="s">
        <v>1743</v>
      </c>
      <c r="P394" s="33" t="s">
        <v>31</v>
      </c>
      <c r="Q394" s="32" t="s">
        <v>40</v>
      </c>
      <c r="R394" s="69">
        <v>44260.175879629627</v>
      </c>
      <c r="S394" s="35">
        <v>44359</v>
      </c>
      <c r="T394" s="32" t="str">
        <f t="shared" si="25"/>
        <v>+0812-56693***</v>
      </c>
      <c r="U394" s="32" t="str">
        <f t="shared" ca="1" si="26"/>
        <v>lore***@yuhuumail.com</v>
      </c>
      <c r="V394" s="32">
        <f t="shared" si="27"/>
        <v>27</v>
      </c>
      <c r="W394" s="36">
        <f t="shared" si="28"/>
        <v>0.05</v>
      </c>
    </row>
    <row r="395" spans="4:23" ht="27" customHeight="1" x14ac:dyDescent="0.25">
      <c r="D395" s="14" t="s">
        <v>1744</v>
      </c>
      <c r="E395" s="14" t="s">
        <v>1745</v>
      </c>
      <c r="F395" s="84" t="s">
        <v>407</v>
      </c>
      <c r="G395" s="15" t="s">
        <v>68</v>
      </c>
      <c r="H395" s="16" t="s">
        <v>1746</v>
      </c>
      <c r="I395" s="17"/>
      <c r="J395" s="17"/>
      <c r="K395" s="17"/>
      <c r="L395" s="17"/>
      <c r="N395" s="31">
        <v>393</v>
      </c>
      <c r="O395" s="32" t="s">
        <v>1747</v>
      </c>
      <c r="P395" s="33" t="s">
        <v>57</v>
      </c>
      <c r="Q395" s="32" t="s">
        <v>32</v>
      </c>
      <c r="R395" s="69">
        <v>44260.24486111111</v>
      </c>
      <c r="S395" s="35">
        <v>44359</v>
      </c>
      <c r="T395" s="32" t="str">
        <f t="shared" si="25"/>
        <v>+0832 48369***</v>
      </c>
      <c r="U395" s="32" t="str">
        <f t="shared" ca="1" si="26"/>
        <v>sonn***@jossmail.com</v>
      </c>
      <c r="V395" s="32">
        <f t="shared" si="27"/>
        <v>27</v>
      </c>
      <c r="W395" s="36">
        <f t="shared" si="28"/>
        <v>0.05</v>
      </c>
    </row>
    <row r="396" spans="4:23" ht="27" customHeight="1" x14ac:dyDescent="0.25">
      <c r="D396" s="14" t="s">
        <v>1748</v>
      </c>
      <c r="E396" s="14" t="s">
        <v>1749</v>
      </c>
      <c r="F396" s="84" t="s">
        <v>674</v>
      </c>
      <c r="G396" s="15" t="s">
        <v>27</v>
      </c>
      <c r="H396" s="16" t="s">
        <v>1750</v>
      </c>
      <c r="I396" s="17"/>
      <c r="J396" s="17"/>
      <c r="K396" s="17"/>
      <c r="L396" s="17"/>
      <c r="N396" s="31">
        <v>394</v>
      </c>
      <c r="O396" s="32" t="s">
        <v>1751</v>
      </c>
      <c r="P396" s="33" t="s">
        <v>57</v>
      </c>
      <c r="Q396" s="32" t="s">
        <v>40</v>
      </c>
      <c r="R396" s="69">
        <v>44259.293993055559</v>
      </c>
      <c r="S396" s="35">
        <v>44351</v>
      </c>
      <c r="T396" s="32" t="str">
        <f t="shared" si="25"/>
        <v>+84260557***</v>
      </c>
      <c r="U396" s="32" t="str">
        <f t="shared" ca="1" si="26"/>
        <v>angi***@yuhuumail.com</v>
      </c>
      <c r="V396" s="32">
        <f t="shared" si="27"/>
        <v>27</v>
      </c>
      <c r="W396" s="36">
        <f t="shared" si="28"/>
        <v>0.05</v>
      </c>
    </row>
    <row r="397" spans="4:23" ht="27" customHeight="1" x14ac:dyDescent="0.25">
      <c r="D397" s="14" t="s">
        <v>1752</v>
      </c>
      <c r="E397" s="14" t="s">
        <v>1753</v>
      </c>
      <c r="F397" s="84" t="s">
        <v>114</v>
      </c>
      <c r="G397" s="15" t="s">
        <v>68</v>
      </c>
      <c r="H397" s="16" t="s">
        <v>1754</v>
      </c>
      <c r="I397" s="17"/>
      <c r="J397" s="17"/>
      <c r="K397" s="17"/>
      <c r="L397" s="17"/>
      <c r="N397" s="31">
        <v>395</v>
      </c>
      <c r="O397" s="32" t="s">
        <v>1755</v>
      </c>
      <c r="P397" s="33" t="s">
        <v>42</v>
      </c>
      <c r="Q397" s="32" t="s">
        <v>32</v>
      </c>
      <c r="R397" s="69">
        <v>44260.296539351853</v>
      </c>
      <c r="S397" s="35">
        <v>44352</v>
      </c>
      <c r="T397" s="32" t="str">
        <f t="shared" si="25"/>
        <v>+6285238072***</v>
      </c>
      <c r="U397" s="32" t="str">
        <f t="shared" ca="1" si="26"/>
        <v>beli***@yuhuumail.com</v>
      </c>
      <c r="V397" s="32">
        <f t="shared" si="27"/>
        <v>27</v>
      </c>
      <c r="W397" s="36">
        <f t="shared" si="28"/>
        <v>0.05</v>
      </c>
    </row>
    <row r="398" spans="4:23" ht="27" customHeight="1" x14ac:dyDescent="0.25">
      <c r="D398" s="14" t="s">
        <v>1756</v>
      </c>
      <c r="E398" s="14" t="s">
        <v>1757</v>
      </c>
      <c r="F398" s="84" t="s">
        <v>121</v>
      </c>
      <c r="G398" s="15" t="s">
        <v>27</v>
      </c>
      <c r="H398" s="16" t="s">
        <v>1758</v>
      </c>
      <c r="I398" s="17"/>
      <c r="J398" s="17"/>
      <c r="K398" s="17"/>
      <c r="L398" s="17"/>
      <c r="N398" s="31">
        <v>396</v>
      </c>
      <c r="O398" s="32" t="s">
        <v>1759</v>
      </c>
      <c r="P398" s="33" t="s">
        <v>42</v>
      </c>
      <c r="Q398" s="32" t="s">
        <v>40</v>
      </c>
      <c r="R398" s="69">
        <v>44260.306157407409</v>
      </c>
      <c r="S398" s="35">
        <v>44362</v>
      </c>
      <c r="T398" s="32" t="str">
        <f t="shared" si="25"/>
        <v>+83221665***</v>
      </c>
      <c r="U398" s="32" t="str">
        <f t="shared" ca="1" si="26"/>
        <v>gene***@yuhuumail.com</v>
      </c>
      <c r="V398" s="32">
        <f t="shared" si="27"/>
        <v>27</v>
      </c>
      <c r="W398" s="36">
        <f t="shared" si="28"/>
        <v>0.05</v>
      </c>
    </row>
    <row r="399" spans="4:23" ht="27" customHeight="1" x14ac:dyDescent="0.25">
      <c r="D399" s="14" t="s">
        <v>1760</v>
      </c>
      <c r="E399" s="14" t="s">
        <v>1761</v>
      </c>
      <c r="F399" s="84" t="s">
        <v>211</v>
      </c>
      <c r="G399" s="15" t="s">
        <v>68</v>
      </c>
      <c r="H399" s="16" t="s">
        <v>1762</v>
      </c>
      <c r="I399" s="17"/>
      <c r="J399" s="17"/>
      <c r="K399" s="17"/>
      <c r="L399" s="17"/>
      <c r="N399" s="31">
        <v>397</v>
      </c>
      <c r="O399" s="32" t="s">
        <v>1763</v>
      </c>
      <c r="P399" s="33" t="s">
        <v>31</v>
      </c>
      <c r="Q399" s="32" t="s">
        <v>32</v>
      </c>
      <c r="R399" s="69">
        <v>44260.316793981481</v>
      </c>
      <c r="S399" s="35">
        <v>44352</v>
      </c>
      <c r="T399" s="32" t="str">
        <f t="shared" si="25"/>
        <v>+081232853***</v>
      </c>
      <c r="U399" s="32" t="str">
        <f t="shared" ca="1" si="26"/>
        <v>nata***@yuhuumail.com</v>
      </c>
      <c r="V399" s="32">
        <f t="shared" si="27"/>
        <v>27</v>
      </c>
      <c r="W399" s="36">
        <f t="shared" si="28"/>
        <v>0.05</v>
      </c>
    </row>
    <row r="400" spans="4:23" ht="27" customHeight="1" x14ac:dyDescent="0.25">
      <c r="D400" s="14" t="s">
        <v>1764</v>
      </c>
      <c r="E400" s="14" t="s">
        <v>1765</v>
      </c>
      <c r="F400" s="84" t="s">
        <v>834</v>
      </c>
      <c r="G400" s="15" t="s">
        <v>27</v>
      </c>
      <c r="H400" s="16" t="s">
        <v>1766</v>
      </c>
      <c r="I400" s="17"/>
      <c r="J400" s="17"/>
      <c r="K400" s="17"/>
      <c r="L400" s="17"/>
      <c r="N400" s="31">
        <v>398</v>
      </c>
      <c r="O400" s="32" t="s">
        <v>1767</v>
      </c>
      <c r="P400" s="33" t="s">
        <v>31</v>
      </c>
      <c r="Q400" s="32" t="s">
        <v>40</v>
      </c>
      <c r="R400" s="69">
        <v>44260.324432870373</v>
      </c>
      <c r="S400" s="35">
        <v>44354</v>
      </c>
      <c r="T400" s="32" t="str">
        <f t="shared" si="25"/>
        <v>+0842 38932***</v>
      </c>
      <c r="U400" s="32" t="str">
        <f t="shared" ca="1" si="26"/>
        <v>misa***@jossmail.com</v>
      </c>
      <c r="V400" s="32">
        <f t="shared" si="27"/>
        <v>27</v>
      </c>
      <c r="W400" s="36">
        <f t="shared" si="28"/>
        <v>0.05</v>
      </c>
    </row>
    <row r="401" spans="4:23" ht="27" customHeight="1" x14ac:dyDescent="0.25">
      <c r="D401" s="14" t="s">
        <v>1768</v>
      </c>
      <c r="E401" s="14" t="s">
        <v>1769</v>
      </c>
      <c r="F401" s="84" t="s">
        <v>551</v>
      </c>
      <c r="G401" s="15" t="s">
        <v>68</v>
      </c>
      <c r="H401" s="16" t="s">
        <v>1770</v>
      </c>
      <c r="I401" s="17"/>
      <c r="J401" s="17"/>
      <c r="K401" s="17"/>
      <c r="L401" s="17"/>
      <c r="N401" s="31">
        <v>399</v>
      </c>
      <c r="O401" s="32" t="s">
        <v>929</v>
      </c>
      <c r="P401" s="33" t="s">
        <v>31</v>
      </c>
      <c r="Q401" s="32" t="s">
        <v>32</v>
      </c>
      <c r="R401" s="69">
        <v>43546.376597222225</v>
      </c>
      <c r="S401" s="35">
        <v>44356</v>
      </c>
      <c r="T401" s="32" t="str">
        <f t="shared" si="25"/>
        <v>+85294242***</v>
      </c>
      <c r="U401" s="32" t="str">
        <f t="shared" ca="1" si="26"/>
        <v>chac***@yuhuumail.com</v>
      </c>
      <c r="V401" s="32">
        <f t="shared" si="27"/>
        <v>25</v>
      </c>
      <c r="W401" s="36">
        <f t="shared" si="28"/>
        <v>6.5000000000000002E-2</v>
      </c>
    </row>
    <row r="402" spans="4:23" ht="27" customHeight="1" x14ac:dyDescent="0.25">
      <c r="D402" s="14" t="s">
        <v>1771</v>
      </c>
      <c r="E402" s="14" t="s">
        <v>1772</v>
      </c>
      <c r="F402" s="84" t="s">
        <v>175</v>
      </c>
      <c r="G402" s="15" t="s">
        <v>68</v>
      </c>
      <c r="H402" s="16" t="s">
        <v>1773</v>
      </c>
      <c r="I402" s="17"/>
      <c r="J402" s="17"/>
      <c r="K402" s="17"/>
      <c r="L402" s="17"/>
      <c r="N402" s="31">
        <v>400</v>
      </c>
      <c r="O402" s="32" t="s">
        <v>1774</v>
      </c>
      <c r="P402" s="33" t="s">
        <v>57</v>
      </c>
      <c r="Q402" s="32" t="s">
        <v>40</v>
      </c>
      <c r="R402" s="69">
        <v>44260.335266203707</v>
      </c>
      <c r="S402" s="35">
        <v>44352</v>
      </c>
      <c r="T402" s="32" t="str">
        <f t="shared" si="25"/>
        <v>+0832 87456***</v>
      </c>
      <c r="U402" s="32" t="str">
        <f t="shared" ca="1" si="26"/>
        <v>roha***@yuhuumail.com</v>
      </c>
      <c r="V402" s="32">
        <f t="shared" si="27"/>
        <v>27</v>
      </c>
      <c r="W402" s="36">
        <f t="shared" si="28"/>
        <v>0.05</v>
      </c>
    </row>
    <row r="403" spans="4:23" ht="27" customHeight="1" x14ac:dyDescent="0.25">
      <c r="D403" s="14" t="s">
        <v>1775</v>
      </c>
      <c r="E403" s="14" t="s">
        <v>1776</v>
      </c>
      <c r="F403" s="84" t="s">
        <v>261</v>
      </c>
      <c r="G403" s="15" t="s">
        <v>27</v>
      </c>
      <c r="H403" s="16" t="s">
        <v>1777</v>
      </c>
      <c r="I403" s="17"/>
      <c r="J403" s="17"/>
      <c r="K403" s="17"/>
      <c r="L403" s="17"/>
      <c r="N403" s="31">
        <v>401</v>
      </c>
      <c r="O403" s="32" t="s">
        <v>657</v>
      </c>
      <c r="P403" s="33" t="s">
        <v>1451</v>
      </c>
      <c r="Q403" s="32" t="s">
        <v>32</v>
      </c>
      <c r="R403" s="69">
        <v>44260.336608796293</v>
      </c>
      <c r="S403" s="71">
        <v>44356</v>
      </c>
      <c r="T403" s="32" t="str">
        <f t="shared" si="25"/>
        <v>+0812 45932***</v>
      </c>
      <c r="U403" s="32" t="str">
        <f t="shared" ca="1" si="26"/>
        <v>reyn***@jossmail.com</v>
      </c>
      <c r="V403" s="32">
        <f t="shared" si="27"/>
        <v>27</v>
      </c>
      <c r="W403" s="36">
        <f t="shared" si="28"/>
        <v>0.05</v>
      </c>
    </row>
    <row r="404" spans="4:23" ht="27" customHeight="1" x14ac:dyDescent="0.25">
      <c r="D404" s="14" t="s">
        <v>1778</v>
      </c>
      <c r="E404" s="14" t="s">
        <v>1779</v>
      </c>
      <c r="F404" s="84" t="s">
        <v>100</v>
      </c>
      <c r="G404" s="15" t="s">
        <v>27</v>
      </c>
      <c r="H404" s="16" t="s">
        <v>1780</v>
      </c>
      <c r="I404" s="17"/>
      <c r="J404" s="17"/>
      <c r="K404" s="17"/>
      <c r="L404" s="17"/>
      <c r="N404" s="31">
        <v>402</v>
      </c>
      <c r="O404" s="32" t="s">
        <v>1781</v>
      </c>
      <c r="P404" s="33" t="s">
        <v>1439</v>
      </c>
      <c r="Q404" s="32" t="s">
        <v>40</v>
      </c>
      <c r="R404" s="69">
        <v>44260.355231481481</v>
      </c>
      <c r="S404" s="71">
        <v>44354</v>
      </c>
      <c r="T404" s="32" t="str">
        <f t="shared" si="25"/>
        <v>+6285240783***</v>
      </c>
      <c r="U404" s="32" t="str">
        <f t="shared" ca="1" si="26"/>
        <v>calv***@yuhuumail.com</v>
      </c>
      <c r="V404" s="32">
        <f t="shared" si="27"/>
        <v>27</v>
      </c>
      <c r="W404" s="36">
        <f t="shared" si="28"/>
        <v>0.05</v>
      </c>
    </row>
    <row r="405" spans="4:23" ht="27" customHeight="1" x14ac:dyDescent="0.25">
      <c r="D405" s="14" t="s">
        <v>1782</v>
      </c>
      <c r="E405" s="14" t="s">
        <v>1783</v>
      </c>
      <c r="F405" s="84" t="s">
        <v>280</v>
      </c>
      <c r="G405" s="15" t="s">
        <v>68</v>
      </c>
      <c r="H405" s="16" t="s">
        <v>1784</v>
      </c>
      <c r="I405" s="17"/>
      <c r="J405" s="17"/>
      <c r="K405" s="17"/>
      <c r="L405" s="17"/>
      <c r="N405" s="31">
        <v>403</v>
      </c>
      <c r="O405" s="32" t="s">
        <v>1785</v>
      </c>
      <c r="P405" s="33" t="s">
        <v>1439</v>
      </c>
      <c r="Q405" s="32" t="s">
        <v>32</v>
      </c>
      <c r="R405" s="69">
        <v>44260.358715277776</v>
      </c>
      <c r="S405" s="71">
        <v>44359</v>
      </c>
      <c r="T405" s="32" t="str">
        <f t="shared" si="25"/>
        <v>+0832-23084***</v>
      </c>
      <c r="U405" s="32" t="str">
        <f t="shared" ca="1" si="26"/>
        <v>lili***@jossmail.com</v>
      </c>
      <c r="V405" s="32">
        <f t="shared" si="27"/>
        <v>27</v>
      </c>
      <c r="W405" s="36">
        <f t="shared" si="28"/>
        <v>0.05</v>
      </c>
    </row>
    <row r="406" spans="4:23" ht="27" customHeight="1" x14ac:dyDescent="0.25">
      <c r="D406" s="14" t="s">
        <v>1786</v>
      </c>
      <c r="E406" s="14" t="s">
        <v>1510</v>
      </c>
      <c r="F406" s="84" t="s">
        <v>561</v>
      </c>
      <c r="G406" s="15" t="s">
        <v>68</v>
      </c>
      <c r="H406" s="16" t="s">
        <v>1787</v>
      </c>
      <c r="I406" s="17"/>
      <c r="J406" s="17"/>
      <c r="K406" s="17"/>
      <c r="L406" s="17"/>
      <c r="N406" s="31">
        <v>404</v>
      </c>
      <c r="O406" s="32" t="s">
        <v>1788</v>
      </c>
      <c r="P406" s="33" t="s">
        <v>1439</v>
      </c>
      <c r="Q406" s="32" t="s">
        <v>40</v>
      </c>
      <c r="R406" s="69">
        <v>44260.350763888891</v>
      </c>
      <c r="S406" s="71">
        <v>44318</v>
      </c>
      <c r="T406" s="32" t="str">
        <f t="shared" si="25"/>
        <v>+0832 58007***</v>
      </c>
      <c r="U406" s="32" t="str">
        <f t="shared" ca="1" si="26"/>
        <v>mari***@jossmail.com</v>
      </c>
      <c r="V406" s="32">
        <f t="shared" si="27"/>
        <v>27</v>
      </c>
      <c r="W406" s="36">
        <f t="shared" si="28"/>
        <v>0.05</v>
      </c>
    </row>
    <row r="407" spans="4:23" ht="27" customHeight="1" x14ac:dyDescent="0.25">
      <c r="D407" s="14" t="s">
        <v>1789</v>
      </c>
      <c r="E407" s="14" t="s">
        <v>1790</v>
      </c>
      <c r="F407" s="84" t="s">
        <v>38</v>
      </c>
      <c r="G407" s="15" t="s">
        <v>27</v>
      </c>
      <c r="H407" s="16" t="s">
        <v>1791</v>
      </c>
      <c r="I407" s="17"/>
      <c r="J407" s="17"/>
      <c r="K407" s="17"/>
      <c r="L407" s="17"/>
      <c r="N407" s="31">
        <v>405</v>
      </c>
      <c r="O407" s="32" t="s">
        <v>1792</v>
      </c>
      <c r="P407" s="33" t="s">
        <v>57</v>
      </c>
      <c r="Q407" s="32" t="s">
        <v>32</v>
      </c>
      <c r="R407" s="69">
        <v>44260.368923611109</v>
      </c>
      <c r="S407" s="71">
        <v>44362</v>
      </c>
      <c r="T407" s="32" t="str">
        <f t="shared" si="25"/>
        <v>+6285255648***</v>
      </c>
      <c r="U407" s="32" t="str">
        <f t="shared" ca="1" si="26"/>
        <v>aubr***@jossmail.com</v>
      </c>
      <c r="V407" s="32">
        <f t="shared" si="27"/>
        <v>27</v>
      </c>
      <c r="W407" s="36">
        <f t="shared" si="28"/>
        <v>0.05</v>
      </c>
    </row>
    <row r="408" spans="4:23" ht="27" customHeight="1" x14ac:dyDescent="0.25">
      <c r="D408" s="14" t="s">
        <v>1793</v>
      </c>
      <c r="E408" s="14" t="s">
        <v>1352</v>
      </c>
      <c r="F408" s="84" t="s">
        <v>1093</v>
      </c>
      <c r="G408" s="15" t="s">
        <v>27</v>
      </c>
      <c r="H408" s="16" t="s">
        <v>1794</v>
      </c>
      <c r="I408" s="17"/>
      <c r="J408" s="17"/>
      <c r="K408" s="17"/>
      <c r="L408" s="17"/>
      <c r="N408" s="31">
        <v>406</v>
      </c>
      <c r="O408" s="32" t="s">
        <v>1795</v>
      </c>
      <c r="P408" s="33" t="s">
        <v>57</v>
      </c>
      <c r="Q408" s="32" t="s">
        <v>40</v>
      </c>
      <c r="R408" s="69">
        <v>44260.368819444448</v>
      </c>
      <c r="S408" s="71">
        <v>44356</v>
      </c>
      <c r="T408" s="32" t="str">
        <f t="shared" si="25"/>
        <v>+85241621***</v>
      </c>
      <c r="U408" s="32" t="str">
        <f t="shared" ca="1" si="26"/>
        <v>tali***@jossmail.com</v>
      </c>
      <c r="V408" s="32">
        <f t="shared" si="27"/>
        <v>27</v>
      </c>
      <c r="W408" s="36">
        <f t="shared" si="28"/>
        <v>0.05</v>
      </c>
    </row>
    <row r="409" spans="4:23" ht="27" customHeight="1" x14ac:dyDescent="0.25">
      <c r="D409" s="14" t="s">
        <v>1796</v>
      </c>
      <c r="E409" s="14" t="s">
        <v>1797</v>
      </c>
      <c r="F409" s="84" t="s">
        <v>239</v>
      </c>
      <c r="G409" s="15" t="s">
        <v>68</v>
      </c>
      <c r="H409" s="16" t="s">
        <v>1798</v>
      </c>
      <c r="I409" s="17"/>
      <c r="J409" s="17"/>
      <c r="K409" s="17"/>
      <c r="L409" s="17"/>
      <c r="N409" s="31">
        <v>407</v>
      </c>
      <c r="O409" s="32" t="s">
        <v>1799</v>
      </c>
      <c r="P409" s="33" t="s">
        <v>31</v>
      </c>
      <c r="Q409" s="32" t="s">
        <v>32</v>
      </c>
      <c r="R409" s="69">
        <v>44258.690775462965</v>
      </c>
      <c r="S409" s="71">
        <v>44320</v>
      </c>
      <c r="T409" s="32" t="str">
        <f t="shared" si="25"/>
        <v>+0842-50403***</v>
      </c>
      <c r="U409" s="32" t="str">
        <f t="shared" ca="1" si="26"/>
        <v>dako***@yuhuumail.com</v>
      </c>
      <c r="V409" s="32">
        <f t="shared" si="27"/>
        <v>27</v>
      </c>
      <c r="W409" s="36">
        <f t="shared" si="28"/>
        <v>0.05</v>
      </c>
    </row>
    <row r="410" spans="4:23" ht="27" customHeight="1" x14ac:dyDescent="0.25">
      <c r="D410" s="14" t="s">
        <v>1800</v>
      </c>
      <c r="E410" s="14" t="s">
        <v>1801</v>
      </c>
      <c r="F410" s="84" t="s">
        <v>200</v>
      </c>
      <c r="G410" s="15" t="s">
        <v>68</v>
      </c>
      <c r="H410" s="16" t="s">
        <v>1802</v>
      </c>
      <c r="I410" s="17"/>
      <c r="J410" s="17"/>
      <c r="K410" s="17"/>
      <c r="L410" s="17"/>
      <c r="N410" s="31">
        <v>408</v>
      </c>
      <c r="O410" s="32" t="s">
        <v>1803</v>
      </c>
      <c r="P410" s="33" t="s">
        <v>57</v>
      </c>
      <c r="Q410" s="32" t="s">
        <v>40</v>
      </c>
      <c r="R410" s="69">
        <v>44260.382523148146</v>
      </c>
      <c r="S410" s="71">
        <v>44354</v>
      </c>
      <c r="T410" s="32" t="str">
        <f t="shared" si="25"/>
        <v>+085226773***</v>
      </c>
      <c r="U410" s="32" t="str">
        <f t="shared" ca="1" si="26"/>
        <v>tati***@jossmail.com</v>
      </c>
      <c r="V410" s="32">
        <f t="shared" si="27"/>
        <v>27</v>
      </c>
      <c r="W410" s="36">
        <f t="shared" si="28"/>
        <v>0.05</v>
      </c>
    </row>
    <row r="411" spans="4:23" ht="27" customHeight="1" x14ac:dyDescent="0.25">
      <c r="D411" s="14" t="s">
        <v>1804</v>
      </c>
      <c r="E411" s="14" t="s">
        <v>1805</v>
      </c>
      <c r="F411" s="84" t="s">
        <v>444</v>
      </c>
      <c r="G411" s="15" t="s">
        <v>68</v>
      </c>
      <c r="H411" s="16" t="s">
        <v>1806</v>
      </c>
      <c r="I411" s="17"/>
      <c r="J411" s="17"/>
      <c r="K411" s="17"/>
      <c r="L411" s="17"/>
      <c r="N411" s="31">
        <v>409</v>
      </c>
      <c r="O411" s="32" t="s">
        <v>1807</v>
      </c>
      <c r="P411" s="33" t="s">
        <v>42</v>
      </c>
      <c r="Q411" s="32" t="s">
        <v>32</v>
      </c>
      <c r="R411" s="69">
        <v>44260.375069444446</v>
      </c>
      <c r="S411" s="71">
        <v>44362</v>
      </c>
      <c r="T411" s="32" t="str">
        <f t="shared" si="25"/>
        <v>+82283447***</v>
      </c>
      <c r="U411" s="32" t="str">
        <f t="shared" ca="1" si="26"/>
        <v>evek***@jossmail.com</v>
      </c>
      <c r="V411" s="32">
        <f t="shared" si="27"/>
        <v>27</v>
      </c>
      <c r="W411" s="36">
        <f t="shared" si="28"/>
        <v>0.05</v>
      </c>
    </row>
    <row r="412" spans="4:23" ht="27" customHeight="1" x14ac:dyDescent="0.25">
      <c r="D412" s="14" t="s">
        <v>1808</v>
      </c>
      <c r="E412" s="14" t="s">
        <v>1809</v>
      </c>
      <c r="F412" s="84" t="s">
        <v>92</v>
      </c>
      <c r="G412" s="15" t="s">
        <v>27</v>
      </c>
      <c r="H412" s="16" t="s">
        <v>1810</v>
      </c>
      <c r="I412" s="17"/>
      <c r="J412" s="17"/>
      <c r="K412" s="17"/>
      <c r="L412" s="17"/>
      <c r="N412" s="31">
        <v>410</v>
      </c>
      <c r="O412" s="32" t="s">
        <v>1811</v>
      </c>
      <c r="P412" s="33" t="s">
        <v>31</v>
      </c>
      <c r="Q412" s="32" t="s">
        <v>40</v>
      </c>
      <c r="R412" s="69">
        <v>44259.332361111112</v>
      </c>
      <c r="S412" s="71">
        <v>44317</v>
      </c>
      <c r="T412" s="32" t="str">
        <f t="shared" si="25"/>
        <v>+6283225711***</v>
      </c>
      <c r="U412" s="32" t="str">
        <f t="shared" ca="1" si="26"/>
        <v>raqu***@yuhuumail.com</v>
      </c>
      <c r="V412" s="32">
        <f t="shared" si="27"/>
        <v>27</v>
      </c>
      <c r="W412" s="36">
        <f t="shared" si="28"/>
        <v>0.05</v>
      </c>
    </row>
    <row r="413" spans="4:23" ht="27" customHeight="1" x14ac:dyDescent="0.25">
      <c r="D413" s="14" t="s">
        <v>1812</v>
      </c>
      <c r="E413" s="14" t="s">
        <v>1813</v>
      </c>
      <c r="F413" s="84" t="s">
        <v>1551</v>
      </c>
      <c r="G413" s="15" t="s">
        <v>27</v>
      </c>
      <c r="H413" s="16" t="s">
        <v>1814</v>
      </c>
      <c r="I413" s="17"/>
      <c r="J413" s="17"/>
      <c r="K413" s="17"/>
      <c r="L413" s="17"/>
      <c r="N413" s="31">
        <v>411</v>
      </c>
      <c r="O413" s="32" t="s">
        <v>1815</v>
      </c>
      <c r="P413" s="33" t="s">
        <v>42</v>
      </c>
      <c r="Q413" s="32" t="s">
        <v>32</v>
      </c>
      <c r="R413" s="69">
        <v>44260.402928240743</v>
      </c>
      <c r="S413" s="71">
        <v>44354</v>
      </c>
      <c r="T413" s="32" t="str">
        <f t="shared" si="25"/>
        <v>+84271416***</v>
      </c>
      <c r="U413" s="32" t="str">
        <f t="shared" ca="1" si="26"/>
        <v>etha***@yuhuumail.com</v>
      </c>
      <c r="V413" s="32">
        <f t="shared" si="27"/>
        <v>27</v>
      </c>
      <c r="W413" s="36">
        <f t="shared" si="28"/>
        <v>0.05</v>
      </c>
    </row>
    <row r="414" spans="4:23" ht="27" customHeight="1" x14ac:dyDescent="0.25">
      <c r="D414" s="14" t="s">
        <v>1816</v>
      </c>
      <c r="E414" s="14" t="s">
        <v>1817</v>
      </c>
      <c r="F414" s="84" t="s">
        <v>847</v>
      </c>
      <c r="G414" s="15" t="s">
        <v>68</v>
      </c>
      <c r="H414" s="16" t="s">
        <v>1818</v>
      </c>
      <c r="I414" s="17"/>
      <c r="J414" s="17"/>
      <c r="K414" s="17"/>
      <c r="L414" s="17"/>
      <c r="N414" s="31">
        <v>412</v>
      </c>
      <c r="O414" s="32" t="s">
        <v>1817</v>
      </c>
      <c r="P414" s="33" t="s">
        <v>31</v>
      </c>
      <c r="Q414" s="32" t="s">
        <v>40</v>
      </c>
      <c r="R414" s="69">
        <v>43964.631944444445</v>
      </c>
      <c r="S414" s="71">
        <v>44356</v>
      </c>
      <c r="T414" s="32" t="str">
        <f t="shared" si="25"/>
        <v>+84296689***</v>
      </c>
      <c r="U414" s="32" t="str">
        <f t="shared" ca="1" si="26"/>
        <v>marq***@yuhuumail.com</v>
      </c>
      <c r="V414" s="32">
        <f t="shared" si="27"/>
        <v>26</v>
      </c>
      <c r="W414" s="36">
        <f t="shared" si="28"/>
        <v>6.5000000000000002E-2</v>
      </c>
    </row>
    <row r="415" spans="4:23" ht="27" customHeight="1" x14ac:dyDescent="0.25">
      <c r="D415" s="14" t="s">
        <v>1819</v>
      </c>
      <c r="E415" s="14" t="s">
        <v>572</v>
      </c>
      <c r="F415" s="84" t="s">
        <v>1820</v>
      </c>
      <c r="G415" s="15" t="s">
        <v>27</v>
      </c>
      <c r="H415" s="16" t="s">
        <v>1821</v>
      </c>
      <c r="I415" s="17"/>
      <c r="J415" s="17"/>
      <c r="K415" s="17"/>
      <c r="L415" s="17"/>
      <c r="N415" s="31">
        <v>413</v>
      </c>
      <c r="O415" s="32" t="s">
        <v>1822</v>
      </c>
      <c r="P415" s="33" t="s">
        <v>57</v>
      </c>
      <c r="Q415" s="32" t="s">
        <v>32</v>
      </c>
      <c r="R415" s="69">
        <v>44259.316192129627</v>
      </c>
      <c r="S415" s="71">
        <v>44318</v>
      </c>
      <c r="T415" s="32" t="str">
        <f t="shared" si="25"/>
        <v>+6282242876***</v>
      </c>
      <c r="U415" s="32" t="str">
        <f t="shared" ca="1" si="26"/>
        <v>pais***@jossmail.com</v>
      </c>
      <c r="V415" s="32">
        <f t="shared" si="27"/>
        <v>27</v>
      </c>
      <c r="W415" s="36">
        <f t="shared" si="28"/>
        <v>0.05</v>
      </c>
    </row>
    <row r="416" spans="4:23" ht="27" customHeight="1" x14ac:dyDescent="0.25">
      <c r="D416" s="14" t="s">
        <v>1823</v>
      </c>
      <c r="E416" s="14" t="s">
        <v>1601</v>
      </c>
      <c r="F416" s="84" t="s">
        <v>1525</v>
      </c>
      <c r="G416" s="15" t="s">
        <v>27</v>
      </c>
      <c r="H416" s="16" t="s">
        <v>1824</v>
      </c>
      <c r="I416" s="17"/>
      <c r="J416" s="17"/>
      <c r="K416" s="17"/>
      <c r="L416" s="17"/>
      <c r="N416" s="31">
        <v>414</v>
      </c>
      <c r="O416" s="32" t="s">
        <v>1209</v>
      </c>
      <c r="P416" s="33" t="s">
        <v>31</v>
      </c>
      <c r="Q416" s="32" t="s">
        <v>40</v>
      </c>
      <c r="R416" s="69">
        <v>44260.435393518521</v>
      </c>
      <c r="S416" s="71">
        <v>44337</v>
      </c>
      <c r="T416" s="32" t="str">
        <f t="shared" si="25"/>
        <v>+81288946***</v>
      </c>
      <c r="U416" s="32" t="str">
        <f t="shared" ca="1" si="26"/>
        <v>camd***@jossmail.com</v>
      </c>
      <c r="V416" s="32">
        <f t="shared" si="27"/>
        <v>27</v>
      </c>
      <c r="W416" s="36">
        <f t="shared" si="28"/>
        <v>0.05</v>
      </c>
    </row>
    <row r="417" spans="4:23" ht="27" customHeight="1" x14ac:dyDescent="0.25">
      <c r="D417" s="14" t="s">
        <v>1825</v>
      </c>
      <c r="E417" s="14" t="s">
        <v>1826</v>
      </c>
      <c r="F417" s="84" t="s">
        <v>359</v>
      </c>
      <c r="G417" s="15" t="s">
        <v>68</v>
      </c>
      <c r="H417" s="16" t="s">
        <v>1827</v>
      </c>
      <c r="I417" s="17"/>
      <c r="J417" s="17"/>
      <c r="K417" s="17"/>
      <c r="L417" s="17"/>
      <c r="N417" s="31">
        <v>415</v>
      </c>
      <c r="O417" s="32" t="s">
        <v>842</v>
      </c>
      <c r="P417" s="33" t="s">
        <v>31</v>
      </c>
      <c r="Q417" s="32" t="s">
        <v>32</v>
      </c>
      <c r="R417" s="69">
        <v>44260.440069444441</v>
      </c>
      <c r="S417" s="71">
        <v>44352</v>
      </c>
      <c r="T417" s="32" t="str">
        <f t="shared" si="25"/>
        <v>+0832-38662***</v>
      </c>
      <c r="U417" s="32" t="str">
        <f t="shared" ca="1" si="26"/>
        <v>kolt***@yuhuumail.com</v>
      </c>
      <c r="V417" s="32">
        <f t="shared" si="27"/>
        <v>27</v>
      </c>
      <c r="W417" s="36">
        <f t="shared" si="28"/>
        <v>0.05</v>
      </c>
    </row>
    <row r="418" spans="4:23" ht="27" customHeight="1" x14ac:dyDescent="0.25">
      <c r="D418" s="14" t="s">
        <v>1828</v>
      </c>
      <c r="E418" s="14" t="s">
        <v>1829</v>
      </c>
      <c r="F418" s="84" t="s">
        <v>194</v>
      </c>
      <c r="G418" s="15" t="s">
        <v>68</v>
      </c>
      <c r="H418" s="16" t="s">
        <v>1830</v>
      </c>
      <c r="I418" s="17"/>
      <c r="J418" s="17"/>
      <c r="K418" s="17"/>
      <c r="L418" s="17"/>
      <c r="N418" s="31">
        <v>416</v>
      </c>
      <c r="O418" s="32" t="s">
        <v>1831</v>
      </c>
      <c r="P418" s="33" t="s">
        <v>31</v>
      </c>
      <c r="Q418" s="32" t="s">
        <v>40</v>
      </c>
      <c r="R418" s="69">
        <v>44259.991909722223</v>
      </c>
      <c r="S418" s="71">
        <v>44352</v>
      </c>
      <c r="T418" s="32" t="str">
        <f t="shared" si="25"/>
        <v>+081277663***</v>
      </c>
      <c r="U418" s="32" t="str">
        <f t="shared" ca="1" si="26"/>
        <v>nyla***@yuhuumail.com</v>
      </c>
      <c r="V418" s="32">
        <f t="shared" si="27"/>
        <v>27</v>
      </c>
      <c r="W418" s="36">
        <f t="shared" si="28"/>
        <v>0.05</v>
      </c>
    </row>
    <row r="419" spans="4:23" ht="27" customHeight="1" x14ac:dyDescent="0.25">
      <c r="D419" s="14" t="s">
        <v>1832</v>
      </c>
      <c r="E419" s="14" t="s">
        <v>1833</v>
      </c>
      <c r="F419" s="84" t="s">
        <v>538</v>
      </c>
      <c r="G419" s="15" t="s">
        <v>27</v>
      </c>
      <c r="H419" s="16" t="s">
        <v>1834</v>
      </c>
      <c r="I419" s="17"/>
      <c r="J419" s="17"/>
      <c r="K419" s="17"/>
      <c r="L419" s="17"/>
      <c r="N419" s="31">
        <v>417</v>
      </c>
      <c r="O419" s="32" t="s">
        <v>1835</v>
      </c>
      <c r="P419" s="33" t="s">
        <v>42</v>
      </c>
      <c r="Q419" s="32" t="s">
        <v>32</v>
      </c>
      <c r="R419" s="69">
        <v>44260.448622685188</v>
      </c>
      <c r="S419" s="71">
        <v>44318</v>
      </c>
      <c r="T419" s="32" t="str">
        <f t="shared" si="25"/>
        <v>+85281636***</v>
      </c>
      <c r="U419" s="32" t="str">
        <f t="shared" ca="1" si="26"/>
        <v>jenn***@jossmail.com</v>
      </c>
      <c r="V419" s="32">
        <f t="shared" si="27"/>
        <v>27</v>
      </c>
      <c r="W419" s="36">
        <f t="shared" si="28"/>
        <v>0.05</v>
      </c>
    </row>
    <row r="420" spans="4:23" ht="27" customHeight="1" x14ac:dyDescent="0.25">
      <c r="D420" s="14" t="s">
        <v>1836</v>
      </c>
      <c r="E420" s="14" t="s">
        <v>1837</v>
      </c>
      <c r="F420" s="84" t="s">
        <v>490</v>
      </c>
      <c r="G420" s="15" t="s">
        <v>68</v>
      </c>
      <c r="H420" s="16" t="s">
        <v>1838</v>
      </c>
      <c r="I420" s="17"/>
      <c r="J420" s="17"/>
      <c r="K420" s="17"/>
      <c r="L420" s="17"/>
      <c r="N420" s="31">
        <v>418</v>
      </c>
      <c r="O420" s="32" t="s">
        <v>1839</v>
      </c>
      <c r="P420" s="33" t="s">
        <v>57</v>
      </c>
      <c r="Q420" s="32" t="s">
        <v>40</v>
      </c>
      <c r="R420" s="69">
        <v>44260.463888888888</v>
      </c>
      <c r="S420" s="71">
        <v>44362</v>
      </c>
      <c r="T420" s="32" t="str">
        <f t="shared" si="25"/>
        <v>+6284249381***</v>
      </c>
      <c r="U420" s="32" t="str">
        <f t="shared" ca="1" si="26"/>
        <v>isla***@yuhuumail.com</v>
      </c>
      <c r="V420" s="32">
        <f t="shared" si="27"/>
        <v>27</v>
      </c>
      <c r="W420" s="36">
        <f t="shared" si="28"/>
        <v>0.05</v>
      </c>
    </row>
    <row r="421" spans="4:23" ht="27" customHeight="1" x14ac:dyDescent="0.25">
      <c r="D421" s="14" t="s">
        <v>1840</v>
      </c>
      <c r="E421" s="14" t="s">
        <v>1841</v>
      </c>
      <c r="F421" s="84" t="s">
        <v>169</v>
      </c>
      <c r="G421" s="15" t="s">
        <v>27</v>
      </c>
      <c r="H421" s="16" t="s">
        <v>1842</v>
      </c>
      <c r="I421" s="17"/>
      <c r="J421" s="17"/>
      <c r="K421" s="17"/>
      <c r="L421" s="17"/>
      <c r="N421" s="31">
        <v>419</v>
      </c>
      <c r="O421" s="32" t="s">
        <v>1843</v>
      </c>
      <c r="P421" s="33" t="s">
        <v>57</v>
      </c>
      <c r="Q421" s="32" t="s">
        <v>32</v>
      </c>
      <c r="R421" s="69">
        <v>44259.40152777778</v>
      </c>
      <c r="S421" s="71">
        <v>44320</v>
      </c>
      <c r="T421" s="32" t="str">
        <f t="shared" si="25"/>
        <v>+084233935***</v>
      </c>
      <c r="U421" s="32" t="str">
        <f t="shared" ca="1" si="26"/>
        <v>tony***@yuhuumail.com</v>
      </c>
      <c r="V421" s="32">
        <f t="shared" si="27"/>
        <v>27</v>
      </c>
      <c r="W421" s="36">
        <f t="shared" si="28"/>
        <v>0.05</v>
      </c>
    </row>
    <row r="422" spans="4:23" ht="27" customHeight="1" x14ac:dyDescent="0.25">
      <c r="D422" s="14" t="s">
        <v>1844</v>
      </c>
      <c r="E422" s="14" t="s">
        <v>1845</v>
      </c>
      <c r="F422" s="84" t="s">
        <v>466</v>
      </c>
      <c r="G422" s="15" t="s">
        <v>68</v>
      </c>
      <c r="H422" s="16" t="s">
        <v>1846</v>
      </c>
      <c r="I422" s="17"/>
      <c r="J422" s="17"/>
      <c r="K422" s="17"/>
      <c r="L422" s="17"/>
      <c r="N422" s="31">
        <v>420</v>
      </c>
      <c r="O422" s="32" t="s">
        <v>1847</v>
      </c>
      <c r="P422" s="33" t="s">
        <v>31</v>
      </c>
      <c r="Q422" s="32" t="s">
        <v>40</v>
      </c>
      <c r="R422" s="69">
        <v>44260.468449074076</v>
      </c>
      <c r="S422" s="71">
        <v>44356</v>
      </c>
      <c r="T422" s="32" t="str">
        <f t="shared" si="25"/>
        <v>+6281231967***</v>
      </c>
      <c r="U422" s="32" t="str">
        <f t="shared" ca="1" si="26"/>
        <v>elli***@yuhuumail.com</v>
      </c>
      <c r="V422" s="32">
        <f t="shared" si="27"/>
        <v>27</v>
      </c>
      <c r="W422" s="36">
        <f t="shared" si="28"/>
        <v>0.05</v>
      </c>
    </row>
    <row r="423" spans="4:23" ht="27" customHeight="1" x14ac:dyDescent="0.25">
      <c r="D423" s="14" t="s">
        <v>1848</v>
      </c>
      <c r="E423" s="14" t="s">
        <v>1849</v>
      </c>
      <c r="F423" s="84" t="s">
        <v>742</v>
      </c>
      <c r="G423" s="15" t="s">
        <v>68</v>
      </c>
      <c r="H423" s="16" t="s">
        <v>1850</v>
      </c>
      <c r="I423" s="17"/>
      <c r="J423" s="17"/>
      <c r="K423" s="17"/>
      <c r="L423" s="17"/>
      <c r="N423" s="31">
        <v>421</v>
      </c>
      <c r="O423" s="32" t="s">
        <v>1851</v>
      </c>
      <c r="P423" s="33" t="s">
        <v>31</v>
      </c>
      <c r="Q423" s="32" t="s">
        <v>32</v>
      </c>
      <c r="R423" s="69">
        <v>44260.490914351853</v>
      </c>
      <c r="S423" s="35">
        <v>44321</v>
      </c>
      <c r="T423" s="32" t="str">
        <f t="shared" si="25"/>
        <v>+0852 55862***</v>
      </c>
      <c r="U423" s="32" t="str">
        <f t="shared" ca="1" si="26"/>
        <v>bren***@yuhuumail.com</v>
      </c>
      <c r="V423" s="32">
        <f t="shared" si="27"/>
        <v>27</v>
      </c>
      <c r="W423" s="36">
        <f t="shared" si="28"/>
        <v>0.05</v>
      </c>
    </row>
    <row r="424" spans="4:23" ht="27" customHeight="1" x14ac:dyDescent="0.25">
      <c r="D424" s="14" t="s">
        <v>1852</v>
      </c>
      <c r="E424" s="14" t="s">
        <v>1853</v>
      </c>
      <c r="F424" s="84" t="s">
        <v>129</v>
      </c>
      <c r="G424" s="15" t="s">
        <v>27</v>
      </c>
      <c r="H424" s="16" t="s">
        <v>1854</v>
      </c>
      <c r="I424" s="17"/>
      <c r="J424" s="17"/>
      <c r="K424" s="17"/>
      <c r="L424" s="17"/>
      <c r="N424" s="31">
        <v>422</v>
      </c>
      <c r="O424" s="32" t="s">
        <v>1855</v>
      </c>
      <c r="P424" s="33" t="s">
        <v>31</v>
      </c>
      <c r="Q424" s="32" t="s">
        <v>40</v>
      </c>
      <c r="R424" s="69">
        <v>44260.49324074074</v>
      </c>
      <c r="S424" s="35">
        <v>44362</v>
      </c>
      <c r="T424" s="32" t="str">
        <f t="shared" si="25"/>
        <v>+6284259131***</v>
      </c>
      <c r="U424" s="32" t="str">
        <f t="shared" ca="1" si="26"/>
        <v>abag***@jossmail.com</v>
      </c>
      <c r="V424" s="32">
        <f t="shared" si="27"/>
        <v>27</v>
      </c>
      <c r="W424" s="36">
        <f t="shared" si="28"/>
        <v>0.05</v>
      </c>
    </row>
    <row r="425" spans="4:23" ht="27" customHeight="1" x14ac:dyDescent="0.25">
      <c r="D425" s="14" t="s">
        <v>1856</v>
      </c>
      <c r="E425" s="14" t="s">
        <v>1799</v>
      </c>
      <c r="F425" s="84" t="s">
        <v>847</v>
      </c>
      <c r="G425" s="15" t="s">
        <v>27</v>
      </c>
      <c r="H425" s="16" t="s">
        <v>1857</v>
      </c>
      <c r="I425" s="17"/>
      <c r="J425" s="17"/>
      <c r="K425" s="17"/>
      <c r="L425" s="17"/>
      <c r="N425" s="31">
        <v>423</v>
      </c>
      <c r="O425" s="32" t="s">
        <v>1858</v>
      </c>
      <c r="P425" s="33" t="s">
        <v>42</v>
      </c>
      <c r="Q425" s="32" t="s">
        <v>32</v>
      </c>
      <c r="R425" s="69">
        <v>42965.071585648147</v>
      </c>
      <c r="S425" s="35">
        <v>44356</v>
      </c>
      <c r="T425" s="32" t="str">
        <f t="shared" si="25"/>
        <v>+6281220167***</v>
      </c>
      <c r="U425" s="32" t="str">
        <f t="shared" ca="1" si="26"/>
        <v>cait***@jossmail.com</v>
      </c>
      <c r="V425" s="32">
        <f t="shared" si="27"/>
        <v>23</v>
      </c>
      <c r="W425" s="36">
        <f t="shared" si="28"/>
        <v>7.5000000000000011E-2</v>
      </c>
    </row>
    <row r="426" spans="4:23" ht="27" customHeight="1" x14ac:dyDescent="0.25">
      <c r="D426" s="14" t="s">
        <v>1859</v>
      </c>
      <c r="E426" s="14" t="s">
        <v>1860</v>
      </c>
      <c r="F426" s="84" t="s">
        <v>372</v>
      </c>
      <c r="G426" s="15" t="s">
        <v>68</v>
      </c>
      <c r="H426" s="16" t="s">
        <v>1861</v>
      </c>
      <c r="I426" s="17"/>
      <c r="J426" s="17"/>
      <c r="K426" s="17"/>
      <c r="L426" s="17"/>
      <c r="N426" s="31">
        <v>424</v>
      </c>
      <c r="O426" s="32" t="s">
        <v>1862</v>
      </c>
      <c r="P426" s="33" t="s">
        <v>57</v>
      </c>
      <c r="Q426" s="32" t="s">
        <v>40</v>
      </c>
      <c r="R426" s="69">
        <v>44260.513182870367</v>
      </c>
      <c r="S426" s="35">
        <v>44354</v>
      </c>
      <c r="T426" s="32" t="str">
        <f t="shared" si="25"/>
        <v>+84246036***</v>
      </c>
      <c r="U426" s="32" t="str">
        <f t="shared" ca="1" si="26"/>
        <v>yadi***@jossmail.com</v>
      </c>
      <c r="V426" s="32">
        <f t="shared" si="27"/>
        <v>27</v>
      </c>
      <c r="W426" s="36">
        <f t="shared" si="28"/>
        <v>0.05</v>
      </c>
    </row>
    <row r="427" spans="4:23" ht="27" customHeight="1" x14ac:dyDescent="0.25">
      <c r="D427" s="14" t="s">
        <v>1863</v>
      </c>
      <c r="E427" s="14" t="s">
        <v>419</v>
      </c>
      <c r="F427" s="84" t="s">
        <v>1318</v>
      </c>
      <c r="G427" s="15" t="s">
        <v>27</v>
      </c>
      <c r="H427" s="16" t="s">
        <v>1864</v>
      </c>
      <c r="I427" s="17"/>
      <c r="J427" s="17"/>
      <c r="K427" s="17"/>
      <c r="L427" s="17"/>
      <c r="N427" s="31">
        <v>425</v>
      </c>
      <c r="O427" s="32" t="s">
        <v>1381</v>
      </c>
      <c r="P427" s="33" t="s">
        <v>57</v>
      </c>
      <c r="Q427" s="32" t="s">
        <v>32</v>
      </c>
      <c r="R427" s="69">
        <v>44260.513020833336</v>
      </c>
      <c r="S427" s="35">
        <v>44354</v>
      </c>
      <c r="T427" s="32" t="str">
        <f t="shared" si="25"/>
        <v>+832 15201***</v>
      </c>
      <c r="U427" s="32" t="str">
        <f t="shared" ca="1" si="26"/>
        <v>jayl***@yuhuumail.com</v>
      </c>
      <c r="V427" s="32">
        <f t="shared" si="27"/>
        <v>27</v>
      </c>
      <c r="W427" s="36">
        <f t="shared" si="28"/>
        <v>0.05</v>
      </c>
    </row>
    <row r="428" spans="4:23" ht="27" customHeight="1" x14ac:dyDescent="0.25">
      <c r="D428" s="14" t="s">
        <v>1865</v>
      </c>
      <c r="E428" s="14" t="s">
        <v>1866</v>
      </c>
      <c r="F428" s="84" t="s">
        <v>402</v>
      </c>
      <c r="G428" s="15" t="s">
        <v>27</v>
      </c>
      <c r="H428" s="16" t="s">
        <v>1867</v>
      </c>
      <c r="I428" s="17"/>
      <c r="J428" s="17"/>
      <c r="K428" s="17"/>
      <c r="L428" s="17"/>
      <c r="N428" s="31">
        <v>426</v>
      </c>
      <c r="O428" s="32" t="s">
        <v>1868</v>
      </c>
      <c r="P428" s="33" t="s">
        <v>57</v>
      </c>
      <c r="Q428" s="32" t="s">
        <v>40</v>
      </c>
      <c r="R428" s="69">
        <v>44260.524560185186</v>
      </c>
      <c r="S428" s="35">
        <v>44354</v>
      </c>
      <c r="T428" s="32" t="str">
        <f t="shared" si="25"/>
        <v>+0822-31522***</v>
      </c>
      <c r="U428" s="32" t="str">
        <f t="shared" ca="1" si="26"/>
        <v>stel***@jossmail.com</v>
      </c>
      <c r="V428" s="32">
        <f t="shared" si="27"/>
        <v>27</v>
      </c>
      <c r="W428" s="36">
        <f t="shared" si="28"/>
        <v>0.05</v>
      </c>
    </row>
    <row r="429" spans="4:23" ht="27" customHeight="1" x14ac:dyDescent="0.25">
      <c r="D429" s="14" t="s">
        <v>1869</v>
      </c>
      <c r="E429" s="14" t="s">
        <v>680</v>
      </c>
      <c r="F429" s="84" t="s">
        <v>1870</v>
      </c>
      <c r="G429" s="15" t="s">
        <v>68</v>
      </c>
      <c r="H429" s="16" t="s">
        <v>1871</v>
      </c>
      <c r="I429" s="17"/>
      <c r="J429" s="17"/>
      <c r="K429" s="17"/>
      <c r="L429" s="17"/>
      <c r="N429" s="31">
        <v>427</v>
      </c>
      <c r="O429" s="32" t="s">
        <v>1872</v>
      </c>
      <c r="P429" s="33" t="s">
        <v>31</v>
      </c>
      <c r="Q429" s="32" t="s">
        <v>32</v>
      </c>
      <c r="R429" s="69">
        <v>44260.331365740742</v>
      </c>
      <c r="S429" s="35">
        <v>44320</v>
      </c>
      <c r="T429" s="32" t="str">
        <f t="shared" si="25"/>
        <v>+6281213219***</v>
      </c>
      <c r="U429" s="32" t="str">
        <f t="shared" ca="1" si="26"/>
        <v>tris***@yuhuumail.com</v>
      </c>
      <c r="V429" s="32">
        <f t="shared" si="27"/>
        <v>27</v>
      </c>
      <c r="W429" s="36">
        <f t="shared" si="28"/>
        <v>0.05</v>
      </c>
    </row>
    <row r="430" spans="4:23" ht="27" customHeight="1" x14ac:dyDescent="0.25">
      <c r="D430" s="14" t="s">
        <v>1873</v>
      </c>
      <c r="E430" s="14" t="s">
        <v>1874</v>
      </c>
      <c r="F430" s="84" t="s">
        <v>302</v>
      </c>
      <c r="G430" s="15" t="s">
        <v>68</v>
      </c>
      <c r="H430" s="16" t="s">
        <v>1875</v>
      </c>
      <c r="I430" s="17"/>
      <c r="J430" s="17"/>
      <c r="K430" s="17"/>
      <c r="L430" s="17"/>
      <c r="N430" s="31">
        <v>428</v>
      </c>
      <c r="O430" s="32" t="s">
        <v>1876</v>
      </c>
      <c r="P430" s="33" t="s">
        <v>31</v>
      </c>
      <c r="Q430" s="32" t="s">
        <v>40</v>
      </c>
      <c r="R430" s="69">
        <v>44260.535856481481</v>
      </c>
      <c r="S430" s="35">
        <v>44320</v>
      </c>
      <c r="T430" s="32" t="str">
        <f t="shared" si="25"/>
        <v>+822 15096***</v>
      </c>
      <c r="U430" s="32" t="str">
        <f t="shared" ca="1" si="26"/>
        <v>rigo***@jossmail.com</v>
      </c>
      <c r="V430" s="32">
        <f t="shared" si="27"/>
        <v>27</v>
      </c>
      <c r="W430" s="36">
        <f t="shared" si="28"/>
        <v>0.05</v>
      </c>
    </row>
    <row r="431" spans="4:23" ht="27" customHeight="1" x14ac:dyDescent="0.25">
      <c r="D431" s="14" t="s">
        <v>1877</v>
      </c>
      <c r="E431" s="14" t="s">
        <v>1878</v>
      </c>
      <c r="F431" s="84" t="s">
        <v>834</v>
      </c>
      <c r="G431" s="15" t="s">
        <v>27</v>
      </c>
      <c r="H431" s="16" t="s">
        <v>1879</v>
      </c>
      <c r="I431" s="17"/>
      <c r="J431" s="17"/>
      <c r="K431" s="17"/>
      <c r="L431" s="17"/>
      <c r="N431" s="31">
        <v>429</v>
      </c>
      <c r="O431" s="32" t="s">
        <v>1880</v>
      </c>
      <c r="P431" s="33" t="s">
        <v>31</v>
      </c>
      <c r="Q431" s="32" t="s">
        <v>32</v>
      </c>
      <c r="R431" s="69">
        <v>44260.552557870367</v>
      </c>
      <c r="S431" s="35">
        <v>44318</v>
      </c>
      <c r="T431" s="32" t="str">
        <f t="shared" si="25"/>
        <v>+083218517***</v>
      </c>
      <c r="U431" s="32" t="str">
        <f t="shared" ca="1" si="26"/>
        <v>arma***@yuhuumail.com</v>
      </c>
      <c r="V431" s="32">
        <f t="shared" si="27"/>
        <v>27</v>
      </c>
      <c r="W431" s="36">
        <f t="shared" si="28"/>
        <v>0.05</v>
      </c>
    </row>
    <row r="432" spans="4:23" ht="27" customHeight="1" x14ac:dyDescent="0.25">
      <c r="D432" s="14" t="s">
        <v>1881</v>
      </c>
      <c r="E432" s="14" t="s">
        <v>1882</v>
      </c>
      <c r="F432" s="84" t="s">
        <v>194</v>
      </c>
      <c r="G432" s="15" t="s">
        <v>68</v>
      </c>
      <c r="H432" s="16" t="s">
        <v>1883</v>
      </c>
      <c r="I432" s="17"/>
      <c r="J432" s="17"/>
      <c r="K432" s="17"/>
      <c r="L432" s="17"/>
      <c r="N432" s="31">
        <v>430</v>
      </c>
      <c r="O432" s="32" t="s">
        <v>1692</v>
      </c>
      <c r="P432" s="33" t="s">
        <v>31</v>
      </c>
      <c r="Q432" s="32" t="s">
        <v>40</v>
      </c>
      <c r="R432" s="69">
        <v>44260.559039351851</v>
      </c>
      <c r="S432" s="35">
        <v>44354</v>
      </c>
      <c r="T432" s="32" t="str">
        <f t="shared" si="25"/>
        <v>+85277027***</v>
      </c>
      <c r="U432" s="32" t="str">
        <f t="shared" ca="1" si="26"/>
        <v>vale***@jossmail.com</v>
      </c>
      <c r="V432" s="32">
        <f t="shared" si="27"/>
        <v>27</v>
      </c>
      <c r="W432" s="36">
        <f t="shared" si="28"/>
        <v>0.05</v>
      </c>
    </row>
    <row r="433" spans="4:23" ht="27" customHeight="1" x14ac:dyDescent="0.25">
      <c r="D433" s="14" t="s">
        <v>1884</v>
      </c>
      <c r="E433" s="14" t="s">
        <v>1885</v>
      </c>
      <c r="F433" s="84" t="s">
        <v>1886</v>
      </c>
      <c r="G433" s="15" t="s">
        <v>27</v>
      </c>
      <c r="H433" s="16" t="s">
        <v>1887</v>
      </c>
      <c r="I433" s="17"/>
      <c r="J433" s="17"/>
      <c r="K433" s="17"/>
      <c r="L433" s="17"/>
      <c r="N433" s="31">
        <v>431</v>
      </c>
      <c r="O433" s="32" t="s">
        <v>1888</v>
      </c>
      <c r="P433" s="33" t="s">
        <v>57</v>
      </c>
      <c r="Q433" s="32" t="s">
        <v>32</v>
      </c>
      <c r="R433" s="69">
        <v>43703.435949074075</v>
      </c>
      <c r="S433" s="35">
        <v>44320</v>
      </c>
      <c r="T433" s="32" t="str">
        <f t="shared" si="25"/>
        <v>+832 72873***</v>
      </c>
      <c r="U433" s="32" t="str">
        <f t="shared" ca="1" si="26"/>
        <v>ciar***@jossmail.com</v>
      </c>
      <c r="V433" s="32">
        <f t="shared" si="27"/>
        <v>25</v>
      </c>
      <c r="W433" s="36">
        <f t="shared" si="28"/>
        <v>6.5000000000000002E-2</v>
      </c>
    </row>
    <row r="434" spans="4:23" ht="27" customHeight="1" x14ac:dyDescent="0.25">
      <c r="D434" s="14" t="s">
        <v>1889</v>
      </c>
      <c r="E434" s="14" t="s">
        <v>1890</v>
      </c>
      <c r="F434" s="84" t="s">
        <v>412</v>
      </c>
      <c r="G434" s="15" t="s">
        <v>27</v>
      </c>
      <c r="H434" s="16" t="s">
        <v>1891</v>
      </c>
      <c r="I434" s="17"/>
      <c r="J434" s="17"/>
      <c r="K434" s="17"/>
      <c r="L434" s="17"/>
      <c r="N434" s="31">
        <v>432</v>
      </c>
      <c r="O434" s="32" t="s">
        <v>1892</v>
      </c>
      <c r="P434" s="33" t="s">
        <v>31</v>
      </c>
      <c r="Q434" s="32" t="s">
        <v>40</v>
      </c>
      <c r="R434" s="69">
        <v>44260.559247685182</v>
      </c>
      <c r="S434" s="35">
        <v>44318</v>
      </c>
      <c r="T434" s="32" t="str">
        <f t="shared" si="25"/>
        <v>+083266752***</v>
      </c>
      <c r="U434" s="32" t="str">
        <f t="shared" ca="1" si="26"/>
        <v>luci***@yuhuumail.com</v>
      </c>
      <c r="V434" s="32">
        <f t="shared" si="27"/>
        <v>27</v>
      </c>
      <c r="W434" s="36">
        <f t="shared" si="28"/>
        <v>0.05</v>
      </c>
    </row>
    <row r="435" spans="4:23" ht="27" customHeight="1" x14ac:dyDescent="0.25">
      <c r="D435" s="14" t="s">
        <v>1893</v>
      </c>
      <c r="E435" s="14" t="s">
        <v>778</v>
      </c>
      <c r="F435" s="84" t="s">
        <v>1342</v>
      </c>
      <c r="G435" s="15" t="s">
        <v>68</v>
      </c>
      <c r="H435" s="16" t="s">
        <v>1894</v>
      </c>
      <c r="I435" s="17"/>
      <c r="J435" s="17"/>
      <c r="K435" s="17"/>
      <c r="L435" s="17"/>
      <c r="N435" s="31">
        <v>433</v>
      </c>
      <c r="O435" s="32" t="s">
        <v>380</v>
      </c>
      <c r="P435" s="33" t="s">
        <v>31</v>
      </c>
      <c r="Q435" s="32" t="s">
        <v>32</v>
      </c>
      <c r="R435" s="69">
        <v>44260.566979166666</v>
      </c>
      <c r="S435" s="35">
        <v>44356</v>
      </c>
      <c r="T435" s="32" t="str">
        <f t="shared" si="25"/>
        <v>+82268861***</v>
      </c>
      <c r="U435" s="32" t="str">
        <f t="shared" ca="1" si="26"/>
        <v>devi***@jossmail.com</v>
      </c>
      <c r="V435" s="32">
        <f t="shared" si="27"/>
        <v>27</v>
      </c>
      <c r="W435" s="36">
        <f t="shared" si="28"/>
        <v>0.05</v>
      </c>
    </row>
    <row r="436" spans="4:23" ht="27" customHeight="1" x14ac:dyDescent="0.25">
      <c r="D436" s="14" t="s">
        <v>1895</v>
      </c>
      <c r="E436" s="14" t="s">
        <v>1896</v>
      </c>
      <c r="F436" s="84" t="s">
        <v>887</v>
      </c>
      <c r="G436" s="15" t="s">
        <v>68</v>
      </c>
      <c r="H436" s="16" t="s">
        <v>1897</v>
      </c>
      <c r="I436" s="17"/>
      <c r="J436" s="17"/>
      <c r="K436" s="17"/>
      <c r="L436" s="17"/>
      <c r="N436" s="31">
        <v>434</v>
      </c>
      <c r="O436" s="32" t="s">
        <v>1898</v>
      </c>
      <c r="P436" s="33" t="s">
        <v>57</v>
      </c>
      <c r="Q436" s="32" t="s">
        <v>40</v>
      </c>
      <c r="R436" s="69">
        <v>44260.598171296297</v>
      </c>
      <c r="S436" s="35">
        <v>44362</v>
      </c>
      <c r="T436" s="32" t="str">
        <f t="shared" si="25"/>
        <v>+0852-15197***</v>
      </c>
      <c r="U436" s="32" t="str">
        <f t="shared" ca="1" si="26"/>
        <v>josh***@yuhuumail.com</v>
      </c>
      <c r="V436" s="32">
        <f t="shared" si="27"/>
        <v>27</v>
      </c>
      <c r="W436" s="36">
        <f t="shared" si="28"/>
        <v>0.05</v>
      </c>
    </row>
    <row r="437" spans="4:23" ht="27" customHeight="1" x14ac:dyDescent="0.25">
      <c r="D437" s="14" t="s">
        <v>1899</v>
      </c>
      <c r="E437" s="14" t="s">
        <v>1900</v>
      </c>
      <c r="F437" s="84" t="s">
        <v>538</v>
      </c>
      <c r="G437" s="15" t="s">
        <v>68</v>
      </c>
      <c r="H437" s="16" t="s">
        <v>1901</v>
      </c>
      <c r="I437" s="17"/>
      <c r="J437" s="17"/>
      <c r="K437" s="17"/>
      <c r="L437" s="17"/>
      <c r="N437" s="31">
        <v>435</v>
      </c>
      <c r="O437" s="32" t="s">
        <v>1902</v>
      </c>
      <c r="P437" s="33" t="s">
        <v>31</v>
      </c>
      <c r="Q437" s="32" t="s">
        <v>32</v>
      </c>
      <c r="R437" s="69">
        <v>44260.602083333331</v>
      </c>
      <c r="S437" s="71">
        <v>44362</v>
      </c>
      <c r="T437" s="32" t="str">
        <f t="shared" si="25"/>
        <v>+084270591***</v>
      </c>
      <c r="U437" s="32" t="str">
        <f t="shared" ca="1" si="26"/>
        <v>joyc***@jossmail.com</v>
      </c>
      <c r="V437" s="32">
        <f t="shared" si="27"/>
        <v>27</v>
      </c>
      <c r="W437" s="36">
        <f t="shared" si="28"/>
        <v>0.05</v>
      </c>
    </row>
    <row r="438" spans="4:23" ht="27" customHeight="1" x14ac:dyDescent="0.25">
      <c r="D438" s="14" t="s">
        <v>1903</v>
      </c>
      <c r="E438" s="14" t="s">
        <v>1904</v>
      </c>
      <c r="F438" s="84" t="s">
        <v>524</v>
      </c>
      <c r="G438" s="15" t="s">
        <v>27</v>
      </c>
      <c r="H438" s="16" t="s">
        <v>1905</v>
      </c>
      <c r="I438" s="17"/>
      <c r="J438" s="17"/>
      <c r="K438" s="17"/>
      <c r="L438" s="17"/>
      <c r="N438" s="31">
        <v>436</v>
      </c>
      <c r="O438" s="32" t="s">
        <v>1906</v>
      </c>
      <c r="P438" s="33" t="s">
        <v>31</v>
      </c>
      <c r="Q438" s="32" t="s">
        <v>40</v>
      </c>
      <c r="R438" s="69">
        <v>44260.034236111111</v>
      </c>
      <c r="S438" s="71">
        <v>44359</v>
      </c>
      <c r="T438" s="32" t="str">
        <f t="shared" si="25"/>
        <v>+6284265582***</v>
      </c>
      <c r="U438" s="32" t="str">
        <f t="shared" ca="1" si="26"/>
        <v>aydi***@jossmail.com</v>
      </c>
      <c r="V438" s="32">
        <f t="shared" si="27"/>
        <v>27</v>
      </c>
      <c r="W438" s="36">
        <f t="shared" si="28"/>
        <v>0.05</v>
      </c>
    </row>
    <row r="439" spans="4:23" ht="27" customHeight="1" x14ac:dyDescent="0.25">
      <c r="D439" s="14" t="s">
        <v>1907</v>
      </c>
      <c r="E439" s="14" t="s">
        <v>1908</v>
      </c>
      <c r="F439" s="84" t="s">
        <v>1473</v>
      </c>
      <c r="G439" s="15" t="s">
        <v>27</v>
      </c>
      <c r="H439" s="16" t="s">
        <v>1909</v>
      </c>
      <c r="I439" s="17"/>
      <c r="J439" s="17"/>
      <c r="K439" s="17"/>
      <c r="L439" s="17"/>
      <c r="N439" s="31">
        <v>437</v>
      </c>
      <c r="O439" s="32" t="s">
        <v>1910</v>
      </c>
      <c r="P439" s="33" t="s">
        <v>42</v>
      </c>
      <c r="Q439" s="32" t="s">
        <v>32</v>
      </c>
      <c r="R439" s="69">
        <v>44260.603368055556</v>
      </c>
      <c r="S439" s="71">
        <v>44360</v>
      </c>
      <c r="T439" s="32" t="str">
        <f t="shared" si="25"/>
        <v>+81220553***</v>
      </c>
      <c r="U439" s="32" t="str">
        <f t="shared" ca="1" si="26"/>
        <v>lili***@yuhuumail.com</v>
      </c>
      <c r="V439" s="32">
        <f t="shared" si="27"/>
        <v>27</v>
      </c>
      <c r="W439" s="36">
        <f t="shared" si="28"/>
        <v>0.05</v>
      </c>
    </row>
    <row r="440" spans="4:23" ht="27" customHeight="1" x14ac:dyDescent="0.25">
      <c r="D440" s="14" t="s">
        <v>1911</v>
      </c>
      <c r="E440" s="14" t="s">
        <v>1912</v>
      </c>
      <c r="F440" s="84" t="s">
        <v>114</v>
      </c>
      <c r="G440" s="15" t="s">
        <v>68</v>
      </c>
      <c r="H440" s="16" t="s">
        <v>1913</v>
      </c>
      <c r="I440" s="17"/>
      <c r="J440" s="17"/>
      <c r="K440" s="17"/>
      <c r="L440" s="17"/>
      <c r="N440" s="31">
        <v>438</v>
      </c>
      <c r="O440" s="32" t="s">
        <v>1914</v>
      </c>
      <c r="P440" s="33" t="s">
        <v>31</v>
      </c>
      <c r="Q440" s="32" t="s">
        <v>40</v>
      </c>
      <c r="R440" s="69">
        <v>44260.61991898148</v>
      </c>
      <c r="S440" s="71">
        <v>44356</v>
      </c>
      <c r="T440" s="32" t="str">
        <f t="shared" si="25"/>
        <v>+83285086***</v>
      </c>
      <c r="U440" s="32" t="str">
        <f t="shared" ca="1" si="26"/>
        <v>chri***@yuhuumail.com</v>
      </c>
      <c r="V440" s="32">
        <f t="shared" si="27"/>
        <v>27</v>
      </c>
      <c r="W440" s="36">
        <f t="shared" si="28"/>
        <v>0.05</v>
      </c>
    </row>
    <row r="441" spans="4:23" ht="27" customHeight="1" x14ac:dyDescent="0.25">
      <c r="D441" s="14" t="s">
        <v>1915</v>
      </c>
      <c r="E441" s="14" t="s">
        <v>725</v>
      </c>
      <c r="F441" s="84" t="s">
        <v>188</v>
      </c>
      <c r="G441" s="15" t="s">
        <v>27</v>
      </c>
      <c r="H441" s="16" t="s">
        <v>1916</v>
      </c>
      <c r="I441" s="17"/>
      <c r="J441" s="17"/>
      <c r="K441" s="17"/>
      <c r="L441" s="17"/>
      <c r="N441" s="31">
        <v>439</v>
      </c>
      <c r="O441" s="32" t="s">
        <v>1917</v>
      </c>
      <c r="P441" s="33" t="s">
        <v>42</v>
      </c>
      <c r="Q441" s="32" t="s">
        <v>32</v>
      </c>
      <c r="R441" s="69">
        <v>44260.286689814813</v>
      </c>
      <c r="S441" s="71">
        <v>44362</v>
      </c>
      <c r="T441" s="32" t="str">
        <f t="shared" si="25"/>
        <v>+832 17549***</v>
      </c>
      <c r="U441" s="32" t="str">
        <f t="shared" ca="1" si="26"/>
        <v>kase***@yuhuumail.com</v>
      </c>
      <c r="V441" s="32">
        <f t="shared" si="27"/>
        <v>27</v>
      </c>
      <c r="W441" s="36">
        <f t="shared" si="28"/>
        <v>0.05</v>
      </c>
    </row>
    <row r="442" spans="4:23" ht="27" customHeight="1" x14ac:dyDescent="0.25">
      <c r="D442" s="14" t="s">
        <v>1918</v>
      </c>
      <c r="E442" s="14" t="s">
        <v>646</v>
      </c>
      <c r="F442" s="84" t="s">
        <v>1919</v>
      </c>
      <c r="G442" s="15" t="s">
        <v>27</v>
      </c>
      <c r="H442" s="16" t="s">
        <v>1920</v>
      </c>
      <c r="I442" s="17"/>
      <c r="J442" s="17"/>
      <c r="K442" s="17"/>
      <c r="L442" s="17"/>
      <c r="N442" s="31">
        <v>440</v>
      </c>
      <c r="O442" s="32" t="s">
        <v>1921</v>
      </c>
      <c r="P442" s="33" t="s">
        <v>31</v>
      </c>
      <c r="Q442" s="32" t="s">
        <v>40</v>
      </c>
      <c r="R442" s="69">
        <v>44260.627546296295</v>
      </c>
      <c r="S442" s="71">
        <v>44359</v>
      </c>
      <c r="T442" s="32" t="str">
        <f t="shared" si="25"/>
        <v>+0812 25817***</v>
      </c>
      <c r="U442" s="32" t="str">
        <f t="shared" ca="1" si="26"/>
        <v>jose***@yuhuumail.com</v>
      </c>
      <c r="V442" s="32">
        <f t="shared" si="27"/>
        <v>27</v>
      </c>
      <c r="W442" s="36">
        <f t="shared" si="28"/>
        <v>0.05</v>
      </c>
    </row>
    <row r="443" spans="4:23" ht="27" customHeight="1" x14ac:dyDescent="0.25">
      <c r="D443" s="14" t="s">
        <v>1922</v>
      </c>
      <c r="E443" s="14" t="s">
        <v>1923</v>
      </c>
      <c r="F443" s="84" t="s">
        <v>1118</v>
      </c>
      <c r="G443" s="15" t="s">
        <v>27</v>
      </c>
      <c r="H443" s="16" t="s">
        <v>1924</v>
      </c>
      <c r="I443" s="17"/>
      <c r="J443" s="17"/>
      <c r="K443" s="17"/>
      <c r="L443" s="17"/>
      <c r="N443" s="31">
        <v>441</v>
      </c>
      <c r="O443" s="32" t="s">
        <v>1925</v>
      </c>
      <c r="P443" s="33" t="s">
        <v>31</v>
      </c>
      <c r="Q443" s="32" t="s">
        <v>32</v>
      </c>
      <c r="R443" s="69">
        <v>44260.630277777775</v>
      </c>
      <c r="S443" s="71">
        <v>44318</v>
      </c>
      <c r="T443" s="32" t="str">
        <f t="shared" si="25"/>
        <v>+83223529***</v>
      </c>
      <c r="U443" s="32" t="str">
        <f t="shared" ca="1" si="26"/>
        <v>sand***@yuhuumail.com</v>
      </c>
      <c r="V443" s="32">
        <f t="shared" si="27"/>
        <v>27</v>
      </c>
      <c r="W443" s="36">
        <f t="shared" si="28"/>
        <v>0.05</v>
      </c>
    </row>
    <row r="444" spans="4:23" ht="27" customHeight="1" x14ac:dyDescent="0.25">
      <c r="D444" s="14" t="s">
        <v>1926</v>
      </c>
      <c r="E444" s="14" t="s">
        <v>1927</v>
      </c>
      <c r="F444" s="84" t="s">
        <v>934</v>
      </c>
      <c r="G444" s="15" t="s">
        <v>68</v>
      </c>
      <c r="H444" s="16" t="s">
        <v>1928</v>
      </c>
      <c r="I444" s="17"/>
      <c r="J444" s="17"/>
      <c r="K444" s="17"/>
      <c r="L444" s="17"/>
      <c r="N444" s="31">
        <v>442</v>
      </c>
      <c r="O444" s="32" t="s">
        <v>1929</v>
      </c>
      <c r="P444" s="33" t="s">
        <v>31</v>
      </c>
      <c r="Q444" s="32" t="s">
        <v>40</v>
      </c>
      <c r="R444" s="69">
        <v>44260.65960648148</v>
      </c>
      <c r="S444" s="71">
        <v>44352</v>
      </c>
      <c r="T444" s="32" t="str">
        <f t="shared" si="25"/>
        <v>+081215037***</v>
      </c>
      <c r="U444" s="32" t="str">
        <f t="shared" ca="1" si="26"/>
        <v>kayl***@yuhuumail.com</v>
      </c>
      <c r="V444" s="32">
        <f t="shared" si="27"/>
        <v>27</v>
      </c>
      <c r="W444" s="36">
        <f t="shared" si="28"/>
        <v>0.05</v>
      </c>
    </row>
    <row r="445" spans="4:23" ht="27" customHeight="1" x14ac:dyDescent="0.25">
      <c r="D445" s="14" t="s">
        <v>1930</v>
      </c>
      <c r="E445" s="14" t="s">
        <v>1931</v>
      </c>
      <c r="F445" s="84" t="s">
        <v>524</v>
      </c>
      <c r="G445" s="15" t="s">
        <v>27</v>
      </c>
      <c r="H445" s="16" t="s">
        <v>1932</v>
      </c>
      <c r="I445" s="17"/>
      <c r="J445" s="17"/>
      <c r="K445" s="17"/>
      <c r="L445" s="17"/>
      <c r="N445" s="31">
        <v>443</v>
      </c>
      <c r="O445" s="32" t="s">
        <v>1933</v>
      </c>
      <c r="P445" s="33" t="s">
        <v>42</v>
      </c>
      <c r="Q445" s="32" t="s">
        <v>32</v>
      </c>
      <c r="R445" s="69">
        <v>44260.626655092594</v>
      </c>
      <c r="S445" s="71">
        <v>44350</v>
      </c>
      <c r="T445" s="32" t="str">
        <f t="shared" si="25"/>
        <v>+085253138***</v>
      </c>
      <c r="U445" s="32" t="str">
        <f t="shared" ca="1" si="26"/>
        <v>kane***@jossmail.com</v>
      </c>
      <c r="V445" s="32">
        <f t="shared" si="27"/>
        <v>27</v>
      </c>
      <c r="W445" s="36">
        <f t="shared" si="28"/>
        <v>0.05</v>
      </c>
    </row>
    <row r="446" spans="4:23" ht="27" customHeight="1" x14ac:dyDescent="0.25">
      <c r="D446" s="14" t="s">
        <v>1934</v>
      </c>
      <c r="E446" s="14" t="s">
        <v>1935</v>
      </c>
      <c r="F446" s="84" t="s">
        <v>121</v>
      </c>
      <c r="G446" s="15" t="s">
        <v>27</v>
      </c>
      <c r="H446" s="16" t="s">
        <v>1936</v>
      </c>
      <c r="I446" s="17"/>
      <c r="J446" s="17"/>
      <c r="K446" s="17"/>
      <c r="L446" s="17"/>
      <c r="N446" s="31">
        <v>444</v>
      </c>
      <c r="O446" s="32" t="s">
        <v>1937</v>
      </c>
      <c r="P446" s="33" t="s">
        <v>31</v>
      </c>
      <c r="Q446" s="32" t="s">
        <v>40</v>
      </c>
      <c r="R446" s="69">
        <v>44260.489282407405</v>
      </c>
      <c r="S446" s="71">
        <v>44320</v>
      </c>
      <c r="T446" s="32" t="str">
        <f t="shared" si="25"/>
        <v>+0852-74996***</v>
      </c>
      <c r="U446" s="32" t="str">
        <f t="shared" ca="1" si="26"/>
        <v>mall***@yuhuumail.com</v>
      </c>
      <c r="V446" s="32">
        <f t="shared" si="27"/>
        <v>26</v>
      </c>
      <c r="W446" s="36">
        <f t="shared" si="28"/>
        <v>0.05</v>
      </c>
    </row>
    <row r="447" spans="4:23" ht="27" customHeight="1" x14ac:dyDescent="0.25">
      <c r="D447" s="14" t="s">
        <v>1938</v>
      </c>
      <c r="E447" s="14" t="s">
        <v>1939</v>
      </c>
      <c r="F447" s="84" t="s">
        <v>909</v>
      </c>
      <c r="G447" s="15" t="s">
        <v>27</v>
      </c>
      <c r="H447" s="16" t="s">
        <v>1940</v>
      </c>
      <c r="I447" s="17"/>
      <c r="J447" s="17"/>
      <c r="K447" s="17"/>
      <c r="L447" s="17"/>
      <c r="N447" s="31">
        <v>445</v>
      </c>
      <c r="O447" s="32" t="s">
        <v>1941</v>
      </c>
      <c r="P447" s="33" t="s">
        <v>57</v>
      </c>
      <c r="Q447" s="32" t="s">
        <v>32</v>
      </c>
      <c r="R447" s="69">
        <v>44260.614837962959</v>
      </c>
      <c r="S447" s="71">
        <v>44320</v>
      </c>
      <c r="T447" s="32" t="str">
        <f t="shared" si="25"/>
        <v>+832 46869***</v>
      </c>
      <c r="U447" s="32" t="str">
        <f t="shared" ca="1" si="26"/>
        <v>kels***@jossmail.com</v>
      </c>
      <c r="V447" s="32">
        <f t="shared" si="27"/>
        <v>26</v>
      </c>
      <c r="W447" s="36">
        <f t="shared" si="28"/>
        <v>0.05</v>
      </c>
    </row>
    <row r="448" spans="4:23" ht="27" customHeight="1" x14ac:dyDescent="0.25">
      <c r="D448" s="14" t="s">
        <v>1942</v>
      </c>
      <c r="E448" s="14" t="s">
        <v>1943</v>
      </c>
      <c r="F448" s="84" t="s">
        <v>485</v>
      </c>
      <c r="G448" s="15" t="s">
        <v>27</v>
      </c>
      <c r="H448" s="16" t="s">
        <v>1944</v>
      </c>
      <c r="I448" s="17"/>
      <c r="J448" s="17"/>
      <c r="K448" s="17"/>
      <c r="L448" s="17"/>
      <c r="N448" s="31">
        <v>446</v>
      </c>
      <c r="O448" s="32" t="s">
        <v>797</v>
      </c>
      <c r="P448" s="33" t="s">
        <v>31</v>
      </c>
      <c r="Q448" s="32" t="s">
        <v>40</v>
      </c>
      <c r="R448" s="69">
        <v>44260.690023148149</v>
      </c>
      <c r="S448" s="71">
        <v>44357</v>
      </c>
      <c r="T448" s="32" t="str">
        <f t="shared" si="25"/>
        <v>+81244058***</v>
      </c>
      <c r="U448" s="32" t="str">
        <f t="shared" ca="1" si="26"/>
        <v>bray***@jossmail.com</v>
      </c>
      <c r="V448" s="32">
        <f t="shared" si="27"/>
        <v>26</v>
      </c>
      <c r="W448" s="36">
        <f t="shared" si="28"/>
        <v>0.05</v>
      </c>
    </row>
    <row r="449" spans="4:23" ht="27" customHeight="1" x14ac:dyDescent="0.25">
      <c r="D449" s="14" t="s">
        <v>1945</v>
      </c>
      <c r="E449" s="14" t="s">
        <v>1946</v>
      </c>
      <c r="F449" s="84" t="s">
        <v>471</v>
      </c>
      <c r="G449" s="15" t="s">
        <v>27</v>
      </c>
      <c r="H449" s="16" t="s">
        <v>1947</v>
      </c>
      <c r="I449" s="17"/>
      <c r="J449" s="17"/>
      <c r="K449" s="17"/>
      <c r="L449" s="17"/>
      <c r="N449" s="31">
        <v>447</v>
      </c>
      <c r="O449" s="32" t="s">
        <v>1948</v>
      </c>
      <c r="P449" s="33" t="s">
        <v>57</v>
      </c>
      <c r="Q449" s="32" t="s">
        <v>32</v>
      </c>
      <c r="R449" s="69">
        <v>44260.687858796293</v>
      </c>
      <c r="S449" s="71">
        <v>44322</v>
      </c>
      <c r="T449" s="32" t="str">
        <f t="shared" si="25"/>
        <v>+0842-22196***</v>
      </c>
      <c r="U449" s="32" t="str">
        <f t="shared" ca="1" si="26"/>
        <v>kaya***@jossmail.com</v>
      </c>
      <c r="V449" s="32">
        <f t="shared" si="27"/>
        <v>26</v>
      </c>
      <c r="W449" s="36">
        <f t="shared" si="28"/>
        <v>0.05</v>
      </c>
    </row>
    <row r="450" spans="4:23" ht="27" customHeight="1" x14ac:dyDescent="0.25">
      <c r="D450" s="14" t="s">
        <v>1949</v>
      </c>
      <c r="E450" s="14" t="s">
        <v>1950</v>
      </c>
      <c r="F450" s="84" t="s">
        <v>129</v>
      </c>
      <c r="G450" s="15" t="s">
        <v>27</v>
      </c>
      <c r="H450" s="16" t="s">
        <v>1951</v>
      </c>
      <c r="I450" s="17"/>
      <c r="J450" s="17"/>
      <c r="K450" s="17"/>
      <c r="L450" s="17"/>
      <c r="N450" s="31">
        <v>448</v>
      </c>
      <c r="O450" s="32" t="s">
        <v>1952</v>
      </c>
      <c r="P450" s="33" t="s">
        <v>57</v>
      </c>
      <c r="Q450" s="32" t="s">
        <v>40</v>
      </c>
      <c r="R450" s="69">
        <v>43889.096354166664</v>
      </c>
      <c r="S450" s="71">
        <v>44354</v>
      </c>
      <c r="T450" s="32" t="str">
        <f t="shared" si="25"/>
        <v>+6283288601***</v>
      </c>
      <c r="U450" s="32" t="str">
        <f t="shared" ca="1" si="26"/>
        <v>bray***@jossmail.com</v>
      </c>
      <c r="V450" s="32">
        <f t="shared" si="27"/>
        <v>25</v>
      </c>
      <c r="W450" s="36">
        <f t="shared" si="28"/>
        <v>6.5000000000000002E-2</v>
      </c>
    </row>
    <row r="451" spans="4:23" ht="27" customHeight="1" x14ac:dyDescent="0.25">
      <c r="D451" s="14" t="s">
        <v>1953</v>
      </c>
      <c r="E451" s="14" t="s">
        <v>1954</v>
      </c>
      <c r="F451" s="84" t="s">
        <v>206</v>
      </c>
      <c r="G451" s="15" t="s">
        <v>27</v>
      </c>
      <c r="H451" s="16" t="s">
        <v>1955</v>
      </c>
      <c r="I451" s="17"/>
      <c r="J451" s="17"/>
      <c r="K451" s="17"/>
      <c r="L451" s="17"/>
      <c r="N451" s="31">
        <v>449</v>
      </c>
      <c r="O451" s="32" t="s">
        <v>1956</v>
      </c>
      <c r="P451" s="33" t="s">
        <v>57</v>
      </c>
      <c r="Q451" s="32" t="s">
        <v>32</v>
      </c>
      <c r="R451" s="69">
        <v>44260.694722222222</v>
      </c>
      <c r="S451" s="71">
        <v>44321</v>
      </c>
      <c r="T451" s="32" t="str">
        <f t="shared" si="25"/>
        <v>+0812-19418***</v>
      </c>
      <c r="U451" s="32" t="str">
        <f t="shared" ca="1" si="26"/>
        <v>wayn***@jossmail.com</v>
      </c>
      <c r="V451" s="32">
        <f t="shared" si="27"/>
        <v>26</v>
      </c>
      <c r="W451" s="36">
        <f t="shared" si="28"/>
        <v>0.05</v>
      </c>
    </row>
    <row r="452" spans="4:23" ht="27" customHeight="1" x14ac:dyDescent="0.25">
      <c r="D452" s="14" t="s">
        <v>1957</v>
      </c>
      <c r="E452" s="14" t="s">
        <v>1958</v>
      </c>
      <c r="F452" s="84" t="s">
        <v>909</v>
      </c>
      <c r="G452" s="15" t="s">
        <v>27</v>
      </c>
      <c r="H452" s="16" t="s">
        <v>1959</v>
      </c>
      <c r="I452" s="17"/>
      <c r="J452" s="17"/>
      <c r="K452" s="17"/>
      <c r="L452" s="17"/>
      <c r="N452" s="31">
        <v>450</v>
      </c>
      <c r="O452" s="32" t="s">
        <v>1960</v>
      </c>
      <c r="P452" s="33" t="s">
        <v>57</v>
      </c>
      <c r="Q452" s="32" t="s">
        <v>40</v>
      </c>
      <c r="R452" s="69">
        <v>43752.725023148145</v>
      </c>
      <c r="S452" s="71">
        <v>44332</v>
      </c>
      <c r="T452" s="32" t="str">
        <f t="shared" si="25"/>
        <v>+0852-90755***</v>
      </c>
      <c r="U452" s="32" t="str">
        <f t="shared" ca="1" si="26"/>
        <v>davi***@yuhuumail.com</v>
      </c>
      <c r="V452" s="32">
        <f t="shared" si="27"/>
        <v>25</v>
      </c>
      <c r="W452" s="36">
        <f t="shared" si="28"/>
        <v>6.5000000000000002E-2</v>
      </c>
    </row>
    <row r="453" spans="4:23" ht="27" customHeight="1" x14ac:dyDescent="0.25">
      <c r="D453" s="14" t="s">
        <v>1961</v>
      </c>
      <c r="E453" s="14" t="s">
        <v>1962</v>
      </c>
      <c r="F453" s="84" t="s">
        <v>417</v>
      </c>
      <c r="G453" s="15" t="s">
        <v>27</v>
      </c>
      <c r="H453" s="16" t="s">
        <v>1963</v>
      </c>
      <c r="I453" s="17"/>
      <c r="J453" s="17"/>
      <c r="K453" s="17"/>
      <c r="L453" s="17"/>
      <c r="N453" s="31">
        <v>451</v>
      </c>
      <c r="O453" s="32" t="s">
        <v>1964</v>
      </c>
      <c r="P453" s="33" t="s">
        <v>42</v>
      </c>
      <c r="Q453" s="32" t="s">
        <v>32</v>
      </c>
      <c r="R453" s="69">
        <v>44260.70890046296</v>
      </c>
      <c r="S453" s="71">
        <v>44320</v>
      </c>
      <c r="T453" s="32" t="str">
        <f t="shared" ref="T453:T516" si="29">"+"&amp;_xlfn.XLOOKUP($O453, $E$2:$E$3002, $H$2:$H$3002, "Not Found")</f>
        <v>+083295434***</v>
      </c>
      <c r="U453" s="32" t="str">
        <f t="shared" ref="U453:U516" ca="1" si="30" xml:space="preserve"> LOWER(LEFT(_xlfn.XLOOKUP($O453, $E$2:$E$3002, $D$2:$D$3002), 4))
  &amp; "***@"
  &amp; IF(RAND()&gt;0.5, "jossmail.com", "yuhuumail.com")</f>
        <v>shaw***@yuhuumail.com</v>
      </c>
      <c r="V453" s="32">
        <f t="shared" ref="V453:V516" si="31">DATEDIF(_xlfn.XLOOKUP($O453, $E$2:$E$3002, $F$2:$F$3002), $R453, "Y")</f>
        <v>26</v>
      </c>
      <c r="W453" s="36">
        <f t="shared" ref="W453:W516" si="32">IF(DATEDIF($R453, $S453, "Y") &gt;= 3, 0.025,
   IF(DATEDIF($R453, $S453, "Y") &gt;= 1, 0.015, 0)) +
 IF($V453 &gt;= 50, 0.04,
   IF($V453 &gt;= 40, 0.03,
     IF($V453 &gt;= 30, 0.02,
       IF($V453 &gt;= 20, 0.05, 0))))</f>
        <v>0.05</v>
      </c>
    </row>
    <row r="454" spans="4:23" ht="27" customHeight="1" x14ac:dyDescent="0.25">
      <c r="D454" s="14" t="s">
        <v>1965</v>
      </c>
      <c r="E454" s="14" t="s">
        <v>1966</v>
      </c>
      <c r="F454" s="84" t="s">
        <v>402</v>
      </c>
      <c r="G454" s="15" t="s">
        <v>27</v>
      </c>
      <c r="H454" s="16" t="s">
        <v>1967</v>
      </c>
      <c r="I454" s="17"/>
      <c r="J454" s="17"/>
      <c r="K454" s="17"/>
      <c r="L454" s="17"/>
      <c r="N454" s="31">
        <v>452</v>
      </c>
      <c r="O454" s="32" t="s">
        <v>1968</v>
      </c>
      <c r="P454" s="33" t="s">
        <v>57</v>
      </c>
      <c r="Q454" s="32" t="s">
        <v>40</v>
      </c>
      <c r="R454" s="69">
        <v>44260.710717592592</v>
      </c>
      <c r="S454" s="71">
        <v>44357</v>
      </c>
      <c r="T454" s="32" t="str">
        <f t="shared" si="29"/>
        <v>+0822 32849***</v>
      </c>
      <c r="U454" s="32" t="str">
        <f t="shared" ca="1" si="30"/>
        <v>reyn***@jossmail.com</v>
      </c>
      <c r="V454" s="32">
        <f t="shared" si="31"/>
        <v>26</v>
      </c>
      <c r="W454" s="36">
        <f t="shared" si="32"/>
        <v>0.05</v>
      </c>
    </row>
    <row r="455" spans="4:23" ht="27" customHeight="1" x14ac:dyDescent="0.25">
      <c r="D455" s="14" t="s">
        <v>1969</v>
      </c>
      <c r="E455" s="14" t="s">
        <v>1190</v>
      </c>
      <c r="F455" s="84" t="s">
        <v>490</v>
      </c>
      <c r="G455" s="15" t="s">
        <v>68</v>
      </c>
      <c r="H455" s="16" t="s">
        <v>1970</v>
      </c>
      <c r="I455" s="17"/>
      <c r="J455" s="17"/>
      <c r="K455" s="17"/>
      <c r="L455" s="17"/>
      <c r="N455" s="31">
        <v>453</v>
      </c>
      <c r="O455" s="32" t="s">
        <v>1971</v>
      </c>
      <c r="P455" s="33" t="s">
        <v>42</v>
      </c>
      <c r="Q455" s="32" t="s">
        <v>32</v>
      </c>
      <c r="R455" s="69">
        <v>44260.716979166667</v>
      </c>
      <c r="S455" s="71">
        <v>44356</v>
      </c>
      <c r="T455" s="32" t="str">
        <f t="shared" si="29"/>
        <v>+83241030***</v>
      </c>
      <c r="U455" s="32" t="str">
        <f t="shared" ca="1" si="30"/>
        <v>joel***@jossmail.com</v>
      </c>
      <c r="V455" s="32">
        <f t="shared" si="31"/>
        <v>26</v>
      </c>
      <c r="W455" s="36">
        <f t="shared" si="32"/>
        <v>0.05</v>
      </c>
    </row>
    <row r="456" spans="4:23" ht="27" customHeight="1" x14ac:dyDescent="0.25">
      <c r="D456" s="14" t="s">
        <v>1972</v>
      </c>
      <c r="E456" s="14" t="s">
        <v>1973</v>
      </c>
      <c r="F456" s="84" t="s">
        <v>92</v>
      </c>
      <c r="G456" s="15" t="s">
        <v>27</v>
      </c>
      <c r="H456" s="16" t="s">
        <v>1974</v>
      </c>
      <c r="I456" s="17"/>
      <c r="J456" s="17"/>
      <c r="K456" s="17"/>
      <c r="L456" s="17"/>
      <c r="N456" s="31">
        <v>454</v>
      </c>
      <c r="O456" s="32" t="s">
        <v>1975</v>
      </c>
      <c r="P456" s="33" t="s">
        <v>42</v>
      </c>
      <c r="Q456" s="32" t="s">
        <v>40</v>
      </c>
      <c r="R456" s="69">
        <v>44259.909733796296</v>
      </c>
      <c r="S456" s="71">
        <v>44362</v>
      </c>
      <c r="T456" s="32" t="str">
        <f t="shared" si="29"/>
        <v>+085249480***</v>
      </c>
      <c r="U456" s="32" t="str">
        <f t="shared" ca="1" si="30"/>
        <v>dalt***@jossmail.com</v>
      </c>
      <c r="V456" s="32">
        <f t="shared" si="31"/>
        <v>26</v>
      </c>
      <c r="W456" s="36">
        <f t="shared" si="32"/>
        <v>0.05</v>
      </c>
    </row>
    <row r="457" spans="4:23" ht="27" customHeight="1" x14ac:dyDescent="0.25">
      <c r="D457" s="14" t="s">
        <v>1976</v>
      </c>
      <c r="E457" s="14" t="s">
        <v>1977</v>
      </c>
      <c r="F457" s="84" t="s">
        <v>386</v>
      </c>
      <c r="G457" s="15" t="s">
        <v>27</v>
      </c>
      <c r="H457" s="16" t="s">
        <v>1978</v>
      </c>
      <c r="I457" s="17"/>
      <c r="J457" s="17"/>
      <c r="K457" s="17"/>
      <c r="L457" s="17"/>
      <c r="N457" s="31">
        <v>455</v>
      </c>
      <c r="O457" s="32" t="s">
        <v>1979</v>
      </c>
      <c r="P457" s="33" t="s">
        <v>31</v>
      </c>
      <c r="Q457" s="32" t="s">
        <v>32</v>
      </c>
      <c r="R457" s="69">
        <v>44260.736319444448</v>
      </c>
      <c r="S457" s="35">
        <v>44320</v>
      </c>
      <c r="T457" s="32" t="str">
        <f t="shared" si="29"/>
        <v>+83232457***</v>
      </c>
      <c r="U457" s="32" t="str">
        <f t="shared" ca="1" si="30"/>
        <v>niko***@yuhuumail.com</v>
      </c>
      <c r="V457" s="32">
        <f t="shared" si="31"/>
        <v>26</v>
      </c>
      <c r="W457" s="36">
        <f t="shared" si="32"/>
        <v>0.05</v>
      </c>
    </row>
    <row r="458" spans="4:23" ht="27" customHeight="1" x14ac:dyDescent="0.25">
      <c r="D458" s="14" t="s">
        <v>1980</v>
      </c>
      <c r="E458" s="14" t="s">
        <v>1981</v>
      </c>
      <c r="F458" s="84" t="s">
        <v>485</v>
      </c>
      <c r="G458" s="15" t="s">
        <v>27</v>
      </c>
      <c r="H458" s="16" t="s">
        <v>1982</v>
      </c>
      <c r="I458" s="17"/>
      <c r="J458" s="17"/>
      <c r="K458" s="17"/>
      <c r="L458" s="17"/>
      <c r="N458" s="31">
        <v>456</v>
      </c>
      <c r="O458" s="32" t="s">
        <v>1983</v>
      </c>
      <c r="P458" s="33" t="s">
        <v>42</v>
      </c>
      <c r="Q458" s="32" t="s">
        <v>40</v>
      </c>
      <c r="R458" s="69">
        <v>44260.599212962959</v>
      </c>
      <c r="S458" s="35">
        <v>44354</v>
      </c>
      <c r="T458" s="32" t="str">
        <f t="shared" si="29"/>
        <v>+85235567***</v>
      </c>
      <c r="U458" s="32" t="str">
        <f t="shared" ca="1" si="30"/>
        <v>pipe***@yuhuumail.com</v>
      </c>
      <c r="V458" s="32">
        <f t="shared" si="31"/>
        <v>26</v>
      </c>
      <c r="W458" s="36">
        <f t="shared" si="32"/>
        <v>0.05</v>
      </c>
    </row>
    <row r="459" spans="4:23" ht="27" customHeight="1" x14ac:dyDescent="0.25">
      <c r="D459" s="14" t="s">
        <v>1984</v>
      </c>
      <c r="E459" s="14" t="s">
        <v>1985</v>
      </c>
      <c r="F459" s="84" t="s">
        <v>92</v>
      </c>
      <c r="G459" s="15" t="s">
        <v>27</v>
      </c>
      <c r="H459" s="16" t="s">
        <v>1986</v>
      </c>
      <c r="I459" s="17"/>
      <c r="J459" s="17"/>
      <c r="K459" s="17"/>
      <c r="L459" s="17"/>
      <c r="N459" s="31">
        <v>457</v>
      </c>
      <c r="O459" s="32" t="s">
        <v>1987</v>
      </c>
      <c r="P459" s="33" t="s">
        <v>31</v>
      </c>
      <c r="Q459" s="32" t="s">
        <v>32</v>
      </c>
      <c r="R459" s="69">
        <v>44260.741539351853</v>
      </c>
      <c r="S459" s="35">
        <v>44318</v>
      </c>
      <c r="T459" s="32" t="str">
        <f t="shared" si="29"/>
        <v>+81226660***</v>
      </c>
      <c r="U459" s="32" t="str">
        <f t="shared" ca="1" si="30"/>
        <v>brai***@yuhuumail.com</v>
      </c>
      <c r="V459" s="32">
        <f t="shared" si="31"/>
        <v>26</v>
      </c>
      <c r="W459" s="36">
        <f t="shared" si="32"/>
        <v>0.05</v>
      </c>
    </row>
    <row r="460" spans="4:23" ht="27" customHeight="1" x14ac:dyDescent="0.25">
      <c r="D460" s="14" t="s">
        <v>1988</v>
      </c>
      <c r="E460" s="14" t="s">
        <v>1989</v>
      </c>
      <c r="F460" s="84" t="s">
        <v>1626</v>
      </c>
      <c r="G460" s="15" t="s">
        <v>27</v>
      </c>
      <c r="H460" s="16" t="s">
        <v>1990</v>
      </c>
      <c r="I460" s="17"/>
      <c r="J460" s="17"/>
      <c r="K460" s="17"/>
      <c r="L460" s="17"/>
      <c r="N460" s="31">
        <v>458</v>
      </c>
      <c r="O460" s="32" t="s">
        <v>1991</v>
      </c>
      <c r="P460" s="33" t="s">
        <v>31</v>
      </c>
      <c r="Q460" s="32" t="s">
        <v>40</v>
      </c>
      <c r="R460" s="69">
        <v>44260.746655092589</v>
      </c>
      <c r="S460" s="35">
        <v>44318</v>
      </c>
      <c r="T460" s="32" t="str">
        <f t="shared" si="29"/>
        <v>+82266647***</v>
      </c>
      <c r="U460" s="32" t="str">
        <f t="shared" ca="1" si="30"/>
        <v>phoe***@jossmail.com</v>
      </c>
      <c r="V460" s="32">
        <f t="shared" si="31"/>
        <v>26</v>
      </c>
      <c r="W460" s="36">
        <f t="shared" si="32"/>
        <v>0.05</v>
      </c>
    </row>
    <row r="461" spans="4:23" ht="27" customHeight="1" x14ac:dyDescent="0.25">
      <c r="D461" s="14" t="s">
        <v>1992</v>
      </c>
      <c r="E461" s="14" t="s">
        <v>1993</v>
      </c>
      <c r="F461" s="84" t="s">
        <v>261</v>
      </c>
      <c r="G461" s="15" t="s">
        <v>68</v>
      </c>
      <c r="H461" s="16" t="s">
        <v>1994</v>
      </c>
      <c r="I461" s="17"/>
      <c r="J461" s="17"/>
      <c r="K461" s="17"/>
      <c r="L461" s="17"/>
      <c r="N461" s="31">
        <v>459</v>
      </c>
      <c r="O461" s="32" t="s">
        <v>199</v>
      </c>
      <c r="P461" s="33" t="s">
        <v>57</v>
      </c>
      <c r="Q461" s="32" t="s">
        <v>32</v>
      </c>
      <c r="R461" s="69">
        <v>44260.748194444444</v>
      </c>
      <c r="S461" s="35">
        <v>44336</v>
      </c>
      <c r="T461" s="32" t="str">
        <f t="shared" si="29"/>
        <v>+081216368***</v>
      </c>
      <c r="U461" s="32" t="str">
        <f t="shared" ca="1" si="30"/>
        <v>indi***@yuhuumail.com</v>
      </c>
      <c r="V461" s="32">
        <f t="shared" si="31"/>
        <v>26</v>
      </c>
      <c r="W461" s="36">
        <f t="shared" si="32"/>
        <v>0.05</v>
      </c>
    </row>
    <row r="462" spans="4:23" ht="27" customHeight="1" x14ac:dyDescent="0.25">
      <c r="D462" s="14" t="s">
        <v>1995</v>
      </c>
      <c r="E462" s="14" t="s">
        <v>1996</v>
      </c>
      <c r="F462" s="84" t="s">
        <v>566</v>
      </c>
      <c r="G462" s="15" t="s">
        <v>27</v>
      </c>
      <c r="H462" s="16" t="s">
        <v>1997</v>
      </c>
      <c r="I462" s="17"/>
      <c r="J462" s="17"/>
      <c r="K462" s="17"/>
      <c r="L462" s="17"/>
      <c r="N462" s="31">
        <v>460</v>
      </c>
      <c r="O462" s="32" t="s">
        <v>1998</v>
      </c>
      <c r="P462" s="33" t="s">
        <v>31</v>
      </c>
      <c r="Q462" s="32" t="s">
        <v>40</v>
      </c>
      <c r="R462" s="69">
        <v>44260.760601851849</v>
      </c>
      <c r="S462" s="35">
        <v>44319</v>
      </c>
      <c r="T462" s="32" t="str">
        <f t="shared" si="29"/>
        <v>+82259504***</v>
      </c>
      <c r="U462" s="32" t="str">
        <f t="shared" ca="1" si="30"/>
        <v>jayc***@jossmail.com</v>
      </c>
      <c r="V462" s="32">
        <f t="shared" si="31"/>
        <v>26</v>
      </c>
      <c r="W462" s="36">
        <f t="shared" si="32"/>
        <v>0.05</v>
      </c>
    </row>
    <row r="463" spans="4:23" ht="27" customHeight="1" x14ac:dyDescent="0.25">
      <c r="D463" s="14" t="s">
        <v>1999</v>
      </c>
      <c r="E463" s="14" t="s">
        <v>2000</v>
      </c>
      <c r="F463" s="84" t="s">
        <v>51</v>
      </c>
      <c r="G463" s="15" t="s">
        <v>27</v>
      </c>
      <c r="H463" s="16" t="s">
        <v>2001</v>
      </c>
      <c r="I463" s="17"/>
      <c r="J463" s="17"/>
      <c r="K463" s="17"/>
      <c r="L463" s="17"/>
      <c r="N463" s="31">
        <v>461</v>
      </c>
      <c r="O463" s="32" t="s">
        <v>2002</v>
      </c>
      <c r="P463" s="33" t="s">
        <v>57</v>
      </c>
      <c r="Q463" s="32" t="s">
        <v>32</v>
      </c>
      <c r="R463" s="69">
        <v>44260.770300925928</v>
      </c>
      <c r="S463" s="35">
        <v>44322</v>
      </c>
      <c r="T463" s="32" t="str">
        <f t="shared" si="29"/>
        <v>+85240265***</v>
      </c>
      <c r="U463" s="32" t="str">
        <f t="shared" ca="1" si="30"/>
        <v>vivi***@jossmail.com</v>
      </c>
      <c r="V463" s="32">
        <f t="shared" si="31"/>
        <v>26</v>
      </c>
      <c r="W463" s="36">
        <f t="shared" si="32"/>
        <v>0.05</v>
      </c>
    </row>
    <row r="464" spans="4:23" ht="27" customHeight="1" x14ac:dyDescent="0.25">
      <c r="D464" s="14" t="s">
        <v>2003</v>
      </c>
      <c r="E464" s="14" t="s">
        <v>2004</v>
      </c>
      <c r="F464" s="84" t="s">
        <v>290</v>
      </c>
      <c r="G464" s="15" t="s">
        <v>27</v>
      </c>
      <c r="H464" s="16" t="s">
        <v>2005</v>
      </c>
      <c r="I464" s="17"/>
      <c r="J464" s="17"/>
      <c r="K464" s="17"/>
      <c r="L464" s="17"/>
      <c r="N464" s="31">
        <v>462</v>
      </c>
      <c r="O464" s="32" t="s">
        <v>2006</v>
      </c>
      <c r="P464" s="33" t="s">
        <v>42</v>
      </c>
      <c r="Q464" s="32" t="s">
        <v>40</v>
      </c>
      <c r="R464" s="69">
        <v>44260.781064814815</v>
      </c>
      <c r="S464" s="35">
        <v>44356</v>
      </c>
      <c r="T464" s="32" t="str">
        <f t="shared" si="29"/>
        <v>+0852-55259***</v>
      </c>
      <c r="U464" s="32" t="str">
        <f t="shared" ca="1" si="30"/>
        <v>remi***@yuhuumail.com</v>
      </c>
      <c r="V464" s="32">
        <f t="shared" si="31"/>
        <v>26</v>
      </c>
      <c r="W464" s="36">
        <f t="shared" si="32"/>
        <v>0.05</v>
      </c>
    </row>
    <row r="465" spans="4:23" ht="27" customHeight="1" x14ac:dyDescent="0.25">
      <c r="D465" s="14" t="s">
        <v>2007</v>
      </c>
      <c r="E465" s="14" t="s">
        <v>2008</v>
      </c>
      <c r="F465" s="84" t="s">
        <v>129</v>
      </c>
      <c r="G465" s="15" t="s">
        <v>27</v>
      </c>
      <c r="H465" s="16" t="s">
        <v>2009</v>
      </c>
      <c r="I465" s="17"/>
      <c r="J465" s="17"/>
      <c r="K465" s="17"/>
      <c r="L465" s="17"/>
      <c r="N465" s="31">
        <v>463</v>
      </c>
      <c r="O465" s="32" t="s">
        <v>1068</v>
      </c>
      <c r="P465" s="33" t="s">
        <v>57</v>
      </c>
      <c r="Q465" s="32" t="s">
        <v>32</v>
      </c>
      <c r="R465" s="69">
        <v>44260.793634259258</v>
      </c>
      <c r="S465" s="35">
        <v>44320</v>
      </c>
      <c r="T465" s="32" t="str">
        <f t="shared" si="29"/>
        <v>+0852 65424***</v>
      </c>
      <c r="U465" s="32" t="str">
        <f t="shared" ca="1" si="30"/>
        <v>luci***@jossmail.com</v>
      </c>
      <c r="V465" s="32">
        <f t="shared" si="31"/>
        <v>26</v>
      </c>
      <c r="W465" s="36">
        <f t="shared" si="32"/>
        <v>0.05</v>
      </c>
    </row>
    <row r="466" spans="4:23" ht="27" customHeight="1" x14ac:dyDescent="0.25">
      <c r="D466" s="14" t="s">
        <v>2010</v>
      </c>
      <c r="E466" s="14" t="s">
        <v>2011</v>
      </c>
      <c r="F466" s="84" t="s">
        <v>592</v>
      </c>
      <c r="G466" s="15" t="s">
        <v>68</v>
      </c>
      <c r="H466" s="16" t="s">
        <v>2012</v>
      </c>
      <c r="I466" s="17"/>
      <c r="J466" s="17"/>
      <c r="K466" s="17"/>
      <c r="L466" s="17"/>
      <c r="N466" s="31">
        <v>464</v>
      </c>
      <c r="O466" s="32" t="s">
        <v>2013</v>
      </c>
      <c r="P466" s="33" t="s">
        <v>31</v>
      </c>
      <c r="Q466" s="32" t="s">
        <v>40</v>
      </c>
      <c r="R466" s="69">
        <v>44260.801157407404</v>
      </c>
      <c r="S466" s="35">
        <v>44362</v>
      </c>
      <c r="T466" s="32" t="str">
        <f t="shared" si="29"/>
        <v>+082223952***</v>
      </c>
      <c r="U466" s="32" t="str">
        <f t="shared" ca="1" si="30"/>
        <v>jade***@yuhuumail.com</v>
      </c>
      <c r="V466" s="32">
        <f t="shared" si="31"/>
        <v>26</v>
      </c>
      <c r="W466" s="36">
        <f t="shared" si="32"/>
        <v>0.05</v>
      </c>
    </row>
    <row r="467" spans="4:23" ht="27" customHeight="1" x14ac:dyDescent="0.25">
      <c r="D467" s="14" t="s">
        <v>2014</v>
      </c>
      <c r="E467" s="14" t="s">
        <v>795</v>
      </c>
      <c r="F467" s="84" t="s">
        <v>939</v>
      </c>
      <c r="G467" s="15" t="s">
        <v>27</v>
      </c>
      <c r="H467" s="16" t="s">
        <v>2015</v>
      </c>
      <c r="I467" s="17"/>
      <c r="J467" s="17"/>
      <c r="K467" s="17"/>
      <c r="L467" s="17"/>
      <c r="N467" s="31">
        <v>465</v>
      </c>
      <c r="O467" s="32" t="s">
        <v>2016</v>
      </c>
      <c r="P467" s="33" t="s">
        <v>31</v>
      </c>
      <c r="Q467" s="32" t="s">
        <v>32</v>
      </c>
      <c r="R467" s="69">
        <v>44260.806655092594</v>
      </c>
      <c r="S467" s="35">
        <v>44320</v>
      </c>
      <c r="T467" s="32" t="str">
        <f t="shared" si="29"/>
        <v>+0812-76721***</v>
      </c>
      <c r="U467" s="32" t="str">
        <f t="shared" ca="1" si="30"/>
        <v>alan***@jossmail.com</v>
      </c>
      <c r="V467" s="32">
        <f t="shared" si="31"/>
        <v>26</v>
      </c>
      <c r="W467" s="36">
        <f t="shared" si="32"/>
        <v>0.05</v>
      </c>
    </row>
    <row r="468" spans="4:23" ht="27" customHeight="1" x14ac:dyDescent="0.25">
      <c r="D468" s="14" t="s">
        <v>2017</v>
      </c>
      <c r="E468" s="14" t="s">
        <v>2018</v>
      </c>
      <c r="F468" s="84" t="s">
        <v>183</v>
      </c>
      <c r="G468" s="15" t="s">
        <v>68</v>
      </c>
      <c r="H468" s="16" t="s">
        <v>2019</v>
      </c>
      <c r="I468" s="17"/>
      <c r="J468" s="17"/>
      <c r="K468" s="17"/>
      <c r="L468" s="17"/>
      <c r="N468" s="31">
        <v>466</v>
      </c>
      <c r="O468" s="32" t="s">
        <v>1801</v>
      </c>
      <c r="P468" s="33" t="s">
        <v>31</v>
      </c>
      <c r="Q468" s="32" t="s">
        <v>40</v>
      </c>
      <c r="R468" s="69">
        <v>44260.810115740744</v>
      </c>
      <c r="S468" s="35">
        <v>44356</v>
      </c>
      <c r="T468" s="32" t="str">
        <f t="shared" si="29"/>
        <v>+6281252256***</v>
      </c>
      <c r="U468" s="32" t="str">
        <f t="shared" ca="1" si="30"/>
        <v>emer***@jossmail.com</v>
      </c>
      <c r="V468" s="32">
        <f t="shared" si="31"/>
        <v>26</v>
      </c>
      <c r="W468" s="36">
        <f t="shared" si="32"/>
        <v>0.05</v>
      </c>
    </row>
    <row r="469" spans="4:23" ht="27" customHeight="1" x14ac:dyDescent="0.25">
      <c r="D469" s="14" t="s">
        <v>2020</v>
      </c>
      <c r="E469" s="14" t="s">
        <v>2021</v>
      </c>
      <c r="F469" s="84" t="s">
        <v>129</v>
      </c>
      <c r="G469" s="15" t="s">
        <v>27</v>
      </c>
      <c r="H469" s="16" t="s">
        <v>2022</v>
      </c>
      <c r="I469" s="17"/>
      <c r="J469" s="17"/>
      <c r="K469" s="17"/>
      <c r="L469" s="17"/>
      <c r="N469" s="31">
        <v>467</v>
      </c>
      <c r="O469" s="32" t="s">
        <v>2023</v>
      </c>
      <c r="P469" s="33" t="s">
        <v>31</v>
      </c>
      <c r="Q469" s="32" t="s">
        <v>32</v>
      </c>
      <c r="R469" s="69">
        <v>44260.831180555557</v>
      </c>
      <c r="S469" s="35">
        <v>44356</v>
      </c>
      <c r="T469" s="32" t="str">
        <f t="shared" si="29"/>
        <v>+0812 94215***</v>
      </c>
      <c r="U469" s="32" t="str">
        <f t="shared" ca="1" si="30"/>
        <v>brya***@yuhuumail.com</v>
      </c>
      <c r="V469" s="32">
        <f t="shared" si="31"/>
        <v>26</v>
      </c>
      <c r="W469" s="36">
        <f t="shared" si="32"/>
        <v>0.05</v>
      </c>
    </row>
    <row r="470" spans="4:23" ht="27" customHeight="1" x14ac:dyDescent="0.25">
      <c r="D470" s="14" t="s">
        <v>2024</v>
      </c>
      <c r="E470" s="14" t="s">
        <v>2025</v>
      </c>
      <c r="F470" s="84" t="s">
        <v>46</v>
      </c>
      <c r="G470" s="15" t="s">
        <v>68</v>
      </c>
      <c r="H470" s="16" t="s">
        <v>2026</v>
      </c>
      <c r="I470" s="17"/>
      <c r="J470" s="17"/>
      <c r="K470" s="17"/>
      <c r="L470" s="17"/>
      <c r="N470" s="31">
        <v>468</v>
      </c>
      <c r="O470" s="32" t="s">
        <v>2027</v>
      </c>
      <c r="P470" s="33" t="s">
        <v>42</v>
      </c>
      <c r="Q470" s="32" t="s">
        <v>40</v>
      </c>
      <c r="R470" s="69">
        <v>42833.085185185184</v>
      </c>
      <c r="S470" s="35">
        <v>44352</v>
      </c>
      <c r="T470" s="32" t="str">
        <f t="shared" si="29"/>
        <v>+81297766***</v>
      </c>
      <c r="U470" s="32" t="str">
        <f t="shared" ca="1" si="30"/>
        <v>lydi***@jossmail.com</v>
      </c>
      <c r="V470" s="32">
        <f t="shared" si="31"/>
        <v>22</v>
      </c>
      <c r="W470" s="36">
        <f t="shared" si="32"/>
        <v>7.5000000000000011E-2</v>
      </c>
    </row>
    <row r="471" spans="4:23" ht="27" customHeight="1" x14ac:dyDescent="0.25">
      <c r="D471" s="14" t="s">
        <v>2028</v>
      </c>
      <c r="E471" s="14" t="s">
        <v>2029</v>
      </c>
      <c r="F471" s="84" t="s">
        <v>38</v>
      </c>
      <c r="G471" s="15" t="s">
        <v>68</v>
      </c>
      <c r="H471" s="16" t="s">
        <v>2030</v>
      </c>
      <c r="I471" s="17"/>
      <c r="J471" s="17"/>
      <c r="K471" s="17"/>
      <c r="L471" s="17"/>
      <c r="N471" s="31">
        <v>469</v>
      </c>
      <c r="O471" s="32" t="s">
        <v>2031</v>
      </c>
      <c r="P471" s="33" t="s">
        <v>42</v>
      </c>
      <c r="Q471" s="32" t="s">
        <v>32</v>
      </c>
      <c r="R471" s="69">
        <v>44260.841574074075</v>
      </c>
      <c r="S471" s="71">
        <v>44358</v>
      </c>
      <c r="T471" s="32" t="str">
        <f t="shared" si="29"/>
        <v>+083264534***</v>
      </c>
      <c r="U471" s="32" t="str">
        <f t="shared" ca="1" si="30"/>
        <v>tyre***@yuhuumail.com</v>
      </c>
      <c r="V471" s="32">
        <f t="shared" si="31"/>
        <v>26</v>
      </c>
      <c r="W471" s="36">
        <f t="shared" si="32"/>
        <v>0.05</v>
      </c>
    </row>
    <row r="472" spans="4:23" ht="27" customHeight="1" x14ac:dyDescent="0.25">
      <c r="D472" s="14" t="s">
        <v>2032</v>
      </c>
      <c r="E472" s="14" t="s">
        <v>2033</v>
      </c>
      <c r="F472" s="84" t="s">
        <v>439</v>
      </c>
      <c r="G472" s="15" t="s">
        <v>27</v>
      </c>
      <c r="H472" s="16" t="s">
        <v>2034</v>
      </c>
      <c r="I472" s="17"/>
      <c r="J472" s="17"/>
      <c r="K472" s="17"/>
      <c r="L472" s="17"/>
      <c r="N472" s="31">
        <v>470</v>
      </c>
      <c r="O472" s="32" t="s">
        <v>2035</v>
      </c>
      <c r="P472" s="33" t="s">
        <v>31</v>
      </c>
      <c r="Q472" s="32" t="s">
        <v>40</v>
      </c>
      <c r="R472" s="69">
        <v>44260.833495370367</v>
      </c>
      <c r="S472" s="71">
        <v>44362</v>
      </c>
      <c r="T472" s="32" t="str">
        <f t="shared" si="29"/>
        <v>+0852-48736***</v>
      </c>
      <c r="U472" s="32" t="str">
        <f t="shared" ca="1" si="30"/>
        <v>clar***@yuhuumail.com</v>
      </c>
      <c r="V472" s="32">
        <f t="shared" si="31"/>
        <v>26</v>
      </c>
      <c r="W472" s="36">
        <f t="shared" si="32"/>
        <v>0.05</v>
      </c>
    </row>
    <row r="473" spans="4:23" ht="27" customHeight="1" x14ac:dyDescent="0.25">
      <c r="D473" s="14" t="s">
        <v>2036</v>
      </c>
      <c r="E473" s="14" t="s">
        <v>2037</v>
      </c>
      <c r="F473" s="84" t="s">
        <v>847</v>
      </c>
      <c r="G473" s="15" t="s">
        <v>27</v>
      </c>
      <c r="H473" s="16" t="s">
        <v>2038</v>
      </c>
      <c r="I473" s="17"/>
      <c r="J473" s="17"/>
      <c r="K473" s="17"/>
      <c r="L473" s="17"/>
      <c r="N473" s="31">
        <v>471</v>
      </c>
      <c r="O473" s="32" t="s">
        <v>2039</v>
      </c>
      <c r="P473" s="33" t="s">
        <v>42</v>
      </c>
      <c r="Q473" s="32" t="s">
        <v>32</v>
      </c>
      <c r="R473" s="69">
        <v>44260.844293981485</v>
      </c>
      <c r="S473" s="71">
        <v>44318</v>
      </c>
      <c r="T473" s="32" t="str">
        <f t="shared" si="29"/>
        <v>+0822 74103***</v>
      </c>
      <c r="U473" s="32" t="str">
        <f t="shared" ca="1" si="30"/>
        <v>neil***@jossmail.com</v>
      </c>
      <c r="V473" s="32">
        <f t="shared" si="31"/>
        <v>26</v>
      </c>
      <c r="W473" s="36">
        <f t="shared" si="32"/>
        <v>0.05</v>
      </c>
    </row>
    <row r="474" spans="4:23" ht="27" customHeight="1" x14ac:dyDescent="0.25">
      <c r="D474" s="14" t="s">
        <v>2040</v>
      </c>
      <c r="E474" s="14" t="s">
        <v>2041</v>
      </c>
      <c r="F474" s="84" t="s">
        <v>321</v>
      </c>
      <c r="G474" s="15" t="s">
        <v>27</v>
      </c>
      <c r="H474" s="16" t="s">
        <v>2042</v>
      </c>
      <c r="I474" s="17"/>
      <c r="J474" s="17"/>
      <c r="K474" s="17"/>
      <c r="L474" s="17"/>
      <c r="N474" s="31">
        <v>472</v>
      </c>
      <c r="O474" s="32" t="s">
        <v>2043</v>
      </c>
      <c r="P474" s="33" t="s">
        <v>57</v>
      </c>
      <c r="Q474" s="32" t="s">
        <v>40</v>
      </c>
      <c r="R474" s="69">
        <v>43802.636354166665</v>
      </c>
      <c r="S474" s="71">
        <v>44362</v>
      </c>
      <c r="T474" s="32" t="str">
        <f t="shared" si="29"/>
        <v>+0812 24098***</v>
      </c>
      <c r="U474" s="32" t="str">
        <f t="shared" ca="1" si="30"/>
        <v>cono***@yuhuumail.com</v>
      </c>
      <c r="V474" s="32">
        <f t="shared" si="31"/>
        <v>25</v>
      </c>
      <c r="W474" s="36">
        <f t="shared" si="32"/>
        <v>6.5000000000000002E-2</v>
      </c>
    </row>
    <row r="475" spans="4:23" ht="27" customHeight="1" x14ac:dyDescent="0.25">
      <c r="D475" s="14" t="s">
        <v>2044</v>
      </c>
      <c r="E475" s="14" t="s">
        <v>2045</v>
      </c>
      <c r="F475" s="84" t="s">
        <v>61</v>
      </c>
      <c r="G475" s="15" t="s">
        <v>27</v>
      </c>
      <c r="H475" s="16" t="s">
        <v>2046</v>
      </c>
      <c r="I475" s="17"/>
      <c r="J475" s="17"/>
      <c r="K475" s="17"/>
      <c r="L475" s="17"/>
      <c r="N475" s="31">
        <v>473</v>
      </c>
      <c r="O475" s="32" t="s">
        <v>1890</v>
      </c>
      <c r="P475" s="33" t="s">
        <v>57</v>
      </c>
      <c r="Q475" s="32" t="s">
        <v>32</v>
      </c>
      <c r="R475" s="69">
        <v>44260.850937499999</v>
      </c>
      <c r="S475" s="71">
        <v>44352</v>
      </c>
      <c r="T475" s="32" t="str">
        <f t="shared" si="29"/>
        <v>+85256756***</v>
      </c>
      <c r="U475" s="32" t="str">
        <f t="shared" ca="1" si="30"/>
        <v>fran***@jossmail.com</v>
      </c>
      <c r="V475" s="32">
        <f t="shared" si="31"/>
        <v>26</v>
      </c>
      <c r="W475" s="36">
        <f t="shared" si="32"/>
        <v>0.05</v>
      </c>
    </row>
    <row r="476" spans="4:23" ht="27" customHeight="1" x14ac:dyDescent="0.25">
      <c r="D476" s="14" t="s">
        <v>2047</v>
      </c>
      <c r="E476" s="14" t="s">
        <v>2048</v>
      </c>
      <c r="F476" s="84" t="s">
        <v>266</v>
      </c>
      <c r="G476" s="15" t="s">
        <v>68</v>
      </c>
      <c r="H476" s="16" t="s">
        <v>2049</v>
      </c>
      <c r="I476" s="17"/>
      <c r="J476" s="17"/>
      <c r="K476" s="17"/>
      <c r="L476" s="17"/>
      <c r="N476" s="31">
        <v>474</v>
      </c>
      <c r="O476" s="32" t="s">
        <v>2050</v>
      </c>
      <c r="P476" s="33" t="s">
        <v>42</v>
      </c>
      <c r="Q476" s="32" t="s">
        <v>40</v>
      </c>
      <c r="R476" s="69">
        <v>44260.2187037037</v>
      </c>
      <c r="S476" s="71">
        <v>44352</v>
      </c>
      <c r="T476" s="32" t="str">
        <f t="shared" si="29"/>
        <v>+0832-91956***</v>
      </c>
      <c r="U476" s="32" t="str">
        <f t="shared" ca="1" si="30"/>
        <v>aman***@yuhuumail.com</v>
      </c>
      <c r="V476" s="32">
        <f t="shared" si="31"/>
        <v>26</v>
      </c>
      <c r="W476" s="36">
        <f t="shared" si="32"/>
        <v>0.05</v>
      </c>
    </row>
    <row r="477" spans="4:23" ht="27" customHeight="1" x14ac:dyDescent="0.25">
      <c r="D477" s="14" t="s">
        <v>2051</v>
      </c>
      <c r="E477" s="14" t="s">
        <v>2052</v>
      </c>
      <c r="F477" s="84" t="s">
        <v>524</v>
      </c>
      <c r="G477" s="15" t="s">
        <v>27</v>
      </c>
      <c r="H477" s="16" t="s">
        <v>2053</v>
      </c>
      <c r="I477" s="17"/>
      <c r="J477" s="17"/>
      <c r="K477" s="17"/>
      <c r="L477" s="17"/>
      <c r="N477" s="31">
        <v>475</v>
      </c>
      <c r="O477" s="32" t="s">
        <v>2054</v>
      </c>
      <c r="P477" s="33" t="s">
        <v>57</v>
      </c>
      <c r="Q477" s="32" t="s">
        <v>32</v>
      </c>
      <c r="R477" s="69">
        <v>44260.845972222225</v>
      </c>
      <c r="S477" s="71">
        <v>44318</v>
      </c>
      <c r="T477" s="32" t="str">
        <f t="shared" si="29"/>
        <v>+6285275730***</v>
      </c>
      <c r="U477" s="32" t="str">
        <f t="shared" ca="1" si="30"/>
        <v>espe***@jossmail.com</v>
      </c>
      <c r="V477" s="32">
        <f t="shared" si="31"/>
        <v>26</v>
      </c>
      <c r="W477" s="36">
        <f t="shared" si="32"/>
        <v>0.05</v>
      </c>
    </row>
    <row r="478" spans="4:23" ht="27" customHeight="1" x14ac:dyDescent="0.25">
      <c r="D478" s="14" t="s">
        <v>2055</v>
      </c>
      <c r="E478" s="14" t="s">
        <v>1831</v>
      </c>
      <c r="F478" s="84" t="s">
        <v>149</v>
      </c>
      <c r="G478" s="15" t="s">
        <v>27</v>
      </c>
      <c r="H478" s="16" t="s">
        <v>2056</v>
      </c>
      <c r="I478" s="17"/>
      <c r="J478" s="17"/>
      <c r="K478" s="17"/>
      <c r="L478" s="17"/>
      <c r="N478" s="31">
        <v>476</v>
      </c>
      <c r="O478" s="32" t="s">
        <v>2057</v>
      </c>
      <c r="P478" s="33" t="s">
        <v>31</v>
      </c>
      <c r="Q478" s="32" t="s">
        <v>40</v>
      </c>
      <c r="R478" s="69">
        <v>44034.503692129627</v>
      </c>
      <c r="S478" s="71">
        <v>44352</v>
      </c>
      <c r="T478" s="32" t="str">
        <f t="shared" si="29"/>
        <v>+0852-59787***</v>
      </c>
      <c r="U478" s="32" t="str">
        <f t="shared" ca="1" si="30"/>
        <v>rand***@yuhuumail.com</v>
      </c>
      <c r="V478" s="32">
        <f t="shared" si="31"/>
        <v>25</v>
      </c>
      <c r="W478" s="36">
        <f t="shared" si="32"/>
        <v>0.05</v>
      </c>
    </row>
    <row r="479" spans="4:23" ht="27" customHeight="1" x14ac:dyDescent="0.25">
      <c r="D479" s="14" t="s">
        <v>2058</v>
      </c>
      <c r="E479" s="14" t="s">
        <v>2059</v>
      </c>
      <c r="F479" s="84" t="s">
        <v>444</v>
      </c>
      <c r="G479" s="15" t="s">
        <v>27</v>
      </c>
      <c r="H479" s="16" t="s">
        <v>2060</v>
      </c>
      <c r="I479" s="17"/>
      <c r="J479" s="17"/>
      <c r="K479" s="17"/>
      <c r="L479" s="17"/>
      <c r="N479" s="31">
        <v>477</v>
      </c>
      <c r="O479" s="32" t="s">
        <v>2061</v>
      </c>
      <c r="P479" s="33" t="s">
        <v>31</v>
      </c>
      <c r="Q479" s="32" t="s">
        <v>32</v>
      </c>
      <c r="R479" s="69">
        <v>44258.871157407404</v>
      </c>
      <c r="S479" s="71">
        <v>44359</v>
      </c>
      <c r="T479" s="32" t="str">
        <f t="shared" si="29"/>
        <v>+81241973***</v>
      </c>
      <c r="U479" s="32" t="str">
        <f t="shared" ca="1" si="30"/>
        <v>eden***@jossmail.com</v>
      </c>
      <c r="V479" s="32">
        <f t="shared" si="31"/>
        <v>26</v>
      </c>
      <c r="W479" s="36">
        <f t="shared" si="32"/>
        <v>0.05</v>
      </c>
    </row>
    <row r="480" spans="4:23" ht="27" customHeight="1" x14ac:dyDescent="0.25">
      <c r="D480" s="14" t="s">
        <v>2062</v>
      </c>
      <c r="E480" s="14" t="s">
        <v>2063</v>
      </c>
      <c r="F480" s="84" t="s">
        <v>887</v>
      </c>
      <c r="G480" s="15" t="s">
        <v>68</v>
      </c>
      <c r="H480" s="16" t="s">
        <v>2064</v>
      </c>
      <c r="I480" s="17"/>
      <c r="J480" s="17"/>
      <c r="K480" s="17"/>
      <c r="L480" s="17"/>
      <c r="N480" s="31">
        <v>478</v>
      </c>
      <c r="O480" s="32" t="s">
        <v>933</v>
      </c>
      <c r="P480" s="33" t="s">
        <v>57</v>
      </c>
      <c r="Q480" s="32" t="s">
        <v>40</v>
      </c>
      <c r="R480" s="69">
        <v>44260.865949074076</v>
      </c>
      <c r="S480" s="71">
        <v>44356</v>
      </c>
      <c r="T480" s="32" t="str">
        <f t="shared" si="29"/>
        <v>+82267058***</v>
      </c>
      <c r="U480" s="32" t="str">
        <f t="shared" ca="1" si="30"/>
        <v>jess***@yuhuumail.com</v>
      </c>
      <c r="V480" s="32">
        <f t="shared" si="31"/>
        <v>26</v>
      </c>
      <c r="W480" s="36">
        <f t="shared" si="32"/>
        <v>0.05</v>
      </c>
    </row>
    <row r="481" spans="4:23" ht="27" customHeight="1" x14ac:dyDescent="0.25">
      <c r="D481" s="14" t="s">
        <v>2065</v>
      </c>
      <c r="E481" s="14" t="s">
        <v>2066</v>
      </c>
      <c r="F481" s="84" t="s">
        <v>206</v>
      </c>
      <c r="G481" s="15" t="s">
        <v>27</v>
      </c>
      <c r="H481" s="16" t="s">
        <v>2067</v>
      </c>
      <c r="I481" s="17"/>
      <c r="J481" s="17"/>
      <c r="K481" s="17"/>
      <c r="L481" s="17"/>
      <c r="N481" s="31">
        <v>479</v>
      </c>
      <c r="O481" s="32" t="s">
        <v>2068</v>
      </c>
      <c r="P481" s="33" t="s">
        <v>42</v>
      </c>
      <c r="Q481" s="32" t="s">
        <v>32</v>
      </c>
      <c r="R481" s="69">
        <v>43803.436678240738</v>
      </c>
      <c r="S481" s="71">
        <v>44354</v>
      </c>
      <c r="T481" s="32" t="str">
        <f t="shared" si="29"/>
        <v>+85235692***</v>
      </c>
      <c r="U481" s="32" t="str">
        <f t="shared" ca="1" si="30"/>
        <v>char***@jossmail.com</v>
      </c>
      <c r="V481" s="32">
        <f t="shared" si="31"/>
        <v>25</v>
      </c>
      <c r="W481" s="36">
        <f t="shared" si="32"/>
        <v>6.5000000000000002E-2</v>
      </c>
    </row>
    <row r="482" spans="4:23" ht="27" customHeight="1" x14ac:dyDescent="0.25">
      <c r="D482" s="14" t="s">
        <v>2069</v>
      </c>
      <c r="E482" s="14" t="s">
        <v>2070</v>
      </c>
      <c r="F482" s="84" t="s">
        <v>551</v>
      </c>
      <c r="G482" s="15" t="s">
        <v>27</v>
      </c>
      <c r="H482" s="16" t="s">
        <v>2071</v>
      </c>
      <c r="I482" s="17"/>
      <c r="J482" s="17"/>
      <c r="K482" s="17"/>
      <c r="L482" s="17"/>
      <c r="N482" s="31">
        <v>480</v>
      </c>
      <c r="O482" s="32" t="s">
        <v>2072</v>
      </c>
      <c r="P482" s="33" t="s">
        <v>31</v>
      </c>
      <c r="Q482" s="32" t="s">
        <v>40</v>
      </c>
      <c r="R482" s="69">
        <v>44260.904328703706</v>
      </c>
      <c r="S482" s="71">
        <v>44318</v>
      </c>
      <c r="T482" s="32" t="str">
        <f t="shared" si="29"/>
        <v>+85251736***</v>
      </c>
      <c r="U482" s="32" t="str">
        <f t="shared" ca="1" si="30"/>
        <v>brod***@jossmail.com</v>
      </c>
      <c r="V482" s="32">
        <f t="shared" si="31"/>
        <v>26</v>
      </c>
      <c r="W482" s="36">
        <f t="shared" si="32"/>
        <v>0.05</v>
      </c>
    </row>
    <row r="483" spans="4:23" ht="27" customHeight="1" x14ac:dyDescent="0.25">
      <c r="D483" s="14" t="s">
        <v>2073</v>
      </c>
      <c r="E483" s="14" t="s">
        <v>2074</v>
      </c>
      <c r="F483" s="84" t="s">
        <v>74</v>
      </c>
      <c r="G483" s="15" t="s">
        <v>27</v>
      </c>
      <c r="H483" s="16" t="s">
        <v>2075</v>
      </c>
      <c r="I483" s="17"/>
      <c r="J483" s="17"/>
      <c r="K483" s="17"/>
      <c r="L483" s="17"/>
      <c r="N483" s="31">
        <v>481</v>
      </c>
      <c r="O483" s="32" t="s">
        <v>2076</v>
      </c>
      <c r="P483" s="33" t="s">
        <v>31</v>
      </c>
      <c r="Q483" s="32" t="s">
        <v>32</v>
      </c>
      <c r="R483" s="69">
        <v>44260.929050925923</v>
      </c>
      <c r="S483" s="71">
        <v>44359</v>
      </c>
      <c r="T483" s="32" t="str">
        <f t="shared" si="29"/>
        <v>+0852 85120***</v>
      </c>
      <c r="U483" s="32" t="str">
        <f t="shared" ca="1" si="30"/>
        <v>giov***@jossmail.com</v>
      </c>
      <c r="V483" s="32">
        <f t="shared" si="31"/>
        <v>26</v>
      </c>
      <c r="W483" s="36">
        <f t="shared" si="32"/>
        <v>0.05</v>
      </c>
    </row>
    <row r="484" spans="4:23" ht="27" customHeight="1" x14ac:dyDescent="0.25">
      <c r="D484" s="14" t="s">
        <v>2077</v>
      </c>
      <c r="E484" s="14" t="s">
        <v>2078</v>
      </c>
      <c r="F484" s="84" t="s">
        <v>466</v>
      </c>
      <c r="G484" s="15" t="s">
        <v>27</v>
      </c>
      <c r="H484" s="16" t="s">
        <v>2079</v>
      </c>
      <c r="I484" s="17"/>
      <c r="J484" s="17"/>
      <c r="K484" s="17"/>
      <c r="L484" s="17"/>
      <c r="N484" s="31">
        <v>482</v>
      </c>
      <c r="O484" s="32" t="s">
        <v>2080</v>
      </c>
      <c r="P484" s="33" t="s">
        <v>31</v>
      </c>
      <c r="Q484" s="32" t="s">
        <v>40</v>
      </c>
      <c r="R484" s="69">
        <v>44260.933437500003</v>
      </c>
      <c r="S484" s="71">
        <v>44318</v>
      </c>
      <c r="T484" s="32" t="str">
        <f t="shared" si="29"/>
        <v>+822 90244***</v>
      </c>
      <c r="U484" s="32" t="str">
        <f t="shared" ca="1" si="30"/>
        <v>coop***@jossmail.com</v>
      </c>
      <c r="V484" s="32">
        <f t="shared" si="31"/>
        <v>26</v>
      </c>
      <c r="W484" s="36">
        <f t="shared" si="32"/>
        <v>0.05</v>
      </c>
    </row>
    <row r="485" spans="4:23" ht="27" customHeight="1" x14ac:dyDescent="0.25">
      <c r="D485" s="14" t="s">
        <v>2081</v>
      </c>
      <c r="E485" s="14" t="s">
        <v>2082</v>
      </c>
      <c r="F485" s="84" t="s">
        <v>480</v>
      </c>
      <c r="G485" s="15" t="s">
        <v>27</v>
      </c>
      <c r="H485" s="16" t="s">
        <v>2083</v>
      </c>
      <c r="I485" s="17"/>
      <c r="J485" s="17"/>
      <c r="K485" s="17"/>
      <c r="L485" s="17"/>
      <c r="N485" s="31">
        <v>483</v>
      </c>
      <c r="O485" s="32" t="s">
        <v>2084</v>
      </c>
      <c r="P485" s="33" t="s">
        <v>42</v>
      </c>
      <c r="Q485" s="32" t="s">
        <v>32</v>
      </c>
      <c r="R485" s="69">
        <v>44260.946493055555</v>
      </c>
      <c r="S485" s="71">
        <v>44320</v>
      </c>
      <c r="T485" s="32" t="str">
        <f t="shared" si="29"/>
        <v>+0822 85772***</v>
      </c>
      <c r="U485" s="32" t="str">
        <f t="shared" ca="1" si="30"/>
        <v>rome***@yuhuumail.com</v>
      </c>
      <c r="V485" s="32">
        <f t="shared" si="31"/>
        <v>26</v>
      </c>
      <c r="W485" s="36">
        <f t="shared" si="32"/>
        <v>0.05</v>
      </c>
    </row>
    <row r="486" spans="4:23" ht="27" customHeight="1" x14ac:dyDescent="0.25">
      <c r="D486" s="14" t="s">
        <v>2085</v>
      </c>
      <c r="E486" s="14" t="s">
        <v>2086</v>
      </c>
      <c r="F486" s="84" t="s">
        <v>402</v>
      </c>
      <c r="G486" s="15" t="s">
        <v>68</v>
      </c>
      <c r="H486" s="16" t="s">
        <v>2087</v>
      </c>
      <c r="I486" s="17"/>
      <c r="J486" s="17"/>
      <c r="K486" s="17"/>
      <c r="L486" s="17"/>
      <c r="N486" s="31">
        <v>484</v>
      </c>
      <c r="O486" s="32" t="s">
        <v>1279</v>
      </c>
      <c r="P486" s="33" t="s">
        <v>31</v>
      </c>
      <c r="Q486" s="32" t="s">
        <v>40</v>
      </c>
      <c r="R486" s="69">
        <v>43952.865671296298</v>
      </c>
      <c r="S486" s="71">
        <v>44318</v>
      </c>
      <c r="T486" s="32" t="str">
        <f t="shared" si="29"/>
        <v>+0852-28682***</v>
      </c>
      <c r="U486" s="32" t="str">
        <f t="shared" ca="1" si="30"/>
        <v>ahma***@jossmail.com</v>
      </c>
      <c r="V486" s="32">
        <f t="shared" si="31"/>
        <v>25</v>
      </c>
      <c r="W486" s="36">
        <f t="shared" si="32"/>
        <v>6.5000000000000002E-2</v>
      </c>
    </row>
    <row r="487" spans="4:23" ht="27" customHeight="1" x14ac:dyDescent="0.25">
      <c r="D487" s="14" t="s">
        <v>2088</v>
      </c>
      <c r="E487" s="14" t="s">
        <v>2089</v>
      </c>
      <c r="F487" s="84" t="s">
        <v>453</v>
      </c>
      <c r="G487" s="15" t="s">
        <v>68</v>
      </c>
      <c r="H487" s="16" t="s">
        <v>2090</v>
      </c>
      <c r="I487" s="17"/>
      <c r="J487" s="17"/>
      <c r="K487" s="17"/>
      <c r="L487" s="17"/>
      <c r="N487" s="31">
        <v>485</v>
      </c>
      <c r="O487" s="32" t="s">
        <v>2091</v>
      </c>
      <c r="P487" s="33" t="s">
        <v>57</v>
      </c>
      <c r="Q487" s="32" t="s">
        <v>32</v>
      </c>
      <c r="R487" s="69">
        <v>43199.688032407408</v>
      </c>
      <c r="S487" s="71">
        <v>44358</v>
      </c>
      <c r="T487" s="32" t="str">
        <f t="shared" si="29"/>
        <v>+822 66137***</v>
      </c>
      <c r="U487" s="32" t="str">
        <f t="shared" ca="1" si="30"/>
        <v>seli***@jossmail.com</v>
      </c>
      <c r="V487" s="32">
        <f t="shared" si="31"/>
        <v>23</v>
      </c>
      <c r="W487" s="36">
        <f t="shared" si="32"/>
        <v>7.5000000000000011E-2</v>
      </c>
    </row>
    <row r="488" spans="4:23" ht="27" customHeight="1" x14ac:dyDescent="0.25">
      <c r="D488" s="14" t="s">
        <v>2092</v>
      </c>
      <c r="E488" s="14" t="s">
        <v>1735</v>
      </c>
      <c r="F488" s="84" t="s">
        <v>211</v>
      </c>
      <c r="G488" s="15" t="s">
        <v>27</v>
      </c>
      <c r="H488" s="16" t="s">
        <v>2093</v>
      </c>
      <c r="I488" s="17"/>
      <c r="J488" s="17"/>
      <c r="K488" s="17"/>
      <c r="L488" s="17"/>
      <c r="N488" s="31">
        <v>486</v>
      </c>
      <c r="O488" s="32" t="s">
        <v>2094</v>
      </c>
      <c r="P488" s="33" t="s">
        <v>57</v>
      </c>
      <c r="Q488" s="32" t="s">
        <v>40</v>
      </c>
      <c r="R488" s="69">
        <v>44260.978090277778</v>
      </c>
      <c r="S488" s="71">
        <v>44352</v>
      </c>
      <c r="T488" s="32" t="str">
        <f t="shared" si="29"/>
        <v>+6282285647***</v>
      </c>
      <c r="U488" s="32" t="str">
        <f t="shared" ca="1" si="30"/>
        <v>hana***@yuhuumail.com</v>
      </c>
      <c r="V488" s="32">
        <f t="shared" si="31"/>
        <v>26</v>
      </c>
      <c r="W488" s="36">
        <f t="shared" si="32"/>
        <v>0.05</v>
      </c>
    </row>
    <row r="489" spans="4:23" ht="27" customHeight="1" x14ac:dyDescent="0.25">
      <c r="D489" s="14" t="s">
        <v>2095</v>
      </c>
      <c r="E489" s="14" t="s">
        <v>2096</v>
      </c>
      <c r="F489" s="84" t="s">
        <v>261</v>
      </c>
      <c r="G489" s="15" t="s">
        <v>68</v>
      </c>
      <c r="H489" s="16" t="s">
        <v>2097</v>
      </c>
      <c r="I489" s="17"/>
      <c r="J489" s="17"/>
      <c r="K489" s="17"/>
      <c r="L489" s="17"/>
      <c r="N489" s="31">
        <v>487</v>
      </c>
      <c r="O489" s="32" t="s">
        <v>2098</v>
      </c>
      <c r="P489" s="33" t="s">
        <v>57</v>
      </c>
      <c r="Q489" s="32" t="s">
        <v>32</v>
      </c>
      <c r="R489" s="69">
        <v>44261.004270833335</v>
      </c>
      <c r="S489" s="71">
        <v>44318</v>
      </c>
      <c r="T489" s="32" t="str">
        <f t="shared" si="29"/>
        <v>+0822 35435***</v>
      </c>
      <c r="U489" s="32" t="str">
        <f t="shared" ca="1" si="30"/>
        <v>kass***@jossmail.com</v>
      </c>
      <c r="V489" s="32">
        <f t="shared" si="31"/>
        <v>26</v>
      </c>
      <c r="W489" s="36">
        <f t="shared" si="32"/>
        <v>0.05</v>
      </c>
    </row>
    <row r="490" spans="4:23" ht="27" customHeight="1" x14ac:dyDescent="0.25">
      <c r="D490" s="14" t="s">
        <v>2099</v>
      </c>
      <c r="E490" s="14" t="s">
        <v>2100</v>
      </c>
      <c r="F490" s="84" t="s">
        <v>74</v>
      </c>
      <c r="G490" s="15" t="s">
        <v>27</v>
      </c>
      <c r="H490" s="16" t="s">
        <v>2101</v>
      </c>
      <c r="I490" s="17"/>
      <c r="J490" s="17"/>
      <c r="K490" s="17"/>
      <c r="L490" s="17"/>
      <c r="N490" s="31">
        <v>488</v>
      </c>
      <c r="O490" s="32" t="s">
        <v>2102</v>
      </c>
      <c r="P490" s="33" t="s">
        <v>42</v>
      </c>
      <c r="Q490" s="32" t="s">
        <v>40</v>
      </c>
      <c r="R490" s="69">
        <v>44259.631712962961</v>
      </c>
      <c r="S490" s="71">
        <v>44362</v>
      </c>
      <c r="T490" s="32" t="str">
        <f t="shared" si="29"/>
        <v>+6285289317***</v>
      </c>
      <c r="U490" s="32" t="str">
        <f t="shared" ca="1" si="30"/>
        <v>jenn***@yuhuumail.com</v>
      </c>
      <c r="V490" s="32">
        <f t="shared" si="31"/>
        <v>26</v>
      </c>
      <c r="W490" s="36">
        <f t="shared" si="32"/>
        <v>0.05</v>
      </c>
    </row>
    <row r="491" spans="4:23" ht="27" customHeight="1" x14ac:dyDescent="0.25">
      <c r="D491" s="14" t="s">
        <v>2103</v>
      </c>
      <c r="E491" s="14" t="s">
        <v>2104</v>
      </c>
      <c r="F491" s="84" t="s">
        <v>61</v>
      </c>
      <c r="G491" s="15" t="s">
        <v>68</v>
      </c>
      <c r="H491" s="16" t="s">
        <v>2105</v>
      </c>
      <c r="I491" s="17"/>
      <c r="J491" s="17"/>
      <c r="K491" s="17"/>
      <c r="L491" s="17"/>
      <c r="N491" s="31">
        <v>489</v>
      </c>
      <c r="O491" s="32" t="s">
        <v>2106</v>
      </c>
      <c r="P491" s="33" t="s">
        <v>42</v>
      </c>
      <c r="Q491" s="32" t="s">
        <v>32</v>
      </c>
      <c r="R491" s="69">
        <v>44261.018217592595</v>
      </c>
      <c r="S491" s="35">
        <v>44352</v>
      </c>
      <c r="T491" s="32" t="str">
        <f t="shared" si="29"/>
        <v>+0852-89657***</v>
      </c>
      <c r="U491" s="32" t="str">
        <f t="shared" ca="1" si="30"/>
        <v>erne***@jossmail.com</v>
      </c>
      <c r="V491" s="32">
        <f t="shared" si="31"/>
        <v>26</v>
      </c>
      <c r="W491" s="36">
        <f t="shared" si="32"/>
        <v>0.05</v>
      </c>
    </row>
    <row r="492" spans="4:23" ht="27" customHeight="1" x14ac:dyDescent="0.25">
      <c r="D492" s="14" t="s">
        <v>2107</v>
      </c>
      <c r="E492" s="14" t="s">
        <v>2108</v>
      </c>
      <c r="F492" s="84" t="s">
        <v>444</v>
      </c>
      <c r="G492" s="15" t="s">
        <v>68</v>
      </c>
      <c r="H492" s="16" t="s">
        <v>2109</v>
      </c>
      <c r="I492" s="17"/>
      <c r="J492" s="17"/>
      <c r="K492" s="17"/>
      <c r="L492" s="17"/>
      <c r="N492" s="31">
        <v>490</v>
      </c>
      <c r="O492" s="32" t="s">
        <v>2110</v>
      </c>
      <c r="P492" s="33" t="s">
        <v>31</v>
      </c>
      <c r="Q492" s="32" t="s">
        <v>40</v>
      </c>
      <c r="R492" s="69">
        <v>44259.525243055556</v>
      </c>
      <c r="S492" s="35">
        <v>44359</v>
      </c>
      <c r="T492" s="32" t="str">
        <f t="shared" si="29"/>
        <v>+082217244***</v>
      </c>
      <c r="U492" s="32" t="str">
        <f t="shared" ca="1" si="30"/>
        <v>shar***@yuhuumail.com</v>
      </c>
      <c r="V492" s="32">
        <f t="shared" si="31"/>
        <v>26</v>
      </c>
      <c r="W492" s="36">
        <f t="shared" si="32"/>
        <v>0.05</v>
      </c>
    </row>
    <row r="493" spans="4:23" ht="27" customHeight="1" x14ac:dyDescent="0.25">
      <c r="D493" s="14" t="s">
        <v>2111</v>
      </c>
      <c r="E493" s="14" t="s">
        <v>1047</v>
      </c>
      <c r="F493" s="84" t="s">
        <v>587</v>
      </c>
      <c r="G493" s="15" t="s">
        <v>68</v>
      </c>
      <c r="H493" s="16" t="s">
        <v>2112</v>
      </c>
      <c r="I493" s="17"/>
      <c r="J493" s="17"/>
      <c r="K493" s="17"/>
      <c r="L493" s="17"/>
      <c r="N493" s="31">
        <v>491</v>
      </c>
      <c r="O493" s="32" t="s">
        <v>2113</v>
      </c>
      <c r="P493" s="33" t="s">
        <v>57</v>
      </c>
      <c r="Q493" s="32" t="s">
        <v>32</v>
      </c>
      <c r="R493" s="69">
        <v>44260.899305555555</v>
      </c>
      <c r="S493" s="35">
        <v>44352</v>
      </c>
      <c r="T493" s="32" t="str">
        <f t="shared" si="29"/>
        <v>+842 26982***</v>
      </c>
      <c r="U493" s="32" t="str">
        <f t="shared" ca="1" si="30"/>
        <v>kyma***@yuhuumail.com</v>
      </c>
      <c r="V493" s="32">
        <f t="shared" si="31"/>
        <v>26</v>
      </c>
      <c r="W493" s="36">
        <f t="shared" si="32"/>
        <v>0.05</v>
      </c>
    </row>
    <row r="494" spans="4:23" ht="27" customHeight="1" x14ac:dyDescent="0.25">
      <c r="D494" s="14" t="s">
        <v>2114</v>
      </c>
      <c r="E494" s="14" t="s">
        <v>1477</v>
      </c>
      <c r="F494" s="84" t="s">
        <v>499</v>
      </c>
      <c r="G494" s="15" t="s">
        <v>68</v>
      </c>
      <c r="H494" s="16" t="s">
        <v>2115</v>
      </c>
      <c r="I494" s="17"/>
      <c r="J494" s="17"/>
      <c r="K494" s="17"/>
      <c r="L494" s="17"/>
      <c r="N494" s="31">
        <v>492</v>
      </c>
      <c r="O494" s="32" t="s">
        <v>2116</v>
      </c>
      <c r="P494" s="33" t="s">
        <v>42</v>
      </c>
      <c r="Q494" s="32" t="s">
        <v>40</v>
      </c>
      <c r="R494" s="69">
        <v>44261.116423611114</v>
      </c>
      <c r="S494" s="35">
        <v>44318</v>
      </c>
      <c r="T494" s="32" t="str">
        <f t="shared" si="29"/>
        <v>+842 83940***</v>
      </c>
      <c r="U494" s="32" t="str">
        <f t="shared" ca="1" si="30"/>
        <v>aubr***@jossmail.com</v>
      </c>
      <c r="V494" s="32">
        <f t="shared" si="31"/>
        <v>26</v>
      </c>
      <c r="W494" s="36">
        <f t="shared" si="32"/>
        <v>0.05</v>
      </c>
    </row>
    <row r="495" spans="4:23" ht="27" customHeight="1" x14ac:dyDescent="0.25">
      <c r="D495" s="14" t="s">
        <v>2117</v>
      </c>
      <c r="E495" s="14" t="s">
        <v>2118</v>
      </c>
      <c r="F495" s="84" t="s">
        <v>969</v>
      </c>
      <c r="G495" s="15" t="s">
        <v>27</v>
      </c>
      <c r="H495" s="16" t="s">
        <v>2119</v>
      </c>
      <c r="I495" s="17"/>
      <c r="J495" s="17"/>
      <c r="K495" s="17"/>
      <c r="L495" s="17"/>
      <c r="N495" s="31">
        <v>493</v>
      </c>
      <c r="O495" s="32" t="s">
        <v>2120</v>
      </c>
      <c r="P495" s="33" t="s">
        <v>31</v>
      </c>
      <c r="Q495" s="32" t="s">
        <v>32</v>
      </c>
      <c r="R495" s="69">
        <v>44259.270335648151</v>
      </c>
      <c r="S495" s="35">
        <v>44356</v>
      </c>
      <c r="T495" s="32" t="str">
        <f t="shared" si="29"/>
        <v>+082220848***</v>
      </c>
      <c r="U495" s="32" t="str">
        <f t="shared" ca="1" si="30"/>
        <v>skyl***@yuhuumail.com</v>
      </c>
      <c r="V495" s="32">
        <f t="shared" si="31"/>
        <v>26</v>
      </c>
      <c r="W495" s="36">
        <f t="shared" si="32"/>
        <v>0.05</v>
      </c>
    </row>
    <row r="496" spans="4:23" ht="27" customHeight="1" x14ac:dyDescent="0.25">
      <c r="D496" s="14" t="s">
        <v>2121</v>
      </c>
      <c r="E496" s="14" t="s">
        <v>2122</v>
      </c>
      <c r="F496" s="84" t="s">
        <v>266</v>
      </c>
      <c r="G496" s="15" t="s">
        <v>68</v>
      </c>
      <c r="H496" s="16" t="s">
        <v>2123</v>
      </c>
      <c r="I496" s="17"/>
      <c r="J496" s="17"/>
      <c r="K496" s="17"/>
      <c r="L496" s="17"/>
      <c r="N496" s="31">
        <v>494</v>
      </c>
      <c r="O496" s="32" t="s">
        <v>2124</v>
      </c>
      <c r="P496" s="33" t="s">
        <v>31</v>
      </c>
      <c r="Q496" s="32" t="s">
        <v>40</v>
      </c>
      <c r="R496" s="69">
        <v>44260.258750000001</v>
      </c>
      <c r="S496" s="35">
        <v>44352</v>
      </c>
      <c r="T496" s="32" t="str">
        <f t="shared" si="29"/>
        <v>+0852 86352***</v>
      </c>
      <c r="U496" s="32" t="str">
        <f t="shared" ca="1" si="30"/>
        <v>geor***@yuhuumail.com</v>
      </c>
      <c r="V496" s="32">
        <f t="shared" si="31"/>
        <v>26</v>
      </c>
      <c r="W496" s="36">
        <f t="shared" si="32"/>
        <v>0.05</v>
      </c>
    </row>
    <row r="497" spans="4:23" ht="27" customHeight="1" x14ac:dyDescent="0.25">
      <c r="D497" s="14" t="s">
        <v>2125</v>
      </c>
      <c r="E497" s="14" t="s">
        <v>2126</v>
      </c>
      <c r="F497" s="84" t="s">
        <v>321</v>
      </c>
      <c r="G497" s="15" t="s">
        <v>27</v>
      </c>
      <c r="H497" s="16" t="s">
        <v>2127</v>
      </c>
      <c r="I497" s="17"/>
      <c r="J497" s="17"/>
      <c r="K497" s="17"/>
      <c r="L497" s="17"/>
      <c r="N497" s="31">
        <v>495</v>
      </c>
      <c r="O497" s="32" t="s">
        <v>2128</v>
      </c>
      <c r="P497" s="33" t="s">
        <v>42</v>
      </c>
      <c r="Q497" s="32" t="s">
        <v>32</v>
      </c>
      <c r="R497" s="69">
        <v>44261.244791666664</v>
      </c>
      <c r="S497" s="35">
        <v>44360</v>
      </c>
      <c r="T497" s="32" t="str">
        <f t="shared" si="29"/>
        <v>+6283284208***</v>
      </c>
      <c r="U497" s="32" t="str">
        <f t="shared" ca="1" si="30"/>
        <v>zane***@yuhuumail.com</v>
      </c>
      <c r="V497" s="32">
        <f t="shared" si="31"/>
        <v>26</v>
      </c>
      <c r="W497" s="36">
        <f t="shared" si="32"/>
        <v>0.05</v>
      </c>
    </row>
    <row r="498" spans="4:23" ht="27" customHeight="1" x14ac:dyDescent="0.25">
      <c r="D498" s="14" t="s">
        <v>2129</v>
      </c>
      <c r="E498" s="14" t="s">
        <v>2130</v>
      </c>
      <c r="F498" s="84" t="s">
        <v>909</v>
      </c>
      <c r="G498" s="15" t="s">
        <v>27</v>
      </c>
      <c r="H498" s="16" t="s">
        <v>2131</v>
      </c>
      <c r="I498" s="17"/>
      <c r="J498" s="17"/>
      <c r="K498" s="17"/>
      <c r="L498" s="17"/>
      <c r="N498" s="31">
        <v>496</v>
      </c>
      <c r="O498" s="32" t="s">
        <v>2132</v>
      </c>
      <c r="P498" s="33" t="s">
        <v>42</v>
      </c>
      <c r="Q498" s="32" t="s">
        <v>40</v>
      </c>
      <c r="R498" s="69">
        <v>44261.247858796298</v>
      </c>
      <c r="S498" s="35">
        <v>44318</v>
      </c>
      <c r="T498" s="32" t="str">
        <f t="shared" si="29"/>
        <v>+081280617***</v>
      </c>
      <c r="U498" s="32" t="str">
        <f t="shared" ca="1" si="30"/>
        <v>leet***@yuhuumail.com</v>
      </c>
      <c r="V498" s="32">
        <f t="shared" si="31"/>
        <v>26</v>
      </c>
      <c r="W498" s="36">
        <f t="shared" si="32"/>
        <v>0.05</v>
      </c>
    </row>
    <row r="499" spans="4:23" ht="27" customHeight="1" x14ac:dyDescent="0.25">
      <c r="D499" s="14" t="s">
        <v>2133</v>
      </c>
      <c r="E499" s="14" t="s">
        <v>2134</v>
      </c>
      <c r="F499" s="84" t="s">
        <v>2135</v>
      </c>
      <c r="G499" s="15" t="s">
        <v>27</v>
      </c>
      <c r="H499" s="16" t="s">
        <v>2136</v>
      </c>
      <c r="I499" s="17"/>
      <c r="J499" s="17"/>
      <c r="K499" s="17"/>
      <c r="L499" s="17"/>
      <c r="N499" s="31">
        <v>497</v>
      </c>
      <c r="O499" s="32" t="s">
        <v>2137</v>
      </c>
      <c r="P499" s="33" t="s">
        <v>31</v>
      </c>
      <c r="Q499" s="32" t="s">
        <v>32</v>
      </c>
      <c r="R499" s="69">
        <v>44261.278090277781</v>
      </c>
      <c r="S499" s="35">
        <v>44355</v>
      </c>
      <c r="T499" s="32" t="str">
        <f t="shared" si="29"/>
        <v>+0832 48321***</v>
      </c>
      <c r="U499" s="32" t="str">
        <f t="shared" ca="1" si="30"/>
        <v>rome***@jossmail.com</v>
      </c>
      <c r="V499" s="32">
        <f t="shared" si="31"/>
        <v>26</v>
      </c>
      <c r="W499" s="36">
        <f t="shared" si="32"/>
        <v>0.05</v>
      </c>
    </row>
    <row r="500" spans="4:23" ht="27" customHeight="1" x14ac:dyDescent="0.25">
      <c r="D500" s="14" t="s">
        <v>2138</v>
      </c>
      <c r="E500" s="14" t="s">
        <v>2139</v>
      </c>
      <c r="F500" s="84" t="s">
        <v>627</v>
      </c>
      <c r="G500" s="15" t="s">
        <v>68</v>
      </c>
      <c r="H500" s="16" t="s">
        <v>2140</v>
      </c>
      <c r="I500" s="17"/>
      <c r="J500" s="17"/>
      <c r="K500" s="17"/>
      <c r="L500" s="17"/>
      <c r="N500" s="31">
        <v>498</v>
      </c>
      <c r="O500" s="32" t="s">
        <v>2141</v>
      </c>
      <c r="P500" s="33" t="s">
        <v>31</v>
      </c>
      <c r="Q500" s="32" t="s">
        <v>40</v>
      </c>
      <c r="R500" s="69">
        <v>44261.288275462961</v>
      </c>
      <c r="S500" s="35">
        <v>44362</v>
      </c>
      <c r="T500" s="32" t="str">
        <f t="shared" si="29"/>
        <v>+84268634***</v>
      </c>
      <c r="U500" s="32" t="str">
        <f t="shared" ca="1" si="30"/>
        <v>gaig***@yuhuumail.com</v>
      </c>
      <c r="V500" s="32">
        <f t="shared" si="31"/>
        <v>26</v>
      </c>
      <c r="W500" s="36">
        <f t="shared" si="32"/>
        <v>0.05</v>
      </c>
    </row>
    <row r="501" spans="4:23" ht="27" customHeight="1" x14ac:dyDescent="0.25">
      <c r="D501" s="14" t="s">
        <v>2142</v>
      </c>
      <c r="E501" s="14" t="s">
        <v>2143</v>
      </c>
      <c r="F501" s="84" t="s">
        <v>710</v>
      </c>
      <c r="G501" s="15" t="s">
        <v>27</v>
      </c>
      <c r="H501" s="16" t="s">
        <v>2144</v>
      </c>
      <c r="I501" s="17"/>
      <c r="J501" s="17"/>
      <c r="K501" s="17"/>
      <c r="L501" s="17"/>
      <c r="N501" s="31">
        <v>499</v>
      </c>
      <c r="O501" s="32" t="s">
        <v>2145</v>
      </c>
      <c r="P501" s="33" t="s">
        <v>42</v>
      </c>
      <c r="Q501" s="32" t="s">
        <v>32</v>
      </c>
      <c r="R501" s="69">
        <v>44261.327002314814</v>
      </c>
      <c r="S501" s="35">
        <v>44362</v>
      </c>
      <c r="T501" s="32" t="str">
        <f t="shared" si="29"/>
        <v>+0832 81170***</v>
      </c>
      <c r="U501" s="32" t="str">
        <f t="shared" ca="1" si="30"/>
        <v>sema***@yuhuumail.com</v>
      </c>
      <c r="V501" s="32">
        <f t="shared" si="31"/>
        <v>26</v>
      </c>
      <c r="W501" s="36">
        <f t="shared" si="32"/>
        <v>0.05</v>
      </c>
    </row>
    <row r="502" spans="4:23" ht="27" customHeight="1" x14ac:dyDescent="0.25">
      <c r="D502" s="14" t="s">
        <v>2146</v>
      </c>
      <c r="E502" s="14" t="s">
        <v>2147</v>
      </c>
      <c r="F502" s="84" t="s">
        <v>386</v>
      </c>
      <c r="G502" s="15" t="s">
        <v>27</v>
      </c>
      <c r="H502" s="16" t="s">
        <v>2148</v>
      </c>
      <c r="I502" s="17"/>
      <c r="J502" s="17"/>
      <c r="K502" s="17"/>
      <c r="L502" s="17"/>
      <c r="N502" s="31">
        <v>500</v>
      </c>
      <c r="O502" s="32" t="s">
        <v>2149</v>
      </c>
      <c r="P502" s="33" t="s">
        <v>31</v>
      </c>
      <c r="Q502" s="32" t="s">
        <v>40</v>
      </c>
      <c r="R502" s="69">
        <v>43699.40388888889</v>
      </c>
      <c r="S502" s="35">
        <v>44320</v>
      </c>
      <c r="T502" s="32" t="str">
        <f t="shared" si="29"/>
        <v>+082288551***</v>
      </c>
      <c r="U502" s="32" t="str">
        <f t="shared" ca="1" si="30"/>
        <v>daya***@jossmail.com</v>
      </c>
      <c r="V502" s="32">
        <f t="shared" si="31"/>
        <v>24</v>
      </c>
      <c r="W502" s="36">
        <f t="shared" si="32"/>
        <v>6.5000000000000002E-2</v>
      </c>
    </row>
    <row r="503" spans="4:23" ht="27" customHeight="1" x14ac:dyDescent="0.25">
      <c r="D503" s="14" t="s">
        <v>2150</v>
      </c>
      <c r="E503" s="14" t="s">
        <v>2151</v>
      </c>
      <c r="F503" s="84" t="s">
        <v>129</v>
      </c>
      <c r="G503" s="15" t="s">
        <v>68</v>
      </c>
      <c r="H503" s="16" t="s">
        <v>2152</v>
      </c>
      <c r="I503" s="17"/>
      <c r="J503" s="17"/>
      <c r="K503" s="17"/>
      <c r="L503" s="17"/>
      <c r="N503" s="31">
        <v>501</v>
      </c>
      <c r="O503" s="32" t="s">
        <v>2153</v>
      </c>
      <c r="P503" s="33" t="s">
        <v>31</v>
      </c>
      <c r="Q503" s="32" t="s">
        <v>32</v>
      </c>
      <c r="R503" s="69">
        <v>44261.348877314813</v>
      </c>
      <c r="S503" s="35">
        <v>44356</v>
      </c>
      <c r="T503" s="32" t="str">
        <f t="shared" si="29"/>
        <v>+6282236675***</v>
      </c>
      <c r="U503" s="32" t="str">
        <f t="shared" ca="1" si="30"/>
        <v>rile***@yuhuumail.com</v>
      </c>
      <c r="V503" s="32">
        <f t="shared" si="31"/>
        <v>26</v>
      </c>
      <c r="W503" s="36">
        <f t="shared" si="32"/>
        <v>0.05</v>
      </c>
    </row>
    <row r="504" spans="4:23" ht="27" customHeight="1" x14ac:dyDescent="0.25">
      <c r="D504" s="14" t="s">
        <v>2154</v>
      </c>
      <c r="E504" s="14" t="s">
        <v>2155</v>
      </c>
      <c r="F504" s="84" t="s">
        <v>206</v>
      </c>
      <c r="G504" s="15" t="s">
        <v>68</v>
      </c>
      <c r="H504" s="16" t="s">
        <v>2156</v>
      </c>
      <c r="I504" s="17"/>
      <c r="J504" s="17"/>
      <c r="K504" s="17"/>
      <c r="L504" s="17"/>
      <c r="N504" s="31">
        <v>502</v>
      </c>
      <c r="O504" s="32" t="s">
        <v>2157</v>
      </c>
      <c r="P504" s="33" t="s">
        <v>42</v>
      </c>
      <c r="Q504" s="32" t="s">
        <v>40</v>
      </c>
      <c r="R504" s="69">
        <v>43909.65115740741</v>
      </c>
      <c r="S504" s="35">
        <v>44320</v>
      </c>
      <c r="T504" s="32" t="str">
        <f t="shared" si="29"/>
        <v>+0832-20471***</v>
      </c>
      <c r="U504" s="32" t="str">
        <f t="shared" ca="1" si="30"/>
        <v>ally***@yuhuumail.com</v>
      </c>
      <c r="V504" s="32">
        <f t="shared" si="31"/>
        <v>25</v>
      </c>
      <c r="W504" s="36">
        <f t="shared" si="32"/>
        <v>6.5000000000000002E-2</v>
      </c>
    </row>
    <row r="505" spans="4:23" ht="27" customHeight="1" x14ac:dyDescent="0.25">
      <c r="D505" s="14" t="s">
        <v>2158</v>
      </c>
      <c r="E505" s="14" t="s">
        <v>2159</v>
      </c>
      <c r="F505" s="84" t="s">
        <v>909</v>
      </c>
      <c r="G505" s="15" t="s">
        <v>27</v>
      </c>
      <c r="H505" s="16" t="s">
        <v>2160</v>
      </c>
      <c r="I505" s="17"/>
      <c r="J505" s="17"/>
      <c r="K505" s="17"/>
      <c r="L505" s="17"/>
      <c r="N505" s="31">
        <v>503</v>
      </c>
      <c r="O505" s="32" t="s">
        <v>2161</v>
      </c>
      <c r="P505" s="33" t="s">
        <v>42</v>
      </c>
      <c r="Q505" s="32" t="s">
        <v>32</v>
      </c>
      <c r="R505" s="69">
        <v>44261.371064814812</v>
      </c>
      <c r="S505" s="71">
        <v>44352</v>
      </c>
      <c r="T505" s="32" t="str">
        <f t="shared" si="29"/>
        <v>+82285141***</v>
      </c>
      <c r="U505" s="32" t="str">
        <f t="shared" ca="1" si="30"/>
        <v>elai***@yuhuumail.com</v>
      </c>
      <c r="V505" s="32">
        <f t="shared" si="31"/>
        <v>26</v>
      </c>
      <c r="W505" s="36">
        <f t="shared" si="32"/>
        <v>0.05</v>
      </c>
    </row>
    <row r="506" spans="4:23" ht="27" customHeight="1" x14ac:dyDescent="0.25">
      <c r="D506" s="14" t="s">
        <v>2162</v>
      </c>
      <c r="E506" s="14" t="s">
        <v>1194</v>
      </c>
      <c r="F506" s="84" t="s">
        <v>490</v>
      </c>
      <c r="G506" s="15" t="s">
        <v>27</v>
      </c>
      <c r="H506" s="16" t="s">
        <v>2163</v>
      </c>
      <c r="I506" s="17"/>
      <c r="J506" s="17"/>
      <c r="K506" s="17"/>
      <c r="L506" s="17"/>
      <c r="N506" s="31">
        <v>504</v>
      </c>
      <c r="O506" s="32" t="s">
        <v>2164</v>
      </c>
      <c r="P506" s="33" t="s">
        <v>31</v>
      </c>
      <c r="Q506" s="32" t="s">
        <v>40</v>
      </c>
      <c r="R506" s="69">
        <v>44259.862372685187</v>
      </c>
      <c r="S506" s="71">
        <v>44320</v>
      </c>
      <c r="T506" s="32" t="str">
        <f t="shared" si="29"/>
        <v>+0832-24829***</v>
      </c>
      <c r="U506" s="32" t="str">
        <f t="shared" ca="1" si="30"/>
        <v>hann***@jossmail.com</v>
      </c>
      <c r="V506" s="32">
        <f t="shared" si="31"/>
        <v>26</v>
      </c>
      <c r="W506" s="36">
        <f t="shared" si="32"/>
        <v>0.05</v>
      </c>
    </row>
    <row r="507" spans="4:23" ht="27" customHeight="1" x14ac:dyDescent="0.25">
      <c r="D507" s="14" t="s">
        <v>2165</v>
      </c>
      <c r="E507" s="14" t="s">
        <v>2166</v>
      </c>
      <c r="F507" s="84" t="s">
        <v>61</v>
      </c>
      <c r="G507" s="15" t="s">
        <v>68</v>
      </c>
      <c r="H507" s="16" t="s">
        <v>2167</v>
      </c>
      <c r="I507" s="17"/>
      <c r="J507" s="17"/>
      <c r="K507" s="17"/>
      <c r="L507" s="17"/>
      <c r="N507" s="31">
        <v>505</v>
      </c>
      <c r="O507" s="32" t="s">
        <v>2168</v>
      </c>
      <c r="P507" s="33" t="s">
        <v>31</v>
      </c>
      <c r="Q507" s="32" t="s">
        <v>32</v>
      </c>
      <c r="R507" s="69">
        <v>44261.374918981484</v>
      </c>
      <c r="S507" s="71">
        <v>44322</v>
      </c>
      <c r="T507" s="32" t="str">
        <f t="shared" si="29"/>
        <v>+0852-48460***</v>
      </c>
      <c r="U507" s="32" t="str">
        <f t="shared" ca="1" si="30"/>
        <v>ezra***@jossmail.com</v>
      </c>
      <c r="V507" s="32">
        <f t="shared" si="31"/>
        <v>26</v>
      </c>
      <c r="W507" s="36">
        <f t="shared" si="32"/>
        <v>0.05</v>
      </c>
    </row>
    <row r="508" spans="4:23" ht="27" customHeight="1" x14ac:dyDescent="0.25">
      <c r="D508" s="14" t="s">
        <v>2169</v>
      </c>
      <c r="E508" s="14" t="s">
        <v>2170</v>
      </c>
      <c r="F508" s="84" t="s">
        <v>159</v>
      </c>
      <c r="G508" s="15" t="s">
        <v>27</v>
      </c>
      <c r="H508" s="16" t="s">
        <v>2171</v>
      </c>
      <c r="I508" s="17"/>
      <c r="J508" s="17"/>
      <c r="K508" s="17"/>
      <c r="L508" s="17"/>
      <c r="N508" s="31">
        <v>506</v>
      </c>
      <c r="O508" s="32" t="s">
        <v>2172</v>
      </c>
      <c r="P508" s="33" t="s">
        <v>57</v>
      </c>
      <c r="Q508" s="32" t="s">
        <v>40</v>
      </c>
      <c r="R508" s="69">
        <v>44261.418530092589</v>
      </c>
      <c r="S508" s="71">
        <v>44359</v>
      </c>
      <c r="T508" s="32" t="str">
        <f t="shared" si="29"/>
        <v>+6285217574***</v>
      </c>
      <c r="U508" s="32" t="str">
        <f t="shared" ca="1" si="30"/>
        <v>yare***@yuhuumail.com</v>
      </c>
      <c r="V508" s="32">
        <f t="shared" si="31"/>
        <v>26</v>
      </c>
      <c r="W508" s="36">
        <f t="shared" si="32"/>
        <v>0.05</v>
      </c>
    </row>
    <row r="509" spans="4:23" ht="27" customHeight="1" x14ac:dyDescent="0.25">
      <c r="D509" s="14" t="s">
        <v>2173</v>
      </c>
      <c r="E509" s="14" t="s">
        <v>2174</v>
      </c>
      <c r="F509" s="84" t="s">
        <v>61</v>
      </c>
      <c r="G509" s="15" t="s">
        <v>27</v>
      </c>
      <c r="H509" s="16" t="s">
        <v>2175</v>
      </c>
      <c r="I509" s="17"/>
      <c r="J509" s="17"/>
      <c r="K509" s="17"/>
      <c r="L509" s="17"/>
      <c r="N509" s="31">
        <v>507</v>
      </c>
      <c r="O509" s="32" t="s">
        <v>2176</v>
      </c>
      <c r="P509" s="33" t="s">
        <v>57</v>
      </c>
      <c r="Q509" s="32" t="s">
        <v>32</v>
      </c>
      <c r="R509" s="69">
        <v>44258.801851851851</v>
      </c>
      <c r="S509" s="71">
        <v>44327</v>
      </c>
      <c r="T509" s="32" t="str">
        <f t="shared" si="29"/>
        <v>+82238268***</v>
      </c>
      <c r="U509" s="32" t="str">
        <f t="shared" ca="1" si="30"/>
        <v>jazm***@yuhuumail.com</v>
      </c>
      <c r="V509" s="32">
        <f t="shared" si="31"/>
        <v>26</v>
      </c>
      <c r="W509" s="36">
        <f t="shared" si="32"/>
        <v>0.05</v>
      </c>
    </row>
    <row r="510" spans="4:23" ht="27" customHeight="1" x14ac:dyDescent="0.25">
      <c r="D510" s="14" t="s">
        <v>2177</v>
      </c>
      <c r="E510" s="14" t="s">
        <v>2178</v>
      </c>
      <c r="F510" s="84" t="s">
        <v>444</v>
      </c>
      <c r="G510" s="15" t="s">
        <v>68</v>
      </c>
      <c r="H510" s="16" t="s">
        <v>2179</v>
      </c>
      <c r="I510" s="17"/>
      <c r="J510" s="17"/>
      <c r="K510" s="17"/>
      <c r="L510" s="17"/>
      <c r="N510" s="31">
        <v>508</v>
      </c>
      <c r="O510" s="32" t="s">
        <v>2180</v>
      </c>
      <c r="P510" s="33" t="s">
        <v>57</v>
      </c>
      <c r="Q510" s="32" t="s">
        <v>40</v>
      </c>
      <c r="R510" s="69">
        <v>44260.452233796299</v>
      </c>
      <c r="S510" s="71">
        <v>44352</v>
      </c>
      <c r="T510" s="32" t="str">
        <f t="shared" si="29"/>
        <v>+085241625***</v>
      </c>
      <c r="U510" s="32" t="str">
        <f t="shared" ca="1" si="30"/>
        <v>jame***@jossmail.com</v>
      </c>
      <c r="V510" s="32">
        <f t="shared" si="31"/>
        <v>26</v>
      </c>
      <c r="W510" s="36">
        <f t="shared" si="32"/>
        <v>0.05</v>
      </c>
    </row>
    <row r="511" spans="4:23" ht="27" customHeight="1" x14ac:dyDescent="0.25">
      <c r="D511" s="14" t="s">
        <v>2181</v>
      </c>
      <c r="E511" s="14" t="s">
        <v>2182</v>
      </c>
      <c r="F511" s="84" t="s">
        <v>561</v>
      </c>
      <c r="G511" s="15" t="s">
        <v>27</v>
      </c>
      <c r="H511" s="16" t="s">
        <v>2183</v>
      </c>
      <c r="I511" s="17"/>
      <c r="J511" s="17"/>
      <c r="K511" s="17"/>
      <c r="L511" s="17"/>
      <c r="N511" s="31">
        <v>509</v>
      </c>
      <c r="O511" s="32" t="s">
        <v>2184</v>
      </c>
      <c r="P511" s="33" t="s">
        <v>31</v>
      </c>
      <c r="Q511" s="32" t="s">
        <v>32</v>
      </c>
      <c r="R511" s="69">
        <v>44261.441284722219</v>
      </c>
      <c r="S511" s="71">
        <v>44318</v>
      </c>
      <c r="T511" s="32" t="str">
        <f t="shared" si="29"/>
        <v>+0832-38090***</v>
      </c>
      <c r="U511" s="32" t="str">
        <f t="shared" ca="1" si="30"/>
        <v>huds***@jossmail.com</v>
      </c>
      <c r="V511" s="32">
        <f t="shared" si="31"/>
        <v>26</v>
      </c>
      <c r="W511" s="36">
        <f t="shared" si="32"/>
        <v>0.05</v>
      </c>
    </row>
    <row r="512" spans="4:23" ht="27" customHeight="1" x14ac:dyDescent="0.25">
      <c r="D512" s="14" t="s">
        <v>2185</v>
      </c>
      <c r="E512" s="14" t="s">
        <v>2186</v>
      </c>
      <c r="F512" s="84" t="s">
        <v>343</v>
      </c>
      <c r="G512" s="15" t="s">
        <v>68</v>
      </c>
      <c r="H512" s="16" t="s">
        <v>2187</v>
      </c>
      <c r="I512" s="17"/>
      <c r="J512" s="17"/>
      <c r="K512" s="17"/>
      <c r="L512" s="17"/>
      <c r="N512" s="31">
        <v>510</v>
      </c>
      <c r="O512" s="32" t="s">
        <v>2188</v>
      </c>
      <c r="P512" s="33" t="s">
        <v>1451</v>
      </c>
      <c r="Q512" s="32" t="s">
        <v>40</v>
      </c>
      <c r="R512" s="69">
        <v>44261.461030092592</v>
      </c>
      <c r="S512" s="71">
        <v>44354</v>
      </c>
      <c r="T512" s="32" t="str">
        <f t="shared" si="29"/>
        <v>+842 65684***</v>
      </c>
      <c r="U512" s="32" t="str">
        <f t="shared" ca="1" si="30"/>
        <v>camd***@jossmail.com</v>
      </c>
      <c r="V512" s="32">
        <f t="shared" si="31"/>
        <v>26</v>
      </c>
      <c r="W512" s="36">
        <f t="shared" si="32"/>
        <v>0.05</v>
      </c>
    </row>
    <row r="513" spans="4:23" ht="27" customHeight="1" x14ac:dyDescent="0.25">
      <c r="D513" s="14" t="s">
        <v>2189</v>
      </c>
      <c r="E513" s="14" t="s">
        <v>2190</v>
      </c>
      <c r="F513" s="84" t="s">
        <v>834</v>
      </c>
      <c r="G513" s="15" t="s">
        <v>68</v>
      </c>
      <c r="H513" s="16" t="s">
        <v>2191</v>
      </c>
      <c r="I513" s="17"/>
      <c r="J513" s="17"/>
      <c r="K513" s="17"/>
      <c r="L513" s="17"/>
      <c r="N513" s="31">
        <v>511</v>
      </c>
      <c r="O513" s="32" t="s">
        <v>2192</v>
      </c>
      <c r="P513" s="33" t="s">
        <v>1439</v>
      </c>
      <c r="Q513" s="32" t="s">
        <v>32</v>
      </c>
      <c r="R513" s="69">
        <v>44261.47152777778</v>
      </c>
      <c r="S513" s="71">
        <v>44320</v>
      </c>
      <c r="T513" s="32" t="str">
        <f t="shared" si="29"/>
        <v>+81269165***</v>
      </c>
      <c r="U513" s="32" t="str">
        <f t="shared" ca="1" si="30"/>
        <v>enzo***@jossmail.com</v>
      </c>
      <c r="V513" s="32">
        <f t="shared" si="31"/>
        <v>26</v>
      </c>
      <c r="W513" s="36">
        <f t="shared" si="32"/>
        <v>0.05</v>
      </c>
    </row>
    <row r="514" spans="4:23" ht="27" customHeight="1" x14ac:dyDescent="0.25">
      <c r="D514" s="14" t="s">
        <v>2193</v>
      </c>
      <c r="E514" s="14" t="s">
        <v>2194</v>
      </c>
      <c r="F514" s="84" t="s">
        <v>386</v>
      </c>
      <c r="G514" s="15" t="s">
        <v>68</v>
      </c>
      <c r="H514" s="16" t="s">
        <v>2195</v>
      </c>
      <c r="I514" s="17"/>
      <c r="J514" s="17"/>
      <c r="K514" s="17"/>
      <c r="L514" s="17"/>
      <c r="N514" s="31">
        <v>512</v>
      </c>
      <c r="O514" s="32" t="s">
        <v>2196</v>
      </c>
      <c r="P514" s="33" t="s">
        <v>1439</v>
      </c>
      <c r="Q514" s="32" t="s">
        <v>40</v>
      </c>
      <c r="R514" s="69">
        <v>44261.475347222222</v>
      </c>
      <c r="S514" s="71">
        <v>44317</v>
      </c>
      <c r="T514" s="32" t="str">
        <f t="shared" si="29"/>
        <v>+832 60306***</v>
      </c>
      <c r="U514" s="32" t="str">
        <f t="shared" ca="1" si="30"/>
        <v>cody***@yuhuumail.com</v>
      </c>
      <c r="V514" s="32">
        <f t="shared" si="31"/>
        <v>26</v>
      </c>
      <c r="W514" s="36">
        <f t="shared" si="32"/>
        <v>0.05</v>
      </c>
    </row>
    <row r="515" spans="4:23" ht="27" customHeight="1" x14ac:dyDescent="0.25">
      <c r="D515" s="14" t="s">
        <v>2197</v>
      </c>
      <c r="E515" s="14" t="s">
        <v>2198</v>
      </c>
      <c r="F515" s="84" t="s">
        <v>710</v>
      </c>
      <c r="G515" s="15" t="s">
        <v>27</v>
      </c>
      <c r="H515" s="16" t="s">
        <v>2199</v>
      </c>
      <c r="I515" s="17"/>
      <c r="J515" s="17"/>
      <c r="K515" s="17"/>
      <c r="L515" s="17"/>
      <c r="N515" s="31">
        <v>513</v>
      </c>
      <c r="O515" s="32" t="s">
        <v>2200</v>
      </c>
      <c r="P515" s="33" t="s">
        <v>1439</v>
      </c>
      <c r="Q515" s="32" t="s">
        <v>32</v>
      </c>
      <c r="R515" s="69">
        <v>44261.506018518521</v>
      </c>
      <c r="S515" s="71">
        <v>44318</v>
      </c>
      <c r="T515" s="32" t="str">
        <f t="shared" si="29"/>
        <v>+842 86660***</v>
      </c>
      <c r="U515" s="32" t="str">
        <f t="shared" ca="1" si="30"/>
        <v>made***@yuhuumail.com</v>
      </c>
      <c r="V515" s="32">
        <f t="shared" si="31"/>
        <v>26</v>
      </c>
      <c r="W515" s="36">
        <f t="shared" si="32"/>
        <v>0.05</v>
      </c>
    </row>
    <row r="516" spans="4:23" ht="27" customHeight="1" x14ac:dyDescent="0.25">
      <c r="D516" s="14" t="s">
        <v>2201</v>
      </c>
      <c r="E516" s="14" t="s">
        <v>2202</v>
      </c>
      <c r="F516" s="84" t="s">
        <v>38</v>
      </c>
      <c r="G516" s="15" t="s">
        <v>68</v>
      </c>
      <c r="H516" s="16" t="s">
        <v>2203</v>
      </c>
      <c r="I516" s="17"/>
      <c r="J516" s="17"/>
      <c r="K516" s="17"/>
      <c r="L516" s="17"/>
      <c r="N516" s="31">
        <v>514</v>
      </c>
      <c r="O516" s="32" t="s">
        <v>2204</v>
      </c>
      <c r="P516" s="33" t="s">
        <v>57</v>
      </c>
      <c r="Q516" s="32" t="s">
        <v>40</v>
      </c>
      <c r="R516" s="69">
        <v>44261.556377314817</v>
      </c>
      <c r="S516" s="71">
        <v>44352</v>
      </c>
      <c r="T516" s="32" t="str">
        <f t="shared" si="29"/>
        <v>+082295055***</v>
      </c>
      <c r="U516" s="32" t="str">
        <f t="shared" ca="1" si="30"/>
        <v>manu***@yuhuumail.com</v>
      </c>
      <c r="V516" s="32">
        <f t="shared" si="31"/>
        <v>26</v>
      </c>
      <c r="W516" s="36">
        <f t="shared" si="32"/>
        <v>0.05</v>
      </c>
    </row>
    <row r="517" spans="4:23" ht="27" customHeight="1" x14ac:dyDescent="0.25">
      <c r="D517" s="14" t="s">
        <v>2205</v>
      </c>
      <c r="E517" s="14" t="s">
        <v>2206</v>
      </c>
      <c r="F517" s="84" t="s">
        <v>934</v>
      </c>
      <c r="G517" s="15" t="s">
        <v>68</v>
      </c>
      <c r="H517" s="16" t="s">
        <v>2207</v>
      </c>
      <c r="I517" s="17"/>
      <c r="J517" s="17"/>
      <c r="K517" s="17"/>
      <c r="L517" s="17"/>
      <c r="N517" s="31">
        <v>515</v>
      </c>
      <c r="O517" s="32" t="s">
        <v>2208</v>
      </c>
      <c r="P517" s="33" t="s">
        <v>42</v>
      </c>
      <c r="Q517" s="32" t="s">
        <v>32</v>
      </c>
      <c r="R517" s="69">
        <v>44261.572071759256</v>
      </c>
      <c r="S517" s="71">
        <v>44358</v>
      </c>
      <c r="T517" s="32" t="str">
        <f t="shared" ref="T517:T580" si="33">"+"&amp;_xlfn.XLOOKUP($O517, $E$2:$E$3002, $H$2:$H$3002, "Not Found")</f>
        <v>+81219530***</v>
      </c>
      <c r="U517" s="32" t="str">
        <f t="shared" ref="U517:U580" ca="1" si="34" xml:space="preserve"> LOWER(LEFT(_xlfn.XLOOKUP($O517, $E$2:$E$3002, $D$2:$D$3002), 4))
  &amp; "***@"
  &amp; IF(RAND()&gt;0.5, "jossmail.com", "yuhuumail.com")</f>
        <v>jasm***@yuhuumail.com</v>
      </c>
      <c r="V517" s="32">
        <f t="shared" ref="V517:V580" si="35">DATEDIF(_xlfn.XLOOKUP($O517, $E$2:$E$3002, $F$2:$F$3002), $R517, "Y")</f>
        <v>26</v>
      </c>
      <c r="W517" s="36">
        <f t="shared" ref="W517:W580" si="36">IF(DATEDIF($R517, $S517, "Y") &gt;= 3, 0.025,
   IF(DATEDIF($R517, $S517, "Y") &gt;= 1, 0.015, 0)) +
 IF($V517 &gt;= 50, 0.04,
   IF($V517 &gt;= 40, 0.03,
     IF($V517 &gt;= 30, 0.02,
       IF($V517 &gt;= 20, 0.05, 0))))</f>
        <v>0.05</v>
      </c>
    </row>
    <row r="518" spans="4:23" ht="27" customHeight="1" x14ac:dyDescent="0.25">
      <c r="D518" s="14" t="s">
        <v>2209</v>
      </c>
      <c r="E518" s="14" t="s">
        <v>2210</v>
      </c>
      <c r="F518" s="84" t="s">
        <v>1118</v>
      </c>
      <c r="G518" s="15" t="s">
        <v>27</v>
      </c>
      <c r="H518" s="16" t="s">
        <v>2211</v>
      </c>
      <c r="I518" s="17"/>
      <c r="J518" s="17"/>
      <c r="K518" s="17"/>
      <c r="L518" s="17"/>
      <c r="N518" s="31">
        <v>516</v>
      </c>
      <c r="O518" s="32" t="s">
        <v>2212</v>
      </c>
      <c r="P518" s="33" t="s">
        <v>57</v>
      </c>
      <c r="Q518" s="32" t="s">
        <v>40</v>
      </c>
      <c r="R518" s="69">
        <v>44261.602453703701</v>
      </c>
      <c r="S518" s="71">
        <v>44354</v>
      </c>
      <c r="T518" s="32" t="str">
        <f t="shared" si="33"/>
        <v>+85255354***</v>
      </c>
      <c r="U518" s="32" t="str">
        <f t="shared" ca="1" si="34"/>
        <v>ryla***@jossmail.com</v>
      </c>
      <c r="V518" s="32">
        <f t="shared" si="35"/>
        <v>26</v>
      </c>
      <c r="W518" s="36">
        <f t="shared" si="36"/>
        <v>0.05</v>
      </c>
    </row>
    <row r="519" spans="4:23" ht="27" customHeight="1" x14ac:dyDescent="0.25">
      <c r="D519" s="14" t="s">
        <v>2213</v>
      </c>
      <c r="E519" s="14" t="s">
        <v>2214</v>
      </c>
      <c r="F519" s="84" t="s">
        <v>206</v>
      </c>
      <c r="G519" s="15" t="s">
        <v>68</v>
      </c>
      <c r="H519" s="16" t="s">
        <v>2215</v>
      </c>
      <c r="I519" s="17"/>
      <c r="J519" s="17"/>
      <c r="K519" s="17"/>
      <c r="L519" s="17"/>
      <c r="N519" s="31">
        <v>517</v>
      </c>
      <c r="O519" s="32" t="s">
        <v>925</v>
      </c>
      <c r="P519" s="33" t="s">
        <v>31</v>
      </c>
      <c r="Q519" s="32" t="s">
        <v>32</v>
      </c>
      <c r="R519" s="69">
        <v>44261.609039351853</v>
      </c>
      <c r="S519" s="71">
        <v>44320</v>
      </c>
      <c r="T519" s="32" t="str">
        <f t="shared" si="33"/>
        <v>+84224000***</v>
      </c>
      <c r="U519" s="32" t="str">
        <f t="shared" ca="1" si="34"/>
        <v>core***@yuhuumail.com</v>
      </c>
      <c r="V519" s="32">
        <f t="shared" si="35"/>
        <v>26</v>
      </c>
      <c r="W519" s="36">
        <f t="shared" si="36"/>
        <v>0.05</v>
      </c>
    </row>
    <row r="520" spans="4:23" ht="27" customHeight="1" x14ac:dyDescent="0.25">
      <c r="D520" s="14" t="s">
        <v>2216</v>
      </c>
      <c r="E520" s="14" t="s">
        <v>2217</v>
      </c>
      <c r="F520" s="84" t="s">
        <v>343</v>
      </c>
      <c r="G520" s="15" t="s">
        <v>27</v>
      </c>
      <c r="H520" s="16" t="s">
        <v>2218</v>
      </c>
      <c r="I520" s="17"/>
      <c r="J520" s="17"/>
      <c r="K520" s="17"/>
      <c r="L520" s="17"/>
      <c r="N520" s="31">
        <v>518</v>
      </c>
      <c r="O520" s="32" t="s">
        <v>465</v>
      </c>
      <c r="P520" s="33" t="s">
        <v>42</v>
      </c>
      <c r="Q520" s="32" t="s">
        <v>40</v>
      </c>
      <c r="R520" s="69">
        <v>43338.489155092589</v>
      </c>
      <c r="S520" s="71">
        <v>44354</v>
      </c>
      <c r="T520" s="32" t="str">
        <f t="shared" si="33"/>
        <v>+085247200***</v>
      </c>
      <c r="U520" s="32" t="str">
        <f t="shared" ca="1" si="34"/>
        <v>gilb***@yuhuumail.com</v>
      </c>
      <c r="V520" s="32">
        <f t="shared" si="35"/>
        <v>23</v>
      </c>
      <c r="W520" s="36">
        <f t="shared" si="36"/>
        <v>6.5000000000000002E-2</v>
      </c>
    </row>
    <row r="521" spans="4:23" ht="27" customHeight="1" x14ac:dyDescent="0.25">
      <c r="D521" s="14" t="s">
        <v>2219</v>
      </c>
      <c r="E521" s="14" t="s">
        <v>2220</v>
      </c>
      <c r="F521" s="84" t="s">
        <v>566</v>
      </c>
      <c r="G521" s="15" t="s">
        <v>68</v>
      </c>
      <c r="H521" s="16" t="s">
        <v>2221</v>
      </c>
      <c r="I521" s="17"/>
      <c r="J521" s="17"/>
      <c r="K521" s="17"/>
      <c r="L521" s="17"/>
      <c r="N521" s="31">
        <v>519</v>
      </c>
      <c r="O521" s="32" t="s">
        <v>2222</v>
      </c>
      <c r="P521" s="33" t="s">
        <v>42</v>
      </c>
      <c r="Q521" s="32" t="s">
        <v>32</v>
      </c>
      <c r="R521" s="69">
        <v>43789.64984953704</v>
      </c>
      <c r="S521" s="71">
        <v>44338</v>
      </c>
      <c r="T521" s="32" t="str">
        <f t="shared" si="33"/>
        <v>+084242780***</v>
      </c>
      <c r="U521" s="32" t="str">
        <f t="shared" ca="1" si="34"/>
        <v>gill***@jossmail.com</v>
      </c>
      <c r="V521" s="32">
        <f t="shared" si="35"/>
        <v>25</v>
      </c>
      <c r="W521" s="36">
        <f t="shared" si="36"/>
        <v>6.5000000000000002E-2</v>
      </c>
    </row>
    <row r="522" spans="4:23" ht="27" customHeight="1" x14ac:dyDescent="0.25">
      <c r="D522" s="14" t="s">
        <v>2223</v>
      </c>
      <c r="E522" s="14" t="s">
        <v>2224</v>
      </c>
      <c r="F522" s="84" t="s">
        <v>343</v>
      </c>
      <c r="G522" s="15" t="s">
        <v>27</v>
      </c>
      <c r="H522" s="16" t="s">
        <v>2225</v>
      </c>
      <c r="I522" s="17"/>
      <c r="J522" s="17"/>
      <c r="K522" s="17"/>
      <c r="L522" s="17"/>
      <c r="N522" s="31">
        <v>520</v>
      </c>
      <c r="O522" s="32" t="s">
        <v>2226</v>
      </c>
      <c r="P522" s="33" t="s">
        <v>57</v>
      </c>
      <c r="Q522" s="32" t="s">
        <v>40</v>
      </c>
      <c r="R522" s="69">
        <v>43006.598865740743</v>
      </c>
      <c r="S522" s="71">
        <v>44359</v>
      </c>
      <c r="T522" s="32" t="str">
        <f t="shared" si="33"/>
        <v>+6282293510***</v>
      </c>
      <c r="U522" s="32" t="str">
        <f t="shared" ca="1" si="34"/>
        <v>zach***@yuhuumail.com</v>
      </c>
      <c r="V522" s="32">
        <f t="shared" si="35"/>
        <v>22</v>
      </c>
      <c r="W522" s="36">
        <f t="shared" si="36"/>
        <v>7.5000000000000011E-2</v>
      </c>
    </row>
    <row r="523" spans="4:23" ht="27" customHeight="1" x14ac:dyDescent="0.25">
      <c r="D523" s="14" t="s">
        <v>2227</v>
      </c>
      <c r="E523" s="14" t="s">
        <v>1537</v>
      </c>
      <c r="F523" s="84" t="s">
        <v>256</v>
      </c>
      <c r="G523" s="15" t="s">
        <v>68</v>
      </c>
      <c r="H523" s="16" t="s">
        <v>2228</v>
      </c>
      <c r="I523" s="17"/>
      <c r="J523" s="17"/>
      <c r="K523" s="17"/>
      <c r="L523" s="17"/>
      <c r="N523" s="31">
        <v>521</v>
      </c>
      <c r="O523" s="32" t="s">
        <v>2229</v>
      </c>
      <c r="P523" s="33" t="s">
        <v>57</v>
      </c>
      <c r="Q523" s="32" t="s">
        <v>32</v>
      </c>
      <c r="R523" s="69">
        <v>44261.718472222223</v>
      </c>
      <c r="S523" s="71">
        <v>44356</v>
      </c>
      <c r="T523" s="32" t="str">
        <f t="shared" si="33"/>
        <v>+84211401***</v>
      </c>
      <c r="U523" s="32" t="str">
        <f t="shared" ca="1" si="34"/>
        <v>mari***@yuhuumail.com</v>
      </c>
      <c r="V523" s="32">
        <f t="shared" si="35"/>
        <v>26</v>
      </c>
      <c r="W523" s="36">
        <f t="shared" si="36"/>
        <v>0.05</v>
      </c>
    </row>
    <row r="524" spans="4:23" ht="27" customHeight="1" x14ac:dyDescent="0.25">
      <c r="D524" s="14" t="s">
        <v>2230</v>
      </c>
      <c r="E524" s="14" t="s">
        <v>2231</v>
      </c>
      <c r="F524" s="84" t="s">
        <v>321</v>
      </c>
      <c r="G524" s="15" t="s">
        <v>27</v>
      </c>
      <c r="H524" s="16" t="s">
        <v>2232</v>
      </c>
      <c r="I524" s="17"/>
      <c r="J524" s="17"/>
      <c r="K524" s="17"/>
      <c r="L524" s="17"/>
      <c r="N524" s="31">
        <v>522</v>
      </c>
      <c r="O524" s="32" t="s">
        <v>2233</v>
      </c>
      <c r="P524" s="33" t="s">
        <v>31</v>
      </c>
      <c r="Q524" s="32" t="s">
        <v>40</v>
      </c>
      <c r="R524" s="69">
        <v>44261.732488425929</v>
      </c>
      <c r="S524" s="71">
        <v>44356</v>
      </c>
      <c r="T524" s="32" t="str">
        <f t="shared" si="33"/>
        <v>+6283213620***</v>
      </c>
      <c r="U524" s="32" t="str">
        <f t="shared" ca="1" si="34"/>
        <v>reub***@jossmail.com</v>
      </c>
      <c r="V524" s="32">
        <f t="shared" si="35"/>
        <v>26</v>
      </c>
      <c r="W524" s="36">
        <f t="shared" si="36"/>
        <v>0.05</v>
      </c>
    </row>
    <row r="525" spans="4:23" ht="27" customHeight="1" x14ac:dyDescent="0.25">
      <c r="D525" s="14" t="s">
        <v>2234</v>
      </c>
      <c r="E525" s="14" t="s">
        <v>2235</v>
      </c>
      <c r="F525" s="84" t="s">
        <v>211</v>
      </c>
      <c r="G525" s="15" t="s">
        <v>27</v>
      </c>
      <c r="H525" s="16" t="s">
        <v>2236</v>
      </c>
      <c r="I525" s="17"/>
      <c r="J525" s="17"/>
      <c r="K525" s="17"/>
      <c r="L525" s="17"/>
      <c r="N525" s="31">
        <v>523</v>
      </c>
      <c r="O525" s="32" t="s">
        <v>746</v>
      </c>
      <c r="P525" s="33" t="s">
        <v>57</v>
      </c>
      <c r="Q525" s="32" t="s">
        <v>32</v>
      </c>
      <c r="R525" s="69">
        <v>43390.576724537037</v>
      </c>
      <c r="S525" s="35">
        <v>44356</v>
      </c>
      <c r="T525" s="32" t="str">
        <f t="shared" si="33"/>
        <v>+0842 58688***</v>
      </c>
      <c r="U525" s="32" t="str">
        <f t="shared" ca="1" si="34"/>
        <v>yese***@yuhuumail.com</v>
      </c>
      <c r="V525" s="32">
        <f t="shared" si="35"/>
        <v>24</v>
      </c>
      <c r="W525" s="36">
        <f t="shared" si="36"/>
        <v>6.5000000000000002E-2</v>
      </c>
    </row>
    <row r="526" spans="4:23" ht="27" customHeight="1" x14ac:dyDescent="0.25">
      <c r="D526" s="14" t="s">
        <v>2237</v>
      </c>
      <c r="E526" s="14" t="s">
        <v>2238</v>
      </c>
      <c r="F526" s="84" t="s">
        <v>302</v>
      </c>
      <c r="G526" s="15" t="s">
        <v>27</v>
      </c>
      <c r="H526" s="16" t="s">
        <v>2239</v>
      </c>
      <c r="I526" s="17"/>
      <c r="J526" s="17"/>
      <c r="K526" s="17"/>
      <c r="L526" s="17"/>
      <c r="N526" s="31">
        <v>524</v>
      </c>
      <c r="O526" s="32" t="s">
        <v>2240</v>
      </c>
      <c r="P526" s="33" t="s">
        <v>57</v>
      </c>
      <c r="Q526" s="32" t="s">
        <v>40</v>
      </c>
      <c r="R526" s="69">
        <v>44259.171550925923</v>
      </c>
      <c r="S526" s="35">
        <v>44354</v>
      </c>
      <c r="T526" s="32" t="str">
        <f t="shared" si="33"/>
        <v>+81292484***</v>
      </c>
      <c r="U526" s="32" t="str">
        <f t="shared" ca="1" si="34"/>
        <v>domi***@jossmail.com</v>
      </c>
      <c r="V526" s="32">
        <f t="shared" si="35"/>
        <v>26</v>
      </c>
      <c r="W526" s="36">
        <f t="shared" si="36"/>
        <v>0.05</v>
      </c>
    </row>
    <row r="527" spans="4:23" ht="27" customHeight="1" x14ac:dyDescent="0.25">
      <c r="D527" s="14" t="s">
        <v>2241</v>
      </c>
      <c r="E527" s="14" t="s">
        <v>2242</v>
      </c>
      <c r="F527" s="84" t="s">
        <v>490</v>
      </c>
      <c r="G527" s="15" t="s">
        <v>27</v>
      </c>
      <c r="H527" s="16" t="s">
        <v>2243</v>
      </c>
      <c r="I527" s="17"/>
      <c r="J527" s="17"/>
      <c r="K527" s="17"/>
      <c r="L527" s="17"/>
      <c r="N527" s="31">
        <v>525</v>
      </c>
      <c r="O527" s="32" t="s">
        <v>2244</v>
      </c>
      <c r="P527" s="33" t="s">
        <v>31</v>
      </c>
      <c r="Q527" s="32" t="s">
        <v>32</v>
      </c>
      <c r="R527" s="69">
        <v>42333.660821759258</v>
      </c>
      <c r="S527" s="35">
        <v>44320</v>
      </c>
      <c r="T527" s="32" t="str">
        <f t="shared" si="33"/>
        <v>+0842 41345***</v>
      </c>
      <c r="U527" s="32" t="str">
        <f t="shared" ca="1" si="34"/>
        <v>milo***@yuhuumail.com</v>
      </c>
      <c r="V527" s="32">
        <f t="shared" si="35"/>
        <v>21</v>
      </c>
      <c r="W527" s="36">
        <f t="shared" si="36"/>
        <v>7.5000000000000011E-2</v>
      </c>
    </row>
    <row r="528" spans="4:23" ht="27" customHeight="1" x14ac:dyDescent="0.25">
      <c r="D528" s="14" t="s">
        <v>2245</v>
      </c>
      <c r="E528" s="14" t="s">
        <v>2246</v>
      </c>
      <c r="F528" s="84" t="s">
        <v>2247</v>
      </c>
      <c r="G528" s="15" t="s">
        <v>27</v>
      </c>
      <c r="H528" s="16" t="s">
        <v>2248</v>
      </c>
      <c r="I528" s="17"/>
      <c r="J528" s="17"/>
      <c r="K528" s="17"/>
      <c r="L528" s="17"/>
      <c r="N528" s="31">
        <v>526</v>
      </c>
      <c r="O528" s="32" t="s">
        <v>960</v>
      </c>
      <c r="P528" s="33" t="s">
        <v>57</v>
      </c>
      <c r="Q528" s="32" t="s">
        <v>40</v>
      </c>
      <c r="R528" s="69">
        <v>44261.807847222219</v>
      </c>
      <c r="S528" s="35">
        <v>44354</v>
      </c>
      <c r="T528" s="32" t="str">
        <f t="shared" si="33"/>
        <v>+0842 77896***</v>
      </c>
      <c r="U528" s="32" t="str">
        <f t="shared" ca="1" si="34"/>
        <v>raul***@yuhuumail.com</v>
      </c>
      <c r="V528" s="32">
        <f t="shared" si="35"/>
        <v>25</v>
      </c>
      <c r="W528" s="36">
        <f t="shared" si="36"/>
        <v>0.05</v>
      </c>
    </row>
    <row r="529" spans="4:23" ht="27" customHeight="1" x14ac:dyDescent="0.25">
      <c r="D529" s="14" t="s">
        <v>2249</v>
      </c>
      <c r="E529" s="14" t="s">
        <v>298</v>
      </c>
      <c r="F529" s="84" t="s">
        <v>2250</v>
      </c>
      <c r="G529" s="15" t="s">
        <v>68</v>
      </c>
      <c r="H529" s="16" t="s">
        <v>2251</v>
      </c>
      <c r="I529" s="17"/>
      <c r="J529" s="17"/>
      <c r="K529" s="17"/>
      <c r="L529" s="17"/>
      <c r="N529" s="31">
        <v>527</v>
      </c>
      <c r="O529" s="32" t="s">
        <v>2252</v>
      </c>
      <c r="P529" s="33" t="s">
        <v>31</v>
      </c>
      <c r="Q529" s="32" t="s">
        <v>32</v>
      </c>
      <c r="R529" s="69">
        <v>44261.809502314813</v>
      </c>
      <c r="S529" s="35">
        <v>44362</v>
      </c>
      <c r="T529" s="32" t="str">
        <f t="shared" si="33"/>
        <v>+082264210***</v>
      </c>
      <c r="U529" s="32" t="str">
        <f t="shared" ca="1" si="34"/>
        <v>eile***@yuhuumail.com</v>
      </c>
      <c r="V529" s="32">
        <f t="shared" si="35"/>
        <v>25</v>
      </c>
      <c r="W529" s="36">
        <f t="shared" si="36"/>
        <v>0.05</v>
      </c>
    </row>
    <row r="530" spans="4:23" ht="27" customHeight="1" x14ac:dyDescent="0.25">
      <c r="D530" s="14" t="s">
        <v>2253</v>
      </c>
      <c r="E530" s="14" t="s">
        <v>999</v>
      </c>
      <c r="F530" s="84" t="s">
        <v>1169</v>
      </c>
      <c r="G530" s="15" t="s">
        <v>27</v>
      </c>
      <c r="H530" s="16" t="s">
        <v>2254</v>
      </c>
      <c r="I530" s="17"/>
      <c r="J530" s="17"/>
      <c r="K530" s="17"/>
      <c r="L530" s="17"/>
      <c r="N530" s="31">
        <v>528</v>
      </c>
      <c r="O530" s="32" t="s">
        <v>2255</v>
      </c>
      <c r="P530" s="33" t="s">
        <v>31</v>
      </c>
      <c r="Q530" s="32" t="s">
        <v>40</v>
      </c>
      <c r="R530" s="69">
        <v>44261.824479166666</v>
      </c>
      <c r="S530" s="35">
        <v>44354</v>
      </c>
      <c r="T530" s="32" t="str">
        <f t="shared" si="33"/>
        <v>+6285239288***</v>
      </c>
      <c r="U530" s="32" t="str">
        <f t="shared" ca="1" si="34"/>
        <v>feli***@jossmail.com</v>
      </c>
      <c r="V530" s="32">
        <f t="shared" si="35"/>
        <v>25</v>
      </c>
      <c r="W530" s="36">
        <f t="shared" si="36"/>
        <v>0.05</v>
      </c>
    </row>
    <row r="531" spans="4:23" ht="27" customHeight="1" x14ac:dyDescent="0.25">
      <c r="D531" s="14" t="s">
        <v>2256</v>
      </c>
      <c r="E531" s="14" t="s">
        <v>2257</v>
      </c>
      <c r="F531" s="84" t="s">
        <v>46</v>
      </c>
      <c r="G531" s="15" t="s">
        <v>68</v>
      </c>
      <c r="H531" s="16" t="s">
        <v>2258</v>
      </c>
      <c r="I531" s="17"/>
      <c r="J531" s="17"/>
      <c r="K531" s="17"/>
      <c r="L531" s="17"/>
      <c r="N531" s="31">
        <v>529</v>
      </c>
      <c r="O531" s="32" t="s">
        <v>1146</v>
      </c>
      <c r="P531" s="33" t="s">
        <v>31</v>
      </c>
      <c r="Q531" s="32" t="s">
        <v>32</v>
      </c>
      <c r="R531" s="69">
        <v>43712.66909722222</v>
      </c>
      <c r="S531" s="35">
        <v>44352</v>
      </c>
      <c r="T531" s="32" t="str">
        <f t="shared" si="33"/>
        <v>+6282273622***</v>
      </c>
      <c r="U531" s="32" t="str">
        <f t="shared" ca="1" si="34"/>
        <v>rene***@yuhuumail.com</v>
      </c>
      <c r="V531" s="32">
        <f t="shared" si="35"/>
        <v>23</v>
      </c>
      <c r="W531" s="36">
        <f t="shared" si="36"/>
        <v>6.5000000000000002E-2</v>
      </c>
    </row>
    <row r="532" spans="4:23" ht="27" customHeight="1" x14ac:dyDescent="0.25">
      <c r="D532" s="14" t="s">
        <v>2259</v>
      </c>
      <c r="E532" s="14" t="s">
        <v>2260</v>
      </c>
      <c r="F532" s="84" t="s">
        <v>372</v>
      </c>
      <c r="G532" s="15" t="s">
        <v>68</v>
      </c>
      <c r="H532" s="16" t="s">
        <v>2261</v>
      </c>
      <c r="I532" s="17"/>
      <c r="J532" s="17"/>
      <c r="K532" s="17"/>
      <c r="L532" s="17"/>
      <c r="N532" s="31">
        <v>530</v>
      </c>
      <c r="O532" s="32" t="s">
        <v>2262</v>
      </c>
      <c r="P532" s="33" t="s">
        <v>31</v>
      </c>
      <c r="Q532" s="32" t="s">
        <v>40</v>
      </c>
      <c r="R532" s="69">
        <v>44261.979641203703</v>
      </c>
      <c r="S532" s="35">
        <v>44354</v>
      </c>
      <c r="T532" s="32" t="str">
        <f t="shared" si="33"/>
        <v>+0822 57966***</v>
      </c>
      <c r="U532" s="32" t="str">
        <f t="shared" ca="1" si="34"/>
        <v>hayl***@jossmail.com</v>
      </c>
      <c r="V532" s="32">
        <f t="shared" si="35"/>
        <v>25</v>
      </c>
      <c r="W532" s="36">
        <f t="shared" si="36"/>
        <v>0.05</v>
      </c>
    </row>
    <row r="533" spans="4:23" ht="27" customHeight="1" x14ac:dyDescent="0.25">
      <c r="D533" s="14" t="s">
        <v>2263</v>
      </c>
      <c r="E533" s="14" t="s">
        <v>620</v>
      </c>
      <c r="F533" s="84" t="s">
        <v>107</v>
      </c>
      <c r="G533" s="15" t="s">
        <v>27</v>
      </c>
      <c r="H533" s="16" t="s">
        <v>2264</v>
      </c>
      <c r="I533" s="17"/>
      <c r="J533" s="17"/>
      <c r="K533" s="17"/>
      <c r="L533" s="17"/>
      <c r="N533" s="31">
        <v>531</v>
      </c>
      <c r="O533" s="32" t="s">
        <v>2265</v>
      </c>
      <c r="P533" s="33" t="s">
        <v>57</v>
      </c>
      <c r="Q533" s="32" t="s">
        <v>32</v>
      </c>
      <c r="R533" s="69">
        <v>44261.977951388886</v>
      </c>
      <c r="S533" s="35">
        <v>44352</v>
      </c>
      <c r="T533" s="32" t="str">
        <f t="shared" si="33"/>
        <v>+0832 56259***</v>
      </c>
      <c r="U533" s="32" t="str">
        <f t="shared" ca="1" si="34"/>
        <v>dani***@yuhuumail.com</v>
      </c>
      <c r="V533" s="32">
        <f t="shared" si="35"/>
        <v>25</v>
      </c>
      <c r="W533" s="36">
        <f t="shared" si="36"/>
        <v>0.05</v>
      </c>
    </row>
    <row r="534" spans="4:23" ht="27" customHeight="1" x14ac:dyDescent="0.25">
      <c r="D534" s="14" t="s">
        <v>2266</v>
      </c>
      <c r="E534" s="14" t="s">
        <v>2267</v>
      </c>
      <c r="F534" s="84" t="s">
        <v>211</v>
      </c>
      <c r="G534" s="15" t="s">
        <v>27</v>
      </c>
      <c r="H534" s="16" t="s">
        <v>2268</v>
      </c>
      <c r="I534" s="17"/>
      <c r="J534" s="17"/>
      <c r="K534" s="17"/>
      <c r="L534" s="17"/>
      <c r="N534" s="31">
        <v>532</v>
      </c>
      <c r="O534" s="32" t="s">
        <v>2269</v>
      </c>
      <c r="P534" s="33" t="s">
        <v>57</v>
      </c>
      <c r="Q534" s="32" t="s">
        <v>40</v>
      </c>
      <c r="R534" s="69">
        <v>42956.854826388888</v>
      </c>
      <c r="S534" s="35">
        <v>44353</v>
      </c>
      <c r="T534" s="32" t="str">
        <f t="shared" si="33"/>
        <v>+081243921***</v>
      </c>
      <c r="U534" s="32" t="str">
        <f t="shared" ca="1" si="34"/>
        <v>cath***@jossmail.com</v>
      </c>
      <c r="V534" s="32">
        <f t="shared" si="35"/>
        <v>21</v>
      </c>
      <c r="W534" s="36">
        <f t="shared" si="36"/>
        <v>7.5000000000000011E-2</v>
      </c>
    </row>
    <row r="535" spans="4:23" ht="27" customHeight="1" x14ac:dyDescent="0.25">
      <c r="D535" s="14" t="s">
        <v>2270</v>
      </c>
      <c r="E535" s="14" t="s">
        <v>1811</v>
      </c>
      <c r="F535" s="84" t="s">
        <v>847</v>
      </c>
      <c r="G535" s="15" t="s">
        <v>27</v>
      </c>
      <c r="H535" s="16" t="s">
        <v>2271</v>
      </c>
      <c r="I535" s="17"/>
      <c r="J535" s="17"/>
      <c r="K535" s="17"/>
      <c r="L535" s="17"/>
      <c r="N535" s="31">
        <v>533</v>
      </c>
      <c r="O535" s="32" t="s">
        <v>2272</v>
      </c>
      <c r="P535" s="33" t="s">
        <v>57</v>
      </c>
      <c r="Q535" s="32" t="s">
        <v>32</v>
      </c>
      <c r="R535" s="69">
        <v>44262.123819444445</v>
      </c>
      <c r="S535" s="35">
        <v>44359</v>
      </c>
      <c r="T535" s="32" t="str">
        <f t="shared" si="33"/>
        <v>+0812 90148***</v>
      </c>
      <c r="U535" s="32" t="str">
        <f t="shared" ca="1" si="34"/>
        <v>tali***@jossmail.com</v>
      </c>
      <c r="V535" s="32">
        <f t="shared" si="35"/>
        <v>25</v>
      </c>
      <c r="W535" s="36">
        <f t="shared" si="36"/>
        <v>0.05</v>
      </c>
    </row>
    <row r="536" spans="4:23" ht="27" customHeight="1" x14ac:dyDescent="0.25">
      <c r="D536" s="14" t="s">
        <v>2273</v>
      </c>
      <c r="E536" s="14" t="s">
        <v>2274</v>
      </c>
      <c r="F536" s="84" t="s">
        <v>316</v>
      </c>
      <c r="G536" s="15" t="s">
        <v>68</v>
      </c>
      <c r="H536" s="16" t="s">
        <v>2275</v>
      </c>
      <c r="I536" s="17"/>
      <c r="J536" s="17"/>
      <c r="K536" s="17"/>
      <c r="L536" s="17"/>
      <c r="N536" s="31">
        <v>534</v>
      </c>
      <c r="O536" s="32" t="s">
        <v>2276</v>
      </c>
      <c r="P536" s="33" t="s">
        <v>31</v>
      </c>
      <c r="Q536" s="32" t="s">
        <v>40</v>
      </c>
      <c r="R536" s="69">
        <v>44262.278865740744</v>
      </c>
      <c r="S536" s="35">
        <v>44352</v>
      </c>
      <c r="T536" s="32" t="str">
        <f t="shared" si="33"/>
        <v>+083234306***</v>
      </c>
      <c r="U536" s="32" t="str">
        <f t="shared" ca="1" si="34"/>
        <v>jaba***@jossmail.com</v>
      </c>
      <c r="V536" s="32">
        <f t="shared" si="35"/>
        <v>25</v>
      </c>
      <c r="W536" s="36">
        <f t="shared" si="36"/>
        <v>0.05</v>
      </c>
    </row>
    <row r="537" spans="4:23" ht="27" customHeight="1" x14ac:dyDescent="0.25">
      <c r="D537" s="14" t="s">
        <v>2277</v>
      </c>
      <c r="E537" s="14" t="s">
        <v>2278</v>
      </c>
      <c r="F537" s="84" t="s">
        <v>194</v>
      </c>
      <c r="G537" s="15" t="s">
        <v>27</v>
      </c>
      <c r="H537" s="16" t="s">
        <v>2279</v>
      </c>
      <c r="I537" s="17"/>
      <c r="J537" s="17"/>
      <c r="K537" s="17"/>
      <c r="L537" s="17"/>
      <c r="N537" s="31">
        <v>535</v>
      </c>
      <c r="O537" s="32" t="s">
        <v>2280</v>
      </c>
      <c r="P537" s="33" t="s">
        <v>57</v>
      </c>
      <c r="Q537" s="32" t="s">
        <v>32</v>
      </c>
      <c r="R537" s="69">
        <v>44260.34679398148</v>
      </c>
      <c r="S537" s="35">
        <v>44320</v>
      </c>
      <c r="T537" s="32" t="str">
        <f t="shared" si="33"/>
        <v>+81272321***</v>
      </c>
      <c r="U537" s="32" t="str">
        <f t="shared" ca="1" si="34"/>
        <v>paul***@jossmail.com</v>
      </c>
      <c r="V537" s="32">
        <f t="shared" si="35"/>
        <v>25</v>
      </c>
      <c r="W537" s="36">
        <f t="shared" si="36"/>
        <v>0.05</v>
      </c>
    </row>
    <row r="538" spans="4:23" ht="27" customHeight="1" x14ac:dyDescent="0.25">
      <c r="D538" s="14" t="s">
        <v>2281</v>
      </c>
      <c r="E538" s="14" t="s">
        <v>1171</v>
      </c>
      <c r="F538" s="84" t="s">
        <v>490</v>
      </c>
      <c r="G538" s="15" t="s">
        <v>27</v>
      </c>
      <c r="H538" s="16" t="s">
        <v>2282</v>
      </c>
      <c r="I538" s="17"/>
      <c r="J538" s="17"/>
      <c r="K538" s="17"/>
      <c r="L538" s="17"/>
      <c r="N538" s="31">
        <v>536</v>
      </c>
      <c r="O538" s="32" t="s">
        <v>2283</v>
      </c>
      <c r="P538" s="33" t="s">
        <v>42</v>
      </c>
      <c r="Q538" s="32" t="s">
        <v>40</v>
      </c>
      <c r="R538" s="69">
        <v>42600.420624999999</v>
      </c>
      <c r="S538" s="35">
        <v>44362</v>
      </c>
      <c r="T538" s="32" t="str">
        <f t="shared" si="33"/>
        <v>+0812-27273***</v>
      </c>
      <c r="U538" s="32" t="str">
        <f t="shared" ca="1" si="34"/>
        <v>mich***@jossmail.com</v>
      </c>
      <c r="V538" s="32">
        <f t="shared" si="35"/>
        <v>20</v>
      </c>
      <c r="W538" s="36">
        <f t="shared" si="36"/>
        <v>7.5000000000000011E-2</v>
      </c>
    </row>
    <row r="539" spans="4:23" ht="27" customHeight="1" x14ac:dyDescent="0.25">
      <c r="D539" s="14" t="s">
        <v>2284</v>
      </c>
      <c r="E539" s="14" t="s">
        <v>2285</v>
      </c>
      <c r="F539" s="84" t="s">
        <v>566</v>
      </c>
      <c r="G539" s="15" t="s">
        <v>27</v>
      </c>
      <c r="H539" s="16" t="s">
        <v>2286</v>
      </c>
      <c r="I539" s="17"/>
      <c r="J539" s="17"/>
      <c r="K539" s="17"/>
      <c r="L539" s="17"/>
      <c r="N539" s="31">
        <v>537</v>
      </c>
      <c r="O539" s="32" t="s">
        <v>2139</v>
      </c>
      <c r="P539" s="33" t="s">
        <v>31</v>
      </c>
      <c r="Q539" s="32" t="s">
        <v>32</v>
      </c>
      <c r="R539" s="69">
        <v>44262.398796296293</v>
      </c>
      <c r="S539" s="71">
        <v>44320</v>
      </c>
      <c r="T539" s="32" t="str">
        <f t="shared" si="33"/>
        <v>+0832-55910***</v>
      </c>
      <c r="U539" s="32" t="str">
        <f t="shared" ca="1" si="34"/>
        <v>brad***@yuhuumail.com</v>
      </c>
      <c r="V539" s="32">
        <f t="shared" si="35"/>
        <v>25</v>
      </c>
      <c r="W539" s="36">
        <f t="shared" si="36"/>
        <v>0.05</v>
      </c>
    </row>
    <row r="540" spans="4:23" ht="27" customHeight="1" x14ac:dyDescent="0.25">
      <c r="D540" s="14" t="s">
        <v>2287</v>
      </c>
      <c r="E540" s="14" t="s">
        <v>2288</v>
      </c>
      <c r="F540" s="84" t="s">
        <v>407</v>
      </c>
      <c r="G540" s="15" t="s">
        <v>27</v>
      </c>
      <c r="H540" s="16" t="s">
        <v>2289</v>
      </c>
      <c r="I540" s="17"/>
      <c r="J540" s="17"/>
      <c r="K540" s="17"/>
      <c r="L540" s="17"/>
      <c r="N540" s="31">
        <v>538</v>
      </c>
      <c r="O540" s="32" t="s">
        <v>2290</v>
      </c>
      <c r="P540" s="33" t="s">
        <v>57</v>
      </c>
      <c r="Q540" s="32" t="s">
        <v>40</v>
      </c>
      <c r="R540" s="69">
        <v>44262.449918981481</v>
      </c>
      <c r="S540" s="71">
        <v>44318</v>
      </c>
      <c r="T540" s="32" t="str">
        <f t="shared" si="33"/>
        <v>+0822-24856***</v>
      </c>
      <c r="U540" s="32" t="str">
        <f t="shared" ca="1" si="34"/>
        <v>gord***@yuhuumail.com</v>
      </c>
      <c r="V540" s="32">
        <f t="shared" si="35"/>
        <v>25</v>
      </c>
      <c r="W540" s="36">
        <f t="shared" si="36"/>
        <v>0.05</v>
      </c>
    </row>
    <row r="541" spans="4:23" ht="27" customHeight="1" x14ac:dyDescent="0.25">
      <c r="D541" s="14" t="s">
        <v>2291</v>
      </c>
      <c r="E541" s="14" t="s">
        <v>2292</v>
      </c>
      <c r="F541" s="84" t="s">
        <v>602</v>
      </c>
      <c r="G541" s="15" t="s">
        <v>27</v>
      </c>
      <c r="H541" s="16" t="s">
        <v>2293</v>
      </c>
      <c r="I541" s="17"/>
      <c r="J541" s="17"/>
      <c r="K541" s="17"/>
      <c r="L541" s="17"/>
      <c r="N541" s="31">
        <v>539</v>
      </c>
      <c r="O541" s="32" t="s">
        <v>626</v>
      </c>
      <c r="P541" s="33" t="s">
        <v>31</v>
      </c>
      <c r="Q541" s="32" t="s">
        <v>32</v>
      </c>
      <c r="R541" s="69">
        <v>44262.455567129633</v>
      </c>
      <c r="S541" s="71">
        <v>44354</v>
      </c>
      <c r="T541" s="32" t="str">
        <f t="shared" si="33"/>
        <v>+6284213342***</v>
      </c>
      <c r="U541" s="32" t="str">
        <f t="shared" ca="1" si="34"/>
        <v>marq***@yuhuumail.com</v>
      </c>
      <c r="V541" s="32">
        <f t="shared" si="35"/>
        <v>25</v>
      </c>
      <c r="W541" s="36">
        <f t="shared" si="36"/>
        <v>0.05</v>
      </c>
    </row>
    <row r="542" spans="4:23" ht="27" customHeight="1" x14ac:dyDescent="0.25">
      <c r="D542" s="14" t="s">
        <v>2294</v>
      </c>
      <c r="E542" s="14" t="s">
        <v>2295</v>
      </c>
      <c r="F542" s="84" t="s">
        <v>1919</v>
      </c>
      <c r="G542" s="15" t="s">
        <v>27</v>
      </c>
      <c r="H542" s="16" t="s">
        <v>2296</v>
      </c>
      <c r="I542" s="17"/>
      <c r="J542" s="17"/>
      <c r="K542" s="17"/>
      <c r="L542" s="17"/>
      <c r="N542" s="31">
        <v>540</v>
      </c>
      <c r="O542" s="32" t="s">
        <v>2297</v>
      </c>
      <c r="P542" s="33" t="s">
        <v>57</v>
      </c>
      <c r="Q542" s="32" t="s">
        <v>40</v>
      </c>
      <c r="R542" s="69">
        <v>44262.496701388889</v>
      </c>
      <c r="S542" s="71">
        <v>44356</v>
      </c>
      <c r="T542" s="32" t="str">
        <f t="shared" si="33"/>
        <v>+081295974***</v>
      </c>
      <c r="U542" s="32" t="str">
        <f t="shared" ca="1" si="34"/>
        <v>chai***@jossmail.com</v>
      </c>
      <c r="V542" s="32">
        <f t="shared" si="35"/>
        <v>25</v>
      </c>
      <c r="W542" s="36">
        <f t="shared" si="36"/>
        <v>0.05</v>
      </c>
    </row>
    <row r="543" spans="4:23" ht="27" customHeight="1" x14ac:dyDescent="0.25">
      <c r="D543" s="14" t="s">
        <v>2298</v>
      </c>
      <c r="E543" s="14" t="s">
        <v>2299</v>
      </c>
      <c r="F543" s="84" t="s">
        <v>407</v>
      </c>
      <c r="G543" s="15" t="s">
        <v>68</v>
      </c>
      <c r="H543" s="16" t="s">
        <v>2300</v>
      </c>
      <c r="I543" s="17"/>
      <c r="J543" s="17"/>
      <c r="K543" s="17"/>
      <c r="L543" s="17"/>
      <c r="N543" s="31">
        <v>541</v>
      </c>
      <c r="O543" s="32" t="s">
        <v>2301</v>
      </c>
      <c r="P543" s="33" t="s">
        <v>57</v>
      </c>
      <c r="Q543" s="32" t="s">
        <v>32</v>
      </c>
      <c r="R543" s="69">
        <v>44262.501516203702</v>
      </c>
      <c r="S543" s="71">
        <v>44318</v>
      </c>
      <c r="T543" s="32" t="str">
        <f t="shared" si="33"/>
        <v>+0852-51236***</v>
      </c>
      <c r="U543" s="32" t="str">
        <f t="shared" ca="1" si="34"/>
        <v>adit***@jossmail.com</v>
      </c>
      <c r="V543" s="32">
        <f t="shared" si="35"/>
        <v>25</v>
      </c>
      <c r="W543" s="36">
        <f t="shared" si="36"/>
        <v>0.05</v>
      </c>
    </row>
    <row r="544" spans="4:23" ht="27" customHeight="1" x14ac:dyDescent="0.25">
      <c r="D544" s="14" t="s">
        <v>2302</v>
      </c>
      <c r="E544" s="14" t="s">
        <v>2303</v>
      </c>
      <c r="F544" s="84" t="s">
        <v>1919</v>
      </c>
      <c r="G544" s="15" t="s">
        <v>68</v>
      </c>
      <c r="H544" s="16" t="s">
        <v>2304</v>
      </c>
      <c r="I544" s="17"/>
      <c r="J544" s="17"/>
      <c r="K544" s="17"/>
      <c r="L544" s="17"/>
      <c r="N544" s="31">
        <v>542</v>
      </c>
      <c r="O544" s="32" t="s">
        <v>2305</v>
      </c>
      <c r="P544" s="33" t="s">
        <v>57</v>
      </c>
      <c r="Q544" s="32" t="s">
        <v>40</v>
      </c>
      <c r="R544" s="69">
        <v>44262.508356481485</v>
      </c>
      <c r="S544" s="71">
        <v>44356</v>
      </c>
      <c r="T544" s="32" t="str">
        <f t="shared" si="33"/>
        <v>+852 17442***</v>
      </c>
      <c r="U544" s="32" t="str">
        <f t="shared" ca="1" si="34"/>
        <v>summ***@jossmail.com</v>
      </c>
      <c r="V544" s="32">
        <f t="shared" si="35"/>
        <v>25</v>
      </c>
      <c r="W544" s="36">
        <f t="shared" si="36"/>
        <v>0.05</v>
      </c>
    </row>
    <row r="545" spans="4:23" ht="27" customHeight="1" x14ac:dyDescent="0.25">
      <c r="D545" s="14" t="s">
        <v>2306</v>
      </c>
      <c r="E545" s="14" t="s">
        <v>441</v>
      </c>
      <c r="F545" s="84" t="s">
        <v>26</v>
      </c>
      <c r="G545" s="15" t="s">
        <v>68</v>
      </c>
      <c r="H545" s="16" t="s">
        <v>2307</v>
      </c>
      <c r="I545" s="17"/>
      <c r="J545" s="17"/>
      <c r="K545" s="17"/>
      <c r="L545" s="17"/>
      <c r="N545" s="31">
        <v>543</v>
      </c>
      <c r="O545" s="32" t="s">
        <v>1192</v>
      </c>
      <c r="P545" s="33" t="s">
        <v>42</v>
      </c>
      <c r="Q545" s="32" t="s">
        <v>32</v>
      </c>
      <c r="R545" s="69">
        <v>44262.521053240744</v>
      </c>
      <c r="S545" s="71">
        <v>44320</v>
      </c>
      <c r="T545" s="32" t="str">
        <f t="shared" si="33"/>
        <v>+084269824***</v>
      </c>
      <c r="U545" s="32" t="str">
        <f t="shared" ca="1" si="34"/>
        <v>lill***@jossmail.com</v>
      </c>
      <c r="V545" s="32">
        <f t="shared" si="35"/>
        <v>25</v>
      </c>
      <c r="W545" s="36">
        <f t="shared" si="36"/>
        <v>0.05</v>
      </c>
    </row>
    <row r="546" spans="4:23" ht="27" customHeight="1" x14ac:dyDescent="0.25">
      <c r="D546" s="14" t="s">
        <v>2308</v>
      </c>
      <c r="E546" s="14" t="s">
        <v>2309</v>
      </c>
      <c r="F546" s="84" t="s">
        <v>670</v>
      </c>
      <c r="G546" s="15" t="s">
        <v>68</v>
      </c>
      <c r="H546" s="16" t="s">
        <v>2310</v>
      </c>
      <c r="I546" s="17"/>
      <c r="J546" s="17"/>
      <c r="K546" s="17"/>
      <c r="L546" s="17"/>
      <c r="N546" s="31">
        <v>544</v>
      </c>
      <c r="O546" s="32" t="s">
        <v>2311</v>
      </c>
      <c r="P546" s="33" t="s">
        <v>57</v>
      </c>
      <c r="Q546" s="32" t="s">
        <v>40</v>
      </c>
      <c r="R546" s="69">
        <v>44262.544456018521</v>
      </c>
      <c r="S546" s="71">
        <v>44352</v>
      </c>
      <c r="T546" s="32" t="str">
        <f t="shared" si="33"/>
        <v>+083253017***</v>
      </c>
      <c r="U546" s="32" t="str">
        <f t="shared" ca="1" si="34"/>
        <v>tren***@yuhuumail.com</v>
      </c>
      <c r="V546" s="32">
        <f t="shared" si="35"/>
        <v>25</v>
      </c>
      <c r="W546" s="36">
        <f t="shared" si="36"/>
        <v>0.05</v>
      </c>
    </row>
    <row r="547" spans="4:23" ht="27" customHeight="1" x14ac:dyDescent="0.25">
      <c r="D547" s="14" t="s">
        <v>2312</v>
      </c>
      <c r="E547" s="14" t="s">
        <v>2313</v>
      </c>
      <c r="F547" s="84" t="s">
        <v>92</v>
      </c>
      <c r="G547" s="15" t="s">
        <v>68</v>
      </c>
      <c r="H547" s="16" t="s">
        <v>2314</v>
      </c>
      <c r="I547" s="17"/>
      <c r="J547" s="17"/>
      <c r="K547" s="17"/>
      <c r="L547" s="17"/>
      <c r="N547" s="31">
        <v>545</v>
      </c>
      <c r="O547" s="32" t="s">
        <v>2315</v>
      </c>
      <c r="P547" s="33" t="s">
        <v>42</v>
      </c>
      <c r="Q547" s="32" t="s">
        <v>32</v>
      </c>
      <c r="R547" s="69">
        <v>44180.944108796299</v>
      </c>
      <c r="S547" s="71">
        <v>44354</v>
      </c>
      <c r="T547" s="32" t="str">
        <f t="shared" si="33"/>
        <v>+0822 33978***</v>
      </c>
      <c r="U547" s="32" t="str">
        <f t="shared" ca="1" si="34"/>
        <v>jaco***@yuhuumail.com</v>
      </c>
      <c r="V547" s="32">
        <f t="shared" si="35"/>
        <v>25</v>
      </c>
      <c r="W547" s="36">
        <f t="shared" si="36"/>
        <v>0.05</v>
      </c>
    </row>
    <row r="548" spans="4:23" ht="27" customHeight="1" x14ac:dyDescent="0.25">
      <c r="D548" s="14" t="s">
        <v>2316</v>
      </c>
      <c r="E548" s="14" t="s">
        <v>2317</v>
      </c>
      <c r="F548" s="84" t="s">
        <v>1535</v>
      </c>
      <c r="G548" s="15" t="s">
        <v>68</v>
      </c>
      <c r="H548" s="16" t="s">
        <v>2318</v>
      </c>
      <c r="I548" s="17"/>
      <c r="J548" s="17"/>
      <c r="K548" s="17"/>
      <c r="L548" s="17"/>
      <c r="N548" s="31">
        <v>546</v>
      </c>
      <c r="O548" s="32" t="s">
        <v>2319</v>
      </c>
      <c r="P548" s="33" t="s">
        <v>42</v>
      </c>
      <c r="Q548" s="32" t="s">
        <v>40</v>
      </c>
      <c r="R548" s="69">
        <v>44262.580266203702</v>
      </c>
      <c r="S548" s="71">
        <v>44318</v>
      </c>
      <c r="T548" s="32" t="str">
        <f t="shared" si="33"/>
        <v>+082212398***</v>
      </c>
      <c r="U548" s="32" t="str">
        <f t="shared" ca="1" si="34"/>
        <v>juli***@jossmail.com</v>
      </c>
      <c r="V548" s="32">
        <f t="shared" si="35"/>
        <v>25</v>
      </c>
      <c r="W548" s="36">
        <f t="shared" si="36"/>
        <v>0.05</v>
      </c>
    </row>
    <row r="549" spans="4:23" ht="27" customHeight="1" x14ac:dyDescent="0.25">
      <c r="D549" s="14" t="s">
        <v>2320</v>
      </c>
      <c r="E549" s="14" t="s">
        <v>1868</v>
      </c>
      <c r="F549" s="84" t="s">
        <v>149</v>
      </c>
      <c r="G549" s="15" t="s">
        <v>27</v>
      </c>
      <c r="H549" s="16" t="s">
        <v>2321</v>
      </c>
      <c r="I549" s="17"/>
      <c r="J549" s="17"/>
      <c r="K549" s="17"/>
      <c r="L549" s="17"/>
      <c r="N549" s="31">
        <v>547</v>
      </c>
      <c r="O549" s="32" t="s">
        <v>2322</v>
      </c>
      <c r="P549" s="33" t="s">
        <v>31</v>
      </c>
      <c r="Q549" s="32" t="s">
        <v>32</v>
      </c>
      <c r="R549" s="69">
        <v>44262.601782407408</v>
      </c>
      <c r="S549" s="71">
        <v>44318</v>
      </c>
      <c r="T549" s="32" t="str">
        <f t="shared" si="33"/>
        <v>+0812 28565***</v>
      </c>
      <c r="U549" s="32" t="str">
        <f t="shared" ca="1" si="34"/>
        <v>kirs***@yuhuumail.com</v>
      </c>
      <c r="V549" s="32">
        <f t="shared" si="35"/>
        <v>25</v>
      </c>
      <c r="W549" s="36">
        <f t="shared" si="36"/>
        <v>0.05</v>
      </c>
    </row>
    <row r="550" spans="4:23" ht="27" customHeight="1" x14ac:dyDescent="0.25">
      <c r="D550" s="14" t="s">
        <v>2323</v>
      </c>
      <c r="E550" s="14" t="s">
        <v>459</v>
      </c>
      <c r="F550" s="84" t="s">
        <v>494</v>
      </c>
      <c r="G550" s="15" t="s">
        <v>27</v>
      </c>
      <c r="H550" s="16" t="s">
        <v>2324</v>
      </c>
      <c r="I550" s="17"/>
      <c r="J550" s="17"/>
      <c r="K550" s="17"/>
      <c r="L550" s="17"/>
      <c r="N550" s="31">
        <v>548</v>
      </c>
      <c r="O550" s="32" t="s">
        <v>2325</v>
      </c>
      <c r="P550" s="33" t="s">
        <v>31</v>
      </c>
      <c r="Q550" s="32" t="s">
        <v>40</v>
      </c>
      <c r="R550" s="69">
        <v>44262.684074074074</v>
      </c>
      <c r="S550" s="71">
        <v>44354</v>
      </c>
      <c r="T550" s="32" t="str">
        <f t="shared" si="33"/>
        <v>+6285269050***</v>
      </c>
      <c r="U550" s="32" t="str">
        <f t="shared" ca="1" si="34"/>
        <v>sash***@yuhuumail.com</v>
      </c>
      <c r="V550" s="32">
        <f t="shared" si="35"/>
        <v>25</v>
      </c>
      <c r="W550" s="36">
        <f t="shared" si="36"/>
        <v>0.05</v>
      </c>
    </row>
    <row r="551" spans="4:23" ht="27" customHeight="1" x14ac:dyDescent="0.25">
      <c r="D551" s="14" t="s">
        <v>2326</v>
      </c>
      <c r="E551" s="14" t="s">
        <v>2327</v>
      </c>
      <c r="F551" s="84" t="s">
        <v>38</v>
      </c>
      <c r="G551" s="15" t="s">
        <v>27</v>
      </c>
      <c r="H551" s="16" t="s">
        <v>2328</v>
      </c>
      <c r="I551" s="17"/>
      <c r="J551" s="17"/>
      <c r="K551" s="17"/>
      <c r="L551" s="17"/>
      <c r="N551" s="31">
        <v>549</v>
      </c>
      <c r="O551" s="32" t="s">
        <v>596</v>
      </c>
      <c r="P551" s="33" t="s">
        <v>57</v>
      </c>
      <c r="Q551" s="32" t="s">
        <v>32</v>
      </c>
      <c r="R551" s="69">
        <v>44262.725787037038</v>
      </c>
      <c r="S551" s="71">
        <v>44352</v>
      </c>
      <c r="T551" s="32" t="str">
        <f t="shared" si="33"/>
        <v>+82270417***</v>
      </c>
      <c r="U551" s="32" t="str">
        <f t="shared" ca="1" si="34"/>
        <v>jaid***@yuhuumail.com</v>
      </c>
      <c r="V551" s="32">
        <f t="shared" si="35"/>
        <v>25</v>
      </c>
      <c r="W551" s="36">
        <f t="shared" si="36"/>
        <v>0.05</v>
      </c>
    </row>
    <row r="552" spans="4:23" ht="27" customHeight="1" x14ac:dyDescent="0.25">
      <c r="D552" s="14" t="s">
        <v>2329</v>
      </c>
      <c r="E552" s="14" t="s">
        <v>2330</v>
      </c>
      <c r="F552" s="84" t="s">
        <v>1118</v>
      </c>
      <c r="G552" s="15" t="s">
        <v>27</v>
      </c>
      <c r="H552" s="16" t="s">
        <v>2331</v>
      </c>
      <c r="I552" s="17"/>
      <c r="J552" s="17"/>
      <c r="K552" s="17"/>
      <c r="L552" s="17"/>
      <c r="N552" s="31">
        <v>550</v>
      </c>
      <c r="O552" s="32" t="s">
        <v>2332</v>
      </c>
      <c r="P552" s="33" t="s">
        <v>31</v>
      </c>
      <c r="Q552" s="32" t="s">
        <v>40</v>
      </c>
      <c r="R552" s="69">
        <v>44262.718657407408</v>
      </c>
      <c r="S552" s="71">
        <v>44320</v>
      </c>
      <c r="T552" s="32" t="str">
        <f t="shared" si="33"/>
        <v>+6283216453***</v>
      </c>
      <c r="U552" s="32" t="str">
        <f t="shared" ca="1" si="34"/>
        <v>nick***@jossmail.com</v>
      </c>
      <c r="V552" s="32">
        <f t="shared" si="35"/>
        <v>25</v>
      </c>
      <c r="W552" s="36">
        <f t="shared" si="36"/>
        <v>0.05</v>
      </c>
    </row>
    <row r="553" spans="4:23" ht="27" customHeight="1" x14ac:dyDescent="0.25">
      <c r="D553" s="14" t="s">
        <v>2333</v>
      </c>
      <c r="E553" s="14" t="s">
        <v>2334</v>
      </c>
      <c r="F553" s="84" t="s">
        <v>2335</v>
      </c>
      <c r="G553" s="15" t="s">
        <v>27</v>
      </c>
      <c r="H553" s="16" t="s">
        <v>2336</v>
      </c>
      <c r="I553" s="17"/>
      <c r="J553" s="17"/>
      <c r="K553" s="17"/>
      <c r="L553" s="17"/>
      <c r="N553" s="31">
        <v>551</v>
      </c>
      <c r="O553" s="32" t="s">
        <v>2337</v>
      </c>
      <c r="P553" s="33" t="s">
        <v>31</v>
      </c>
      <c r="Q553" s="32" t="s">
        <v>32</v>
      </c>
      <c r="R553" s="69">
        <v>44262.73877314815</v>
      </c>
      <c r="S553" s="71">
        <v>44362</v>
      </c>
      <c r="T553" s="32" t="str">
        <f t="shared" si="33"/>
        <v>+082292843***</v>
      </c>
      <c r="U553" s="32" t="str">
        <f t="shared" ca="1" si="34"/>
        <v>rodn***@jossmail.com</v>
      </c>
      <c r="V553" s="32">
        <f t="shared" si="35"/>
        <v>25</v>
      </c>
      <c r="W553" s="36">
        <f t="shared" si="36"/>
        <v>0.05</v>
      </c>
    </row>
    <row r="554" spans="4:23" ht="27" customHeight="1" x14ac:dyDescent="0.25">
      <c r="D554" s="14" t="s">
        <v>2338</v>
      </c>
      <c r="E554" s="14" t="s">
        <v>2339</v>
      </c>
      <c r="F554" s="84" t="s">
        <v>159</v>
      </c>
      <c r="G554" s="15" t="s">
        <v>27</v>
      </c>
      <c r="H554" s="16" t="s">
        <v>2340</v>
      </c>
      <c r="I554" s="17"/>
      <c r="J554" s="17"/>
      <c r="K554" s="17"/>
      <c r="L554" s="17"/>
      <c r="N554" s="31">
        <v>552</v>
      </c>
      <c r="O554" s="32" t="s">
        <v>2341</v>
      </c>
      <c r="P554" s="33" t="s">
        <v>42</v>
      </c>
      <c r="Q554" s="32" t="s">
        <v>40</v>
      </c>
      <c r="R554" s="69">
        <v>44262.759398148148</v>
      </c>
      <c r="S554" s="71">
        <v>44320</v>
      </c>
      <c r="T554" s="32" t="str">
        <f t="shared" si="33"/>
        <v>+6283211911***</v>
      </c>
      <c r="U554" s="32" t="str">
        <f t="shared" ca="1" si="34"/>
        <v>zech***@jossmail.com</v>
      </c>
      <c r="V554" s="32">
        <f t="shared" si="35"/>
        <v>25</v>
      </c>
      <c r="W554" s="36">
        <f t="shared" si="36"/>
        <v>0.05</v>
      </c>
    </row>
    <row r="555" spans="4:23" ht="27" customHeight="1" x14ac:dyDescent="0.25">
      <c r="D555" s="14" t="s">
        <v>2342</v>
      </c>
      <c r="E555" s="14" t="s">
        <v>2343</v>
      </c>
      <c r="F555" s="84" t="s">
        <v>114</v>
      </c>
      <c r="G555" s="15" t="s">
        <v>27</v>
      </c>
      <c r="H555" s="16" t="s">
        <v>2344</v>
      </c>
      <c r="I555" s="17"/>
      <c r="J555" s="17"/>
      <c r="K555" s="17"/>
      <c r="L555" s="17"/>
      <c r="N555" s="31">
        <v>553</v>
      </c>
      <c r="O555" s="32" t="s">
        <v>2345</v>
      </c>
      <c r="P555" s="33" t="s">
        <v>42</v>
      </c>
      <c r="Q555" s="32" t="s">
        <v>32</v>
      </c>
      <c r="R555" s="69">
        <v>44262.777384259258</v>
      </c>
      <c r="S555" s="71">
        <v>44362</v>
      </c>
      <c r="T555" s="32" t="str">
        <f t="shared" si="33"/>
        <v>+84234801***</v>
      </c>
      <c r="U555" s="32" t="str">
        <f t="shared" ca="1" si="34"/>
        <v>sash***@yuhuumail.com</v>
      </c>
      <c r="V555" s="32">
        <f t="shared" si="35"/>
        <v>25</v>
      </c>
      <c r="W555" s="36">
        <f t="shared" si="36"/>
        <v>0.05</v>
      </c>
    </row>
    <row r="556" spans="4:23" ht="27" customHeight="1" x14ac:dyDescent="0.25">
      <c r="D556" s="14" t="s">
        <v>2346</v>
      </c>
      <c r="E556" s="14" t="s">
        <v>2347</v>
      </c>
      <c r="F556" s="84" t="s">
        <v>114</v>
      </c>
      <c r="G556" s="15" t="s">
        <v>27</v>
      </c>
      <c r="H556" s="16" t="s">
        <v>2348</v>
      </c>
      <c r="I556" s="17"/>
      <c r="J556" s="17"/>
      <c r="K556" s="17"/>
      <c r="L556" s="17"/>
      <c r="N556" s="31">
        <v>554</v>
      </c>
      <c r="O556" s="32" t="s">
        <v>1001</v>
      </c>
      <c r="P556" s="33" t="s">
        <v>31</v>
      </c>
      <c r="Q556" s="32" t="s">
        <v>40</v>
      </c>
      <c r="R556" s="69">
        <v>44260.826608796298</v>
      </c>
      <c r="S556" s="71">
        <v>44357</v>
      </c>
      <c r="T556" s="32" t="str">
        <f t="shared" si="33"/>
        <v>+085269791***</v>
      </c>
      <c r="U556" s="32" t="str">
        <f t="shared" ca="1" si="34"/>
        <v>mari***@yuhuumail.com</v>
      </c>
      <c r="V556" s="32">
        <f t="shared" si="35"/>
        <v>25</v>
      </c>
      <c r="W556" s="36">
        <f t="shared" si="36"/>
        <v>0.05</v>
      </c>
    </row>
    <row r="557" spans="4:23" ht="27" customHeight="1" x14ac:dyDescent="0.25">
      <c r="D557" s="14" t="s">
        <v>2349</v>
      </c>
      <c r="E557" s="14" t="s">
        <v>2350</v>
      </c>
      <c r="F557" s="84" t="s">
        <v>200</v>
      </c>
      <c r="G557" s="15" t="s">
        <v>27</v>
      </c>
      <c r="H557" s="16" t="s">
        <v>2351</v>
      </c>
      <c r="I557" s="17"/>
      <c r="J557" s="17"/>
      <c r="K557" s="17"/>
      <c r="L557" s="17"/>
      <c r="N557" s="31">
        <v>555</v>
      </c>
      <c r="O557" s="32" t="s">
        <v>2352</v>
      </c>
      <c r="P557" s="33" t="s">
        <v>42</v>
      </c>
      <c r="Q557" s="32" t="s">
        <v>32</v>
      </c>
      <c r="R557" s="69">
        <v>43649.920578703706</v>
      </c>
      <c r="S557" s="71">
        <v>44354</v>
      </c>
      <c r="T557" s="32" t="str">
        <f t="shared" si="33"/>
        <v>+084211894***</v>
      </c>
      <c r="U557" s="32" t="str">
        <f t="shared" ca="1" si="34"/>
        <v>erne***@yuhuumail.com</v>
      </c>
      <c r="V557" s="32">
        <f t="shared" si="35"/>
        <v>23</v>
      </c>
      <c r="W557" s="36">
        <f t="shared" si="36"/>
        <v>6.5000000000000002E-2</v>
      </c>
    </row>
    <row r="558" spans="4:23" ht="27" customHeight="1" x14ac:dyDescent="0.25">
      <c r="D558" s="14" t="s">
        <v>2353</v>
      </c>
      <c r="E558" s="14" t="s">
        <v>1095</v>
      </c>
      <c r="F558" s="84" t="s">
        <v>764</v>
      </c>
      <c r="G558" s="15" t="s">
        <v>27</v>
      </c>
      <c r="H558" s="16" t="s">
        <v>2354</v>
      </c>
      <c r="I558" s="17"/>
      <c r="J558" s="17"/>
      <c r="K558" s="17"/>
      <c r="L558" s="17"/>
      <c r="N558" s="31">
        <v>556</v>
      </c>
      <c r="O558" s="32" t="s">
        <v>2355</v>
      </c>
      <c r="P558" s="33" t="s">
        <v>31</v>
      </c>
      <c r="Q558" s="32" t="s">
        <v>40</v>
      </c>
      <c r="R558" s="69">
        <v>44262.810393518521</v>
      </c>
      <c r="S558" s="71">
        <v>44318</v>
      </c>
      <c r="T558" s="32" t="str">
        <f t="shared" si="33"/>
        <v>+84273981***</v>
      </c>
      <c r="U558" s="32" t="str">
        <f t="shared" ca="1" si="34"/>
        <v>call***@jossmail.com</v>
      </c>
      <c r="V558" s="32">
        <f t="shared" si="35"/>
        <v>25</v>
      </c>
      <c r="W558" s="36">
        <f t="shared" si="36"/>
        <v>0.05</v>
      </c>
    </row>
    <row r="559" spans="4:23" ht="27" customHeight="1" x14ac:dyDescent="0.25">
      <c r="D559" s="14" t="s">
        <v>2356</v>
      </c>
      <c r="E559" s="14" t="s">
        <v>2357</v>
      </c>
      <c r="F559" s="84" t="s">
        <v>524</v>
      </c>
      <c r="G559" s="15" t="s">
        <v>68</v>
      </c>
      <c r="H559" s="16" t="s">
        <v>2358</v>
      </c>
      <c r="I559" s="17"/>
      <c r="J559" s="17"/>
      <c r="K559" s="17"/>
      <c r="L559" s="17"/>
      <c r="N559" s="31">
        <v>557</v>
      </c>
      <c r="O559" s="32" t="s">
        <v>2359</v>
      </c>
      <c r="P559" s="33" t="s">
        <v>42</v>
      </c>
      <c r="Q559" s="32" t="s">
        <v>32</v>
      </c>
      <c r="R559" s="69">
        <v>44262.87158564815</v>
      </c>
      <c r="S559" s="35">
        <v>44362</v>
      </c>
      <c r="T559" s="32" t="str">
        <f t="shared" si="33"/>
        <v>+0812-99544***</v>
      </c>
      <c r="U559" s="32" t="str">
        <f t="shared" ca="1" si="34"/>
        <v>cale***@yuhuumail.com</v>
      </c>
      <c r="V559" s="32">
        <f t="shared" si="35"/>
        <v>25</v>
      </c>
      <c r="W559" s="36">
        <f t="shared" si="36"/>
        <v>0.05</v>
      </c>
    </row>
    <row r="560" spans="4:23" ht="27" customHeight="1" x14ac:dyDescent="0.25">
      <c r="D560" s="14" t="s">
        <v>2360</v>
      </c>
      <c r="E560" s="14" t="s">
        <v>2361</v>
      </c>
      <c r="F560" s="84" t="s">
        <v>407</v>
      </c>
      <c r="G560" s="15" t="s">
        <v>27</v>
      </c>
      <c r="H560" s="16" t="s">
        <v>2362</v>
      </c>
      <c r="I560" s="17"/>
      <c r="J560" s="17"/>
      <c r="K560" s="17"/>
      <c r="L560" s="17"/>
      <c r="N560" s="31">
        <v>558</v>
      </c>
      <c r="O560" s="32" t="s">
        <v>2363</v>
      </c>
      <c r="P560" s="33" t="s">
        <v>31</v>
      </c>
      <c r="Q560" s="32" t="s">
        <v>40</v>
      </c>
      <c r="R560" s="69">
        <v>44018.767604166664</v>
      </c>
      <c r="S560" s="35">
        <v>44359</v>
      </c>
      <c r="T560" s="32" t="str">
        <f t="shared" si="33"/>
        <v>+85288796***</v>
      </c>
      <c r="U560" s="32" t="str">
        <f t="shared" ca="1" si="34"/>
        <v>rafa***@jossmail.com</v>
      </c>
      <c r="V560" s="32">
        <f t="shared" si="35"/>
        <v>24</v>
      </c>
      <c r="W560" s="36">
        <f t="shared" si="36"/>
        <v>0.05</v>
      </c>
    </row>
    <row r="561" spans="4:23" ht="27" customHeight="1" x14ac:dyDescent="0.25">
      <c r="D561" s="14" t="s">
        <v>2364</v>
      </c>
      <c r="E561" s="14" t="s">
        <v>2365</v>
      </c>
      <c r="F561" s="84" t="s">
        <v>92</v>
      </c>
      <c r="G561" s="15" t="s">
        <v>68</v>
      </c>
      <c r="H561" s="16" t="s">
        <v>2366</v>
      </c>
      <c r="I561" s="17"/>
      <c r="J561" s="17"/>
      <c r="K561" s="17"/>
      <c r="L561" s="17"/>
      <c r="N561" s="31">
        <v>559</v>
      </c>
      <c r="O561" s="32" t="s">
        <v>2367</v>
      </c>
      <c r="P561" s="33" t="s">
        <v>42</v>
      </c>
      <c r="Q561" s="32" t="s">
        <v>32</v>
      </c>
      <c r="R561" s="69">
        <v>44263.03800925926</v>
      </c>
      <c r="S561" s="35">
        <v>44354</v>
      </c>
      <c r="T561" s="32" t="str">
        <f t="shared" si="33"/>
        <v>+85293596***</v>
      </c>
      <c r="U561" s="32" t="str">
        <f t="shared" ca="1" si="34"/>
        <v>elle***@yuhuumail.com</v>
      </c>
      <c r="V561" s="32">
        <f t="shared" si="35"/>
        <v>25</v>
      </c>
      <c r="W561" s="36">
        <f t="shared" si="36"/>
        <v>0.05</v>
      </c>
    </row>
    <row r="562" spans="4:23" ht="27" customHeight="1" x14ac:dyDescent="0.25">
      <c r="D562" s="14" t="s">
        <v>2368</v>
      </c>
      <c r="E562" s="14" t="s">
        <v>844</v>
      </c>
      <c r="F562" s="84" t="s">
        <v>2135</v>
      </c>
      <c r="G562" s="15" t="s">
        <v>27</v>
      </c>
      <c r="H562" s="16" t="s">
        <v>2369</v>
      </c>
      <c r="I562" s="17"/>
      <c r="J562" s="17"/>
      <c r="K562" s="17"/>
      <c r="L562" s="17"/>
      <c r="N562" s="31">
        <v>560</v>
      </c>
      <c r="O562" s="32" t="s">
        <v>2370</v>
      </c>
      <c r="P562" s="33" t="s">
        <v>42</v>
      </c>
      <c r="Q562" s="32" t="s">
        <v>40</v>
      </c>
      <c r="R562" s="69">
        <v>43911.049490740741</v>
      </c>
      <c r="S562" s="35">
        <v>44318</v>
      </c>
      <c r="T562" s="32" t="str">
        <f t="shared" si="33"/>
        <v>+83297286***</v>
      </c>
      <c r="U562" s="32" t="str">
        <f t="shared" ca="1" si="34"/>
        <v>broo***@jossmail.com</v>
      </c>
      <c r="V562" s="32">
        <f t="shared" si="35"/>
        <v>24</v>
      </c>
      <c r="W562" s="36">
        <f t="shared" si="36"/>
        <v>6.5000000000000002E-2</v>
      </c>
    </row>
    <row r="563" spans="4:23" ht="27" customHeight="1" x14ac:dyDescent="0.25">
      <c r="D563" s="14" t="s">
        <v>2371</v>
      </c>
      <c r="E563" s="14" t="s">
        <v>2372</v>
      </c>
      <c r="F563" s="84" t="s">
        <v>407</v>
      </c>
      <c r="G563" s="15" t="s">
        <v>68</v>
      </c>
      <c r="H563" s="16" t="s">
        <v>2373</v>
      </c>
      <c r="I563" s="17"/>
      <c r="J563" s="17"/>
      <c r="K563" s="17"/>
      <c r="L563" s="17"/>
      <c r="N563" s="31">
        <v>561</v>
      </c>
      <c r="O563" s="32" t="s">
        <v>2374</v>
      </c>
      <c r="P563" s="33" t="s">
        <v>57</v>
      </c>
      <c r="Q563" s="32" t="s">
        <v>32</v>
      </c>
      <c r="R563" s="69">
        <v>44080.019606481481</v>
      </c>
      <c r="S563" s="35">
        <v>44362</v>
      </c>
      <c r="T563" s="32" t="str">
        <f t="shared" si="33"/>
        <v>+083272791***</v>
      </c>
      <c r="U563" s="32" t="str">
        <f t="shared" ca="1" si="34"/>
        <v>tyso***@yuhuumail.com</v>
      </c>
      <c r="V563" s="32">
        <f t="shared" si="35"/>
        <v>24</v>
      </c>
      <c r="W563" s="36">
        <f t="shared" si="36"/>
        <v>0.05</v>
      </c>
    </row>
    <row r="564" spans="4:23" ht="27" customHeight="1" x14ac:dyDescent="0.25">
      <c r="D564" s="14" t="s">
        <v>2375</v>
      </c>
      <c r="E564" s="14" t="s">
        <v>2376</v>
      </c>
      <c r="F564" s="84" t="s">
        <v>592</v>
      </c>
      <c r="G564" s="15" t="s">
        <v>68</v>
      </c>
      <c r="H564" s="16" t="s">
        <v>2377</v>
      </c>
      <c r="I564" s="17"/>
      <c r="J564" s="17"/>
      <c r="K564" s="17"/>
      <c r="L564" s="17"/>
      <c r="N564" s="31">
        <v>562</v>
      </c>
      <c r="O564" s="32" t="s">
        <v>2378</v>
      </c>
      <c r="P564" s="33" t="s">
        <v>57</v>
      </c>
      <c r="Q564" s="32" t="s">
        <v>40</v>
      </c>
      <c r="R564" s="69">
        <v>44259.603483796294</v>
      </c>
      <c r="S564" s="35">
        <v>44318</v>
      </c>
      <c r="T564" s="32" t="str">
        <f t="shared" si="33"/>
        <v>+6285222867***</v>
      </c>
      <c r="U564" s="32" t="str">
        <f t="shared" ca="1" si="34"/>
        <v>eile***@jossmail.com</v>
      </c>
      <c r="V564" s="32">
        <f t="shared" si="35"/>
        <v>25</v>
      </c>
      <c r="W564" s="36">
        <f t="shared" si="36"/>
        <v>0.05</v>
      </c>
    </row>
    <row r="565" spans="4:23" ht="27" customHeight="1" x14ac:dyDescent="0.25">
      <c r="D565" s="14" t="s">
        <v>2379</v>
      </c>
      <c r="E565" s="14" t="s">
        <v>2380</v>
      </c>
      <c r="F565" s="84" t="s">
        <v>321</v>
      </c>
      <c r="G565" s="15" t="s">
        <v>68</v>
      </c>
      <c r="H565" s="16" t="s">
        <v>2381</v>
      </c>
      <c r="I565" s="17"/>
      <c r="J565" s="17"/>
      <c r="K565" s="17"/>
      <c r="L565" s="17"/>
      <c r="N565" s="31">
        <v>563</v>
      </c>
      <c r="O565" s="32" t="s">
        <v>2382</v>
      </c>
      <c r="P565" s="33" t="s">
        <v>31</v>
      </c>
      <c r="Q565" s="32" t="s">
        <v>32</v>
      </c>
      <c r="R565" s="69">
        <v>44263.471365740741</v>
      </c>
      <c r="S565" s="35">
        <v>44352</v>
      </c>
      <c r="T565" s="32" t="str">
        <f t="shared" si="33"/>
        <v>+0812-41042***</v>
      </c>
      <c r="U565" s="32" t="str">
        <f t="shared" ca="1" si="34"/>
        <v>kels***@jossmail.com</v>
      </c>
      <c r="V565" s="32">
        <f t="shared" si="35"/>
        <v>25</v>
      </c>
      <c r="W565" s="36">
        <f t="shared" si="36"/>
        <v>0.05</v>
      </c>
    </row>
    <row r="566" spans="4:23" ht="27" customHeight="1" x14ac:dyDescent="0.25">
      <c r="D566" s="14" t="s">
        <v>2383</v>
      </c>
      <c r="E566" s="14" t="s">
        <v>2153</v>
      </c>
      <c r="F566" s="84" t="s">
        <v>1886</v>
      </c>
      <c r="G566" s="15" t="s">
        <v>68</v>
      </c>
      <c r="H566" s="16" t="s">
        <v>2384</v>
      </c>
      <c r="I566" s="17"/>
      <c r="J566" s="17"/>
      <c r="K566" s="17"/>
      <c r="L566" s="17"/>
      <c r="N566" s="31">
        <v>564</v>
      </c>
      <c r="O566" s="32" t="s">
        <v>2385</v>
      </c>
      <c r="P566" s="33" t="s">
        <v>42</v>
      </c>
      <c r="Q566" s="32" t="s">
        <v>40</v>
      </c>
      <c r="R566" s="69">
        <v>44263.483993055554</v>
      </c>
      <c r="S566" s="35">
        <v>44352</v>
      </c>
      <c r="T566" s="32" t="str">
        <f t="shared" si="33"/>
        <v>+84257630***</v>
      </c>
      <c r="U566" s="32" t="str">
        <f t="shared" ca="1" si="34"/>
        <v>hail***@jossmail.com</v>
      </c>
      <c r="V566" s="32">
        <f t="shared" si="35"/>
        <v>25</v>
      </c>
      <c r="W566" s="36">
        <f t="shared" si="36"/>
        <v>0.05</v>
      </c>
    </row>
    <row r="567" spans="4:23" ht="27" customHeight="1" x14ac:dyDescent="0.25">
      <c r="D567" s="14" t="s">
        <v>2386</v>
      </c>
      <c r="E567" s="14" t="s">
        <v>2387</v>
      </c>
      <c r="F567" s="84" t="s">
        <v>302</v>
      </c>
      <c r="G567" s="15" t="s">
        <v>27</v>
      </c>
      <c r="H567" s="16" t="s">
        <v>2388</v>
      </c>
      <c r="I567" s="17"/>
      <c r="J567" s="17"/>
      <c r="K567" s="17"/>
      <c r="L567" s="17"/>
      <c r="N567" s="31">
        <v>565</v>
      </c>
      <c r="O567" s="32" t="s">
        <v>2389</v>
      </c>
      <c r="P567" s="33" t="s">
        <v>31</v>
      </c>
      <c r="Q567" s="32" t="s">
        <v>32</v>
      </c>
      <c r="R567" s="69">
        <v>44263.542696759258</v>
      </c>
      <c r="S567" s="35">
        <v>44318</v>
      </c>
      <c r="T567" s="32" t="str">
        <f t="shared" si="33"/>
        <v>+832 30630***</v>
      </c>
      <c r="U567" s="32" t="str">
        <f t="shared" ca="1" si="34"/>
        <v>maxi***@jossmail.com</v>
      </c>
      <c r="V567" s="32">
        <f t="shared" si="35"/>
        <v>25</v>
      </c>
      <c r="W567" s="36">
        <f t="shared" si="36"/>
        <v>0.05</v>
      </c>
    </row>
    <row r="568" spans="4:23" ht="27" customHeight="1" x14ac:dyDescent="0.25">
      <c r="D568" s="14" t="s">
        <v>2390</v>
      </c>
      <c r="E568" s="14" t="s">
        <v>2391</v>
      </c>
      <c r="F568" s="84" t="s">
        <v>1572</v>
      </c>
      <c r="G568" s="15" t="s">
        <v>27</v>
      </c>
      <c r="H568" s="16" t="s">
        <v>2392</v>
      </c>
      <c r="I568" s="17"/>
      <c r="J568" s="17"/>
      <c r="K568" s="17"/>
      <c r="L568" s="17"/>
      <c r="N568" s="31">
        <v>566</v>
      </c>
      <c r="O568" s="32" t="s">
        <v>2393</v>
      </c>
      <c r="P568" s="33" t="s">
        <v>57</v>
      </c>
      <c r="Q568" s="32" t="s">
        <v>40</v>
      </c>
      <c r="R568" s="69">
        <v>44263.571863425925</v>
      </c>
      <c r="S568" s="35">
        <v>44359</v>
      </c>
      <c r="T568" s="32" t="str">
        <f t="shared" si="33"/>
        <v>+6285287820***</v>
      </c>
      <c r="U568" s="32" t="str">
        <f t="shared" ca="1" si="34"/>
        <v>pedr***@jossmail.com</v>
      </c>
      <c r="V568" s="32">
        <f t="shared" si="35"/>
        <v>25</v>
      </c>
      <c r="W568" s="36">
        <f t="shared" si="36"/>
        <v>0.05</v>
      </c>
    </row>
    <row r="569" spans="4:23" ht="27" customHeight="1" x14ac:dyDescent="0.25">
      <c r="D569" s="14" t="s">
        <v>2394</v>
      </c>
      <c r="E569" s="14" t="s">
        <v>2395</v>
      </c>
      <c r="F569" s="84" t="s">
        <v>969</v>
      </c>
      <c r="G569" s="15" t="s">
        <v>27</v>
      </c>
      <c r="H569" s="16" t="s">
        <v>2396</v>
      </c>
      <c r="I569" s="17"/>
      <c r="J569" s="17"/>
      <c r="K569" s="17"/>
      <c r="L569" s="17"/>
      <c r="N569" s="31">
        <v>567</v>
      </c>
      <c r="O569" s="32" t="s">
        <v>2397</v>
      </c>
      <c r="P569" s="33" t="s">
        <v>57</v>
      </c>
      <c r="Q569" s="32" t="s">
        <v>32</v>
      </c>
      <c r="R569" s="69">
        <v>44263.598078703704</v>
      </c>
      <c r="S569" s="35">
        <v>44362</v>
      </c>
      <c r="T569" s="32" t="str">
        <f t="shared" si="33"/>
        <v>+6284230088***</v>
      </c>
      <c r="U569" s="32" t="str">
        <f t="shared" ca="1" si="34"/>
        <v>denz***@jossmail.com</v>
      </c>
      <c r="V569" s="32">
        <f t="shared" si="35"/>
        <v>25</v>
      </c>
      <c r="W569" s="36">
        <f t="shared" si="36"/>
        <v>0.05</v>
      </c>
    </row>
    <row r="570" spans="4:23" ht="27" customHeight="1" x14ac:dyDescent="0.25">
      <c r="D570" s="14" t="s">
        <v>2398</v>
      </c>
      <c r="E570" s="14" t="s">
        <v>2399</v>
      </c>
      <c r="F570" s="84" t="s">
        <v>266</v>
      </c>
      <c r="G570" s="15" t="s">
        <v>27</v>
      </c>
      <c r="H570" s="16" t="s">
        <v>2400</v>
      </c>
      <c r="I570" s="17"/>
      <c r="J570" s="17"/>
      <c r="K570" s="17"/>
      <c r="L570" s="17"/>
      <c r="N570" s="31">
        <v>568</v>
      </c>
      <c r="O570" s="32" t="s">
        <v>2401</v>
      </c>
      <c r="P570" s="33" t="s">
        <v>31</v>
      </c>
      <c r="Q570" s="32" t="s">
        <v>40</v>
      </c>
      <c r="R570" s="69">
        <v>44263.619467592594</v>
      </c>
      <c r="S570" s="35">
        <v>44320</v>
      </c>
      <c r="T570" s="32" t="str">
        <f t="shared" si="33"/>
        <v>+83253477***</v>
      </c>
      <c r="U570" s="32" t="str">
        <f t="shared" ca="1" si="34"/>
        <v>tani***@yuhuumail.com</v>
      </c>
      <c r="V570" s="32">
        <f t="shared" si="35"/>
        <v>25</v>
      </c>
      <c r="W570" s="36">
        <f t="shared" si="36"/>
        <v>0.05</v>
      </c>
    </row>
    <row r="571" spans="4:23" ht="27" customHeight="1" x14ac:dyDescent="0.25">
      <c r="D571" s="14" t="s">
        <v>2402</v>
      </c>
      <c r="E571" s="14" t="s">
        <v>2403</v>
      </c>
      <c r="F571" s="84" t="s">
        <v>597</v>
      </c>
      <c r="G571" s="15" t="s">
        <v>27</v>
      </c>
      <c r="H571" s="16" t="s">
        <v>2404</v>
      </c>
      <c r="I571" s="17"/>
      <c r="J571" s="17"/>
      <c r="K571" s="17"/>
      <c r="L571" s="17"/>
      <c r="N571" s="31">
        <v>569</v>
      </c>
      <c r="O571" s="32" t="s">
        <v>2405</v>
      </c>
      <c r="P571" s="33" t="s">
        <v>57</v>
      </c>
      <c r="Q571" s="32" t="s">
        <v>32</v>
      </c>
      <c r="R571" s="69">
        <v>44263.563275462962</v>
      </c>
      <c r="S571" s="35">
        <v>44318</v>
      </c>
      <c r="T571" s="32" t="str">
        <f t="shared" si="33"/>
        <v>+085298823***</v>
      </c>
      <c r="U571" s="32" t="str">
        <f t="shared" ca="1" si="34"/>
        <v>elie***@yuhuumail.com</v>
      </c>
      <c r="V571" s="32">
        <f t="shared" si="35"/>
        <v>25</v>
      </c>
      <c r="W571" s="36">
        <f t="shared" si="36"/>
        <v>0.05</v>
      </c>
    </row>
    <row r="572" spans="4:23" ht="27" customHeight="1" x14ac:dyDescent="0.25">
      <c r="D572" s="14" t="s">
        <v>2406</v>
      </c>
      <c r="E572" s="14" t="s">
        <v>2407</v>
      </c>
      <c r="F572" s="84" t="s">
        <v>302</v>
      </c>
      <c r="G572" s="15" t="s">
        <v>27</v>
      </c>
      <c r="H572" s="16" t="s">
        <v>2408</v>
      </c>
      <c r="I572" s="17"/>
      <c r="J572" s="17"/>
      <c r="K572" s="17"/>
      <c r="L572" s="17"/>
      <c r="N572" s="31">
        <v>570</v>
      </c>
      <c r="O572" s="32" t="s">
        <v>2409</v>
      </c>
      <c r="P572" s="33" t="s">
        <v>31</v>
      </c>
      <c r="Q572" s="32" t="s">
        <v>40</v>
      </c>
      <c r="R572" s="69">
        <v>44263.679710648146</v>
      </c>
      <c r="S572" s="35">
        <v>44359</v>
      </c>
      <c r="T572" s="32" t="str">
        <f t="shared" si="33"/>
        <v>+83222741***</v>
      </c>
      <c r="U572" s="32" t="str">
        <f t="shared" ca="1" si="34"/>
        <v>bren***@jossmail.com</v>
      </c>
      <c r="V572" s="32">
        <f t="shared" si="35"/>
        <v>25</v>
      </c>
      <c r="W572" s="36">
        <f t="shared" si="36"/>
        <v>0.05</v>
      </c>
    </row>
    <row r="573" spans="4:23" ht="27" customHeight="1" x14ac:dyDescent="0.25">
      <c r="D573" s="14" t="s">
        <v>2410</v>
      </c>
      <c r="E573" s="14" t="s">
        <v>2411</v>
      </c>
      <c r="F573" s="84" t="s">
        <v>316</v>
      </c>
      <c r="G573" s="15" t="s">
        <v>27</v>
      </c>
      <c r="H573" s="16" t="s">
        <v>2412</v>
      </c>
      <c r="I573" s="17"/>
      <c r="J573" s="17"/>
      <c r="K573" s="17"/>
      <c r="L573" s="17"/>
      <c r="N573" s="31">
        <v>571</v>
      </c>
      <c r="O573" s="32" t="s">
        <v>2413</v>
      </c>
      <c r="P573" s="33" t="s">
        <v>57</v>
      </c>
      <c r="Q573" s="32" t="s">
        <v>32</v>
      </c>
      <c r="R573" s="69">
        <v>44261.812696759262</v>
      </c>
      <c r="S573" s="71">
        <v>44318</v>
      </c>
      <c r="T573" s="32" t="str">
        <f t="shared" si="33"/>
        <v>+0832 14463***</v>
      </c>
      <c r="U573" s="32" t="str">
        <f t="shared" ca="1" si="34"/>
        <v>vale***@yuhuumail.com</v>
      </c>
      <c r="V573" s="32">
        <f t="shared" si="35"/>
        <v>25</v>
      </c>
      <c r="W573" s="36">
        <f t="shared" si="36"/>
        <v>0.05</v>
      </c>
    </row>
    <row r="574" spans="4:23" ht="27" customHeight="1" x14ac:dyDescent="0.25">
      <c r="D574" s="14" t="s">
        <v>2414</v>
      </c>
      <c r="E574" s="14" t="s">
        <v>2415</v>
      </c>
      <c r="F574" s="84" t="s">
        <v>302</v>
      </c>
      <c r="G574" s="15" t="s">
        <v>27</v>
      </c>
      <c r="H574" s="16" t="s">
        <v>2416</v>
      </c>
      <c r="I574" s="17"/>
      <c r="J574" s="17"/>
      <c r="K574" s="17"/>
      <c r="L574" s="17"/>
      <c r="N574" s="31">
        <v>572</v>
      </c>
      <c r="O574" s="32" t="s">
        <v>2417</v>
      </c>
      <c r="P574" s="33" t="s">
        <v>31</v>
      </c>
      <c r="Q574" s="32" t="s">
        <v>40</v>
      </c>
      <c r="R574" s="69">
        <v>44263.728506944448</v>
      </c>
      <c r="S574" s="71">
        <v>44319</v>
      </c>
      <c r="T574" s="32" t="str">
        <f t="shared" si="33"/>
        <v>+0852-66054***</v>
      </c>
      <c r="U574" s="32" t="str">
        <f t="shared" ca="1" si="34"/>
        <v>kole***@jossmail.com</v>
      </c>
      <c r="V574" s="32">
        <f t="shared" si="35"/>
        <v>25</v>
      </c>
      <c r="W574" s="36">
        <f t="shared" si="36"/>
        <v>0.05</v>
      </c>
    </row>
    <row r="575" spans="4:23" ht="27" customHeight="1" x14ac:dyDescent="0.25">
      <c r="D575" s="14" t="s">
        <v>2418</v>
      </c>
      <c r="E575" s="14" t="s">
        <v>2419</v>
      </c>
      <c r="F575" s="84" t="s">
        <v>900</v>
      </c>
      <c r="G575" s="15" t="s">
        <v>68</v>
      </c>
      <c r="H575" s="16" t="s">
        <v>2420</v>
      </c>
      <c r="I575" s="17"/>
      <c r="J575" s="17"/>
      <c r="K575" s="17"/>
      <c r="L575" s="17"/>
      <c r="N575" s="31">
        <v>573</v>
      </c>
      <c r="O575" s="32" t="s">
        <v>1912</v>
      </c>
      <c r="P575" s="33" t="s">
        <v>57</v>
      </c>
      <c r="Q575" s="32" t="s">
        <v>32</v>
      </c>
      <c r="R575" s="69">
        <v>44263.73</v>
      </c>
      <c r="S575" s="71">
        <v>44356</v>
      </c>
      <c r="T575" s="32" t="str">
        <f t="shared" si="33"/>
        <v>+6283236758***</v>
      </c>
      <c r="U575" s="32" t="str">
        <f t="shared" ca="1" si="34"/>
        <v>kier***@jossmail.com</v>
      </c>
      <c r="V575" s="32">
        <f t="shared" si="35"/>
        <v>25</v>
      </c>
      <c r="W575" s="36">
        <f t="shared" si="36"/>
        <v>0.05</v>
      </c>
    </row>
    <row r="576" spans="4:23" ht="27" customHeight="1" x14ac:dyDescent="0.25">
      <c r="D576" s="14" t="s">
        <v>2421</v>
      </c>
      <c r="E576" s="14" t="s">
        <v>2422</v>
      </c>
      <c r="F576" s="84" t="s">
        <v>129</v>
      </c>
      <c r="G576" s="15" t="s">
        <v>68</v>
      </c>
      <c r="H576" s="16" t="s">
        <v>2423</v>
      </c>
      <c r="I576" s="17"/>
      <c r="J576" s="17"/>
      <c r="K576" s="17"/>
      <c r="L576" s="17"/>
      <c r="N576" s="31">
        <v>574</v>
      </c>
      <c r="O576" s="32" t="s">
        <v>2424</v>
      </c>
      <c r="P576" s="33" t="s">
        <v>31</v>
      </c>
      <c r="Q576" s="32" t="s">
        <v>40</v>
      </c>
      <c r="R576" s="69">
        <v>44258.826956018522</v>
      </c>
      <c r="S576" s="71">
        <v>44354</v>
      </c>
      <c r="T576" s="32" t="str">
        <f t="shared" si="33"/>
        <v>+0822-48150***</v>
      </c>
      <c r="U576" s="32" t="str">
        <f t="shared" ca="1" si="34"/>
        <v>megh***@jossmail.com</v>
      </c>
      <c r="V576" s="32">
        <f t="shared" si="35"/>
        <v>25</v>
      </c>
      <c r="W576" s="36">
        <f t="shared" si="36"/>
        <v>0.05</v>
      </c>
    </row>
    <row r="577" spans="4:23" ht="27" customHeight="1" x14ac:dyDescent="0.25">
      <c r="D577" s="14" t="s">
        <v>2425</v>
      </c>
      <c r="E577" s="14" t="s">
        <v>2426</v>
      </c>
      <c r="F577" s="84" t="s">
        <v>471</v>
      </c>
      <c r="G577" s="15" t="s">
        <v>27</v>
      </c>
      <c r="H577" s="16" t="s">
        <v>2427</v>
      </c>
      <c r="I577" s="17"/>
      <c r="J577" s="17"/>
      <c r="K577" s="17"/>
      <c r="L577" s="17"/>
      <c r="N577" s="31">
        <v>575</v>
      </c>
      <c r="O577" s="32" t="s">
        <v>1020</v>
      </c>
      <c r="P577" s="33" t="s">
        <v>31</v>
      </c>
      <c r="Q577" s="32" t="s">
        <v>32</v>
      </c>
      <c r="R577" s="69">
        <v>43752.911099537036</v>
      </c>
      <c r="S577" s="71">
        <v>44320</v>
      </c>
      <c r="T577" s="32" t="str">
        <f t="shared" si="33"/>
        <v>+6284246010***</v>
      </c>
      <c r="U577" s="32" t="str">
        <f t="shared" ca="1" si="34"/>
        <v>gene***@jossmail.com</v>
      </c>
      <c r="V577" s="32">
        <f t="shared" si="35"/>
        <v>24</v>
      </c>
      <c r="W577" s="36">
        <f t="shared" si="36"/>
        <v>6.5000000000000002E-2</v>
      </c>
    </row>
    <row r="578" spans="4:23" ht="27" customHeight="1" x14ac:dyDescent="0.25">
      <c r="D578" s="14" t="s">
        <v>2428</v>
      </c>
      <c r="E578" s="14" t="s">
        <v>2429</v>
      </c>
      <c r="F578" s="84" t="s">
        <v>183</v>
      </c>
      <c r="G578" s="15" t="s">
        <v>27</v>
      </c>
      <c r="H578" s="16" t="s">
        <v>2430</v>
      </c>
      <c r="I578" s="17"/>
      <c r="J578" s="17"/>
      <c r="K578" s="17"/>
      <c r="L578" s="17"/>
      <c r="N578" s="31">
        <v>576</v>
      </c>
      <c r="O578" s="32" t="s">
        <v>2431</v>
      </c>
      <c r="P578" s="33" t="s">
        <v>31</v>
      </c>
      <c r="Q578" s="32" t="s">
        <v>40</v>
      </c>
      <c r="R578" s="69">
        <v>44263.732222222221</v>
      </c>
      <c r="S578" s="71">
        <v>44354</v>
      </c>
      <c r="T578" s="32" t="str">
        <f t="shared" si="33"/>
        <v>+0812 34151***</v>
      </c>
      <c r="U578" s="32" t="str">
        <f t="shared" ca="1" si="34"/>
        <v>dont***@jossmail.com</v>
      </c>
      <c r="V578" s="32">
        <f t="shared" si="35"/>
        <v>25</v>
      </c>
      <c r="W578" s="36">
        <f t="shared" si="36"/>
        <v>0.05</v>
      </c>
    </row>
    <row r="579" spans="4:23" ht="27" customHeight="1" x14ac:dyDescent="0.25">
      <c r="D579" s="14" t="s">
        <v>2432</v>
      </c>
      <c r="E579" s="14" t="s">
        <v>2433</v>
      </c>
      <c r="F579" s="84" t="s">
        <v>296</v>
      </c>
      <c r="G579" s="15" t="s">
        <v>68</v>
      </c>
      <c r="H579" s="16" t="s">
        <v>2434</v>
      </c>
      <c r="I579" s="17"/>
      <c r="J579" s="17"/>
      <c r="K579" s="17"/>
      <c r="L579" s="17"/>
      <c r="N579" s="31">
        <v>577</v>
      </c>
      <c r="O579" s="32" t="s">
        <v>2435</v>
      </c>
      <c r="P579" s="33" t="s">
        <v>42</v>
      </c>
      <c r="Q579" s="32" t="s">
        <v>32</v>
      </c>
      <c r="R579" s="69">
        <v>44263.727395833332</v>
      </c>
      <c r="S579" s="71">
        <v>44354</v>
      </c>
      <c r="T579" s="32" t="str">
        <f t="shared" si="33"/>
        <v>+0812 45297***</v>
      </c>
      <c r="U579" s="32" t="str">
        <f t="shared" ca="1" si="34"/>
        <v>russ***@yuhuumail.com</v>
      </c>
      <c r="V579" s="32">
        <f t="shared" si="35"/>
        <v>25</v>
      </c>
      <c r="W579" s="36">
        <f t="shared" si="36"/>
        <v>0.05</v>
      </c>
    </row>
    <row r="580" spans="4:23" ht="27" customHeight="1" x14ac:dyDescent="0.25">
      <c r="D580" s="14" t="s">
        <v>2436</v>
      </c>
      <c r="E580" s="14" t="s">
        <v>2437</v>
      </c>
      <c r="F580" s="84" t="s">
        <v>280</v>
      </c>
      <c r="G580" s="15" t="s">
        <v>68</v>
      </c>
      <c r="H580" s="16" t="s">
        <v>2438</v>
      </c>
      <c r="I580" s="17"/>
      <c r="J580" s="17"/>
      <c r="K580" s="17"/>
      <c r="L580" s="17"/>
      <c r="N580" s="31">
        <v>578</v>
      </c>
      <c r="O580" s="32" t="s">
        <v>2439</v>
      </c>
      <c r="P580" s="33" t="s">
        <v>31</v>
      </c>
      <c r="Q580" s="32" t="s">
        <v>40</v>
      </c>
      <c r="R580" s="69">
        <v>44263.773113425923</v>
      </c>
      <c r="S580" s="71">
        <v>44354</v>
      </c>
      <c r="T580" s="32" t="str">
        <f t="shared" si="33"/>
        <v>+6283241265***</v>
      </c>
      <c r="U580" s="32" t="str">
        <f t="shared" ca="1" si="34"/>
        <v>kyle***@jossmail.com</v>
      </c>
      <c r="V580" s="32">
        <f t="shared" si="35"/>
        <v>25</v>
      </c>
      <c r="W580" s="36">
        <f t="shared" si="36"/>
        <v>0.05</v>
      </c>
    </row>
    <row r="581" spans="4:23" ht="27" customHeight="1" x14ac:dyDescent="0.25">
      <c r="D581" s="14" t="s">
        <v>2440</v>
      </c>
      <c r="E581" s="14" t="s">
        <v>2441</v>
      </c>
      <c r="F581" s="84" t="s">
        <v>1535</v>
      </c>
      <c r="G581" s="15" t="s">
        <v>27</v>
      </c>
      <c r="H581" s="16" t="s">
        <v>2442</v>
      </c>
      <c r="I581" s="17"/>
      <c r="J581" s="17"/>
      <c r="K581" s="17"/>
      <c r="L581" s="17"/>
      <c r="N581" s="31">
        <v>579</v>
      </c>
      <c r="O581" s="32" t="s">
        <v>2443</v>
      </c>
      <c r="P581" s="33" t="s">
        <v>31</v>
      </c>
      <c r="Q581" s="32" t="s">
        <v>32</v>
      </c>
      <c r="R581" s="69">
        <v>43762.568692129629</v>
      </c>
      <c r="S581" s="71">
        <v>44356</v>
      </c>
      <c r="T581" s="32" t="str">
        <f t="shared" ref="T581:T644" si="37">"+"&amp;_xlfn.XLOOKUP($O581, $E$2:$E$3002, $H$2:$H$3002, "Not Found")</f>
        <v>+83241067***</v>
      </c>
      <c r="U581" s="32" t="str">
        <f t="shared" ref="U581:U644" ca="1" si="38" xml:space="preserve"> LOWER(LEFT(_xlfn.XLOOKUP($O581, $E$2:$E$3002, $D$2:$D$3002), 4))
  &amp; "***@"
  &amp; IF(RAND()&gt;0.5, "jossmail.com", "yuhuumail.com")</f>
        <v>alay***@yuhuumail.com</v>
      </c>
      <c r="V581" s="32">
        <f t="shared" ref="V581:V644" si="39">DATEDIF(_xlfn.XLOOKUP($O581, $E$2:$E$3002, $F$2:$F$3002), $R581, "Y")</f>
        <v>24</v>
      </c>
      <c r="W581" s="36">
        <f t="shared" ref="W581:W644" si="40">IF(DATEDIF($R581, $S581, "Y") &gt;= 3, 0.025,
   IF(DATEDIF($R581, $S581, "Y") &gt;= 1, 0.015, 0)) +
 IF($V581 &gt;= 50, 0.04,
   IF($V581 &gt;= 40, 0.03,
     IF($V581 &gt;= 30, 0.02,
       IF($V581 &gt;= 20, 0.05, 0))))</f>
        <v>6.5000000000000002E-2</v>
      </c>
    </row>
    <row r="582" spans="4:23" ht="27" customHeight="1" x14ac:dyDescent="0.25">
      <c r="D582" s="14" t="s">
        <v>2444</v>
      </c>
      <c r="E582" s="14" t="s">
        <v>2192</v>
      </c>
      <c r="F582" s="84" t="s">
        <v>1886</v>
      </c>
      <c r="G582" s="15" t="s">
        <v>68</v>
      </c>
      <c r="H582" s="16" t="s">
        <v>2445</v>
      </c>
      <c r="I582" s="17"/>
      <c r="J582" s="17"/>
      <c r="K582" s="17"/>
      <c r="L582" s="17"/>
      <c r="N582" s="31">
        <v>580</v>
      </c>
      <c r="O582" s="32" t="s">
        <v>2446</v>
      </c>
      <c r="P582" s="33" t="s">
        <v>57</v>
      </c>
      <c r="Q582" s="32" t="s">
        <v>40</v>
      </c>
      <c r="R582" s="69">
        <v>44263.808576388888</v>
      </c>
      <c r="S582" s="71">
        <v>44318</v>
      </c>
      <c r="T582" s="32" t="str">
        <f t="shared" si="37"/>
        <v>+084267740***</v>
      </c>
      <c r="U582" s="32" t="str">
        <f t="shared" ca="1" si="38"/>
        <v>deme***@jossmail.com</v>
      </c>
      <c r="V582" s="32">
        <f t="shared" si="39"/>
        <v>25</v>
      </c>
      <c r="W582" s="36">
        <f t="shared" si="40"/>
        <v>0.05</v>
      </c>
    </row>
    <row r="583" spans="4:23" ht="27" customHeight="1" x14ac:dyDescent="0.25">
      <c r="D583" s="14" t="s">
        <v>2447</v>
      </c>
      <c r="E583" s="14" t="s">
        <v>2448</v>
      </c>
      <c r="F583" s="84" t="s">
        <v>592</v>
      </c>
      <c r="G583" s="15" t="s">
        <v>27</v>
      </c>
      <c r="H583" s="16" t="s">
        <v>2449</v>
      </c>
      <c r="I583" s="17"/>
      <c r="J583" s="17"/>
      <c r="K583" s="17"/>
      <c r="L583" s="17"/>
      <c r="N583" s="31">
        <v>581</v>
      </c>
      <c r="O583" s="32" t="s">
        <v>2450</v>
      </c>
      <c r="P583" s="33" t="s">
        <v>31</v>
      </c>
      <c r="Q583" s="32" t="s">
        <v>32</v>
      </c>
      <c r="R583" s="69">
        <v>44263.820844907408</v>
      </c>
      <c r="S583" s="71">
        <v>44352</v>
      </c>
      <c r="T583" s="32" t="str">
        <f t="shared" si="37"/>
        <v>+6281276829***</v>
      </c>
      <c r="U583" s="32" t="str">
        <f t="shared" ca="1" si="38"/>
        <v>seam***@jossmail.com</v>
      </c>
      <c r="V583" s="32">
        <f t="shared" si="39"/>
        <v>25</v>
      </c>
      <c r="W583" s="36">
        <f t="shared" si="40"/>
        <v>0.05</v>
      </c>
    </row>
    <row r="584" spans="4:23" ht="27" customHeight="1" x14ac:dyDescent="0.25">
      <c r="D584" s="14" t="s">
        <v>2451</v>
      </c>
      <c r="E584" s="14" t="s">
        <v>2452</v>
      </c>
      <c r="F584" s="84" t="s">
        <v>1661</v>
      </c>
      <c r="G584" s="15" t="s">
        <v>68</v>
      </c>
      <c r="H584" s="16" t="s">
        <v>2453</v>
      </c>
      <c r="I584" s="17"/>
      <c r="J584" s="17"/>
      <c r="K584" s="17"/>
      <c r="L584" s="17"/>
      <c r="N584" s="31">
        <v>582</v>
      </c>
      <c r="O584" s="32" t="s">
        <v>2454</v>
      </c>
      <c r="P584" s="33" t="s">
        <v>31</v>
      </c>
      <c r="Q584" s="32" t="s">
        <v>40</v>
      </c>
      <c r="R584" s="69">
        <v>44263.830034722225</v>
      </c>
      <c r="S584" s="71">
        <v>44356</v>
      </c>
      <c r="T584" s="32" t="str">
        <f t="shared" si="37"/>
        <v>+0812 30650***</v>
      </c>
      <c r="U584" s="32" t="str">
        <f t="shared" ca="1" si="38"/>
        <v>alex***@jossmail.com</v>
      </c>
      <c r="V584" s="32">
        <f t="shared" si="39"/>
        <v>25</v>
      </c>
      <c r="W584" s="36">
        <f t="shared" si="40"/>
        <v>0.05</v>
      </c>
    </row>
    <row r="585" spans="4:23" ht="27" customHeight="1" x14ac:dyDescent="0.25">
      <c r="D585" s="14" t="s">
        <v>2455</v>
      </c>
      <c r="E585" s="14" t="s">
        <v>2456</v>
      </c>
      <c r="F585" s="84" t="s">
        <v>129</v>
      </c>
      <c r="G585" s="15" t="s">
        <v>27</v>
      </c>
      <c r="H585" s="16" t="s">
        <v>2457</v>
      </c>
      <c r="I585" s="17"/>
      <c r="J585" s="17"/>
      <c r="K585" s="17"/>
      <c r="L585" s="17"/>
      <c r="N585" s="31">
        <v>583</v>
      </c>
      <c r="O585" s="32" t="s">
        <v>2458</v>
      </c>
      <c r="P585" s="33" t="s">
        <v>31</v>
      </c>
      <c r="Q585" s="32" t="s">
        <v>32</v>
      </c>
      <c r="R585" s="69">
        <v>44263.842372685183</v>
      </c>
      <c r="S585" s="71">
        <v>44356</v>
      </c>
      <c r="T585" s="32" t="str">
        <f t="shared" si="37"/>
        <v>+0842-79807***</v>
      </c>
      <c r="U585" s="32" t="str">
        <f t="shared" ca="1" si="38"/>
        <v>kyla***@yuhuumail.com</v>
      </c>
      <c r="V585" s="32">
        <f t="shared" si="39"/>
        <v>25</v>
      </c>
      <c r="W585" s="36">
        <f t="shared" si="40"/>
        <v>0.05</v>
      </c>
    </row>
    <row r="586" spans="4:23" ht="27" customHeight="1" x14ac:dyDescent="0.25">
      <c r="D586" s="14" t="s">
        <v>2459</v>
      </c>
      <c r="E586" s="14" t="s">
        <v>2460</v>
      </c>
      <c r="F586" s="84" t="s">
        <v>2461</v>
      </c>
      <c r="G586" s="15" t="s">
        <v>27</v>
      </c>
      <c r="H586" s="16" t="s">
        <v>2462</v>
      </c>
      <c r="I586" s="17"/>
      <c r="J586" s="17"/>
      <c r="K586" s="17"/>
      <c r="L586" s="17"/>
      <c r="N586" s="31">
        <v>584</v>
      </c>
      <c r="O586" s="32" t="s">
        <v>2343</v>
      </c>
      <c r="P586" s="33" t="s">
        <v>31</v>
      </c>
      <c r="Q586" s="32" t="s">
        <v>40</v>
      </c>
      <c r="R586" s="69">
        <v>44263.885289351849</v>
      </c>
      <c r="S586" s="71">
        <v>44354</v>
      </c>
      <c r="T586" s="32" t="str">
        <f t="shared" si="37"/>
        <v>+082227310***</v>
      </c>
      <c r="U586" s="32" t="str">
        <f t="shared" ca="1" si="38"/>
        <v>sani***@jossmail.com</v>
      </c>
      <c r="V586" s="32">
        <f t="shared" si="39"/>
        <v>25</v>
      </c>
      <c r="W586" s="36">
        <f t="shared" si="40"/>
        <v>0.05</v>
      </c>
    </row>
    <row r="587" spans="4:23" ht="27" customHeight="1" x14ac:dyDescent="0.25">
      <c r="D587" s="14" t="s">
        <v>2463</v>
      </c>
      <c r="E587" s="14" t="s">
        <v>2464</v>
      </c>
      <c r="F587" s="84" t="s">
        <v>602</v>
      </c>
      <c r="G587" s="15" t="s">
        <v>27</v>
      </c>
      <c r="H587" s="16" t="s">
        <v>2465</v>
      </c>
      <c r="I587" s="17"/>
      <c r="J587" s="17"/>
      <c r="K587" s="17"/>
      <c r="L587" s="17"/>
      <c r="N587" s="31">
        <v>585</v>
      </c>
      <c r="O587" s="32" t="s">
        <v>2466</v>
      </c>
      <c r="P587" s="33" t="s">
        <v>42</v>
      </c>
      <c r="Q587" s="32" t="s">
        <v>32</v>
      </c>
      <c r="R587" s="69">
        <v>44263.900810185187</v>
      </c>
      <c r="S587" s="71">
        <v>44356</v>
      </c>
      <c r="T587" s="32" t="str">
        <f t="shared" si="37"/>
        <v>+081287451***</v>
      </c>
      <c r="U587" s="32" t="str">
        <f t="shared" ca="1" si="38"/>
        <v>kayd***@jossmail.com</v>
      </c>
      <c r="V587" s="32">
        <f t="shared" si="39"/>
        <v>25</v>
      </c>
      <c r="W587" s="36">
        <f t="shared" si="40"/>
        <v>0.05</v>
      </c>
    </row>
    <row r="588" spans="4:23" ht="27" customHeight="1" x14ac:dyDescent="0.25">
      <c r="D588" s="14" t="s">
        <v>2467</v>
      </c>
      <c r="E588" s="14" t="s">
        <v>2468</v>
      </c>
      <c r="F588" s="84" t="s">
        <v>2469</v>
      </c>
      <c r="G588" s="15" t="s">
        <v>27</v>
      </c>
      <c r="H588" s="16" t="s">
        <v>2470</v>
      </c>
      <c r="I588" s="17"/>
      <c r="J588" s="17"/>
      <c r="K588" s="17"/>
      <c r="L588" s="17"/>
      <c r="N588" s="31">
        <v>586</v>
      </c>
      <c r="O588" s="32" t="s">
        <v>2471</v>
      </c>
      <c r="P588" s="33" t="s">
        <v>57</v>
      </c>
      <c r="Q588" s="32" t="s">
        <v>40</v>
      </c>
      <c r="R588" s="69">
        <v>44263.93677083333</v>
      </c>
      <c r="S588" s="71">
        <v>44362</v>
      </c>
      <c r="T588" s="32" t="str">
        <f t="shared" si="37"/>
        <v>+822 22408***</v>
      </c>
      <c r="U588" s="32" t="str">
        <f t="shared" ca="1" si="38"/>
        <v>dami***@jossmail.com</v>
      </c>
      <c r="V588" s="32">
        <f t="shared" si="39"/>
        <v>25</v>
      </c>
      <c r="W588" s="36">
        <f t="shared" si="40"/>
        <v>0.05</v>
      </c>
    </row>
    <row r="589" spans="4:23" ht="27" customHeight="1" x14ac:dyDescent="0.25">
      <c r="D589" s="14" t="s">
        <v>2472</v>
      </c>
      <c r="E589" s="14" t="s">
        <v>1435</v>
      </c>
      <c r="F589" s="84" t="s">
        <v>74</v>
      </c>
      <c r="G589" s="15" t="s">
        <v>68</v>
      </c>
      <c r="H589" s="16" t="s">
        <v>2473</v>
      </c>
      <c r="I589" s="17"/>
      <c r="J589" s="17"/>
      <c r="K589" s="17"/>
      <c r="L589" s="17"/>
      <c r="N589" s="31">
        <v>587</v>
      </c>
      <c r="O589" s="32" t="s">
        <v>2474</v>
      </c>
      <c r="P589" s="33" t="s">
        <v>31</v>
      </c>
      <c r="Q589" s="32" t="s">
        <v>32</v>
      </c>
      <c r="R589" s="69">
        <v>44263.963506944441</v>
      </c>
      <c r="S589" s="71">
        <v>44318</v>
      </c>
      <c r="T589" s="32" t="str">
        <f t="shared" si="37"/>
        <v>+84295080***</v>
      </c>
      <c r="U589" s="32" t="str">
        <f t="shared" ca="1" si="38"/>
        <v>beau***@yuhuumail.com</v>
      </c>
      <c r="V589" s="32">
        <f t="shared" si="39"/>
        <v>25</v>
      </c>
      <c r="W589" s="36">
        <f t="shared" si="40"/>
        <v>0.05</v>
      </c>
    </row>
    <row r="590" spans="4:23" ht="27" customHeight="1" x14ac:dyDescent="0.25">
      <c r="D590" s="14" t="s">
        <v>2475</v>
      </c>
      <c r="E590" s="14" t="s">
        <v>2476</v>
      </c>
      <c r="F590" s="84" t="s">
        <v>781</v>
      </c>
      <c r="G590" s="15" t="s">
        <v>27</v>
      </c>
      <c r="H590" s="16" t="s">
        <v>2477</v>
      </c>
      <c r="I590" s="17"/>
      <c r="J590" s="17"/>
      <c r="K590" s="17"/>
      <c r="L590" s="17"/>
      <c r="N590" s="31">
        <v>588</v>
      </c>
      <c r="O590" s="32" t="s">
        <v>113</v>
      </c>
      <c r="P590" s="33" t="s">
        <v>57</v>
      </c>
      <c r="Q590" s="32" t="s">
        <v>40</v>
      </c>
      <c r="R590" s="69">
        <v>43535.581655092596</v>
      </c>
      <c r="S590" s="71">
        <v>44358</v>
      </c>
      <c r="T590" s="32" t="str">
        <f t="shared" si="37"/>
        <v>+84249719***</v>
      </c>
      <c r="U590" s="32" t="str">
        <f t="shared" ca="1" si="38"/>
        <v>igna***@yuhuumail.com</v>
      </c>
      <c r="V590" s="32">
        <f t="shared" si="39"/>
        <v>23</v>
      </c>
      <c r="W590" s="36">
        <f t="shared" si="40"/>
        <v>6.5000000000000002E-2</v>
      </c>
    </row>
    <row r="591" spans="4:23" ht="27" customHeight="1" x14ac:dyDescent="0.25">
      <c r="D591" s="14" t="s">
        <v>2478</v>
      </c>
      <c r="E591" s="14" t="s">
        <v>2479</v>
      </c>
      <c r="F591" s="84" t="s">
        <v>444</v>
      </c>
      <c r="G591" s="15" t="s">
        <v>68</v>
      </c>
      <c r="H591" s="16" t="s">
        <v>2480</v>
      </c>
      <c r="I591" s="17"/>
      <c r="J591" s="17"/>
      <c r="K591" s="17"/>
      <c r="L591" s="17"/>
      <c r="N591" s="31">
        <v>589</v>
      </c>
      <c r="O591" s="32" t="s">
        <v>2481</v>
      </c>
      <c r="P591" s="33" t="s">
        <v>57</v>
      </c>
      <c r="Q591" s="32" t="s">
        <v>32</v>
      </c>
      <c r="R591" s="69">
        <v>44263.999976851854</v>
      </c>
      <c r="S591" s="71">
        <v>44354</v>
      </c>
      <c r="T591" s="32" t="str">
        <f t="shared" si="37"/>
        <v>+82255114***</v>
      </c>
      <c r="U591" s="32" t="str">
        <f t="shared" ca="1" si="38"/>
        <v>davi***@yuhuumail.com</v>
      </c>
      <c r="V591" s="32">
        <f t="shared" si="39"/>
        <v>25</v>
      </c>
      <c r="W591" s="36">
        <f t="shared" si="40"/>
        <v>0.05</v>
      </c>
    </row>
    <row r="592" spans="4:23" ht="27" customHeight="1" x14ac:dyDescent="0.25">
      <c r="D592" s="14" t="s">
        <v>2482</v>
      </c>
      <c r="E592" s="14" t="s">
        <v>2483</v>
      </c>
      <c r="F592" s="84" t="s">
        <v>266</v>
      </c>
      <c r="G592" s="15" t="s">
        <v>27</v>
      </c>
      <c r="H592" s="16" t="s">
        <v>2484</v>
      </c>
      <c r="I592" s="17"/>
      <c r="J592" s="17"/>
      <c r="K592" s="17"/>
      <c r="L592" s="17"/>
      <c r="N592" s="31">
        <v>590</v>
      </c>
      <c r="O592" s="32" t="s">
        <v>2485</v>
      </c>
      <c r="P592" s="33" t="s">
        <v>57</v>
      </c>
      <c r="Q592" s="32" t="s">
        <v>40</v>
      </c>
      <c r="R592" s="69">
        <v>44263.686828703707</v>
      </c>
      <c r="S592" s="71">
        <v>44356</v>
      </c>
      <c r="T592" s="32" t="str">
        <f t="shared" si="37"/>
        <v>+082243384***</v>
      </c>
      <c r="U592" s="32" t="str">
        <f t="shared" ca="1" si="38"/>
        <v>nasi***@jossmail.com</v>
      </c>
      <c r="V592" s="32">
        <f t="shared" si="39"/>
        <v>25</v>
      </c>
      <c r="W592" s="36">
        <f t="shared" si="40"/>
        <v>0.05</v>
      </c>
    </row>
    <row r="593" spans="4:23" ht="27" customHeight="1" x14ac:dyDescent="0.25">
      <c r="D593" s="14" t="s">
        <v>2486</v>
      </c>
      <c r="E593" s="14" t="s">
        <v>2487</v>
      </c>
      <c r="F593" s="84" t="s">
        <v>2488</v>
      </c>
      <c r="G593" s="15" t="s">
        <v>27</v>
      </c>
      <c r="H593" s="16" t="s">
        <v>2489</v>
      </c>
      <c r="I593" s="17"/>
      <c r="J593" s="17"/>
      <c r="K593" s="17"/>
      <c r="L593" s="17"/>
      <c r="N593" s="31">
        <v>591</v>
      </c>
      <c r="O593" s="32" t="s">
        <v>1753</v>
      </c>
      <c r="P593" s="33" t="s">
        <v>57</v>
      </c>
      <c r="Q593" s="32" t="s">
        <v>32</v>
      </c>
      <c r="R593" s="69">
        <v>44264.368125000001</v>
      </c>
      <c r="S593" s="35">
        <v>44320</v>
      </c>
      <c r="T593" s="32" t="str">
        <f t="shared" si="37"/>
        <v>+0842 65825***</v>
      </c>
      <c r="U593" s="32" t="str">
        <f t="shared" ca="1" si="38"/>
        <v>bria***@yuhuumail.com</v>
      </c>
      <c r="V593" s="32">
        <f t="shared" si="39"/>
        <v>25</v>
      </c>
      <c r="W593" s="36">
        <f t="shared" si="40"/>
        <v>0.05</v>
      </c>
    </row>
    <row r="594" spans="4:23" ht="27" customHeight="1" x14ac:dyDescent="0.25">
      <c r="D594" s="14" t="s">
        <v>2490</v>
      </c>
      <c r="E594" s="14" t="s">
        <v>2491</v>
      </c>
      <c r="F594" s="84" t="s">
        <v>597</v>
      </c>
      <c r="G594" s="15" t="s">
        <v>68</v>
      </c>
      <c r="H594" s="16" t="s">
        <v>2492</v>
      </c>
      <c r="I594" s="17"/>
      <c r="J594" s="17"/>
      <c r="K594" s="17"/>
      <c r="L594" s="17"/>
      <c r="N594" s="31">
        <v>592</v>
      </c>
      <c r="O594" s="32" t="s">
        <v>2493</v>
      </c>
      <c r="P594" s="33" t="s">
        <v>57</v>
      </c>
      <c r="Q594" s="32" t="s">
        <v>40</v>
      </c>
      <c r="R594" s="69">
        <v>44264.374027777776</v>
      </c>
      <c r="S594" s="35">
        <v>44318</v>
      </c>
      <c r="T594" s="32" t="str">
        <f t="shared" si="37"/>
        <v>+0832 59068***</v>
      </c>
      <c r="U594" s="32" t="str">
        <f t="shared" ca="1" si="38"/>
        <v>terr***@yuhuumail.com</v>
      </c>
      <c r="V594" s="32">
        <f t="shared" si="39"/>
        <v>25</v>
      </c>
      <c r="W594" s="36">
        <f t="shared" si="40"/>
        <v>0.05</v>
      </c>
    </row>
    <row r="595" spans="4:23" ht="27" customHeight="1" x14ac:dyDescent="0.25">
      <c r="D595" s="14" t="s">
        <v>2494</v>
      </c>
      <c r="E595" s="14" t="s">
        <v>2495</v>
      </c>
      <c r="F595" s="84" t="s">
        <v>627</v>
      </c>
      <c r="G595" s="15" t="s">
        <v>27</v>
      </c>
      <c r="H595" s="16" t="s">
        <v>2496</v>
      </c>
      <c r="I595" s="17"/>
      <c r="J595" s="17"/>
      <c r="K595" s="17"/>
      <c r="L595" s="17"/>
      <c r="N595" s="31">
        <v>593</v>
      </c>
      <c r="O595" s="32" t="s">
        <v>2347</v>
      </c>
      <c r="P595" s="33" t="s">
        <v>57</v>
      </c>
      <c r="Q595" s="32" t="s">
        <v>32</v>
      </c>
      <c r="R595" s="69">
        <v>44264.355995370373</v>
      </c>
      <c r="S595" s="35">
        <v>44320</v>
      </c>
      <c r="T595" s="32" t="str">
        <f t="shared" si="37"/>
        <v>+084264341***</v>
      </c>
      <c r="U595" s="32" t="str">
        <f t="shared" ca="1" si="38"/>
        <v>fran***@yuhuumail.com</v>
      </c>
      <c r="V595" s="32">
        <f t="shared" si="39"/>
        <v>25</v>
      </c>
      <c r="W595" s="36">
        <f t="shared" si="40"/>
        <v>0.05</v>
      </c>
    </row>
    <row r="596" spans="4:23" ht="27" customHeight="1" x14ac:dyDescent="0.25">
      <c r="D596" s="14" t="s">
        <v>2497</v>
      </c>
      <c r="E596" s="14" t="s">
        <v>2498</v>
      </c>
      <c r="F596" s="84" t="s">
        <v>51</v>
      </c>
      <c r="G596" s="15" t="s">
        <v>27</v>
      </c>
      <c r="H596" s="16" t="s">
        <v>2499</v>
      </c>
      <c r="I596" s="17"/>
      <c r="J596" s="17"/>
      <c r="K596" s="17"/>
      <c r="L596" s="17"/>
      <c r="N596" s="31">
        <v>594</v>
      </c>
      <c r="O596" s="32" t="s">
        <v>2500</v>
      </c>
      <c r="P596" s="33" t="s">
        <v>31</v>
      </c>
      <c r="Q596" s="32" t="s">
        <v>40</v>
      </c>
      <c r="R596" s="69">
        <v>44264.299317129633</v>
      </c>
      <c r="S596" s="35">
        <v>44356</v>
      </c>
      <c r="T596" s="32" t="str">
        <f t="shared" si="37"/>
        <v>+0822 83393***</v>
      </c>
      <c r="U596" s="32" t="str">
        <f t="shared" ca="1" si="38"/>
        <v>mela***@jossmail.com</v>
      </c>
      <c r="V596" s="32">
        <f t="shared" si="39"/>
        <v>25</v>
      </c>
      <c r="W596" s="36">
        <f t="shared" si="40"/>
        <v>0.05</v>
      </c>
    </row>
    <row r="597" spans="4:23" ht="27" customHeight="1" x14ac:dyDescent="0.25">
      <c r="D597" s="14" t="s">
        <v>2501</v>
      </c>
      <c r="E597" s="14" t="s">
        <v>2076</v>
      </c>
      <c r="F597" s="84" t="s">
        <v>934</v>
      </c>
      <c r="G597" s="15" t="s">
        <v>27</v>
      </c>
      <c r="H597" s="16" t="s">
        <v>2502</v>
      </c>
      <c r="I597" s="17"/>
      <c r="J597" s="17"/>
      <c r="K597" s="17"/>
      <c r="L597" s="17"/>
      <c r="N597" s="31">
        <v>595</v>
      </c>
      <c r="O597" s="32" t="s">
        <v>2503</v>
      </c>
      <c r="P597" s="33" t="s">
        <v>31</v>
      </c>
      <c r="Q597" s="32" t="s">
        <v>32</v>
      </c>
      <c r="R597" s="69">
        <v>44263.472893518519</v>
      </c>
      <c r="S597" s="35">
        <v>44320</v>
      </c>
      <c r="T597" s="32" t="str">
        <f t="shared" si="37"/>
        <v>+832 51743***</v>
      </c>
      <c r="U597" s="32" t="str">
        <f t="shared" ca="1" si="38"/>
        <v>bayl***@jossmail.com</v>
      </c>
      <c r="V597" s="32">
        <f t="shared" si="39"/>
        <v>25</v>
      </c>
      <c r="W597" s="36">
        <f t="shared" si="40"/>
        <v>0.05</v>
      </c>
    </row>
    <row r="598" spans="4:23" ht="27" customHeight="1" x14ac:dyDescent="0.25">
      <c r="D598" s="14" t="s">
        <v>2504</v>
      </c>
      <c r="E598" s="14" t="s">
        <v>2505</v>
      </c>
      <c r="F598" s="84" t="s">
        <v>114</v>
      </c>
      <c r="G598" s="15" t="s">
        <v>27</v>
      </c>
      <c r="H598" s="16" t="s">
        <v>2506</v>
      </c>
      <c r="I598" s="17"/>
      <c r="J598" s="17"/>
      <c r="K598" s="17"/>
      <c r="L598" s="17"/>
      <c r="N598" s="31">
        <v>596</v>
      </c>
      <c r="O598" s="32" t="s">
        <v>2505</v>
      </c>
      <c r="P598" s="33" t="s">
        <v>57</v>
      </c>
      <c r="Q598" s="32" t="s">
        <v>40</v>
      </c>
      <c r="R598" s="69">
        <v>44264.430300925924</v>
      </c>
      <c r="S598" s="35">
        <v>44356</v>
      </c>
      <c r="T598" s="32" t="str">
        <f t="shared" si="37"/>
        <v>+0832 96966***</v>
      </c>
      <c r="U598" s="32" t="str">
        <f t="shared" ca="1" si="38"/>
        <v>gide***@yuhuumail.com</v>
      </c>
      <c r="V598" s="32">
        <f t="shared" si="39"/>
        <v>25</v>
      </c>
      <c r="W598" s="36">
        <f t="shared" si="40"/>
        <v>0.05</v>
      </c>
    </row>
    <row r="599" spans="4:23" ht="27" customHeight="1" x14ac:dyDescent="0.25">
      <c r="D599" s="14" t="s">
        <v>2507</v>
      </c>
      <c r="E599" s="14" t="s">
        <v>958</v>
      </c>
      <c r="F599" s="84" t="s">
        <v>1551</v>
      </c>
      <c r="G599" s="15" t="s">
        <v>27</v>
      </c>
      <c r="H599" s="16" t="s">
        <v>2508</v>
      </c>
      <c r="I599" s="17"/>
      <c r="J599" s="17"/>
      <c r="K599" s="17"/>
      <c r="L599" s="17"/>
      <c r="N599" s="31">
        <v>597</v>
      </c>
      <c r="O599" s="32" t="s">
        <v>2509</v>
      </c>
      <c r="P599" s="33" t="s">
        <v>57</v>
      </c>
      <c r="Q599" s="32" t="s">
        <v>32</v>
      </c>
      <c r="R599" s="69">
        <v>44264.465902777774</v>
      </c>
      <c r="S599" s="35">
        <v>44359</v>
      </c>
      <c r="T599" s="32" t="str">
        <f t="shared" si="37"/>
        <v>+6282216692***</v>
      </c>
      <c r="U599" s="32" t="str">
        <f t="shared" ca="1" si="38"/>
        <v>char***@jossmail.com</v>
      </c>
      <c r="V599" s="32">
        <f t="shared" si="39"/>
        <v>25</v>
      </c>
      <c r="W599" s="36">
        <f t="shared" si="40"/>
        <v>0.05</v>
      </c>
    </row>
    <row r="600" spans="4:23" ht="27" customHeight="1" x14ac:dyDescent="0.25">
      <c r="D600" s="14" t="s">
        <v>2510</v>
      </c>
      <c r="E600" s="14" t="s">
        <v>2511</v>
      </c>
      <c r="F600" s="84" t="s">
        <v>114</v>
      </c>
      <c r="G600" s="15" t="s">
        <v>27</v>
      </c>
      <c r="H600" s="16" t="s">
        <v>2512</v>
      </c>
      <c r="I600" s="17"/>
      <c r="J600" s="17"/>
      <c r="K600" s="17"/>
      <c r="L600" s="17"/>
      <c r="N600" s="31">
        <v>598</v>
      </c>
      <c r="O600" s="32" t="s">
        <v>2513</v>
      </c>
      <c r="P600" s="33" t="s">
        <v>57</v>
      </c>
      <c r="Q600" s="32" t="s">
        <v>40</v>
      </c>
      <c r="R600" s="69">
        <v>44264.496157407404</v>
      </c>
      <c r="S600" s="35">
        <v>44356</v>
      </c>
      <c r="T600" s="32" t="str">
        <f t="shared" si="37"/>
        <v>+0852-64331***</v>
      </c>
      <c r="U600" s="32" t="str">
        <f t="shared" ca="1" si="38"/>
        <v>cait***@jossmail.com</v>
      </c>
      <c r="V600" s="32">
        <f t="shared" si="39"/>
        <v>25</v>
      </c>
      <c r="W600" s="36">
        <f t="shared" si="40"/>
        <v>0.05</v>
      </c>
    </row>
    <row r="601" spans="4:23" ht="27" customHeight="1" x14ac:dyDescent="0.25">
      <c r="D601" s="14" t="s">
        <v>2514</v>
      </c>
      <c r="E601" s="14" t="s">
        <v>2515</v>
      </c>
      <c r="F601" s="84" t="s">
        <v>422</v>
      </c>
      <c r="G601" s="15" t="s">
        <v>68</v>
      </c>
      <c r="H601" s="16" t="s">
        <v>2516</v>
      </c>
      <c r="I601" s="17"/>
      <c r="J601" s="17"/>
      <c r="K601" s="17"/>
      <c r="L601" s="17"/>
      <c r="N601" s="31">
        <v>599</v>
      </c>
      <c r="O601" s="32" t="s">
        <v>2517</v>
      </c>
      <c r="P601" s="33" t="s">
        <v>57</v>
      </c>
      <c r="Q601" s="32" t="s">
        <v>32</v>
      </c>
      <c r="R601" s="69">
        <v>44264.51667824074</v>
      </c>
      <c r="S601" s="35">
        <v>44356</v>
      </c>
      <c r="T601" s="32" t="str">
        <f t="shared" si="37"/>
        <v>+83259343***</v>
      </c>
      <c r="U601" s="32" t="str">
        <f t="shared" ca="1" si="38"/>
        <v>davo***@yuhuumail.com</v>
      </c>
      <c r="V601" s="32">
        <f t="shared" si="39"/>
        <v>25</v>
      </c>
      <c r="W601" s="36">
        <f t="shared" si="40"/>
        <v>0.05</v>
      </c>
    </row>
    <row r="602" spans="4:23" ht="27" customHeight="1" x14ac:dyDescent="0.25">
      <c r="D602" s="14" t="s">
        <v>2518</v>
      </c>
      <c r="E602" s="14" t="s">
        <v>2519</v>
      </c>
      <c r="F602" s="84" t="s">
        <v>524</v>
      </c>
      <c r="G602" s="15" t="s">
        <v>27</v>
      </c>
      <c r="H602" s="16" t="s">
        <v>2520</v>
      </c>
      <c r="I602" s="17"/>
      <c r="J602" s="17"/>
      <c r="K602" s="17"/>
      <c r="L602" s="17"/>
      <c r="N602" s="31">
        <v>600</v>
      </c>
      <c r="O602" s="32" t="s">
        <v>705</v>
      </c>
      <c r="P602" s="33" t="s">
        <v>57</v>
      </c>
      <c r="Q602" s="32" t="s">
        <v>40</v>
      </c>
      <c r="R602" s="69">
        <v>44264.577453703707</v>
      </c>
      <c r="S602" s="35">
        <v>44362</v>
      </c>
      <c r="T602" s="32" t="str">
        <f t="shared" si="37"/>
        <v>+6284281924***</v>
      </c>
      <c r="U602" s="32" t="str">
        <f t="shared" ca="1" si="38"/>
        <v>beck***@yuhuumail.com</v>
      </c>
      <c r="V602" s="32">
        <f t="shared" si="39"/>
        <v>25</v>
      </c>
      <c r="W602" s="36">
        <f t="shared" si="40"/>
        <v>0.05</v>
      </c>
    </row>
    <row r="603" spans="4:23" ht="27" customHeight="1" x14ac:dyDescent="0.25">
      <c r="D603" s="14" t="s">
        <v>2521</v>
      </c>
      <c r="E603" s="14" t="s">
        <v>2522</v>
      </c>
      <c r="F603" s="84" t="s">
        <v>183</v>
      </c>
      <c r="G603" s="15" t="s">
        <v>27</v>
      </c>
      <c r="H603" s="16" t="s">
        <v>2523</v>
      </c>
      <c r="I603" s="17"/>
      <c r="J603" s="17"/>
      <c r="K603" s="17"/>
      <c r="L603" s="17"/>
      <c r="N603" s="31">
        <v>601</v>
      </c>
      <c r="O603" s="32" t="s">
        <v>2524</v>
      </c>
      <c r="P603" s="33" t="s">
        <v>42</v>
      </c>
      <c r="Q603" s="32" t="s">
        <v>32</v>
      </c>
      <c r="R603" s="69">
        <v>44261.380879629629</v>
      </c>
      <c r="S603" s="35">
        <v>44356</v>
      </c>
      <c r="T603" s="32" t="str">
        <f t="shared" si="37"/>
        <v>+83239394***</v>
      </c>
      <c r="U603" s="32" t="str">
        <f t="shared" ca="1" si="38"/>
        <v>nata***@yuhuumail.com</v>
      </c>
      <c r="V603" s="32">
        <f t="shared" si="39"/>
        <v>25</v>
      </c>
      <c r="W603" s="36">
        <f t="shared" si="40"/>
        <v>0.05</v>
      </c>
    </row>
    <row r="604" spans="4:23" ht="27" customHeight="1" x14ac:dyDescent="0.25">
      <c r="D604" s="14" t="s">
        <v>2525</v>
      </c>
      <c r="E604" s="14" t="s">
        <v>2526</v>
      </c>
      <c r="F604" s="84" t="s">
        <v>114</v>
      </c>
      <c r="G604" s="15" t="s">
        <v>27</v>
      </c>
      <c r="H604" s="16" t="s">
        <v>2527</v>
      </c>
      <c r="I604" s="17"/>
      <c r="J604" s="17"/>
      <c r="K604" s="17"/>
      <c r="L604" s="17"/>
      <c r="N604" s="31">
        <v>602</v>
      </c>
      <c r="O604" s="32" t="s">
        <v>2528</v>
      </c>
      <c r="P604" s="33" t="s">
        <v>31</v>
      </c>
      <c r="Q604" s="32" t="s">
        <v>40</v>
      </c>
      <c r="R604" s="69">
        <v>44264.630578703705</v>
      </c>
      <c r="S604" s="35">
        <v>44320</v>
      </c>
      <c r="T604" s="32" t="str">
        <f t="shared" si="37"/>
        <v>+0822-68140***</v>
      </c>
      <c r="U604" s="32" t="str">
        <f t="shared" ca="1" si="38"/>
        <v>bill***@jossmail.com</v>
      </c>
      <c r="V604" s="32">
        <f t="shared" si="39"/>
        <v>25</v>
      </c>
      <c r="W604" s="36">
        <f t="shared" si="40"/>
        <v>0.05</v>
      </c>
    </row>
    <row r="605" spans="4:23" ht="27" customHeight="1" x14ac:dyDescent="0.25">
      <c r="D605" s="14" t="s">
        <v>2529</v>
      </c>
      <c r="E605" s="14" t="s">
        <v>2530</v>
      </c>
      <c r="F605" s="84" t="s">
        <v>719</v>
      </c>
      <c r="G605" s="15" t="s">
        <v>27</v>
      </c>
      <c r="H605" s="16" t="s">
        <v>2531</v>
      </c>
      <c r="I605" s="17"/>
      <c r="J605" s="17"/>
      <c r="K605" s="17"/>
      <c r="L605" s="17"/>
      <c r="N605" s="31">
        <v>603</v>
      </c>
      <c r="O605" s="32" t="s">
        <v>2532</v>
      </c>
      <c r="P605" s="33" t="s">
        <v>42</v>
      </c>
      <c r="Q605" s="32" t="s">
        <v>32</v>
      </c>
      <c r="R605" s="69">
        <v>44264.628553240742</v>
      </c>
      <c r="S605" s="35">
        <v>44318</v>
      </c>
      <c r="T605" s="32" t="str">
        <f t="shared" si="37"/>
        <v>+0812-54770***</v>
      </c>
      <c r="U605" s="32" t="str">
        <f t="shared" ca="1" si="38"/>
        <v>myac***@yuhuumail.com</v>
      </c>
      <c r="V605" s="32">
        <f t="shared" si="39"/>
        <v>25</v>
      </c>
      <c r="W605" s="36">
        <f t="shared" si="40"/>
        <v>0.05</v>
      </c>
    </row>
    <row r="606" spans="4:23" ht="27" customHeight="1" x14ac:dyDescent="0.25">
      <c r="D606" s="14" t="s">
        <v>2533</v>
      </c>
      <c r="E606" s="14" t="s">
        <v>2534</v>
      </c>
      <c r="F606" s="84" t="s">
        <v>1118</v>
      </c>
      <c r="G606" s="15" t="s">
        <v>27</v>
      </c>
      <c r="H606" s="16" t="s">
        <v>2535</v>
      </c>
      <c r="I606" s="17"/>
      <c r="J606" s="17"/>
      <c r="K606" s="17"/>
      <c r="L606" s="17"/>
      <c r="N606" s="31">
        <v>604</v>
      </c>
      <c r="O606" s="32" t="s">
        <v>2536</v>
      </c>
      <c r="P606" s="33" t="s">
        <v>31</v>
      </c>
      <c r="Q606" s="32" t="s">
        <v>40</v>
      </c>
      <c r="R606" s="69">
        <v>44264.480416666665</v>
      </c>
      <c r="S606" s="35">
        <v>44359</v>
      </c>
      <c r="T606" s="32" t="str">
        <f t="shared" si="37"/>
        <v>+812 31000***</v>
      </c>
      <c r="U606" s="32" t="str">
        <f t="shared" ca="1" si="38"/>
        <v>reid***@jossmail.com</v>
      </c>
      <c r="V606" s="32">
        <f t="shared" si="39"/>
        <v>25</v>
      </c>
      <c r="W606" s="36">
        <f t="shared" si="40"/>
        <v>0.05</v>
      </c>
    </row>
    <row r="607" spans="4:23" ht="27" customHeight="1" x14ac:dyDescent="0.25">
      <c r="D607" s="14" t="s">
        <v>2537</v>
      </c>
      <c r="E607" s="14" t="s">
        <v>2538</v>
      </c>
      <c r="F607" s="84" t="s">
        <v>280</v>
      </c>
      <c r="G607" s="15" t="s">
        <v>68</v>
      </c>
      <c r="H607" s="16" t="s">
        <v>2539</v>
      </c>
      <c r="I607" s="17"/>
      <c r="J607" s="17"/>
      <c r="K607" s="17"/>
      <c r="L607" s="17"/>
      <c r="N607" s="31">
        <v>605</v>
      </c>
      <c r="O607" s="32" t="s">
        <v>2540</v>
      </c>
      <c r="P607" s="33" t="s">
        <v>57</v>
      </c>
      <c r="Q607" s="32" t="s">
        <v>32</v>
      </c>
      <c r="R607" s="69">
        <v>44264.655532407407</v>
      </c>
      <c r="S607" s="71">
        <v>44318</v>
      </c>
      <c r="T607" s="32" t="str">
        <f t="shared" si="37"/>
        <v>+82228750***</v>
      </c>
      <c r="U607" s="32" t="str">
        <f t="shared" ca="1" si="38"/>
        <v>moha***@yuhuumail.com</v>
      </c>
      <c r="V607" s="32">
        <f t="shared" si="39"/>
        <v>25</v>
      </c>
      <c r="W607" s="36">
        <f t="shared" si="40"/>
        <v>0.05</v>
      </c>
    </row>
    <row r="608" spans="4:23" ht="27" customHeight="1" x14ac:dyDescent="0.25">
      <c r="D608" s="14" t="s">
        <v>2541</v>
      </c>
      <c r="E608" s="14" t="s">
        <v>2542</v>
      </c>
      <c r="F608" s="84" t="s">
        <v>343</v>
      </c>
      <c r="G608" s="15" t="s">
        <v>27</v>
      </c>
      <c r="H608" s="16" t="s">
        <v>2543</v>
      </c>
      <c r="I608" s="17"/>
      <c r="J608" s="17"/>
      <c r="K608" s="17"/>
      <c r="L608" s="17"/>
      <c r="N608" s="31">
        <v>606</v>
      </c>
      <c r="O608" s="32" t="s">
        <v>2544</v>
      </c>
      <c r="P608" s="33" t="s">
        <v>57</v>
      </c>
      <c r="Q608" s="32" t="s">
        <v>40</v>
      </c>
      <c r="R608" s="69">
        <v>44264.711192129631</v>
      </c>
      <c r="S608" s="71">
        <v>44353</v>
      </c>
      <c r="T608" s="32" t="str">
        <f t="shared" si="37"/>
        <v>+81216775***</v>
      </c>
      <c r="U608" s="32" t="str">
        <f t="shared" ca="1" si="38"/>
        <v>jado***@yuhuumail.com</v>
      </c>
      <c r="V608" s="32">
        <f t="shared" si="39"/>
        <v>25</v>
      </c>
      <c r="W608" s="36">
        <f t="shared" si="40"/>
        <v>0.05</v>
      </c>
    </row>
    <row r="609" spans="4:23" ht="27" customHeight="1" x14ac:dyDescent="0.25">
      <c r="D609" s="14" t="s">
        <v>2545</v>
      </c>
      <c r="E609" s="14" t="s">
        <v>2546</v>
      </c>
      <c r="F609" s="84" t="s">
        <v>302</v>
      </c>
      <c r="G609" s="15" t="s">
        <v>68</v>
      </c>
      <c r="H609" s="16" t="s">
        <v>2547</v>
      </c>
      <c r="I609" s="17"/>
      <c r="J609" s="17"/>
      <c r="K609" s="17"/>
      <c r="L609" s="17"/>
      <c r="N609" s="31">
        <v>607</v>
      </c>
      <c r="O609" s="32" t="s">
        <v>2548</v>
      </c>
      <c r="P609" s="33" t="s">
        <v>31</v>
      </c>
      <c r="Q609" s="32" t="s">
        <v>32</v>
      </c>
      <c r="R609" s="69">
        <v>44264.496655092589</v>
      </c>
      <c r="S609" s="71">
        <v>44318</v>
      </c>
      <c r="T609" s="32" t="str">
        <f t="shared" si="37"/>
        <v>+6281288682***</v>
      </c>
      <c r="U609" s="32" t="str">
        <f t="shared" ca="1" si="38"/>
        <v>jude***@yuhuumail.com</v>
      </c>
      <c r="V609" s="32">
        <f t="shared" si="39"/>
        <v>25</v>
      </c>
      <c r="W609" s="36">
        <f t="shared" si="40"/>
        <v>0.05</v>
      </c>
    </row>
    <row r="610" spans="4:23" ht="27" customHeight="1" x14ac:dyDescent="0.25">
      <c r="D610" s="14" t="s">
        <v>2549</v>
      </c>
      <c r="E610" s="14" t="s">
        <v>2550</v>
      </c>
      <c r="F610" s="84" t="s">
        <v>175</v>
      </c>
      <c r="G610" s="15" t="s">
        <v>68</v>
      </c>
      <c r="H610" s="16" t="s">
        <v>2551</v>
      </c>
      <c r="I610" s="17"/>
      <c r="J610" s="17"/>
      <c r="K610" s="17"/>
      <c r="L610" s="17"/>
      <c r="N610" s="31">
        <v>608</v>
      </c>
      <c r="O610" s="32" t="s">
        <v>2552</v>
      </c>
      <c r="P610" s="33" t="s">
        <v>31</v>
      </c>
      <c r="Q610" s="32" t="s">
        <v>40</v>
      </c>
      <c r="R610" s="69">
        <v>44264.746412037035</v>
      </c>
      <c r="S610" s="71">
        <v>44320</v>
      </c>
      <c r="T610" s="32" t="str">
        <f t="shared" si="37"/>
        <v>+081280015***</v>
      </c>
      <c r="U610" s="32" t="str">
        <f t="shared" ca="1" si="38"/>
        <v>cami***@yuhuumail.com</v>
      </c>
      <c r="V610" s="32">
        <f t="shared" si="39"/>
        <v>25</v>
      </c>
      <c r="W610" s="36">
        <f t="shared" si="40"/>
        <v>0.05</v>
      </c>
    </row>
    <row r="611" spans="4:23" ht="27" customHeight="1" x14ac:dyDescent="0.25">
      <c r="D611" s="14" t="s">
        <v>2553</v>
      </c>
      <c r="E611" s="14" t="s">
        <v>2450</v>
      </c>
      <c r="F611" s="84" t="s">
        <v>114</v>
      </c>
      <c r="G611" s="15" t="s">
        <v>27</v>
      </c>
      <c r="H611" s="16" t="s">
        <v>2554</v>
      </c>
      <c r="I611" s="17"/>
      <c r="J611" s="17"/>
      <c r="K611" s="17"/>
      <c r="L611" s="17"/>
      <c r="N611" s="31">
        <v>609</v>
      </c>
      <c r="O611" s="32" t="s">
        <v>2555</v>
      </c>
      <c r="P611" s="33" t="s">
        <v>31</v>
      </c>
      <c r="Q611" s="32" t="s">
        <v>32</v>
      </c>
      <c r="R611" s="69">
        <v>44264.775011574071</v>
      </c>
      <c r="S611" s="71">
        <v>44356</v>
      </c>
      <c r="T611" s="32" t="str">
        <f t="shared" si="37"/>
        <v>+0822-31052***</v>
      </c>
      <c r="U611" s="32" t="str">
        <f t="shared" ca="1" si="38"/>
        <v>katr***@jossmail.com</v>
      </c>
      <c r="V611" s="32">
        <f t="shared" si="39"/>
        <v>25</v>
      </c>
      <c r="W611" s="36">
        <f t="shared" si="40"/>
        <v>0.05</v>
      </c>
    </row>
    <row r="612" spans="4:23" ht="27" customHeight="1" x14ac:dyDescent="0.25">
      <c r="D612" s="14" t="s">
        <v>2556</v>
      </c>
      <c r="E612" s="14" t="s">
        <v>576</v>
      </c>
      <c r="F612" s="84" t="s">
        <v>1820</v>
      </c>
      <c r="G612" s="15" t="s">
        <v>27</v>
      </c>
      <c r="H612" s="16" t="s">
        <v>2557</v>
      </c>
      <c r="I612" s="17"/>
      <c r="J612" s="17"/>
      <c r="K612" s="17"/>
      <c r="L612" s="17"/>
      <c r="N612" s="31">
        <v>610</v>
      </c>
      <c r="O612" s="32" t="s">
        <v>2558</v>
      </c>
      <c r="P612" s="33" t="s">
        <v>57</v>
      </c>
      <c r="Q612" s="32" t="s">
        <v>40</v>
      </c>
      <c r="R612" s="69">
        <v>44264.768136574072</v>
      </c>
      <c r="S612" s="71">
        <v>44359</v>
      </c>
      <c r="T612" s="32" t="str">
        <f t="shared" si="37"/>
        <v>+082273227***</v>
      </c>
      <c r="U612" s="32" t="str">
        <f t="shared" ca="1" si="38"/>
        <v>kenz***@jossmail.com</v>
      </c>
      <c r="V612" s="32">
        <f t="shared" si="39"/>
        <v>25</v>
      </c>
      <c r="W612" s="36">
        <f t="shared" si="40"/>
        <v>0.05</v>
      </c>
    </row>
    <row r="613" spans="4:23" ht="27" customHeight="1" x14ac:dyDescent="0.25">
      <c r="D613" s="14" t="s">
        <v>2559</v>
      </c>
      <c r="E613" s="14" t="s">
        <v>2560</v>
      </c>
      <c r="F613" s="84" t="s">
        <v>834</v>
      </c>
      <c r="G613" s="15" t="s">
        <v>27</v>
      </c>
      <c r="H613" s="16" t="s">
        <v>2561</v>
      </c>
      <c r="I613" s="17"/>
      <c r="J613" s="17"/>
      <c r="K613" s="17"/>
      <c r="L613" s="17"/>
      <c r="N613" s="31">
        <v>611</v>
      </c>
      <c r="O613" s="32" t="s">
        <v>2562</v>
      </c>
      <c r="P613" s="33" t="s">
        <v>42</v>
      </c>
      <c r="Q613" s="32" t="s">
        <v>32</v>
      </c>
      <c r="R613" s="69">
        <v>44264.826331018521</v>
      </c>
      <c r="S613" s="71">
        <v>44321</v>
      </c>
      <c r="T613" s="32" t="str">
        <f t="shared" si="37"/>
        <v>+6285259785***</v>
      </c>
      <c r="U613" s="32" t="str">
        <f t="shared" ca="1" si="38"/>
        <v>owen***@jossmail.com</v>
      </c>
      <c r="V613" s="32">
        <f t="shared" si="39"/>
        <v>25</v>
      </c>
      <c r="W613" s="36">
        <f t="shared" si="40"/>
        <v>0.05</v>
      </c>
    </row>
    <row r="614" spans="4:23" ht="27" customHeight="1" x14ac:dyDescent="0.25">
      <c r="D614" s="14" t="s">
        <v>2563</v>
      </c>
      <c r="E614" s="14" t="s">
        <v>2564</v>
      </c>
      <c r="F614" s="84" t="s">
        <v>343</v>
      </c>
      <c r="G614" s="15" t="s">
        <v>27</v>
      </c>
      <c r="H614" s="16" t="s">
        <v>2565</v>
      </c>
      <c r="I614" s="17"/>
      <c r="J614" s="17"/>
      <c r="K614" s="17"/>
      <c r="L614" s="17"/>
      <c r="N614" s="31">
        <v>612</v>
      </c>
      <c r="O614" s="32" t="s">
        <v>2566</v>
      </c>
      <c r="P614" s="33" t="s">
        <v>31</v>
      </c>
      <c r="Q614" s="32" t="s">
        <v>40</v>
      </c>
      <c r="R614" s="69">
        <v>44264.849733796298</v>
      </c>
      <c r="S614" s="71">
        <v>44354</v>
      </c>
      <c r="T614" s="32" t="str">
        <f t="shared" si="37"/>
        <v>+0852-38641***</v>
      </c>
      <c r="U614" s="32" t="str">
        <f t="shared" ca="1" si="38"/>
        <v>noah***@jossmail.com</v>
      </c>
      <c r="V614" s="32">
        <f t="shared" si="39"/>
        <v>25</v>
      </c>
      <c r="W614" s="36">
        <f t="shared" si="40"/>
        <v>0.05</v>
      </c>
    </row>
    <row r="615" spans="4:23" ht="27" customHeight="1" x14ac:dyDescent="0.25">
      <c r="D615" s="14" t="s">
        <v>2567</v>
      </c>
      <c r="E615" s="14" t="s">
        <v>2568</v>
      </c>
      <c r="F615" s="84" t="s">
        <v>566</v>
      </c>
      <c r="G615" s="15" t="s">
        <v>27</v>
      </c>
      <c r="H615" s="16" t="s">
        <v>2569</v>
      </c>
      <c r="I615" s="17"/>
      <c r="J615" s="17"/>
      <c r="K615" s="17"/>
      <c r="L615" s="17"/>
      <c r="N615" s="31">
        <v>613</v>
      </c>
      <c r="O615" s="32" t="s">
        <v>2570</v>
      </c>
      <c r="P615" s="33" t="s">
        <v>31</v>
      </c>
      <c r="Q615" s="32" t="s">
        <v>32</v>
      </c>
      <c r="R615" s="69">
        <v>44261.727303240739</v>
      </c>
      <c r="S615" s="71">
        <v>44353</v>
      </c>
      <c r="T615" s="32" t="str">
        <f t="shared" si="37"/>
        <v>+0842-38409***</v>
      </c>
      <c r="U615" s="32" t="str">
        <f t="shared" ca="1" si="38"/>
        <v>kira***@yuhuumail.com</v>
      </c>
      <c r="V615" s="32">
        <f t="shared" si="39"/>
        <v>25</v>
      </c>
      <c r="W615" s="36">
        <f t="shared" si="40"/>
        <v>0.05</v>
      </c>
    </row>
    <row r="616" spans="4:23" ht="27" customHeight="1" x14ac:dyDescent="0.25">
      <c r="D616" s="14" t="s">
        <v>2571</v>
      </c>
      <c r="E616" s="14" t="s">
        <v>2572</v>
      </c>
      <c r="F616" s="84" t="s">
        <v>239</v>
      </c>
      <c r="G616" s="15" t="s">
        <v>27</v>
      </c>
      <c r="H616" s="16" t="s">
        <v>2573</v>
      </c>
      <c r="I616" s="17"/>
      <c r="J616" s="17"/>
      <c r="K616" s="17"/>
      <c r="L616" s="17"/>
      <c r="N616" s="31">
        <v>614</v>
      </c>
      <c r="O616" s="32" t="s">
        <v>1097</v>
      </c>
      <c r="P616" s="33" t="s">
        <v>57</v>
      </c>
      <c r="Q616" s="32" t="s">
        <v>40</v>
      </c>
      <c r="R616" s="69">
        <v>42877.080509259256</v>
      </c>
      <c r="S616" s="71">
        <v>44361</v>
      </c>
      <c r="T616" s="32" t="str">
        <f t="shared" si="37"/>
        <v>+083214384***</v>
      </c>
      <c r="U616" s="32" t="str">
        <f t="shared" ca="1" si="38"/>
        <v>ambe***@jossmail.com</v>
      </c>
      <c r="V616" s="32">
        <f t="shared" si="39"/>
        <v>21</v>
      </c>
      <c r="W616" s="36">
        <f t="shared" si="40"/>
        <v>7.5000000000000011E-2</v>
      </c>
    </row>
    <row r="617" spans="4:23" ht="27" customHeight="1" x14ac:dyDescent="0.25">
      <c r="D617" s="14" t="s">
        <v>2574</v>
      </c>
      <c r="E617" s="14" t="s">
        <v>2575</v>
      </c>
      <c r="F617" s="84" t="s">
        <v>46</v>
      </c>
      <c r="G617" s="15" t="s">
        <v>27</v>
      </c>
      <c r="H617" s="16" t="s">
        <v>2576</v>
      </c>
      <c r="I617" s="17"/>
      <c r="J617" s="17"/>
      <c r="K617" s="17"/>
      <c r="L617" s="17"/>
      <c r="N617" s="31">
        <v>615</v>
      </c>
      <c r="O617" s="32" t="s">
        <v>2577</v>
      </c>
      <c r="P617" s="33" t="s">
        <v>31</v>
      </c>
      <c r="Q617" s="32" t="s">
        <v>32</v>
      </c>
      <c r="R617" s="69">
        <v>44264.934050925927</v>
      </c>
      <c r="S617" s="71">
        <v>44362</v>
      </c>
      <c r="T617" s="32" t="str">
        <f t="shared" si="37"/>
        <v>+84232707***</v>
      </c>
      <c r="U617" s="32" t="str">
        <f t="shared" ca="1" si="38"/>
        <v>alvi***@yuhuumail.com</v>
      </c>
      <c r="V617" s="32">
        <f t="shared" si="39"/>
        <v>25</v>
      </c>
      <c r="W617" s="36">
        <f t="shared" si="40"/>
        <v>0.05</v>
      </c>
    </row>
    <row r="618" spans="4:23" ht="27" customHeight="1" x14ac:dyDescent="0.25">
      <c r="D618" s="14" t="s">
        <v>2578</v>
      </c>
      <c r="E618" s="14" t="s">
        <v>2579</v>
      </c>
      <c r="F618" s="84" t="s">
        <v>597</v>
      </c>
      <c r="G618" s="15" t="s">
        <v>68</v>
      </c>
      <c r="H618" s="16" t="s">
        <v>2580</v>
      </c>
      <c r="I618" s="17"/>
      <c r="J618" s="17"/>
      <c r="K618" s="17"/>
      <c r="L618" s="17"/>
      <c r="N618" s="31">
        <v>616</v>
      </c>
      <c r="O618" s="32" t="s">
        <v>2581</v>
      </c>
      <c r="P618" s="33" t="s">
        <v>31</v>
      </c>
      <c r="Q618" s="32" t="s">
        <v>40</v>
      </c>
      <c r="R618" s="69">
        <v>44264.846585648149</v>
      </c>
      <c r="S618" s="71">
        <v>44318</v>
      </c>
      <c r="T618" s="32" t="str">
        <f t="shared" si="37"/>
        <v>+081244360***</v>
      </c>
      <c r="U618" s="32" t="str">
        <f t="shared" ca="1" si="38"/>
        <v>celi***@yuhuumail.com</v>
      </c>
      <c r="V618" s="32">
        <f t="shared" si="39"/>
        <v>25</v>
      </c>
      <c r="W618" s="36">
        <f t="shared" si="40"/>
        <v>0.05</v>
      </c>
    </row>
    <row r="619" spans="4:23" ht="27" customHeight="1" x14ac:dyDescent="0.25">
      <c r="D619" s="14" t="s">
        <v>2582</v>
      </c>
      <c r="E619" s="14" t="s">
        <v>2583</v>
      </c>
      <c r="F619" s="84" t="s">
        <v>764</v>
      </c>
      <c r="G619" s="15" t="s">
        <v>27</v>
      </c>
      <c r="H619" s="16" t="s">
        <v>2584</v>
      </c>
      <c r="I619" s="17"/>
      <c r="J619" s="17"/>
      <c r="K619" s="17"/>
      <c r="L619" s="17"/>
      <c r="N619" s="31">
        <v>617</v>
      </c>
      <c r="O619" s="32" t="s">
        <v>2339</v>
      </c>
      <c r="P619" s="33" t="s">
        <v>57</v>
      </c>
      <c r="Q619" s="32" t="s">
        <v>32</v>
      </c>
      <c r="R619" s="69">
        <v>44264.968159722222</v>
      </c>
      <c r="S619" s="71">
        <v>44352</v>
      </c>
      <c r="T619" s="32" t="str">
        <f t="shared" si="37"/>
        <v>+081283948***</v>
      </c>
      <c r="U619" s="32" t="str">
        <f t="shared" ca="1" si="38"/>
        <v>alys***@yuhuumail.com</v>
      </c>
      <c r="V619" s="32">
        <f t="shared" si="39"/>
        <v>25</v>
      </c>
      <c r="W619" s="36">
        <f t="shared" si="40"/>
        <v>0.05</v>
      </c>
    </row>
    <row r="620" spans="4:23" ht="27" customHeight="1" x14ac:dyDescent="0.25">
      <c r="D620" s="14" t="s">
        <v>2585</v>
      </c>
      <c r="E620" s="14" t="s">
        <v>2586</v>
      </c>
      <c r="F620" s="84" t="s">
        <v>597</v>
      </c>
      <c r="G620" s="15" t="s">
        <v>27</v>
      </c>
      <c r="H620" s="16" t="s">
        <v>2587</v>
      </c>
      <c r="I620" s="17"/>
      <c r="J620" s="17"/>
      <c r="K620" s="17"/>
      <c r="L620" s="17"/>
      <c r="N620" s="31">
        <v>618</v>
      </c>
      <c r="O620" s="32" t="s">
        <v>2588</v>
      </c>
      <c r="P620" s="33" t="s">
        <v>31</v>
      </c>
      <c r="Q620" s="32" t="s">
        <v>40</v>
      </c>
      <c r="R620" s="69">
        <v>44265.035937499997</v>
      </c>
      <c r="S620" s="71">
        <v>44356</v>
      </c>
      <c r="T620" s="32" t="str">
        <f t="shared" si="37"/>
        <v>+85285312***</v>
      </c>
      <c r="U620" s="32" t="str">
        <f t="shared" ca="1" si="38"/>
        <v>yahi***@yuhuumail.com</v>
      </c>
      <c r="V620" s="32">
        <f t="shared" si="39"/>
        <v>25</v>
      </c>
      <c r="W620" s="36">
        <f t="shared" si="40"/>
        <v>0.05</v>
      </c>
    </row>
    <row r="621" spans="4:23" ht="27" customHeight="1" x14ac:dyDescent="0.25">
      <c r="D621" s="14" t="s">
        <v>2589</v>
      </c>
      <c r="E621" s="14" t="s">
        <v>2590</v>
      </c>
      <c r="F621" s="84" t="s">
        <v>485</v>
      </c>
      <c r="G621" s="15" t="s">
        <v>27</v>
      </c>
      <c r="H621" s="16" t="s">
        <v>2591</v>
      </c>
      <c r="I621" s="17"/>
      <c r="J621" s="17"/>
      <c r="K621" s="17"/>
      <c r="L621" s="17"/>
      <c r="N621" s="31">
        <v>619</v>
      </c>
      <c r="O621" s="32" t="s">
        <v>2592</v>
      </c>
      <c r="P621" s="33" t="s">
        <v>42</v>
      </c>
      <c r="Q621" s="32" t="s">
        <v>32</v>
      </c>
      <c r="R621" s="69">
        <v>44265.059027777781</v>
      </c>
      <c r="S621" s="71">
        <v>44356</v>
      </c>
      <c r="T621" s="32" t="str">
        <f t="shared" si="37"/>
        <v>+82217047***</v>
      </c>
      <c r="U621" s="32" t="str">
        <f t="shared" ca="1" si="38"/>
        <v>anna***@jossmail.com</v>
      </c>
      <c r="V621" s="32">
        <f t="shared" si="39"/>
        <v>25</v>
      </c>
      <c r="W621" s="36">
        <f t="shared" si="40"/>
        <v>0.05</v>
      </c>
    </row>
    <row r="622" spans="4:23" ht="27" customHeight="1" x14ac:dyDescent="0.25">
      <c r="D622" s="14" t="s">
        <v>2593</v>
      </c>
      <c r="E622" s="14" t="s">
        <v>2594</v>
      </c>
      <c r="F622" s="84" t="s">
        <v>92</v>
      </c>
      <c r="G622" s="15" t="s">
        <v>27</v>
      </c>
      <c r="H622" s="16" t="s">
        <v>2595</v>
      </c>
      <c r="I622" s="17"/>
      <c r="J622" s="17"/>
      <c r="K622" s="17"/>
      <c r="L622" s="17"/>
      <c r="N622" s="31">
        <v>620</v>
      </c>
      <c r="O622" s="32" t="s">
        <v>2596</v>
      </c>
      <c r="P622" s="33" t="s">
        <v>57</v>
      </c>
      <c r="Q622" s="32" t="s">
        <v>40</v>
      </c>
      <c r="R622" s="69">
        <v>44265.081736111111</v>
      </c>
      <c r="S622" s="71">
        <v>44359</v>
      </c>
      <c r="T622" s="32" t="str">
        <f t="shared" si="37"/>
        <v>+081244541***</v>
      </c>
      <c r="U622" s="32" t="str">
        <f t="shared" ca="1" si="38"/>
        <v>marc***@jossmail.com</v>
      </c>
      <c r="V622" s="32">
        <f t="shared" si="39"/>
        <v>25</v>
      </c>
      <c r="W622" s="36">
        <f t="shared" si="40"/>
        <v>0.05</v>
      </c>
    </row>
    <row r="623" spans="4:23" ht="27" customHeight="1" x14ac:dyDescent="0.25">
      <c r="D623" s="14" t="s">
        <v>2597</v>
      </c>
      <c r="E623" s="14" t="s">
        <v>2598</v>
      </c>
      <c r="F623" s="84" t="s">
        <v>566</v>
      </c>
      <c r="G623" s="15" t="s">
        <v>27</v>
      </c>
      <c r="H623" s="16" t="s">
        <v>2599</v>
      </c>
      <c r="I623" s="17"/>
      <c r="J623" s="17"/>
      <c r="K623" s="17"/>
      <c r="L623" s="17"/>
      <c r="N623" s="31">
        <v>621</v>
      </c>
      <c r="O623" s="32" t="s">
        <v>2600</v>
      </c>
      <c r="P623" s="33" t="s">
        <v>31</v>
      </c>
      <c r="Q623" s="32" t="s">
        <v>32</v>
      </c>
      <c r="R623" s="69">
        <v>44265.352546296293</v>
      </c>
      <c r="S623" s="71">
        <v>44359</v>
      </c>
      <c r="T623" s="32" t="str">
        <f t="shared" si="37"/>
        <v>+842 20505***</v>
      </c>
      <c r="U623" s="32" t="str">
        <f t="shared" ca="1" si="38"/>
        <v>aver***@yuhuumail.com</v>
      </c>
      <c r="V623" s="32">
        <f t="shared" si="39"/>
        <v>25</v>
      </c>
      <c r="W623" s="36">
        <f t="shared" si="40"/>
        <v>0.05</v>
      </c>
    </row>
    <row r="624" spans="4:23" ht="27" customHeight="1" x14ac:dyDescent="0.25">
      <c r="D624" s="14" t="s">
        <v>2601</v>
      </c>
      <c r="E624" s="14" t="s">
        <v>1003</v>
      </c>
      <c r="F624" s="84" t="s">
        <v>1169</v>
      </c>
      <c r="G624" s="15" t="s">
        <v>27</v>
      </c>
      <c r="H624" s="16" t="s">
        <v>2602</v>
      </c>
      <c r="I624" s="17"/>
      <c r="J624" s="17"/>
      <c r="K624" s="17"/>
      <c r="L624" s="17"/>
      <c r="N624" s="31">
        <v>622</v>
      </c>
      <c r="O624" s="32" t="s">
        <v>2603</v>
      </c>
      <c r="P624" s="33" t="s">
        <v>31</v>
      </c>
      <c r="Q624" s="32" t="s">
        <v>40</v>
      </c>
      <c r="R624" s="69">
        <v>44265.361678240741</v>
      </c>
      <c r="S624" s="71">
        <v>44356</v>
      </c>
      <c r="T624" s="32" t="str">
        <f t="shared" si="37"/>
        <v>+0832 88021***</v>
      </c>
      <c r="U624" s="32" t="str">
        <f t="shared" ca="1" si="38"/>
        <v>clai***@yuhuumail.com</v>
      </c>
      <c r="V624" s="32">
        <f t="shared" si="39"/>
        <v>25</v>
      </c>
      <c r="W624" s="36">
        <f t="shared" si="40"/>
        <v>0.05</v>
      </c>
    </row>
    <row r="625" spans="4:23" ht="27" customHeight="1" x14ac:dyDescent="0.25">
      <c r="D625" s="14" t="s">
        <v>2604</v>
      </c>
      <c r="E625" s="14" t="s">
        <v>2605</v>
      </c>
      <c r="F625" s="84" t="s">
        <v>834</v>
      </c>
      <c r="G625" s="15" t="s">
        <v>27</v>
      </c>
      <c r="H625" s="16" t="s">
        <v>2606</v>
      </c>
      <c r="I625" s="17"/>
      <c r="J625" s="17"/>
      <c r="K625" s="17"/>
      <c r="L625" s="17"/>
      <c r="N625" s="31">
        <v>623</v>
      </c>
      <c r="O625" s="32" t="s">
        <v>2605</v>
      </c>
      <c r="P625" s="33" t="s">
        <v>31</v>
      </c>
      <c r="Q625" s="32" t="s">
        <v>32</v>
      </c>
      <c r="R625" s="69">
        <v>44265.363576388889</v>
      </c>
      <c r="S625" s="71">
        <v>44352</v>
      </c>
      <c r="T625" s="32" t="str">
        <f t="shared" si="37"/>
        <v>+0822-42753***</v>
      </c>
      <c r="U625" s="32" t="str">
        <f t="shared" ca="1" si="38"/>
        <v>espe***@yuhuumail.com</v>
      </c>
      <c r="V625" s="32">
        <f t="shared" si="39"/>
        <v>25</v>
      </c>
      <c r="W625" s="36">
        <f t="shared" si="40"/>
        <v>0.05</v>
      </c>
    </row>
    <row r="626" spans="4:23" ht="27" customHeight="1" x14ac:dyDescent="0.25">
      <c r="D626" s="14" t="s">
        <v>2607</v>
      </c>
      <c r="E626" s="14" t="s">
        <v>2608</v>
      </c>
      <c r="F626" s="84" t="s">
        <v>533</v>
      </c>
      <c r="G626" s="15" t="s">
        <v>27</v>
      </c>
      <c r="H626" s="16" t="s">
        <v>2609</v>
      </c>
      <c r="I626" s="17"/>
      <c r="J626" s="17"/>
      <c r="K626" s="17"/>
      <c r="L626" s="17"/>
      <c r="N626" s="31">
        <v>624</v>
      </c>
      <c r="O626" s="32" t="s">
        <v>2610</v>
      </c>
      <c r="P626" s="33" t="s">
        <v>31</v>
      </c>
      <c r="Q626" s="32" t="s">
        <v>40</v>
      </c>
      <c r="R626" s="69">
        <v>44265.496435185189</v>
      </c>
      <c r="S626" s="71">
        <v>44354</v>
      </c>
      <c r="T626" s="32" t="str">
        <f t="shared" si="37"/>
        <v>+6285247511***</v>
      </c>
      <c r="U626" s="32" t="str">
        <f t="shared" ca="1" si="38"/>
        <v>leeh***@jossmail.com</v>
      </c>
      <c r="V626" s="32">
        <f t="shared" si="39"/>
        <v>25</v>
      </c>
      <c r="W626" s="36">
        <f t="shared" si="40"/>
        <v>0.05</v>
      </c>
    </row>
    <row r="627" spans="4:23" ht="27" customHeight="1" x14ac:dyDescent="0.25">
      <c r="D627" s="14" t="s">
        <v>2611</v>
      </c>
      <c r="E627" s="14" t="s">
        <v>2612</v>
      </c>
      <c r="F627" s="84" t="s">
        <v>61</v>
      </c>
      <c r="G627" s="15" t="s">
        <v>68</v>
      </c>
      <c r="H627" s="16" t="s">
        <v>2613</v>
      </c>
      <c r="I627" s="17"/>
      <c r="J627" s="17"/>
      <c r="K627" s="17"/>
      <c r="L627" s="17"/>
      <c r="N627" s="31">
        <v>625</v>
      </c>
      <c r="O627" s="32" t="s">
        <v>2614</v>
      </c>
      <c r="P627" s="33" t="s">
        <v>31</v>
      </c>
      <c r="Q627" s="32" t="s">
        <v>32</v>
      </c>
      <c r="R627" s="69">
        <v>44265.511400462965</v>
      </c>
      <c r="S627" s="35">
        <v>44352</v>
      </c>
      <c r="T627" s="32" t="str">
        <f t="shared" si="37"/>
        <v>+0812-98114***</v>
      </c>
      <c r="U627" s="32" t="str">
        <f t="shared" ca="1" si="38"/>
        <v>gran***@yuhuumail.com</v>
      </c>
      <c r="V627" s="32">
        <f t="shared" si="39"/>
        <v>25</v>
      </c>
      <c r="W627" s="36">
        <f t="shared" si="40"/>
        <v>0.05</v>
      </c>
    </row>
    <row r="628" spans="4:23" ht="27" customHeight="1" x14ac:dyDescent="0.25">
      <c r="D628" s="14" t="s">
        <v>2615</v>
      </c>
      <c r="E628" s="14" t="s">
        <v>1431</v>
      </c>
      <c r="F628" s="84" t="s">
        <v>74</v>
      </c>
      <c r="G628" s="15" t="s">
        <v>68</v>
      </c>
      <c r="H628" s="16" t="s">
        <v>2616</v>
      </c>
      <c r="I628" s="17"/>
      <c r="J628" s="17"/>
      <c r="K628" s="17"/>
      <c r="L628" s="17"/>
      <c r="N628" s="31">
        <v>626</v>
      </c>
      <c r="O628" s="32" t="s">
        <v>833</v>
      </c>
      <c r="P628" s="33" t="s">
        <v>31</v>
      </c>
      <c r="Q628" s="32" t="s">
        <v>40</v>
      </c>
      <c r="R628" s="69">
        <v>43735.24628472222</v>
      </c>
      <c r="S628" s="35">
        <v>44328</v>
      </c>
      <c r="T628" s="32" t="str">
        <f t="shared" si="37"/>
        <v>+6281236369***</v>
      </c>
      <c r="U628" s="32" t="str">
        <f t="shared" ca="1" si="38"/>
        <v>cael***@jossmail.com</v>
      </c>
      <c r="V628" s="32">
        <f t="shared" si="39"/>
        <v>23</v>
      </c>
      <c r="W628" s="36">
        <f t="shared" si="40"/>
        <v>6.5000000000000002E-2</v>
      </c>
    </row>
    <row r="629" spans="4:23" ht="27" customHeight="1" x14ac:dyDescent="0.25">
      <c r="D629" s="14" t="s">
        <v>2617</v>
      </c>
      <c r="E629" s="14" t="s">
        <v>2618</v>
      </c>
      <c r="F629" s="84" t="s">
        <v>407</v>
      </c>
      <c r="G629" s="15" t="s">
        <v>68</v>
      </c>
      <c r="H629" s="16" t="s">
        <v>2619</v>
      </c>
      <c r="I629" s="17"/>
      <c r="J629" s="17"/>
      <c r="K629" s="17"/>
      <c r="L629" s="17"/>
      <c r="N629" s="31">
        <v>627</v>
      </c>
      <c r="O629" s="32" t="s">
        <v>2190</v>
      </c>
      <c r="P629" s="33" t="s">
        <v>42</v>
      </c>
      <c r="Q629" s="32" t="s">
        <v>32</v>
      </c>
      <c r="R629" s="69">
        <v>44265.547199074077</v>
      </c>
      <c r="S629" s="35">
        <v>44320</v>
      </c>
      <c r="T629" s="32" t="str">
        <f t="shared" si="37"/>
        <v>+84262634***</v>
      </c>
      <c r="U629" s="32" t="str">
        <f t="shared" ca="1" si="38"/>
        <v>jame***@yuhuumail.com</v>
      </c>
      <c r="V629" s="32">
        <f t="shared" si="39"/>
        <v>25</v>
      </c>
      <c r="W629" s="36">
        <f t="shared" si="40"/>
        <v>0.05</v>
      </c>
    </row>
    <row r="630" spans="4:23" ht="27" customHeight="1" x14ac:dyDescent="0.25">
      <c r="D630" s="14" t="s">
        <v>2620</v>
      </c>
      <c r="E630" s="14" t="s">
        <v>2621</v>
      </c>
      <c r="F630" s="84" t="s">
        <v>1525</v>
      </c>
      <c r="G630" s="15" t="s">
        <v>27</v>
      </c>
      <c r="H630" s="16" t="s">
        <v>2622</v>
      </c>
      <c r="I630" s="17"/>
      <c r="J630" s="17"/>
      <c r="K630" s="17"/>
      <c r="L630" s="17"/>
      <c r="N630" s="31">
        <v>628</v>
      </c>
      <c r="O630" s="32" t="s">
        <v>2623</v>
      </c>
      <c r="P630" s="33" t="s">
        <v>31</v>
      </c>
      <c r="Q630" s="32" t="s">
        <v>40</v>
      </c>
      <c r="R630" s="69">
        <v>44265.547673611109</v>
      </c>
      <c r="S630" s="35">
        <v>44318</v>
      </c>
      <c r="T630" s="32" t="str">
        <f t="shared" si="37"/>
        <v>+0832 91411***</v>
      </c>
      <c r="U630" s="32" t="str">
        <f t="shared" ca="1" si="38"/>
        <v>nyla***@yuhuumail.com</v>
      </c>
      <c r="V630" s="32">
        <f t="shared" si="39"/>
        <v>25</v>
      </c>
      <c r="W630" s="36">
        <f t="shared" si="40"/>
        <v>0.05</v>
      </c>
    </row>
    <row r="631" spans="4:23" ht="27" customHeight="1" x14ac:dyDescent="0.25">
      <c r="D631" s="14" t="s">
        <v>2624</v>
      </c>
      <c r="E631" s="14" t="s">
        <v>2625</v>
      </c>
      <c r="F631" s="84" t="s">
        <v>592</v>
      </c>
      <c r="G631" s="15" t="s">
        <v>27</v>
      </c>
      <c r="H631" s="16" t="s">
        <v>2626</v>
      </c>
      <c r="I631" s="17"/>
      <c r="J631" s="17"/>
      <c r="K631" s="17"/>
      <c r="L631" s="17"/>
      <c r="N631" s="31">
        <v>629</v>
      </c>
      <c r="O631" s="32" t="s">
        <v>981</v>
      </c>
      <c r="P631" s="33" t="s">
        <v>31</v>
      </c>
      <c r="Q631" s="32" t="s">
        <v>32</v>
      </c>
      <c r="R631" s="69">
        <v>44265.545381944445</v>
      </c>
      <c r="S631" s="35">
        <v>44352</v>
      </c>
      <c r="T631" s="32" t="str">
        <f t="shared" si="37"/>
        <v>+0852-59009***</v>
      </c>
      <c r="U631" s="32" t="str">
        <f t="shared" ca="1" si="38"/>
        <v>mons***@yuhuumail.com</v>
      </c>
      <c r="V631" s="32">
        <f t="shared" si="39"/>
        <v>25</v>
      </c>
      <c r="W631" s="36">
        <f t="shared" si="40"/>
        <v>0.05</v>
      </c>
    </row>
    <row r="632" spans="4:23" ht="27" customHeight="1" x14ac:dyDescent="0.25">
      <c r="D632" s="14" t="s">
        <v>2627</v>
      </c>
      <c r="E632" s="14" t="s">
        <v>2628</v>
      </c>
      <c r="F632" s="84" t="s">
        <v>233</v>
      </c>
      <c r="G632" s="15" t="s">
        <v>27</v>
      </c>
      <c r="H632" s="16" t="s">
        <v>2629</v>
      </c>
      <c r="I632" s="17"/>
      <c r="J632" s="17"/>
      <c r="K632" s="17"/>
      <c r="L632" s="17"/>
      <c r="N632" s="31">
        <v>630</v>
      </c>
      <c r="O632" s="32" t="s">
        <v>2630</v>
      </c>
      <c r="P632" s="33" t="s">
        <v>57</v>
      </c>
      <c r="Q632" s="32" t="s">
        <v>40</v>
      </c>
      <c r="R632" s="69">
        <v>44265.550266203703</v>
      </c>
      <c r="S632" s="35">
        <v>44359</v>
      </c>
      <c r="T632" s="32" t="str">
        <f t="shared" si="37"/>
        <v>+0832-51717***</v>
      </c>
      <c r="U632" s="32" t="str">
        <f t="shared" ca="1" si="38"/>
        <v>math***@jossmail.com</v>
      </c>
      <c r="V632" s="32">
        <f t="shared" si="39"/>
        <v>25</v>
      </c>
      <c r="W632" s="36">
        <f t="shared" si="40"/>
        <v>0.05</v>
      </c>
    </row>
    <row r="633" spans="4:23" ht="27" customHeight="1" x14ac:dyDescent="0.25">
      <c r="D633" s="14" t="s">
        <v>2631</v>
      </c>
      <c r="E633" s="14" t="s">
        <v>2632</v>
      </c>
      <c r="F633" s="84" t="s">
        <v>538</v>
      </c>
      <c r="G633" s="15" t="s">
        <v>27</v>
      </c>
      <c r="H633" s="16" t="s">
        <v>2633</v>
      </c>
      <c r="I633" s="17"/>
      <c r="J633" s="17"/>
      <c r="K633" s="17"/>
      <c r="L633" s="17"/>
      <c r="N633" s="31">
        <v>631</v>
      </c>
      <c r="O633" s="32" t="s">
        <v>2634</v>
      </c>
      <c r="P633" s="33" t="s">
        <v>42</v>
      </c>
      <c r="Q633" s="32" t="s">
        <v>32</v>
      </c>
      <c r="R633" s="69">
        <v>44250.671759259261</v>
      </c>
      <c r="S633" s="35">
        <v>44354</v>
      </c>
      <c r="T633" s="32" t="str">
        <f t="shared" si="37"/>
        <v>+82275154***</v>
      </c>
      <c r="U633" s="32" t="str">
        <f t="shared" ca="1" si="38"/>
        <v>dani***@yuhuumail.com</v>
      </c>
      <c r="V633" s="32">
        <f t="shared" si="39"/>
        <v>25</v>
      </c>
      <c r="W633" s="36">
        <f t="shared" si="40"/>
        <v>0.05</v>
      </c>
    </row>
    <row r="634" spans="4:23" ht="27" customHeight="1" x14ac:dyDescent="0.25">
      <c r="D634" s="14" t="s">
        <v>2635</v>
      </c>
      <c r="E634" s="14" t="s">
        <v>2401</v>
      </c>
      <c r="F634" s="84" t="s">
        <v>372</v>
      </c>
      <c r="G634" s="15" t="s">
        <v>27</v>
      </c>
      <c r="H634" s="16" t="s">
        <v>2636</v>
      </c>
      <c r="I634" s="17"/>
      <c r="J634" s="17"/>
      <c r="K634" s="17"/>
      <c r="L634" s="17"/>
      <c r="N634" s="31">
        <v>632</v>
      </c>
      <c r="O634" s="32" t="s">
        <v>2637</v>
      </c>
      <c r="P634" s="33" t="s">
        <v>57</v>
      </c>
      <c r="Q634" s="32" t="s">
        <v>40</v>
      </c>
      <c r="R634" s="69">
        <v>44265.553935185184</v>
      </c>
      <c r="S634" s="35">
        <v>44362</v>
      </c>
      <c r="T634" s="32" t="str">
        <f t="shared" si="37"/>
        <v>+0852-54878***</v>
      </c>
      <c r="U634" s="32" t="str">
        <f t="shared" ca="1" si="38"/>
        <v>ange***@jossmail.com</v>
      </c>
      <c r="V634" s="32">
        <f t="shared" si="39"/>
        <v>25</v>
      </c>
      <c r="W634" s="36">
        <f t="shared" si="40"/>
        <v>0.05</v>
      </c>
    </row>
    <row r="635" spans="4:23" ht="27" customHeight="1" x14ac:dyDescent="0.25">
      <c r="D635" s="14" t="s">
        <v>2638</v>
      </c>
      <c r="E635" s="14" t="s">
        <v>2639</v>
      </c>
      <c r="F635" s="84" t="s">
        <v>453</v>
      </c>
      <c r="G635" s="15" t="s">
        <v>27</v>
      </c>
      <c r="H635" s="16" t="s">
        <v>2640</v>
      </c>
      <c r="I635" s="17"/>
      <c r="J635" s="17"/>
      <c r="K635" s="17"/>
      <c r="L635" s="17"/>
      <c r="N635" s="31">
        <v>633</v>
      </c>
      <c r="O635" s="32" t="s">
        <v>2641</v>
      </c>
      <c r="P635" s="33" t="s">
        <v>31</v>
      </c>
      <c r="Q635" s="32" t="s">
        <v>32</v>
      </c>
      <c r="R635" s="69">
        <v>44265.557118055556</v>
      </c>
      <c r="S635" s="35">
        <v>44356</v>
      </c>
      <c r="T635" s="32" t="str">
        <f t="shared" si="37"/>
        <v>+0832 32799***</v>
      </c>
      <c r="U635" s="32" t="str">
        <f t="shared" ca="1" si="38"/>
        <v>leon***@yuhuumail.com</v>
      </c>
      <c r="V635" s="32">
        <f t="shared" si="39"/>
        <v>25</v>
      </c>
      <c r="W635" s="36">
        <f t="shared" si="40"/>
        <v>0.05</v>
      </c>
    </row>
    <row r="636" spans="4:23" ht="27" customHeight="1" x14ac:dyDescent="0.25">
      <c r="D636" s="14" t="s">
        <v>2642</v>
      </c>
      <c r="E636" s="14" t="s">
        <v>2643</v>
      </c>
      <c r="F636" s="84" t="s">
        <v>453</v>
      </c>
      <c r="G636" s="15" t="s">
        <v>68</v>
      </c>
      <c r="H636" s="16" t="s">
        <v>2644</v>
      </c>
      <c r="I636" s="17"/>
      <c r="J636" s="17"/>
      <c r="K636" s="17"/>
      <c r="L636" s="17"/>
      <c r="N636" s="31">
        <v>634</v>
      </c>
      <c r="O636" s="32" t="s">
        <v>2645</v>
      </c>
      <c r="P636" s="33" t="s">
        <v>42</v>
      </c>
      <c r="Q636" s="32" t="s">
        <v>40</v>
      </c>
      <c r="R636" s="69">
        <v>44265.538275462961</v>
      </c>
      <c r="S636" s="35">
        <v>44362</v>
      </c>
      <c r="T636" s="32" t="str">
        <f t="shared" si="37"/>
        <v>+081222271***</v>
      </c>
      <c r="U636" s="32" t="str">
        <f t="shared" ca="1" si="38"/>
        <v>ezeq***@jossmail.com</v>
      </c>
      <c r="V636" s="32">
        <f t="shared" si="39"/>
        <v>25</v>
      </c>
      <c r="W636" s="36">
        <f t="shared" si="40"/>
        <v>0.05</v>
      </c>
    </row>
    <row r="637" spans="4:23" ht="27" customHeight="1" x14ac:dyDescent="0.25">
      <c r="D637" s="14" t="s">
        <v>2646</v>
      </c>
      <c r="E637" s="14" t="s">
        <v>2647</v>
      </c>
      <c r="F637" s="84" t="s">
        <v>1201</v>
      </c>
      <c r="G637" s="15" t="s">
        <v>27</v>
      </c>
      <c r="H637" s="16" t="s">
        <v>2648</v>
      </c>
      <c r="I637" s="17"/>
      <c r="J637" s="17"/>
      <c r="K637" s="17"/>
      <c r="L637" s="17"/>
      <c r="N637" s="31">
        <v>635</v>
      </c>
      <c r="O637" s="32" t="s">
        <v>2649</v>
      </c>
      <c r="P637" s="33" t="s">
        <v>57</v>
      </c>
      <c r="Q637" s="32" t="s">
        <v>32</v>
      </c>
      <c r="R637" s="69">
        <v>44014.864236111112</v>
      </c>
      <c r="S637" s="35">
        <v>44352</v>
      </c>
      <c r="T637" s="32" t="str">
        <f t="shared" si="37"/>
        <v>+0822 29648***</v>
      </c>
      <c r="U637" s="32" t="str">
        <f t="shared" ca="1" si="38"/>
        <v>nash***@jossmail.com</v>
      </c>
      <c r="V637" s="32">
        <f t="shared" si="39"/>
        <v>24</v>
      </c>
      <c r="W637" s="36">
        <f t="shared" si="40"/>
        <v>0.05</v>
      </c>
    </row>
    <row r="638" spans="4:23" ht="27" customHeight="1" x14ac:dyDescent="0.25">
      <c r="D638" s="14" t="s">
        <v>2650</v>
      </c>
      <c r="E638" s="14" t="s">
        <v>2651</v>
      </c>
      <c r="F638" s="84" t="s">
        <v>887</v>
      </c>
      <c r="G638" s="15" t="s">
        <v>68</v>
      </c>
      <c r="H638" s="16" t="s">
        <v>2652</v>
      </c>
      <c r="I638" s="17"/>
      <c r="J638" s="17"/>
      <c r="K638" s="17"/>
      <c r="L638" s="17"/>
      <c r="N638" s="31">
        <v>636</v>
      </c>
      <c r="O638" s="32" t="s">
        <v>2653</v>
      </c>
      <c r="P638" s="33" t="s">
        <v>42</v>
      </c>
      <c r="Q638" s="32" t="s">
        <v>40</v>
      </c>
      <c r="R638" s="69">
        <v>44265.557337962964</v>
      </c>
      <c r="S638" s="35">
        <v>44320</v>
      </c>
      <c r="T638" s="32" t="str">
        <f t="shared" si="37"/>
        <v>+0852 64313***</v>
      </c>
      <c r="U638" s="32" t="str">
        <f t="shared" ca="1" si="38"/>
        <v>elli***@jossmail.com</v>
      </c>
      <c r="V638" s="32">
        <f t="shared" si="39"/>
        <v>25</v>
      </c>
      <c r="W638" s="36">
        <f t="shared" si="40"/>
        <v>0.05</v>
      </c>
    </row>
    <row r="639" spans="4:23" ht="27" customHeight="1" x14ac:dyDescent="0.25">
      <c r="D639" s="14" t="s">
        <v>2654</v>
      </c>
      <c r="E639" s="14" t="s">
        <v>1522</v>
      </c>
      <c r="F639" s="84" t="s">
        <v>561</v>
      </c>
      <c r="G639" s="15" t="s">
        <v>27</v>
      </c>
      <c r="H639" s="16" t="s">
        <v>2655</v>
      </c>
      <c r="I639" s="17"/>
      <c r="J639" s="17"/>
      <c r="K639" s="17"/>
      <c r="L639" s="17"/>
      <c r="N639" s="31">
        <v>637</v>
      </c>
      <c r="O639" s="32" t="s">
        <v>859</v>
      </c>
      <c r="P639" s="33" t="s">
        <v>31</v>
      </c>
      <c r="Q639" s="32" t="s">
        <v>32</v>
      </c>
      <c r="R639" s="69">
        <v>44265.558194444442</v>
      </c>
      <c r="S639" s="35">
        <v>44318</v>
      </c>
      <c r="T639" s="32" t="str">
        <f t="shared" si="37"/>
        <v>+0812 59818***</v>
      </c>
      <c r="U639" s="32" t="str">
        <f t="shared" ca="1" si="38"/>
        <v>mcke***@yuhuumail.com</v>
      </c>
      <c r="V639" s="32">
        <f t="shared" si="39"/>
        <v>25</v>
      </c>
      <c r="W639" s="36">
        <f t="shared" si="40"/>
        <v>0.05</v>
      </c>
    </row>
    <row r="640" spans="4:23" ht="27" customHeight="1" x14ac:dyDescent="0.25">
      <c r="D640" s="14" t="s">
        <v>2656</v>
      </c>
      <c r="E640" s="14" t="s">
        <v>248</v>
      </c>
      <c r="F640" s="84" t="s">
        <v>1716</v>
      </c>
      <c r="G640" s="15" t="s">
        <v>27</v>
      </c>
      <c r="H640" s="16" t="s">
        <v>2657</v>
      </c>
      <c r="I640" s="17"/>
      <c r="J640" s="17"/>
      <c r="K640" s="17"/>
      <c r="L640" s="17"/>
      <c r="N640" s="31">
        <v>638</v>
      </c>
      <c r="O640" s="32" t="s">
        <v>2658</v>
      </c>
      <c r="P640" s="33" t="s">
        <v>42</v>
      </c>
      <c r="Q640" s="32" t="s">
        <v>40</v>
      </c>
      <c r="R640" s="69">
        <v>44265.552928240744</v>
      </c>
      <c r="S640" s="35">
        <v>44362</v>
      </c>
      <c r="T640" s="32" t="str">
        <f t="shared" si="37"/>
        <v>+0832 94365***</v>
      </c>
      <c r="U640" s="32" t="str">
        <f t="shared" ca="1" si="38"/>
        <v>thom***@yuhuumail.com</v>
      </c>
      <c r="V640" s="32">
        <f t="shared" si="39"/>
        <v>25</v>
      </c>
      <c r="W640" s="36">
        <f t="shared" si="40"/>
        <v>0.05</v>
      </c>
    </row>
    <row r="641" spans="4:23" ht="27" customHeight="1" x14ac:dyDescent="0.25">
      <c r="D641" s="14" t="s">
        <v>2659</v>
      </c>
      <c r="E641" s="14" t="s">
        <v>849</v>
      </c>
      <c r="F641" s="84" t="s">
        <v>2135</v>
      </c>
      <c r="G641" s="15" t="s">
        <v>27</v>
      </c>
      <c r="H641" s="16" t="s">
        <v>2660</v>
      </c>
      <c r="I641" s="17"/>
      <c r="J641" s="17"/>
      <c r="K641" s="17"/>
      <c r="L641" s="17"/>
      <c r="N641" s="31">
        <v>639</v>
      </c>
      <c r="O641" s="32" t="s">
        <v>2661</v>
      </c>
      <c r="P641" s="33" t="s">
        <v>42</v>
      </c>
      <c r="Q641" s="32" t="s">
        <v>32</v>
      </c>
      <c r="R641" s="69">
        <v>43970.390949074077</v>
      </c>
      <c r="S641" s="71">
        <v>44318</v>
      </c>
      <c r="T641" s="32" t="str">
        <f t="shared" si="37"/>
        <v>+0822-21890***</v>
      </c>
      <c r="U641" s="32" t="str">
        <f t="shared" ca="1" si="38"/>
        <v>jame***@yuhuumail.com</v>
      </c>
      <c r="V641" s="32">
        <f t="shared" si="39"/>
        <v>24</v>
      </c>
      <c r="W641" s="36">
        <f t="shared" si="40"/>
        <v>0.05</v>
      </c>
    </row>
    <row r="642" spans="4:23" ht="27" customHeight="1" x14ac:dyDescent="0.25">
      <c r="D642" s="14" t="s">
        <v>2662</v>
      </c>
      <c r="E642" s="14" t="s">
        <v>2663</v>
      </c>
      <c r="F642" s="84" t="s">
        <v>206</v>
      </c>
      <c r="G642" s="15" t="s">
        <v>68</v>
      </c>
      <c r="H642" s="16" t="s">
        <v>2664</v>
      </c>
      <c r="I642" s="17"/>
      <c r="J642" s="17"/>
      <c r="K642" s="17"/>
      <c r="L642" s="17"/>
      <c r="N642" s="31">
        <v>640</v>
      </c>
      <c r="O642" s="32" t="s">
        <v>1283</v>
      </c>
      <c r="P642" s="33" t="s">
        <v>42</v>
      </c>
      <c r="Q642" s="32" t="s">
        <v>40</v>
      </c>
      <c r="R642" s="69">
        <v>43675.324953703705</v>
      </c>
      <c r="S642" s="71">
        <v>44356</v>
      </c>
      <c r="T642" s="32" t="str">
        <f t="shared" si="37"/>
        <v>+852 95683***</v>
      </c>
      <c r="U642" s="32" t="str">
        <f t="shared" ca="1" si="38"/>
        <v>dori***@jossmail.com</v>
      </c>
      <c r="V642" s="32">
        <f t="shared" si="39"/>
        <v>23</v>
      </c>
      <c r="W642" s="36">
        <f t="shared" si="40"/>
        <v>6.5000000000000002E-2</v>
      </c>
    </row>
    <row r="643" spans="4:23" ht="27" customHeight="1" x14ac:dyDescent="0.25">
      <c r="D643" s="14" t="s">
        <v>2665</v>
      </c>
      <c r="E643" s="14" t="s">
        <v>2666</v>
      </c>
      <c r="F643" s="84" t="s">
        <v>1535</v>
      </c>
      <c r="G643" s="15" t="s">
        <v>27</v>
      </c>
      <c r="H643" s="16" t="s">
        <v>2667</v>
      </c>
      <c r="I643" s="17"/>
      <c r="J643" s="17"/>
      <c r="K643" s="17"/>
      <c r="L643" s="17"/>
      <c r="N643" s="31">
        <v>641</v>
      </c>
      <c r="O643" s="32" t="s">
        <v>2668</v>
      </c>
      <c r="P643" s="33" t="s">
        <v>57</v>
      </c>
      <c r="Q643" s="32" t="s">
        <v>32</v>
      </c>
      <c r="R643" s="69">
        <v>43863.516250000001</v>
      </c>
      <c r="S643" s="71">
        <v>44359</v>
      </c>
      <c r="T643" s="32" t="str">
        <f t="shared" si="37"/>
        <v>+0832-81219***</v>
      </c>
      <c r="U643" s="32" t="str">
        <f t="shared" ca="1" si="38"/>
        <v>isia***@yuhuumail.com</v>
      </c>
      <c r="V643" s="32">
        <f t="shared" si="39"/>
        <v>24</v>
      </c>
      <c r="W643" s="36">
        <f t="shared" si="40"/>
        <v>6.5000000000000002E-2</v>
      </c>
    </row>
    <row r="644" spans="4:23" ht="27" customHeight="1" x14ac:dyDescent="0.25">
      <c r="D644" s="14" t="s">
        <v>2669</v>
      </c>
      <c r="E644" s="14" t="s">
        <v>428</v>
      </c>
      <c r="F644" s="84" t="s">
        <v>26</v>
      </c>
      <c r="G644" s="15" t="s">
        <v>68</v>
      </c>
      <c r="H644" s="16" t="s">
        <v>2670</v>
      </c>
      <c r="I644" s="17"/>
      <c r="J644" s="17"/>
      <c r="K644" s="17"/>
      <c r="L644" s="17"/>
      <c r="N644" s="31">
        <v>642</v>
      </c>
      <c r="O644" s="32" t="s">
        <v>2671</v>
      </c>
      <c r="P644" s="33" t="s">
        <v>31</v>
      </c>
      <c r="Q644" s="32" t="s">
        <v>40</v>
      </c>
      <c r="R644" s="69">
        <v>42606.577939814815</v>
      </c>
      <c r="S644" s="71">
        <v>44362</v>
      </c>
      <c r="T644" s="32" t="str">
        <f t="shared" si="37"/>
        <v>+0842-77047***</v>
      </c>
      <c r="U644" s="32" t="str">
        <f t="shared" ca="1" si="38"/>
        <v>chri***@jossmail.com</v>
      </c>
      <c r="V644" s="32">
        <f t="shared" si="39"/>
        <v>20</v>
      </c>
      <c r="W644" s="36">
        <f t="shared" si="40"/>
        <v>7.5000000000000011E-2</v>
      </c>
    </row>
    <row r="645" spans="4:23" ht="27" customHeight="1" x14ac:dyDescent="0.25">
      <c r="D645" s="14" t="s">
        <v>2672</v>
      </c>
      <c r="E645" s="14" t="s">
        <v>2673</v>
      </c>
      <c r="F645" s="84" t="s">
        <v>266</v>
      </c>
      <c r="G645" s="15" t="s">
        <v>27</v>
      </c>
      <c r="H645" s="16" t="s">
        <v>2674</v>
      </c>
      <c r="I645" s="17"/>
      <c r="J645" s="17"/>
      <c r="K645" s="17"/>
      <c r="L645" s="17"/>
      <c r="N645" s="31">
        <v>643</v>
      </c>
      <c r="O645" s="32" t="s">
        <v>2675</v>
      </c>
      <c r="P645" s="33" t="s">
        <v>31</v>
      </c>
      <c r="Q645" s="32" t="s">
        <v>32</v>
      </c>
      <c r="R645" s="69">
        <v>44265.565694444442</v>
      </c>
      <c r="S645" s="71">
        <v>44321</v>
      </c>
      <c r="T645" s="32" t="str">
        <f t="shared" ref="T645:T708" si="41">"+"&amp;_xlfn.XLOOKUP($O645, $E$2:$E$3002, $H$2:$H$3002, "Not Found")</f>
        <v>+84298899***</v>
      </c>
      <c r="U645" s="32" t="str">
        <f t="shared" ref="U645:U708" ca="1" si="42" xml:space="preserve"> LOWER(LEFT(_xlfn.XLOOKUP($O645, $E$2:$E$3002, $D$2:$D$3002), 4))
  &amp; "***@"
  &amp; IF(RAND()&gt;0.5, "jossmail.com", "yuhuumail.com")</f>
        <v>aidy***@jossmail.com</v>
      </c>
      <c r="V645" s="32">
        <f t="shared" ref="V645:V708" si="43">DATEDIF(_xlfn.XLOOKUP($O645, $E$2:$E$3002, $F$2:$F$3002), $R645, "Y")</f>
        <v>25</v>
      </c>
      <c r="W645" s="36">
        <f t="shared" ref="W645:W708" si="44">IF(DATEDIF($R645, $S645, "Y") &gt;= 3, 0.025,
   IF(DATEDIF($R645, $S645, "Y") &gt;= 1, 0.015, 0)) +
 IF($V645 &gt;= 50, 0.04,
   IF($V645 &gt;= 40, 0.03,
     IF($V645 &gt;= 30, 0.02,
       IF($V645 &gt;= 20, 0.05, 0))))</f>
        <v>0.05</v>
      </c>
    </row>
    <row r="646" spans="4:23" ht="27" customHeight="1" x14ac:dyDescent="0.25">
      <c r="D646" s="14" t="s">
        <v>2676</v>
      </c>
      <c r="E646" s="14" t="s">
        <v>2641</v>
      </c>
      <c r="F646" s="84" t="s">
        <v>183</v>
      </c>
      <c r="G646" s="15" t="s">
        <v>27</v>
      </c>
      <c r="H646" s="16" t="s">
        <v>2677</v>
      </c>
      <c r="I646" s="17"/>
      <c r="J646" s="17"/>
      <c r="K646" s="17"/>
      <c r="L646" s="17"/>
      <c r="N646" s="31">
        <v>644</v>
      </c>
      <c r="O646" s="32" t="s">
        <v>2678</v>
      </c>
      <c r="P646" s="33" t="s">
        <v>57</v>
      </c>
      <c r="Q646" s="32" t="s">
        <v>40</v>
      </c>
      <c r="R646" s="69">
        <v>44265.56659722222</v>
      </c>
      <c r="S646" s="71">
        <v>44362</v>
      </c>
      <c r="T646" s="32" t="str">
        <f t="shared" si="41"/>
        <v>+084292459***</v>
      </c>
      <c r="U646" s="32" t="str">
        <f t="shared" ca="1" si="42"/>
        <v>kait***@jossmail.com</v>
      </c>
      <c r="V646" s="32">
        <f t="shared" si="43"/>
        <v>25</v>
      </c>
      <c r="W646" s="36">
        <f t="shared" si="44"/>
        <v>0.05</v>
      </c>
    </row>
    <row r="647" spans="4:23" ht="27" customHeight="1" x14ac:dyDescent="0.25">
      <c r="D647" s="14" t="s">
        <v>2679</v>
      </c>
      <c r="E647" s="14" t="s">
        <v>2680</v>
      </c>
      <c r="F647" s="84" t="s">
        <v>471</v>
      </c>
      <c r="G647" s="15" t="s">
        <v>68</v>
      </c>
      <c r="H647" s="16" t="s">
        <v>2681</v>
      </c>
      <c r="I647" s="17"/>
      <c r="J647" s="17"/>
      <c r="K647" s="17"/>
      <c r="L647" s="17"/>
      <c r="N647" s="31">
        <v>645</v>
      </c>
      <c r="O647" s="32" t="s">
        <v>2682</v>
      </c>
      <c r="P647" s="33" t="s">
        <v>57</v>
      </c>
      <c r="Q647" s="32" t="s">
        <v>32</v>
      </c>
      <c r="R647" s="69">
        <v>44064.560914351852</v>
      </c>
      <c r="S647" s="71">
        <v>44356</v>
      </c>
      <c r="T647" s="32" t="str">
        <f t="shared" si="41"/>
        <v>+0832-33508***</v>
      </c>
      <c r="U647" s="32" t="str">
        <f t="shared" ca="1" si="42"/>
        <v>paig***@jossmail.com</v>
      </c>
      <c r="V647" s="32">
        <f t="shared" si="43"/>
        <v>24</v>
      </c>
      <c r="W647" s="36">
        <f t="shared" si="44"/>
        <v>0.05</v>
      </c>
    </row>
    <row r="648" spans="4:23" ht="27" customHeight="1" x14ac:dyDescent="0.25">
      <c r="D648" s="14" t="s">
        <v>2683</v>
      </c>
      <c r="E648" s="14" t="s">
        <v>2684</v>
      </c>
      <c r="F648" s="84" t="s">
        <v>627</v>
      </c>
      <c r="G648" s="15" t="s">
        <v>27</v>
      </c>
      <c r="H648" s="16" t="s">
        <v>2685</v>
      </c>
      <c r="I648" s="17"/>
      <c r="J648" s="17"/>
      <c r="K648" s="17"/>
      <c r="L648" s="17"/>
      <c r="N648" s="31">
        <v>646</v>
      </c>
      <c r="O648" s="32" t="s">
        <v>2686</v>
      </c>
      <c r="P648" s="33" t="s">
        <v>57</v>
      </c>
      <c r="Q648" s="32" t="s">
        <v>40</v>
      </c>
      <c r="R648" s="69">
        <v>44265.569444444445</v>
      </c>
      <c r="S648" s="71">
        <v>44352</v>
      </c>
      <c r="T648" s="32" t="str">
        <f t="shared" si="41"/>
        <v>+082225840***</v>
      </c>
      <c r="U648" s="32" t="str">
        <f t="shared" ca="1" si="42"/>
        <v>elis***@jossmail.com</v>
      </c>
      <c r="V648" s="32">
        <f t="shared" si="43"/>
        <v>25</v>
      </c>
      <c r="W648" s="36">
        <f t="shared" si="44"/>
        <v>0.05</v>
      </c>
    </row>
    <row r="649" spans="4:23" ht="27" customHeight="1" x14ac:dyDescent="0.25">
      <c r="D649" s="14" t="s">
        <v>2687</v>
      </c>
      <c r="E649" s="14" t="s">
        <v>2688</v>
      </c>
      <c r="F649" s="84" t="s">
        <v>159</v>
      </c>
      <c r="G649" s="15" t="s">
        <v>68</v>
      </c>
      <c r="H649" s="16" t="s">
        <v>2689</v>
      </c>
      <c r="I649" s="17"/>
      <c r="J649" s="17"/>
      <c r="K649" s="17"/>
      <c r="L649" s="17"/>
      <c r="N649" s="31">
        <v>647</v>
      </c>
      <c r="O649" s="32" t="s">
        <v>2625</v>
      </c>
      <c r="P649" s="33" t="s">
        <v>31</v>
      </c>
      <c r="Q649" s="32" t="s">
        <v>32</v>
      </c>
      <c r="R649" s="69">
        <v>44265.5702662037</v>
      </c>
      <c r="S649" s="71">
        <v>44354</v>
      </c>
      <c r="T649" s="32" t="str">
        <f t="shared" si="41"/>
        <v>+085271042***</v>
      </c>
      <c r="U649" s="32" t="str">
        <f t="shared" ca="1" si="42"/>
        <v>misa***@yuhuumail.com</v>
      </c>
      <c r="V649" s="32">
        <f t="shared" si="43"/>
        <v>24</v>
      </c>
      <c r="W649" s="36">
        <f t="shared" si="44"/>
        <v>0.05</v>
      </c>
    </row>
    <row r="650" spans="4:23" ht="27" customHeight="1" x14ac:dyDescent="0.25">
      <c r="D650" s="14" t="s">
        <v>2690</v>
      </c>
      <c r="E650" s="14" t="s">
        <v>2691</v>
      </c>
      <c r="F650" s="84" t="s">
        <v>129</v>
      </c>
      <c r="G650" s="15" t="s">
        <v>27</v>
      </c>
      <c r="H650" s="16" t="s">
        <v>2692</v>
      </c>
      <c r="I650" s="17"/>
      <c r="J650" s="17"/>
      <c r="K650" s="17"/>
      <c r="L650" s="17"/>
      <c r="N650" s="31">
        <v>648</v>
      </c>
      <c r="O650" s="32" t="s">
        <v>2376</v>
      </c>
      <c r="P650" s="33" t="s">
        <v>31</v>
      </c>
      <c r="Q650" s="32" t="s">
        <v>40</v>
      </c>
      <c r="R650" s="69">
        <v>44265.571006944447</v>
      </c>
      <c r="S650" s="71">
        <v>44318</v>
      </c>
      <c r="T650" s="32" t="str">
        <f t="shared" si="41"/>
        <v>+81223508***</v>
      </c>
      <c r="U650" s="32" t="str">
        <f t="shared" ca="1" si="42"/>
        <v>tami***@jossmail.com</v>
      </c>
      <c r="V650" s="32">
        <f t="shared" si="43"/>
        <v>24</v>
      </c>
      <c r="W650" s="36">
        <f t="shared" si="44"/>
        <v>0.05</v>
      </c>
    </row>
    <row r="651" spans="4:23" ht="27" customHeight="1" x14ac:dyDescent="0.25">
      <c r="D651" s="14" t="s">
        <v>2693</v>
      </c>
      <c r="E651" s="14" t="s">
        <v>2694</v>
      </c>
      <c r="F651" s="84" t="s">
        <v>149</v>
      </c>
      <c r="G651" s="15" t="s">
        <v>27</v>
      </c>
      <c r="H651" s="16" t="s">
        <v>2695</v>
      </c>
      <c r="I651" s="17"/>
      <c r="J651" s="17"/>
      <c r="K651" s="17"/>
      <c r="L651" s="17"/>
      <c r="N651" s="31">
        <v>649</v>
      </c>
      <c r="O651" s="32" t="s">
        <v>2696</v>
      </c>
      <c r="P651" s="33" t="s">
        <v>42</v>
      </c>
      <c r="Q651" s="32" t="s">
        <v>32</v>
      </c>
      <c r="R651" s="69">
        <v>44265.572083333333</v>
      </c>
      <c r="S651" s="71">
        <v>44320</v>
      </c>
      <c r="T651" s="32" t="str">
        <f t="shared" si="41"/>
        <v>+6282227022***</v>
      </c>
      <c r="U651" s="32" t="str">
        <f t="shared" ca="1" si="42"/>
        <v>remi***@jossmail.com</v>
      </c>
      <c r="V651" s="32">
        <f t="shared" si="43"/>
        <v>24</v>
      </c>
      <c r="W651" s="36">
        <f t="shared" si="44"/>
        <v>0.05</v>
      </c>
    </row>
    <row r="652" spans="4:23" ht="27" customHeight="1" x14ac:dyDescent="0.25">
      <c r="D652" s="14" t="s">
        <v>2697</v>
      </c>
      <c r="E652" s="14" t="s">
        <v>2698</v>
      </c>
      <c r="F652" s="84" t="s">
        <v>402</v>
      </c>
      <c r="G652" s="15" t="s">
        <v>27</v>
      </c>
      <c r="H652" s="16" t="s">
        <v>2699</v>
      </c>
      <c r="I652" s="17"/>
      <c r="J652" s="17"/>
      <c r="K652" s="17"/>
      <c r="L652" s="17"/>
      <c r="N652" s="31">
        <v>650</v>
      </c>
      <c r="O652" s="32" t="s">
        <v>2700</v>
      </c>
      <c r="P652" s="33" t="s">
        <v>42</v>
      </c>
      <c r="Q652" s="32" t="s">
        <v>40</v>
      </c>
      <c r="R652" s="69">
        <v>44265.570659722223</v>
      </c>
      <c r="S652" s="71">
        <v>44320</v>
      </c>
      <c r="T652" s="32" t="str">
        <f t="shared" si="41"/>
        <v>+082289241***</v>
      </c>
      <c r="U652" s="32" t="str">
        <f t="shared" ca="1" si="42"/>
        <v>beck***@jossmail.com</v>
      </c>
      <c r="V652" s="32">
        <f t="shared" si="43"/>
        <v>24</v>
      </c>
      <c r="W652" s="36">
        <f t="shared" si="44"/>
        <v>0.05</v>
      </c>
    </row>
    <row r="653" spans="4:23" ht="27" customHeight="1" x14ac:dyDescent="0.25">
      <c r="D653" s="14" t="s">
        <v>2701</v>
      </c>
      <c r="E653" s="14" t="s">
        <v>2702</v>
      </c>
      <c r="F653" s="84" t="s">
        <v>233</v>
      </c>
      <c r="G653" s="15" t="s">
        <v>27</v>
      </c>
      <c r="H653" s="16" t="s">
        <v>2703</v>
      </c>
      <c r="I653" s="17"/>
      <c r="J653" s="17"/>
      <c r="K653" s="17"/>
      <c r="L653" s="17"/>
      <c r="N653" s="31">
        <v>651</v>
      </c>
      <c r="O653" s="32" t="s">
        <v>2704</v>
      </c>
      <c r="P653" s="33" t="s">
        <v>57</v>
      </c>
      <c r="Q653" s="32" t="s">
        <v>32</v>
      </c>
      <c r="R653" s="69">
        <v>44265.574652777781</v>
      </c>
      <c r="S653" s="71">
        <v>44346</v>
      </c>
      <c r="T653" s="32" t="str">
        <f t="shared" si="41"/>
        <v>+83262949***</v>
      </c>
      <c r="U653" s="32" t="str">
        <f t="shared" ca="1" si="42"/>
        <v>leon***@jossmail.com</v>
      </c>
      <c r="V653" s="32">
        <f t="shared" si="43"/>
        <v>24</v>
      </c>
      <c r="W653" s="36">
        <f t="shared" si="44"/>
        <v>0.05</v>
      </c>
    </row>
    <row r="654" spans="4:23" ht="27" customHeight="1" x14ac:dyDescent="0.25">
      <c r="D654" s="14" t="s">
        <v>2705</v>
      </c>
      <c r="E654" s="14" t="s">
        <v>2706</v>
      </c>
      <c r="F654" s="84" t="s">
        <v>407</v>
      </c>
      <c r="G654" s="15" t="s">
        <v>27</v>
      </c>
      <c r="H654" s="16" t="s">
        <v>2707</v>
      </c>
      <c r="I654" s="17"/>
      <c r="J654" s="17"/>
      <c r="K654" s="17"/>
      <c r="L654" s="17"/>
      <c r="N654" s="31">
        <v>652</v>
      </c>
      <c r="O654" s="32" t="s">
        <v>2708</v>
      </c>
      <c r="P654" s="33" t="s">
        <v>31</v>
      </c>
      <c r="Q654" s="32" t="s">
        <v>40</v>
      </c>
      <c r="R654" s="69">
        <v>44265.57640046296</v>
      </c>
      <c r="S654" s="71">
        <v>44320</v>
      </c>
      <c r="T654" s="32" t="str">
        <f t="shared" si="41"/>
        <v>+0832-26853***</v>
      </c>
      <c r="U654" s="32" t="str">
        <f t="shared" ca="1" si="42"/>
        <v>shil***@yuhuumail.com</v>
      </c>
      <c r="V654" s="32">
        <f t="shared" si="43"/>
        <v>24</v>
      </c>
      <c r="W654" s="36">
        <f t="shared" si="44"/>
        <v>0.05</v>
      </c>
    </row>
    <row r="655" spans="4:23" ht="27" customHeight="1" x14ac:dyDescent="0.25">
      <c r="D655" s="14" t="s">
        <v>2709</v>
      </c>
      <c r="E655" s="14" t="s">
        <v>2710</v>
      </c>
      <c r="F655" s="84" t="s">
        <v>939</v>
      </c>
      <c r="G655" s="15" t="s">
        <v>27</v>
      </c>
      <c r="H655" s="16" t="s">
        <v>2711</v>
      </c>
      <c r="I655" s="17"/>
      <c r="J655" s="17"/>
      <c r="K655" s="17"/>
      <c r="L655" s="17"/>
      <c r="N655" s="31">
        <v>653</v>
      </c>
      <c r="O655" s="32" t="s">
        <v>2712</v>
      </c>
      <c r="P655" s="33" t="s">
        <v>42</v>
      </c>
      <c r="Q655" s="32" t="s">
        <v>32</v>
      </c>
      <c r="R655" s="69">
        <v>43989.842997685184</v>
      </c>
      <c r="S655" s="71">
        <v>44354</v>
      </c>
      <c r="T655" s="32" t="str">
        <f t="shared" si="41"/>
        <v>+81225872***</v>
      </c>
      <c r="U655" s="32" t="str">
        <f t="shared" ca="1" si="42"/>
        <v>domi***@yuhuumail.com</v>
      </c>
      <c r="V655" s="32">
        <f t="shared" si="43"/>
        <v>23</v>
      </c>
      <c r="W655" s="36">
        <f t="shared" si="44"/>
        <v>6.5000000000000002E-2</v>
      </c>
    </row>
    <row r="656" spans="4:23" ht="27" customHeight="1" x14ac:dyDescent="0.25">
      <c r="D656" s="14" t="s">
        <v>2713</v>
      </c>
      <c r="E656" s="14" t="s">
        <v>2714</v>
      </c>
      <c r="F656" s="84" t="s">
        <v>2715</v>
      </c>
      <c r="G656" s="15" t="s">
        <v>68</v>
      </c>
      <c r="H656" s="16" t="s">
        <v>2716</v>
      </c>
      <c r="I656" s="17"/>
      <c r="J656" s="17"/>
      <c r="K656" s="17"/>
      <c r="L656" s="17"/>
      <c r="N656" s="31">
        <v>654</v>
      </c>
      <c r="O656" s="32" t="s">
        <v>1539</v>
      </c>
      <c r="P656" s="33" t="s">
        <v>42</v>
      </c>
      <c r="Q656" s="32" t="s">
        <v>40</v>
      </c>
      <c r="R656" s="69">
        <v>44265.580451388887</v>
      </c>
      <c r="S656" s="71">
        <v>44359</v>
      </c>
      <c r="T656" s="32" t="str">
        <f t="shared" si="41"/>
        <v>+0852-61226***</v>
      </c>
      <c r="U656" s="32" t="str">
        <f t="shared" ca="1" si="42"/>
        <v>toma***@yuhuumail.com</v>
      </c>
      <c r="V656" s="32">
        <f t="shared" si="43"/>
        <v>24</v>
      </c>
      <c r="W656" s="36">
        <f t="shared" si="44"/>
        <v>0.05</v>
      </c>
    </row>
    <row r="657" spans="4:23" ht="27" customHeight="1" x14ac:dyDescent="0.25">
      <c r="D657" s="14" t="s">
        <v>2717</v>
      </c>
      <c r="E657" s="14" t="s">
        <v>374</v>
      </c>
      <c r="F657" s="84" t="s">
        <v>2718</v>
      </c>
      <c r="G657" s="15" t="s">
        <v>27</v>
      </c>
      <c r="H657" s="16" t="s">
        <v>2719</v>
      </c>
      <c r="I657" s="17"/>
      <c r="J657" s="17"/>
      <c r="K657" s="17"/>
      <c r="L657" s="17"/>
      <c r="N657" s="31">
        <v>655</v>
      </c>
      <c r="O657" s="32" t="s">
        <v>977</v>
      </c>
      <c r="P657" s="33" t="s">
        <v>31</v>
      </c>
      <c r="Q657" s="32" t="s">
        <v>32</v>
      </c>
      <c r="R657" s="69">
        <v>44265.582557870373</v>
      </c>
      <c r="S657" s="71">
        <v>44354</v>
      </c>
      <c r="T657" s="32" t="str">
        <f t="shared" si="41"/>
        <v>+0842-90201***</v>
      </c>
      <c r="U657" s="32" t="str">
        <f t="shared" ca="1" si="42"/>
        <v>stan***@yuhuumail.com</v>
      </c>
      <c r="V657" s="32">
        <f t="shared" si="43"/>
        <v>24</v>
      </c>
      <c r="W657" s="36">
        <f t="shared" si="44"/>
        <v>0.05</v>
      </c>
    </row>
    <row r="658" spans="4:23" ht="27" customHeight="1" x14ac:dyDescent="0.25">
      <c r="D658" s="14" t="s">
        <v>2720</v>
      </c>
      <c r="E658" s="14" t="s">
        <v>2721</v>
      </c>
      <c r="F658" s="84" t="s">
        <v>114</v>
      </c>
      <c r="G658" s="15" t="s">
        <v>27</v>
      </c>
      <c r="H658" s="16" t="s">
        <v>2722</v>
      </c>
      <c r="I658" s="17"/>
      <c r="J658" s="17"/>
      <c r="K658" s="17"/>
      <c r="L658" s="17"/>
      <c r="N658" s="31">
        <v>656</v>
      </c>
      <c r="O658" s="32" t="s">
        <v>2723</v>
      </c>
      <c r="P658" s="33" t="s">
        <v>57</v>
      </c>
      <c r="Q658" s="32" t="s">
        <v>40</v>
      </c>
      <c r="R658" s="69">
        <v>43680.250127314815</v>
      </c>
      <c r="S658" s="71">
        <v>44358</v>
      </c>
      <c r="T658" s="32" t="str">
        <f t="shared" si="41"/>
        <v>+0812-84822***</v>
      </c>
      <c r="U658" s="32" t="str">
        <f t="shared" ca="1" si="42"/>
        <v>mali***@jossmail.com</v>
      </c>
      <c r="V658" s="32">
        <f t="shared" si="43"/>
        <v>22</v>
      </c>
      <c r="W658" s="36">
        <f t="shared" si="44"/>
        <v>6.5000000000000002E-2</v>
      </c>
    </row>
    <row r="659" spans="4:23" ht="27" customHeight="1" x14ac:dyDescent="0.25">
      <c r="D659" s="14" t="s">
        <v>2724</v>
      </c>
      <c r="E659" s="14" t="s">
        <v>2725</v>
      </c>
      <c r="F659" s="84" t="s">
        <v>2726</v>
      </c>
      <c r="G659" s="15" t="s">
        <v>68</v>
      </c>
      <c r="H659" s="16" t="s">
        <v>2727</v>
      </c>
      <c r="I659" s="17"/>
      <c r="J659" s="17"/>
      <c r="K659" s="17"/>
      <c r="L659" s="17"/>
      <c r="N659" s="31">
        <v>657</v>
      </c>
      <c r="O659" s="32" t="s">
        <v>2728</v>
      </c>
      <c r="P659" s="33" t="s">
        <v>31</v>
      </c>
      <c r="Q659" s="32" t="s">
        <v>32</v>
      </c>
      <c r="R659" s="69">
        <v>44265.588402777779</v>
      </c>
      <c r="S659" s="71">
        <v>44335</v>
      </c>
      <c r="T659" s="32" t="str">
        <f t="shared" si="41"/>
        <v>+83261988***</v>
      </c>
      <c r="U659" s="32" t="str">
        <f t="shared" ca="1" si="42"/>
        <v>elli***@jossmail.com</v>
      </c>
      <c r="V659" s="32">
        <f t="shared" si="43"/>
        <v>24</v>
      </c>
      <c r="W659" s="36">
        <f t="shared" si="44"/>
        <v>0.05</v>
      </c>
    </row>
    <row r="660" spans="4:23" ht="27" customHeight="1" x14ac:dyDescent="0.25">
      <c r="D660" s="14" t="s">
        <v>2729</v>
      </c>
      <c r="E660" s="14" t="s">
        <v>1285</v>
      </c>
      <c r="F660" s="84" t="s">
        <v>359</v>
      </c>
      <c r="G660" s="15" t="s">
        <v>27</v>
      </c>
      <c r="H660" s="16" t="s">
        <v>2730</v>
      </c>
      <c r="I660" s="17"/>
      <c r="J660" s="17"/>
      <c r="K660" s="17"/>
      <c r="L660" s="17"/>
      <c r="N660" s="31">
        <v>658</v>
      </c>
      <c r="O660" s="32" t="s">
        <v>2731</v>
      </c>
      <c r="P660" s="33" t="s">
        <v>42</v>
      </c>
      <c r="Q660" s="32" t="s">
        <v>40</v>
      </c>
      <c r="R660" s="69">
        <v>44265.586412037039</v>
      </c>
      <c r="S660" s="71">
        <v>44320</v>
      </c>
      <c r="T660" s="32" t="str">
        <f t="shared" si="41"/>
        <v>+6284257783***</v>
      </c>
      <c r="U660" s="32" t="str">
        <f t="shared" ca="1" si="42"/>
        <v>emma***@jossmail.com</v>
      </c>
      <c r="V660" s="32">
        <f t="shared" si="43"/>
        <v>24</v>
      </c>
      <c r="W660" s="36">
        <f t="shared" si="44"/>
        <v>0.05</v>
      </c>
    </row>
    <row r="661" spans="4:23" ht="27" customHeight="1" x14ac:dyDescent="0.25">
      <c r="D661" s="14" t="s">
        <v>2732</v>
      </c>
      <c r="E661" s="14" t="s">
        <v>2733</v>
      </c>
      <c r="F661" s="84" t="s">
        <v>359</v>
      </c>
      <c r="G661" s="15" t="s">
        <v>68</v>
      </c>
      <c r="H661" s="16" t="s">
        <v>2734</v>
      </c>
      <c r="I661" s="17"/>
      <c r="J661" s="17"/>
      <c r="K661" s="17"/>
      <c r="L661" s="17"/>
      <c r="N661" s="31">
        <v>659</v>
      </c>
      <c r="O661" s="32" t="s">
        <v>2735</v>
      </c>
      <c r="P661" s="33" t="s">
        <v>42</v>
      </c>
      <c r="Q661" s="32" t="s">
        <v>32</v>
      </c>
      <c r="R661" s="69">
        <v>44265.589629629627</v>
      </c>
      <c r="S661" s="35">
        <v>44320</v>
      </c>
      <c r="T661" s="32" t="str">
        <f t="shared" si="41"/>
        <v>+842 13493***</v>
      </c>
      <c r="U661" s="32" t="str">
        <f t="shared" ca="1" si="42"/>
        <v>alec***@yuhuumail.com</v>
      </c>
      <c r="V661" s="32">
        <f t="shared" si="43"/>
        <v>24</v>
      </c>
      <c r="W661" s="36">
        <f t="shared" si="44"/>
        <v>0.05</v>
      </c>
    </row>
    <row r="662" spans="4:23" ht="27" customHeight="1" x14ac:dyDescent="0.25">
      <c r="D662" s="14" t="s">
        <v>2736</v>
      </c>
      <c r="E662" s="14" t="s">
        <v>2737</v>
      </c>
      <c r="F662" s="84" t="s">
        <v>348</v>
      </c>
      <c r="G662" s="15" t="s">
        <v>27</v>
      </c>
      <c r="H662" s="16" t="s">
        <v>2738</v>
      </c>
      <c r="I662" s="17"/>
      <c r="J662" s="17"/>
      <c r="K662" s="17"/>
      <c r="L662" s="17"/>
      <c r="N662" s="31">
        <v>660</v>
      </c>
      <c r="O662" s="32" t="s">
        <v>2739</v>
      </c>
      <c r="P662" s="33" t="s">
        <v>42</v>
      </c>
      <c r="Q662" s="32" t="s">
        <v>40</v>
      </c>
      <c r="R662" s="69">
        <v>44265.587488425925</v>
      </c>
      <c r="S662" s="35">
        <v>44318</v>
      </c>
      <c r="T662" s="32" t="str">
        <f t="shared" si="41"/>
        <v>+6283222852***</v>
      </c>
      <c r="U662" s="32" t="str">
        <f t="shared" ca="1" si="42"/>
        <v>peyt***@jossmail.com</v>
      </c>
      <c r="V662" s="32">
        <f t="shared" si="43"/>
        <v>24</v>
      </c>
      <c r="W662" s="36">
        <f t="shared" si="44"/>
        <v>0.05</v>
      </c>
    </row>
    <row r="663" spans="4:23" ht="27" customHeight="1" x14ac:dyDescent="0.25">
      <c r="D663" s="14" t="s">
        <v>2740</v>
      </c>
      <c r="E663" s="14" t="s">
        <v>1484</v>
      </c>
      <c r="F663" s="84" t="s">
        <v>499</v>
      </c>
      <c r="G663" s="15" t="s">
        <v>27</v>
      </c>
      <c r="H663" s="16" t="s">
        <v>2741</v>
      </c>
      <c r="I663" s="17"/>
      <c r="J663" s="17"/>
      <c r="K663" s="17"/>
      <c r="L663" s="17"/>
      <c r="N663" s="31">
        <v>661</v>
      </c>
      <c r="O663" s="32" t="s">
        <v>2742</v>
      </c>
      <c r="P663" s="33" t="s">
        <v>57</v>
      </c>
      <c r="Q663" s="32" t="s">
        <v>32</v>
      </c>
      <c r="R663" s="69">
        <v>44265.59033564815</v>
      </c>
      <c r="S663" s="35">
        <v>44329</v>
      </c>
      <c r="T663" s="32" t="str">
        <f t="shared" si="41"/>
        <v>+0822-32575***</v>
      </c>
      <c r="U663" s="32" t="str">
        <f t="shared" ca="1" si="42"/>
        <v>cann***@yuhuumail.com</v>
      </c>
      <c r="V663" s="32">
        <f t="shared" si="43"/>
        <v>24</v>
      </c>
      <c r="W663" s="36">
        <f t="shared" si="44"/>
        <v>0.05</v>
      </c>
    </row>
    <row r="664" spans="4:23" ht="27" customHeight="1" x14ac:dyDescent="0.25">
      <c r="D664" s="14" t="s">
        <v>2743</v>
      </c>
      <c r="E664" s="14" t="s">
        <v>361</v>
      </c>
      <c r="F664" s="84" t="s">
        <v>2744</v>
      </c>
      <c r="G664" s="15" t="s">
        <v>27</v>
      </c>
      <c r="H664" s="16" t="s">
        <v>2745</v>
      </c>
      <c r="I664" s="17"/>
      <c r="J664" s="17"/>
      <c r="K664" s="17"/>
      <c r="L664" s="17"/>
      <c r="N664" s="31">
        <v>662</v>
      </c>
      <c r="O664" s="32" t="s">
        <v>2746</v>
      </c>
      <c r="P664" s="33" t="s">
        <v>31</v>
      </c>
      <c r="Q664" s="32" t="s">
        <v>40</v>
      </c>
      <c r="R664" s="69">
        <v>44265.586793981478</v>
      </c>
      <c r="S664" s="35">
        <v>44356</v>
      </c>
      <c r="T664" s="32" t="str">
        <f t="shared" si="41"/>
        <v>+83261811***</v>
      </c>
      <c r="U664" s="32" t="str">
        <f t="shared" ca="1" si="42"/>
        <v>trac***@yuhuumail.com</v>
      </c>
      <c r="V664" s="32">
        <f t="shared" si="43"/>
        <v>24</v>
      </c>
      <c r="W664" s="36">
        <f t="shared" si="44"/>
        <v>0.05</v>
      </c>
    </row>
    <row r="665" spans="4:23" ht="27" customHeight="1" x14ac:dyDescent="0.25">
      <c r="D665" s="14" t="s">
        <v>2747</v>
      </c>
      <c r="E665" s="14" t="s">
        <v>2748</v>
      </c>
      <c r="F665" s="84" t="s">
        <v>1661</v>
      </c>
      <c r="G665" s="15" t="s">
        <v>27</v>
      </c>
      <c r="H665" s="16" t="s">
        <v>2749</v>
      </c>
      <c r="I665" s="17"/>
      <c r="J665" s="17"/>
      <c r="K665" s="17"/>
      <c r="L665" s="17"/>
      <c r="N665" s="31">
        <v>663</v>
      </c>
      <c r="O665" s="32" t="s">
        <v>2750</v>
      </c>
      <c r="P665" s="33" t="s">
        <v>57</v>
      </c>
      <c r="Q665" s="32" t="s">
        <v>32</v>
      </c>
      <c r="R665" s="69">
        <v>44265.587430555555</v>
      </c>
      <c r="S665" s="35">
        <v>44359</v>
      </c>
      <c r="T665" s="32" t="str">
        <f t="shared" si="41"/>
        <v>+84241217***</v>
      </c>
      <c r="U665" s="32" t="str">
        <f t="shared" ca="1" si="42"/>
        <v>lawr***@yuhuumail.com</v>
      </c>
      <c r="V665" s="32">
        <f t="shared" si="43"/>
        <v>24</v>
      </c>
      <c r="W665" s="36">
        <f t="shared" si="44"/>
        <v>0.05</v>
      </c>
    </row>
    <row r="666" spans="4:23" ht="27" customHeight="1" x14ac:dyDescent="0.25">
      <c r="D666" s="14" t="s">
        <v>2751</v>
      </c>
      <c r="E666" s="14" t="s">
        <v>2752</v>
      </c>
      <c r="F666" s="84" t="s">
        <v>290</v>
      </c>
      <c r="G666" s="15" t="s">
        <v>27</v>
      </c>
      <c r="H666" s="16" t="s">
        <v>2753</v>
      </c>
      <c r="I666" s="17"/>
      <c r="J666" s="17"/>
      <c r="K666" s="17"/>
      <c r="L666" s="17"/>
      <c r="N666" s="31">
        <v>664</v>
      </c>
      <c r="O666" s="32" t="s">
        <v>1543</v>
      </c>
      <c r="P666" s="33" t="s">
        <v>42</v>
      </c>
      <c r="Q666" s="32" t="s">
        <v>40</v>
      </c>
      <c r="R666" s="69">
        <v>44265.595335648148</v>
      </c>
      <c r="S666" s="35">
        <v>44356</v>
      </c>
      <c r="T666" s="32" t="str">
        <f t="shared" si="41"/>
        <v>+0852-11157***</v>
      </c>
      <c r="U666" s="32" t="str">
        <f t="shared" ca="1" si="42"/>
        <v>cier***@jossmail.com</v>
      </c>
      <c r="V666" s="32">
        <f t="shared" si="43"/>
        <v>24</v>
      </c>
      <c r="W666" s="36">
        <f t="shared" si="44"/>
        <v>0.05</v>
      </c>
    </row>
    <row r="667" spans="4:23" ht="27" customHeight="1" x14ac:dyDescent="0.25">
      <c r="D667" s="14" t="s">
        <v>2754</v>
      </c>
      <c r="E667" s="14" t="s">
        <v>2755</v>
      </c>
      <c r="F667" s="84" t="s">
        <v>302</v>
      </c>
      <c r="G667" s="15" t="s">
        <v>68</v>
      </c>
      <c r="H667" s="16" t="s">
        <v>2756</v>
      </c>
      <c r="I667" s="17"/>
      <c r="J667" s="17"/>
      <c r="K667" s="17"/>
      <c r="L667" s="17"/>
      <c r="N667" s="31">
        <v>665</v>
      </c>
      <c r="O667" s="32" t="s">
        <v>2757</v>
      </c>
      <c r="P667" s="33" t="s">
        <v>42</v>
      </c>
      <c r="Q667" s="32" t="s">
        <v>32</v>
      </c>
      <c r="R667" s="69">
        <v>44265.593587962961</v>
      </c>
      <c r="S667" s="35">
        <v>44356</v>
      </c>
      <c r="T667" s="32" t="str">
        <f t="shared" si="41"/>
        <v>+822 99252***</v>
      </c>
      <c r="U667" s="32" t="str">
        <f t="shared" ca="1" si="42"/>
        <v>kris***@yuhuumail.com</v>
      </c>
      <c r="V667" s="32">
        <f t="shared" si="43"/>
        <v>24</v>
      </c>
      <c r="W667" s="36">
        <f t="shared" si="44"/>
        <v>0.05</v>
      </c>
    </row>
    <row r="668" spans="4:23" ht="27" customHeight="1" x14ac:dyDescent="0.25">
      <c r="D668" s="14" t="s">
        <v>2758</v>
      </c>
      <c r="E668" s="14" t="s">
        <v>2759</v>
      </c>
      <c r="F668" s="84" t="s">
        <v>46</v>
      </c>
      <c r="G668" s="15" t="s">
        <v>27</v>
      </c>
      <c r="H668" s="16" t="s">
        <v>2760</v>
      </c>
      <c r="I668" s="17"/>
      <c r="J668" s="17"/>
      <c r="K668" s="17"/>
      <c r="L668" s="17"/>
      <c r="N668" s="31">
        <v>666</v>
      </c>
      <c r="O668" s="32" t="s">
        <v>2761</v>
      </c>
      <c r="P668" s="33" t="s">
        <v>57</v>
      </c>
      <c r="Q668" s="32" t="s">
        <v>40</v>
      </c>
      <c r="R668" s="69">
        <v>43215.388252314813</v>
      </c>
      <c r="S668" s="35">
        <v>44318</v>
      </c>
      <c r="T668" s="32" t="str">
        <f t="shared" si="41"/>
        <v>+82217496***</v>
      </c>
      <c r="U668" s="32" t="str">
        <f t="shared" ca="1" si="42"/>
        <v>jaid***@yuhuumail.com</v>
      </c>
      <c r="V668" s="32">
        <f t="shared" si="43"/>
        <v>21</v>
      </c>
      <c r="W668" s="36">
        <f t="shared" si="44"/>
        <v>7.5000000000000011E-2</v>
      </c>
    </row>
    <row r="669" spans="4:23" ht="27" customHeight="1" x14ac:dyDescent="0.25">
      <c r="D669" s="14" t="s">
        <v>2762</v>
      </c>
      <c r="E669" s="14" t="s">
        <v>1379</v>
      </c>
      <c r="F669" s="84" t="s">
        <v>480</v>
      </c>
      <c r="G669" s="15" t="s">
        <v>27</v>
      </c>
      <c r="H669" s="16" t="s">
        <v>2763</v>
      </c>
      <c r="I669" s="17"/>
      <c r="J669" s="17"/>
      <c r="K669" s="17"/>
      <c r="L669" s="17"/>
      <c r="N669" s="31">
        <v>667</v>
      </c>
      <c r="O669" s="32" t="s">
        <v>2764</v>
      </c>
      <c r="P669" s="33" t="s">
        <v>31</v>
      </c>
      <c r="Q669" s="32" t="s">
        <v>32</v>
      </c>
      <c r="R669" s="69">
        <v>44265.601064814815</v>
      </c>
      <c r="S669" s="35">
        <v>44318</v>
      </c>
      <c r="T669" s="32" t="str">
        <f t="shared" si="41"/>
        <v>+6282258665***</v>
      </c>
      <c r="U669" s="32" t="str">
        <f t="shared" ca="1" si="42"/>
        <v>jayd***@jossmail.com</v>
      </c>
      <c r="V669" s="32">
        <f t="shared" si="43"/>
        <v>24</v>
      </c>
      <c r="W669" s="36">
        <f t="shared" si="44"/>
        <v>0.05</v>
      </c>
    </row>
    <row r="670" spans="4:23" ht="27" customHeight="1" x14ac:dyDescent="0.25">
      <c r="D670" s="14" t="s">
        <v>2765</v>
      </c>
      <c r="E670" s="14" t="s">
        <v>2766</v>
      </c>
      <c r="F670" s="84" t="s">
        <v>1551</v>
      </c>
      <c r="G670" s="15" t="s">
        <v>27</v>
      </c>
      <c r="H670" s="16" t="s">
        <v>2767</v>
      </c>
      <c r="I670" s="17"/>
      <c r="J670" s="17"/>
      <c r="K670" s="17"/>
      <c r="L670" s="17"/>
      <c r="N670" s="31">
        <v>668</v>
      </c>
      <c r="O670" s="32" t="s">
        <v>2768</v>
      </c>
      <c r="P670" s="33" t="s">
        <v>42</v>
      </c>
      <c r="Q670" s="32" t="s">
        <v>40</v>
      </c>
      <c r="R670" s="69">
        <v>44265.610555555555</v>
      </c>
      <c r="S670" s="35">
        <v>44359</v>
      </c>
      <c r="T670" s="32" t="str">
        <f t="shared" si="41"/>
        <v>+6283244396***</v>
      </c>
      <c r="U670" s="32" t="str">
        <f t="shared" ca="1" si="42"/>
        <v>meli***@yuhuumail.com</v>
      </c>
      <c r="V670" s="32">
        <f t="shared" si="43"/>
        <v>24</v>
      </c>
      <c r="W670" s="36">
        <f t="shared" si="44"/>
        <v>0.05</v>
      </c>
    </row>
    <row r="671" spans="4:23" ht="27" customHeight="1" x14ac:dyDescent="0.25">
      <c r="D671" s="14" t="s">
        <v>2769</v>
      </c>
      <c r="E671" s="14" t="s">
        <v>2770</v>
      </c>
      <c r="F671" s="84" t="s">
        <v>1029</v>
      </c>
      <c r="G671" s="15" t="s">
        <v>27</v>
      </c>
      <c r="H671" s="16" t="s">
        <v>2771</v>
      </c>
      <c r="I671" s="17"/>
      <c r="J671" s="17"/>
      <c r="K671" s="17"/>
      <c r="L671" s="17"/>
      <c r="N671" s="31">
        <v>669</v>
      </c>
      <c r="O671" s="32" t="s">
        <v>295</v>
      </c>
      <c r="P671" s="33" t="s">
        <v>42</v>
      </c>
      <c r="Q671" s="32" t="s">
        <v>32</v>
      </c>
      <c r="R671" s="69">
        <v>44265.608101851853</v>
      </c>
      <c r="S671" s="35">
        <v>44352</v>
      </c>
      <c r="T671" s="32" t="str">
        <f t="shared" si="41"/>
        <v>+0822 85881***</v>
      </c>
      <c r="U671" s="32" t="str">
        <f t="shared" ca="1" si="42"/>
        <v>cale***@yuhuumail.com</v>
      </c>
      <c r="V671" s="32">
        <f t="shared" si="43"/>
        <v>24</v>
      </c>
      <c r="W671" s="36">
        <f t="shared" si="44"/>
        <v>0.05</v>
      </c>
    </row>
    <row r="672" spans="4:23" ht="27" customHeight="1" x14ac:dyDescent="0.25">
      <c r="D672" s="14" t="s">
        <v>2772</v>
      </c>
      <c r="E672" s="14" t="s">
        <v>1631</v>
      </c>
      <c r="F672" s="84" t="s">
        <v>2773</v>
      </c>
      <c r="G672" s="15" t="s">
        <v>27</v>
      </c>
      <c r="H672" s="16" t="s">
        <v>2774</v>
      </c>
      <c r="I672" s="17"/>
      <c r="J672" s="17"/>
      <c r="K672" s="17"/>
      <c r="L672" s="17"/>
      <c r="N672" s="31">
        <v>670</v>
      </c>
      <c r="O672" s="32" t="s">
        <v>2775</v>
      </c>
      <c r="P672" s="33" t="s">
        <v>31</v>
      </c>
      <c r="Q672" s="32" t="s">
        <v>40</v>
      </c>
      <c r="R672" s="69">
        <v>44265.56832175926</v>
      </c>
      <c r="S672" s="35">
        <v>44352</v>
      </c>
      <c r="T672" s="32" t="str">
        <f t="shared" si="41"/>
        <v>+6281253523***</v>
      </c>
      <c r="U672" s="32" t="str">
        <f t="shared" ca="1" si="42"/>
        <v>glen***@yuhuumail.com</v>
      </c>
      <c r="V672" s="32">
        <f t="shared" si="43"/>
        <v>24</v>
      </c>
      <c r="W672" s="36">
        <f t="shared" si="44"/>
        <v>0.05</v>
      </c>
    </row>
    <row r="673" spans="4:23" ht="27" customHeight="1" x14ac:dyDescent="0.25">
      <c r="D673" s="14" t="s">
        <v>2776</v>
      </c>
      <c r="E673" s="14" t="s">
        <v>2777</v>
      </c>
      <c r="F673" s="84" t="s">
        <v>670</v>
      </c>
      <c r="G673" s="15" t="s">
        <v>68</v>
      </c>
      <c r="H673" s="16" t="s">
        <v>2778</v>
      </c>
      <c r="I673" s="17"/>
      <c r="J673" s="17"/>
      <c r="K673" s="17"/>
      <c r="L673" s="17"/>
      <c r="N673" s="31">
        <v>671</v>
      </c>
      <c r="O673" s="32" t="s">
        <v>2779</v>
      </c>
      <c r="P673" s="33" t="s">
        <v>57</v>
      </c>
      <c r="Q673" s="32" t="s">
        <v>32</v>
      </c>
      <c r="R673" s="69">
        <v>44162.421388888892</v>
      </c>
      <c r="S673" s="35">
        <v>44354</v>
      </c>
      <c r="T673" s="32" t="str">
        <f t="shared" si="41"/>
        <v>+082298216***</v>
      </c>
      <c r="U673" s="32" t="str">
        <f t="shared" ca="1" si="42"/>
        <v>joef***@yuhuumail.com</v>
      </c>
      <c r="V673" s="32">
        <f t="shared" si="43"/>
        <v>24</v>
      </c>
      <c r="W673" s="36">
        <f t="shared" si="44"/>
        <v>0.05</v>
      </c>
    </row>
    <row r="674" spans="4:23" ht="27" customHeight="1" x14ac:dyDescent="0.25">
      <c r="D674" s="14" t="s">
        <v>2780</v>
      </c>
      <c r="E674" s="14" t="s">
        <v>2781</v>
      </c>
      <c r="F674" s="84" t="s">
        <v>1118</v>
      </c>
      <c r="G674" s="15" t="s">
        <v>27</v>
      </c>
      <c r="H674" s="16" t="s">
        <v>2782</v>
      </c>
      <c r="I674" s="17"/>
      <c r="J674" s="17"/>
      <c r="K674" s="17"/>
      <c r="L674" s="17"/>
      <c r="N674" s="31">
        <v>672</v>
      </c>
      <c r="O674" s="32" t="s">
        <v>2783</v>
      </c>
      <c r="P674" s="33" t="s">
        <v>31</v>
      </c>
      <c r="Q674" s="32" t="s">
        <v>40</v>
      </c>
      <c r="R674" s="69">
        <v>44265.609236111108</v>
      </c>
      <c r="S674" s="35">
        <v>44362</v>
      </c>
      <c r="T674" s="32" t="str">
        <f t="shared" si="41"/>
        <v>+81224591***</v>
      </c>
      <c r="U674" s="32" t="str">
        <f t="shared" ca="1" si="42"/>
        <v>erne***@jossmail.com</v>
      </c>
      <c r="V674" s="32">
        <f t="shared" si="43"/>
        <v>24</v>
      </c>
      <c r="W674" s="36">
        <f t="shared" si="44"/>
        <v>0.05</v>
      </c>
    </row>
    <row r="675" spans="4:23" ht="27" customHeight="1" x14ac:dyDescent="0.25">
      <c r="D675" s="14" t="s">
        <v>2784</v>
      </c>
      <c r="E675" s="14" t="s">
        <v>151</v>
      </c>
      <c r="F675" s="84" t="s">
        <v>1729</v>
      </c>
      <c r="G675" s="15" t="s">
        <v>27</v>
      </c>
      <c r="H675" s="16" t="s">
        <v>2785</v>
      </c>
      <c r="I675" s="17"/>
      <c r="J675" s="17"/>
      <c r="K675" s="17"/>
      <c r="L675" s="17"/>
      <c r="N675" s="31">
        <v>673</v>
      </c>
      <c r="O675" s="32" t="s">
        <v>2786</v>
      </c>
      <c r="P675" s="33" t="s">
        <v>31</v>
      </c>
      <c r="Q675" s="32" t="s">
        <v>32</v>
      </c>
      <c r="R675" s="69">
        <v>44265.607870370368</v>
      </c>
      <c r="S675" s="71">
        <v>44320</v>
      </c>
      <c r="T675" s="32" t="str">
        <f t="shared" si="41"/>
        <v>+084244888***</v>
      </c>
      <c r="U675" s="32" t="str">
        <f t="shared" ca="1" si="42"/>
        <v>madi***@yuhuumail.com</v>
      </c>
      <c r="V675" s="32">
        <f t="shared" si="43"/>
        <v>24</v>
      </c>
      <c r="W675" s="36">
        <f t="shared" si="44"/>
        <v>0.05</v>
      </c>
    </row>
    <row r="676" spans="4:23" ht="27" customHeight="1" x14ac:dyDescent="0.25">
      <c r="D676" s="14" t="s">
        <v>2787</v>
      </c>
      <c r="E676" s="14" t="s">
        <v>2788</v>
      </c>
      <c r="F676" s="84" t="s">
        <v>169</v>
      </c>
      <c r="G676" s="15" t="s">
        <v>27</v>
      </c>
      <c r="H676" s="16" t="s">
        <v>2789</v>
      </c>
      <c r="I676" s="17"/>
      <c r="J676" s="17"/>
      <c r="K676" s="17"/>
      <c r="L676" s="17"/>
      <c r="N676" s="31">
        <v>674</v>
      </c>
      <c r="O676" s="32" t="s">
        <v>2790</v>
      </c>
      <c r="P676" s="33" t="s">
        <v>31</v>
      </c>
      <c r="Q676" s="32" t="s">
        <v>40</v>
      </c>
      <c r="R676" s="69">
        <v>44265.622997685183</v>
      </c>
      <c r="S676" s="71">
        <v>44326</v>
      </c>
      <c r="T676" s="32" t="str">
        <f t="shared" si="41"/>
        <v>+0822-56727***</v>
      </c>
      <c r="U676" s="32" t="str">
        <f t="shared" ca="1" si="42"/>
        <v>hayl***@jossmail.com</v>
      </c>
      <c r="V676" s="32">
        <f t="shared" si="43"/>
        <v>24</v>
      </c>
      <c r="W676" s="36">
        <f t="shared" si="44"/>
        <v>0.05</v>
      </c>
    </row>
    <row r="677" spans="4:23" ht="27" customHeight="1" x14ac:dyDescent="0.25">
      <c r="D677" s="14" t="s">
        <v>2791</v>
      </c>
      <c r="E677" s="14" t="s">
        <v>2792</v>
      </c>
      <c r="F677" s="84" t="s">
        <v>909</v>
      </c>
      <c r="G677" s="15" t="s">
        <v>27</v>
      </c>
      <c r="H677" s="16" t="s">
        <v>2793</v>
      </c>
      <c r="I677" s="17"/>
      <c r="J677" s="17"/>
      <c r="K677" s="17"/>
      <c r="L677" s="17"/>
      <c r="N677" s="31">
        <v>675</v>
      </c>
      <c r="O677" s="32" t="s">
        <v>2794</v>
      </c>
      <c r="P677" s="33" t="s">
        <v>31</v>
      </c>
      <c r="Q677" s="32" t="s">
        <v>32</v>
      </c>
      <c r="R677" s="69">
        <v>44265.624097222222</v>
      </c>
      <c r="S677" s="71">
        <v>44362</v>
      </c>
      <c r="T677" s="32" t="str">
        <f t="shared" si="41"/>
        <v>+0812 45092***</v>
      </c>
      <c r="U677" s="32" t="str">
        <f t="shared" ca="1" si="42"/>
        <v>leed***@jossmail.com</v>
      </c>
      <c r="V677" s="32">
        <f t="shared" si="43"/>
        <v>24</v>
      </c>
      <c r="W677" s="36">
        <f t="shared" si="44"/>
        <v>0.05</v>
      </c>
    </row>
    <row r="678" spans="4:23" ht="27" customHeight="1" x14ac:dyDescent="0.25">
      <c r="D678" s="14" t="s">
        <v>2795</v>
      </c>
      <c r="E678" s="14" t="s">
        <v>350</v>
      </c>
      <c r="F678" s="84" t="s">
        <v>2796</v>
      </c>
      <c r="G678" s="15" t="s">
        <v>27</v>
      </c>
      <c r="H678" s="16" t="s">
        <v>2797</v>
      </c>
      <c r="I678" s="17"/>
      <c r="J678" s="17"/>
      <c r="K678" s="17"/>
      <c r="L678" s="17"/>
      <c r="N678" s="31">
        <v>676</v>
      </c>
      <c r="O678" s="32" t="s">
        <v>2798</v>
      </c>
      <c r="P678" s="33" t="s">
        <v>42</v>
      </c>
      <c r="Q678" s="32" t="s">
        <v>40</v>
      </c>
      <c r="R678" s="69">
        <v>44265.633923611109</v>
      </c>
      <c r="S678" s="71">
        <v>44318</v>
      </c>
      <c r="T678" s="32" t="str">
        <f t="shared" si="41"/>
        <v>+84274389***</v>
      </c>
      <c r="U678" s="32" t="str">
        <f t="shared" ca="1" si="42"/>
        <v>chas***@jossmail.com</v>
      </c>
      <c r="V678" s="32">
        <f t="shared" si="43"/>
        <v>24</v>
      </c>
      <c r="W678" s="36">
        <f t="shared" si="44"/>
        <v>0.05</v>
      </c>
    </row>
    <row r="679" spans="4:23" ht="27" customHeight="1" x14ac:dyDescent="0.25">
      <c r="D679" s="14" t="s">
        <v>2799</v>
      </c>
      <c r="E679" s="14" t="s">
        <v>787</v>
      </c>
      <c r="F679" s="84" t="s">
        <v>939</v>
      </c>
      <c r="G679" s="15" t="s">
        <v>27</v>
      </c>
      <c r="H679" s="16" t="s">
        <v>2800</v>
      </c>
      <c r="I679" s="17"/>
      <c r="J679" s="17"/>
      <c r="K679" s="17"/>
      <c r="L679" s="17"/>
      <c r="N679" s="31">
        <v>677</v>
      </c>
      <c r="O679" s="32" t="s">
        <v>2801</v>
      </c>
      <c r="P679" s="33" t="s">
        <v>57</v>
      </c>
      <c r="Q679" s="32" t="s">
        <v>32</v>
      </c>
      <c r="R679" s="69">
        <v>42783.36074074074</v>
      </c>
      <c r="S679" s="71">
        <v>44354</v>
      </c>
      <c r="T679" s="32" t="str">
        <f t="shared" si="41"/>
        <v>+0832 87853***</v>
      </c>
      <c r="U679" s="32" t="str">
        <f t="shared" ca="1" si="42"/>
        <v>jeff***@yuhuumail.com</v>
      </c>
      <c r="V679" s="32">
        <f t="shared" si="43"/>
        <v>20</v>
      </c>
      <c r="W679" s="36">
        <f t="shared" si="44"/>
        <v>7.5000000000000011E-2</v>
      </c>
    </row>
    <row r="680" spans="4:23" ht="27" customHeight="1" x14ac:dyDescent="0.25">
      <c r="D680" s="14" t="s">
        <v>2802</v>
      </c>
      <c r="E680" s="14" t="s">
        <v>2803</v>
      </c>
      <c r="F680" s="84" t="s">
        <v>233</v>
      </c>
      <c r="G680" s="15" t="s">
        <v>27</v>
      </c>
      <c r="H680" s="16" t="s">
        <v>2804</v>
      </c>
      <c r="I680" s="17"/>
      <c r="J680" s="17"/>
      <c r="K680" s="17"/>
      <c r="L680" s="17"/>
      <c r="N680" s="31">
        <v>678</v>
      </c>
      <c r="O680" s="32" t="s">
        <v>1142</v>
      </c>
      <c r="P680" s="33" t="s">
        <v>42</v>
      </c>
      <c r="Q680" s="32" t="s">
        <v>40</v>
      </c>
      <c r="R680" s="69">
        <v>44265.583368055559</v>
      </c>
      <c r="S680" s="71">
        <v>44318</v>
      </c>
      <c r="T680" s="32" t="str">
        <f t="shared" si="41"/>
        <v>+6282277567***</v>
      </c>
      <c r="U680" s="32" t="str">
        <f t="shared" ca="1" si="42"/>
        <v>gera***@jossmail.com</v>
      </c>
      <c r="V680" s="32">
        <f t="shared" si="43"/>
        <v>24</v>
      </c>
      <c r="W680" s="36">
        <f t="shared" si="44"/>
        <v>0.05</v>
      </c>
    </row>
    <row r="681" spans="4:23" ht="27" customHeight="1" x14ac:dyDescent="0.25">
      <c r="D681" s="14" t="s">
        <v>2805</v>
      </c>
      <c r="E681" s="14" t="s">
        <v>2806</v>
      </c>
      <c r="F681" s="84" t="s">
        <v>538</v>
      </c>
      <c r="G681" s="15" t="s">
        <v>27</v>
      </c>
      <c r="H681" s="16" t="s">
        <v>2807</v>
      </c>
      <c r="I681" s="17"/>
      <c r="J681" s="17"/>
      <c r="K681" s="17"/>
      <c r="L681" s="17"/>
      <c r="N681" s="31">
        <v>679</v>
      </c>
      <c r="O681" s="32" t="s">
        <v>2808</v>
      </c>
      <c r="P681" s="33" t="s">
        <v>31</v>
      </c>
      <c r="Q681" s="32" t="s">
        <v>32</v>
      </c>
      <c r="R681" s="69">
        <v>44265.642847222225</v>
      </c>
      <c r="S681" s="71">
        <v>44352</v>
      </c>
      <c r="T681" s="32" t="str">
        <f t="shared" si="41"/>
        <v>+6282236661***</v>
      </c>
      <c r="U681" s="32" t="str">
        <f t="shared" ca="1" si="42"/>
        <v>kels***@jossmail.com</v>
      </c>
      <c r="V681" s="32">
        <f t="shared" si="43"/>
        <v>24</v>
      </c>
      <c r="W681" s="36">
        <f t="shared" si="44"/>
        <v>0.05</v>
      </c>
    </row>
    <row r="682" spans="4:23" ht="27" customHeight="1" x14ac:dyDescent="0.25">
      <c r="D682" s="14" t="s">
        <v>2809</v>
      </c>
      <c r="E682" s="14" t="s">
        <v>1235</v>
      </c>
      <c r="F682" s="84" t="s">
        <v>674</v>
      </c>
      <c r="G682" s="15" t="s">
        <v>68</v>
      </c>
      <c r="H682" s="16" t="s">
        <v>2810</v>
      </c>
      <c r="I682" s="17"/>
      <c r="J682" s="17"/>
      <c r="K682" s="17"/>
      <c r="L682" s="17"/>
      <c r="N682" s="31">
        <v>680</v>
      </c>
      <c r="O682" s="32" t="s">
        <v>2811</v>
      </c>
      <c r="P682" s="33" t="s">
        <v>42</v>
      </c>
      <c r="Q682" s="32" t="s">
        <v>40</v>
      </c>
      <c r="R682" s="69">
        <v>44265.645208333335</v>
      </c>
      <c r="S682" s="71">
        <v>44318</v>
      </c>
      <c r="T682" s="32" t="str">
        <f t="shared" si="41"/>
        <v>+6282238117***</v>
      </c>
      <c r="U682" s="32" t="str">
        <f t="shared" ca="1" si="42"/>
        <v>jane***@yuhuumail.com</v>
      </c>
      <c r="V682" s="32">
        <f t="shared" si="43"/>
        <v>24</v>
      </c>
      <c r="W682" s="36">
        <f t="shared" si="44"/>
        <v>0.05</v>
      </c>
    </row>
    <row r="683" spans="4:23" ht="27" customHeight="1" x14ac:dyDescent="0.25">
      <c r="D683" s="14" t="s">
        <v>2812</v>
      </c>
      <c r="E683" s="14" t="s">
        <v>676</v>
      </c>
      <c r="F683" s="84" t="s">
        <v>632</v>
      </c>
      <c r="G683" s="15" t="s">
        <v>27</v>
      </c>
      <c r="H683" s="16" t="s">
        <v>2813</v>
      </c>
      <c r="I683" s="17"/>
      <c r="J683" s="17"/>
      <c r="K683" s="17"/>
      <c r="L683" s="17"/>
      <c r="N683" s="31">
        <v>681</v>
      </c>
      <c r="O683" s="32" t="s">
        <v>2814</v>
      </c>
      <c r="P683" s="33" t="s">
        <v>42</v>
      </c>
      <c r="Q683" s="32" t="s">
        <v>32</v>
      </c>
      <c r="R683" s="69">
        <v>44265.643483796295</v>
      </c>
      <c r="S683" s="71">
        <v>44318</v>
      </c>
      <c r="T683" s="32" t="str">
        <f t="shared" si="41"/>
        <v>+0842 42071***</v>
      </c>
      <c r="U683" s="32" t="str">
        <f t="shared" ca="1" si="42"/>
        <v>tobi***@yuhuumail.com</v>
      </c>
      <c r="V683" s="32">
        <f t="shared" si="43"/>
        <v>24</v>
      </c>
      <c r="W683" s="36">
        <f t="shared" si="44"/>
        <v>0.05</v>
      </c>
    </row>
    <row r="684" spans="4:23" ht="27" customHeight="1" x14ac:dyDescent="0.25">
      <c r="D684" s="14" t="s">
        <v>2815</v>
      </c>
      <c r="E684" s="14" t="s">
        <v>2540</v>
      </c>
      <c r="F684" s="84" t="s">
        <v>159</v>
      </c>
      <c r="G684" s="15" t="s">
        <v>27</v>
      </c>
      <c r="H684" s="16" t="s">
        <v>2816</v>
      </c>
      <c r="I684" s="17"/>
      <c r="J684" s="17"/>
      <c r="K684" s="17"/>
      <c r="L684" s="17"/>
      <c r="N684" s="31">
        <v>682</v>
      </c>
      <c r="O684" s="32" t="s">
        <v>2817</v>
      </c>
      <c r="P684" s="33" t="s">
        <v>31</v>
      </c>
      <c r="Q684" s="32" t="s">
        <v>40</v>
      </c>
      <c r="R684" s="69">
        <v>44265.657916666663</v>
      </c>
      <c r="S684" s="71">
        <v>44354</v>
      </c>
      <c r="T684" s="32" t="str">
        <f t="shared" si="41"/>
        <v>+85286751***</v>
      </c>
      <c r="U684" s="32" t="str">
        <f t="shared" ca="1" si="42"/>
        <v>hale***@yuhuumail.com</v>
      </c>
      <c r="V684" s="32">
        <f t="shared" si="43"/>
        <v>24</v>
      </c>
      <c r="W684" s="36">
        <f t="shared" si="44"/>
        <v>0.05</v>
      </c>
    </row>
    <row r="685" spans="4:23" ht="27" customHeight="1" x14ac:dyDescent="0.25">
      <c r="D685" s="14" t="s">
        <v>2818</v>
      </c>
      <c r="E685" s="14" t="s">
        <v>2819</v>
      </c>
      <c r="F685" s="84" t="s">
        <v>266</v>
      </c>
      <c r="G685" s="15" t="s">
        <v>68</v>
      </c>
      <c r="H685" s="16" t="s">
        <v>2820</v>
      </c>
      <c r="I685" s="17"/>
      <c r="J685" s="17"/>
      <c r="K685" s="17"/>
      <c r="L685" s="17"/>
      <c r="N685" s="31">
        <v>683</v>
      </c>
      <c r="O685" s="32" t="s">
        <v>2821</v>
      </c>
      <c r="P685" s="33" t="s">
        <v>31</v>
      </c>
      <c r="Q685" s="32" t="s">
        <v>32</v>
      </c>
      <c r="R685" s="69">
        <v>44265.664837962962</v>
      </c>
      <c r="S685" s="71">
        <v>44356</v>
      </c>
      <c r="T685" s="32" t="str">
        <f t="shared" si="41"/>
        <v>+0832-72125***</v>
      </c>
      <c r="U685" s="32" t="str">
        <f t="shared" ca="1" si="42"/>
        <v>arie***@jossmail.com</v>
      </c>
      <c r="V685" s="32">
        <f t="shared" si="43"/>
        <v>24</v>
      </c>
      <c r="W685" s="36">
        <f t="shared" si="44"/>
        <v>0.05</v>
      </c>
    </row>
    <row r="686" spans="4:23" ht="27" customHeight="1" x14ac:dyDescent="0.25">
      <c r="D686" s="14" t="s">
        <v>2822</v>
      </c>
      <c r="E686" s="14" t="s">
        <v>2823</v>
      </c>
      <c r="F686" s="84" t="s">
        <v>239</v>
      </c>
      <c r="G686" s="15" t="s">
        <v>27</v>
      </c>
      <c r="H686" s="16" t="s">
        <v>2824</v>
      </c>
      <c r="I686" s="17"/>
      <c r="J686" s="17"/>
      <c r="K686" s="17"/>
      <c r="L686" s="17"/>
      <c r="N686" s="31">
        <v>684</v>
      </c>
      <c r="O686" s="32" t="s">
        <v>2825</v>
      </c>
      <c r="P686" s="33" t="s">
        <v>31</v>
      </c>
      <c r="Q686" s="32" t="s">
        <v>40</v>
      </c>
      <c r="R686" s="69">
        <v>44265.654247685183</v>
      </c>
      <c r="S686" s="71">
        <v>44354</v>
      </c>
      <c r="T686" s="32" t="str">
        <f t="shared" si="41"/>
        <v>+812 31779***</v>
      </c>
      <c r="U686" s="32" t="str">
        <f t="shared" ca="1" si="42"/>
        <v>alis***@yuhuumail.com</v>
      </c>
      <c r="V686" s="32">
        <f t="shared" si="43"/>
        <v>24</v>
      </c>
      <c r="W686" s="36">
        <f t="shared" si="44"/>
        <v>0.05</v>
      </c>
    </row>
    <row r="687" spans="4:23" ht="27" customHeight="1" x14ac:dyDescent="0.25">
      <c r="D687" s="14" t="s">
        <v>2826</v>
      </c>
      <c r="E687" s="14" t="s">
        <v>2827</v>
      </c>
      <c r="F687" s="84" t="s">
        <v>280</v>
      </c>
      <c r="G687" s="15" t="s">
        <v>68</v>
      </c>
      <c r="H687" s="16" t="s">
        <v>2828</v>
      </c>
      <c r="I687" s="17"/>
      <c r="J687" s="17"/>
      <c r="K687" s="17"/>
      <c r="L687" s="17"/>
      <c r="N687" s="31">
        <v>685</v>
      </c>
      <c r="O687" s="32" t="s">
        <v>682</v>
      </c>
      <c r="P687" s="33" t="s">
        <v>57</v>
      </c>
      <c r="Q687" s="32" t="s">
        <v>32</v>
      </c>
      <c r="R687" s="69">
        <v>44265.656724537039</v>
      </c>
      <c r="S687" s="71">
        <v>44320</v>
      </c>
      <c r="T687" s="32" t="str">
        <f t="shared" si="41"/>
        <v>+084288928***</v>
      </c>
      <c r="U687" s="32" t="str">
        <f t="shared" ca="1" si="42"/>
        <v>dash***@jossmail.com</v>
      </c>
      <c r="V687" s="32">
        <f t="shared" si="43"/>
        <v>24</v>
      </c>
      <c r="W687" s="36">
        <f t="shared" si="44"/>
        <v>0.05</v>
      </c>
    </row>
    <row r="688" spans="4:23" ht="27" customHeight="1" x14ac:dyDescent="0.25">
      <c r="D688" s="14" t="s">
        <v>2829</v>
      </c>
      <c r="E688" s="14" t="s">
        <v>2830</v>
      </c>
      <c r="F688" s="84" t="s">
        <v>107</v>
      </c>
      <c r="G688" s="15" t="s">
        <v>68</v>
      </c>
      <c r="H688" s="16" t="s">
        <v>2831</v>
      </c>
      <c r="I688" s="17"/>
      <c r="J688" s="17"/>
      <c r="K688" s="17"/>
      <c r="L688" s="17"/>
      <c r="N688" s="31">
        <v>686</v>
      </c>
      <c r="O688" s="32" t="s">
        <v>2832</v>
      </c>
      <c r="P688" s="33" t="s">
        <v>42</v>
      </c>
      <c r="Q688" s="32" t="s">
        <v>40</v>
      </c>
      <c r="R688" s="69">
        <v>42991.295370370368</v>
      </c>
      <c r="S688" s="71">
        <v>44354</v>
      </c>
      <c r="T688" s="32" t="str">
        <f t="shared" si="41"/>
        <v>+85213342***</v>
      </c>
      <c r="U688" s="32" t="str">
        <f t="shared" ca="1" si="42"/>
        <v>arma***@jossmail.com</v>
      </c>
      <c r="V688" s="32">
        <f t="shared" si="43"/>
        <v>20</v>
      </c>
      <c r="W688" s="36">
        <f t="shared" si="44"/>
        <v>7.5000000000000011E-2</v>
      </c>
    </row>
    <row r="689" spans="4:23" ht="27" customHeight="1" x14ac:dyDescent="0.25">
      <c r="D689" s="14" t="s">
        <v>2833</v>
      </c>
      <c r="E689" s="14" t="s">
        <v>2834</v>
      </c>
      <c r="F689" s="84" t="s">
        <v>751</v>
      </c>
      <c r="G689" s="15" t="s">
        <v>27</v>
      </c>
      <c r="H689" s="16" t="s">
        <v>2835</v>
      </c>
      <c r="I689" s="17"/>
      <c r="J689" s="17"/>
      <c r="K689" s="17"/>
      <c r="L689" s="17"/>
      <c r="N689" s="31">
        <v>687</v>
      </c>
      <c r="O689" s="32" t="s">
        <v>2836</v>
      </c>
      <c r="P689" s="33" t="s">
        <v>42</v>
      </c>
      <c r="Q689" s="32" t="s">
        <v>32</v>
      </c>
      <c r="R689" s="69">
        <v>44265.670057870368</v>
      </c>
      <c r="S689" s="71">
        <v>44354</v>
      </c>
      <c r="T689" s="32" t="str">
        <f t="shared" si="41"/>
        <v>+82292412***</v>
      </c>
      <c r="U689" s="32" t="str">
        <f t="shared" ca="1" si="42"/>
        <v>elai***@yuhuumail.com</v>
      </c>
      <c r="V689" s="32">
        <f t="shared" si="43"/>
        <v>24</v>
      </c>
      <c r="W689" s="36">
        <f t="shared" si="44"/>
        <v>0.05</v>
      </c>
    </row>
    <row r="690" spans="4:23" ht="27" customHeight="1" x14ac:dyDescent="0.25">
      <c r="D690" s="14" t="s">
        <v>2837</v>
      </c>
      <c r="E690" s="14" t="s">
        <v>2838</v>
      </c>
      <c r="F690" s="84" t="s">
        <v>490</v>
      </c>
      <c r="G690" s="15" t="s">
        <v>27</v>
      </c>
      <c r="H690" s="16" t="s">
        <v>2839</v>
      </c>
      <c r="I690" s="17"/>
      <c r="J690" s="17"/>
      <c r="K690" s="17"/>
      <c r="L690" s="17"/>
      <c r="N690" s="31">
        <v>688</v>
      </c>
      <c r="O690" s="32" t="s">
        <v>1461</v>
      </c>
      <c r="P690" s="33" t="s">
        <v>31</v>
      </c>
      <c r="Q690" s="32" t="s">
        <v>40</v>
      </c>
      <c r="R690" s="69">
        <v>44265.668981481482</v>
      </c>
      <c r="S690" s="71">
        <v>44356</v>
      </c>
      <c r="T690" s="32" t="str">
        <f t="shared" si="41"/>
        <v>+0842 94026***</v>
      </c>
      <c r="U690" s="32" t="str">
        <f t="shared" ca="1" si="42"/>
        <v>vivi***@jossmail.com</v>
      </c>
      <c r="V690" s="32">
        <f t="shared" si="43"/>
        <v>24</v>
      </c>
      <c r="W690" s="36">
        <f t="shared" si="44"/>
        <v>0.05</v>
      </c>
    </row>
    <row r="691" spans="4:23" ht="27" customHeight="1" x14ac:dyDescent="0.25">
      <c r="D691" s="14" t="s">
        <v>2840</v>
      </c>
      <c r="E691" s="14" t="s">
        <v>2841</v>
      </c>
      <c r="F691" s="84" t="s">
        <v>206</v>
      </c>
      <c r="G691" s="15" t="s">
        <v>68</v>
      </c>
      <c r="H691" s="16" t="s">
        <v>2842</v>
      </c>
      <c r="I691" s="17"/>
      <c r="J691" s="17"/>
      <c r="K691" s="17"/>
      <c r="L691" s="17"/>
      <c r="N691" s="31">
        <v>689</v>
      </c>
      <c r="O691" s="32" t="s">
        <v>2843</v>
      </c>
      <c r="P691" s="33" t="s">
        <v>42</v>
      </c>
      <c r="Q691" s="32" t="s">
        <v>32</v>
      </c>
      <c r="R691" s="69">
        <v>44076.701516203706</v>
      </c>
      <c r="S691" s="71">
        <v>44356</v>
      </c>
      <c r="T691" s="32" t="str">
        <f t="shared" si="41"/>
        <v>+0852 45742***</v>
      </c>
      <c r="U691" s="32" t="str">
        <f t="shared" ca="1" si="42"/>
        <v>terr***@yuhuumail.com</v>
      </c>
      <c r="V691" s="32">
        <f t="shared" si="43"/>
        <v>23</v>
      </c>
      <c r="W691" s="36">
        <f t="shared" si="44"/>
        <v>0.05</v>
      </c>
    </row>
    <row r="692" spans="4:23" ht="27" customHeight="1" x14ac:dyDescent="0.25">
      <c r="D692" s="14" t="s">
        <v>2844</v>
      </c>
      <c r="E692" s="14" t="s">
        <v>2845</v>
      </c>
      <c r="F692" s="84" t="s">
        <v>887</v>
      </c>
      <c r="G692" s="15" t="s">
        <v>68</v>
      </c>
      <c r="H692" s="16" t="s">
        <v>2846</v>
      </c>
      <c r="I692" s="17"/>
      <c r="J692" s="17"/>
      <c r="K692" s="17"/>
      <c r="L692" s="17"/>
      <c r="N692" s="31">
        <v>690</v>
      </c>
      <c r="O692" s="32" t="s">
        <v>2847</v>
      </c>
      <c r="P692" s="33" t="s">
        <v>31</v>
      </c>
      <c r="Q692" s="32" t="s">
        <v>40</v>
      </c>
      <c r="R692" s="69">
        <v>44265.657858796294</v>
      </c>
      <c r="S692" s="71">
        <v>44318</v>
      </c>
      <c r="T692" s="32" t="str">
        <f t="shared" si="41"/>
        <v>+0852-88922***</v>
      </c>
      <c r="U692" s="32" t="str">
        <f t="shared" ca="1" si="42"/>
        <v>jayl***@jossmail.com</v>
      </c>
      <c r="V692" s="32">
        <f t="shared" si="43"/>
        <v>24</v>
      </c>
      <c r="W692" s="36">
        <f t="shared" si="44"/>
        <v>0.05</v>
      </c>
    </row>
    <row r="693" spans="4:23" ht="27" customHeight="1" x14ac:dyDescent="0.25">
      <c r="D693" s="14" t="s">
        <v>2848</v>
      </c>
      <c r="E693" s="14" t="s">
        <v>2359</v>
      </c>
      <c r="F693" s="84" t="s">
        <v>372</v>
      </c>
      <c r="G693" s="15" t="s">
        <v>27</v>
      </c>
      <c r="H693" s="16" t="s">
        <v>2849</v>
      </c>
      <c r="I693" s="17"/>
      <c r="J693" s="17"/>
      <c r="K693" s="17"/>
      <c r="L693" s="17"/>
      <c r="N693" s="31">
        <v>691</v>
      </c>
      <c r="O693" s="32" t="s">
        <v>2850</v>
      </c>
      <c r="P693" s="33" t="s">
        <v>42</v>
      </c>
      <c r="Q693" s="32" t="s">
        <v>32</v>
      </c>
      <c r="R693" s="69">
        <v>44265.677256944444</v>
      </c>
      <c r="S693" s="71">
        <v>44356</v>
      </c>
      <c r="T693" s="32" t="str">
        <f t="shared" si="41"/>
        <v>+084252070***</v>
      </c>
      <c r="U693" s="32" t="str">
        <f t="shared" ca="1" si="42"/>
        <v>mayr***@yuhuumail.com</v>
      </c>
      <c r="V693" s="32">
        <f t="shared" si="43"/>
        <v>24</v>
      </c>
      <c r="W693" s="36">
        <f t="shared" si="44"/>
        <v>0.05</v>
      </c>
    </row>
    <row r="694" spans="4:23" ht="27" customHeight="1" x14ac:dyDescent="0.25">
      <c r="D694" s="14" t="s">
        <v>2851</v>
      </c>
      <c r="E694" s="14" t="s">
        <v>2852</v>
      </c>
      <c r="F694" s="84" t="s">
        <v>444</v>
      </c>
      <c r="G694" s="15" t="s">
        <v>27</v>
      </c>
      <c r="H694" s="16" t="s">
        <v>2853</v>
      </c>
      <c r="I694" s="17"/>
      <c r="J694" s="17"/>
      <c r="K694" s="17"/>
      <c r="L694" s="17"/>
      <c r="N694" s="31">
        <v>692</v>
      </c>
      <c r="O694" s="32" t="s">
        <v>2854</v>
      </c>
      <c r="P694" s="33" t="s">
        <v>31</v>
      </c>
      <c r="Q694" s="32" t="s">
        <v>40</v>
      </c>
      <c r="R694" s="69">
        <v>44265.676006944443</v>
      </c>
      <c r="S694" s="71">
        <v>44354</v>
      </c>
      <c r="T694" s="32" t="str">
        <f t="shared" si="41"/>
        <v>+6282286910***</v>
      </c>
      <c r="U694" s="32" t="str">
        <f t="shared" ca="1" si="42"/>
        <v>kale***@jossmail.com</v>
      </c>
      <c r="V694" s="32">
        <f t="shared" si="43"/>
        <v>24</v>
      </c>
      <c r="W694" s="36">
        <f t="shared" si="44"/>
        <v>0.05</v>
      </c>
    </row>
    <row r="695" spans="4:23" ht="27" customHeight="1" x14ac:dyDescent="0.25">
      <c r="D695" s="14" t="s">
        <v>2855</v>
      </c>
      <c r="E695" s="14" t="s">
        <v>2856</v>
      </c>
      <c r="F695" s="84" t="s">
        <v>466</v>
      </c>
      <c r="G695" s="15" t="s">
        <v>27</v>
      </c>
      <c r="H695" s="16" t="s">
        <v>2857</v>
      </c>
      <c r="I695" s="17"/>
      <c r="J695" s="17"/>
      <c r="K695" s="17"/>
      <c r="L695" s="17"/>
      <c r="N695" s="31">
        <v>693</v>
      </c>
      <c r="O695" s="32" t="s">
        <v>2858</v>
      </c>
      <c r="P695" s="33" t="s">
        <v>31</v>
      </c>
      <c r="Q695" s="32" t="s">
        <v>32</v>
      </c>
      <c r="R695" s="69">
        <v>43683.933668981481</v>
      </c>
      <c r="S695" s="35">
        <v>44354</v>
      </c>
      <c r="T695" s="32" t="str">
        <f t="shared" si="41"/>
        <v>+85237037***</v>
      </c>
      <c r="U695" s="32" t="str">
        <f t="shared" ca="1" si="42"/>
        <v>anah***@yuhuumail.com</v>
      </c>
      <c r="V695" s="32">
        <f t="shared" si="43"/>
        <v>22</v>
      </c>
      <c r="W695" s="36">
        <f t="shared" si="44"/>
        <v>6.5000000000000002E-2</v>
      </c>
    </row>
    <row r="696" spans="4:23" ht="27" customHeight="1" x14ac:dyDescent="0.25">
      <c r="D696" s="14" t="s">
        <v>2859</v>
      </c>
      <c r="E696" s="14" t="s">
        <v>2860</v>
      </c>
      <c r="F696" s="84" t="s">
        <v>129</v>
      </c>
      <c r="G696" s="15" t="s">
        <v>27</v>
      </c>
      <c r="H696" s="16" t="s">
        <v>2861</v>
      </c>
      <c r="I696" s="17"/>
      <c r="J696" s="17"/>
      <c r="K696" s="17"/>
      <c r="L696" s="17"/>
      <c r="N696" s="31">
        <v>694</v>
      </c>
      <c r="O696" s="32" t="s">
        <v>2862</v>
      </c>
      <c r="P696" s="33" t="s">
        <v>57</v>
      </c>
      <c r="Q696" s="32" t="s">
        <v>40</v>
      </c>
      <c r="R696" s="69">
        <v>43752.542094907411</v>
      </c>
      <c r="S696" s="35">
        <v>44352</v>
      </c>
      <c r="T696" s="32" t="str">
        <f t="shared" si="41"/>
        <v>+6283217677***</v>
      </c>
      <c r="U696" s="32" t="str">
        <f t="shared" ca="1" si="42"/>
        <v>tiff***@yuhuumail.com</v>
      </c>
      <c r="V696" s="32">
        <f t="shared" si="43"/>
        <v>23</v>
      </c>
      <c r="W696" s="36">
        <f t="shared" si="44"/>
        <v>6.5000000000000002E-2</v>
      </c>
    </row>
    <row r="697" spans="4:23" ht="27" customHeight="1" x14ac:dyDescent="0.25">
      <c r="D697" s="14" t="s">
        <v>2863</v>
      </c>
      <c r="E697" s="14" t="s">
        <v>2864</v>
      </c>
      <c r="F697" s="84" t="s">
        <v>1473</v>
      </c>
      <c r="G697" s="15" t="s">
        <v>27</v>
      </c>
      <c r="H697" s="16" t="s">
        <v>2865</v>
      </c>
      <c r="I697" s="17"/>
      <c r="J697" s="17"/>
      <c r="K697" s="17"/>
      <c r="L697" s="17"/>
      <c r="N697" s="31">
        <v>695</v>
      </c>
      <c r="O697" s="32" t="s">
        <v>2866</v>
      </c>
      <c r="P697" s="33" t="s">
        <v>31</v>
      </c>
      <c r="Q697" s="32" t="s">
        <v>32</v>
      </c>
      <c r="R697" s="69">
        <v>43993.521944444445</v>
      </c>
      <c r="S697" s="35">
        <v>44358</v>
      </c>
      <c r="T697" s="32" t="str">
        <f t="shared" si="41"/>
        <v>+84226532***</v>
      </c>
      <c r="U697" s="32" t="str">
        <f t="shared" ca="1" si="42"/>
        <v>ange***@yuhuumail.com</v>
      </c>
      <c r="V697" s="32">
        <f t="shared" si="43"/>
        <v>23</v>
      </c>
      <c r="W697" s="36">
        <f t="shared" si="44"/>
        <v>6.5000000000000002E-2</v>
      </c>
    </row>
    <row r="698" spans="4:23" ht="27" customHeight="1" x14ac:dyDescent="0.25">
      <c r="D698" s="14" t="s">
        <v>2867</v>
      </c>
      <c r="E698" s="14" t="s">
        <v>1968</v>
      </c>
      <c r="F698" s="84" t="s">
        <v>143</v>
      </c>
      <c r="G698" s="15" t="s">
        <v>27</v>
      </c>
      <c r="H698" s="16" t="s">
        <v>2868</v>
      </c>
      <c r="I698" s="17"/>
      <c r="J698" s="17"/>
      <c r="K698" s="17"/>
      <c r="L698" s="17"/>
      <c r="N698" s="31">
        <v>696</v>
      </c>
      <c r="O698" s="32" t="s">
        <v>2869</v>
      </c>
      <c r="P698" s="33" t="s">
        <v>31</v>
      </c>
      <c r="Q698" s="32" t="s">
        <v>40</v>
      </c>
      <c r="R698" s="69">
        <v>44265.677939814814</v>
      </c>
      <c r="S698" s="35">
        <v>44318</v>
      </c>
      <c r="T698" s="32" t="str">
        <f t="shared" si="41"/>
        <v>+084247319***</v>
      </c>
      <c r="U698" s="32" t="str">
        <f t="shared" ca="1" si="42"/>
        <v>myar***@jossmail.com</v>
      </c>
      <c r="V698" s="32">
        <f t="shared" si="43"/>
        <v>24</v>
      </c>
      <c r="W698" s="36">
        <f t="shared" si="44"/>
        <v>0.05</v>
      </c>
    </row>
    <row r="699" spans="4:23" ht="27" customHeight="1" x14ac:dyDescent="0.25">
      <c r="D699" s="14" t="s">
        <v>2870</v>
      </c>
      <c r="E699" s="14" t="s">
        <v>2871</v>
      </c>
      <c r="F699" s="84" t="s">
        <v>261</v>
      </c>
      <c r="G699" s="15" t="s">
        <v>27</v>
      </c>
      <c r="H699" s="16" t="s">
        <v>2872</v>
      </c>
      <c r="I699" s="17"/>
      <c r="J699" s="17"/>
      <c r="K699" s="17"/>
      <c r="L699" s="17"/>
      <c r="N699" s="31">
        <v>697</v>
      </c>
      <c r="O699" s="32" t="s">
        <v>2873</v>
      </c>
      <c r="P699" s="33" t="s">
        <v>42</v>
      </c>
      <c r="Q699" s="32" t="s">
        <v>32</v>
      </c>
      <c r="R699" s="69">
        <v>44265.6953587963</v>
      </c>
      <c r="S699" s="35">
        <v>44362</v>
      </c>
      <c r="T699" s="32" t="str">
        <f t="shared" si="41"/>
        <v>+83250895***</v>
      </c>
      <c r="U699" s="32" t="str">
        <f t="shared" ca="1" si="42"/>
        <v>rowa***@jossmail.com</v>
      </c>
      <c r="V699" s="32">
        <f t="shared" si="43"/>
        <v>24</v>
      </c>
      <c r="W699" s="36">
        <f t="shared" si="44"/>
        <v>0.05</v>
      </c>
    </row>
    <row r="700" spans="4:23" ht="27" customHeight="1" x14ac:dyDescent="0.25">
      <c r="D700" s="14" t="s">
        <v>2874</v>
      </c>
      <c r="E700" s="14" t="s">
        <v>2875</v>
      </c>
      <c r="F700" s="84" t="s">
        <v>266</v>
      </c>
      <c r="G700" s="15" t="s">
        <v>27</v>
      </c>
      <c r="H700" s="16" t="s">
        <v>2876</v>
      </c>
      <c r="I700" s="17"/>
      <c r="J700" s="17"/>
      <c r="K700" s="17"/>
      <c r="L700" s="17"/>
      <c r="N700" s="31">
        <v>698</v>
      </c>
      <c r="O700" s="32" t="s">
        <v>2877</v>
      </c>
      <c r="P700" s="33" t="s">
        <v>31</v>
      </c>
      <c r="Q700" s="32" t="s">
        <v>40</v>
      </c>
      <c r="R700" s="69">
        <v>44265.688159722224</v>
      </c>
      <c r="S700" s="35">
        <v>44362</v>
      </c>
      <c r="T700" s="32" t="str">
        <f t="shared" si="41"/>
        <v>+812 38118***</v>
      </c>
      <c r="U700" s="32" t="str">
        <f t="shared" ca="1" si="42"/>
        <v>aliv***@jossmail.com</v>
      </c>
      <c r="V700" s="32">
        <f t="shared" si="43"/>
        <v>24</v>
      </c>
      <c r="W700" s="36">
        <f t="shared" si="44"/>
        <v>0.05</v>
      </c>
    </row>
    <row r="701" spans="4:23" ht="27" customHeight="1" x14ac:dyDescent="0.25">
      <c r="D701" s="14" t="s">
        <v>2878</v>
      </c>
      <c r="E701" s="14" t="s">
        <v>2879</v>
      </c>
      <c r="F701" s="84" t="s">
        <v>348</v>
      </c>
      <c r="G701" s="15" t="s">
        <v>27</v>
      </c>
      <c r="H701" s="16" t="s">
        <v>2880</v>
      </c>
      <c r="I701" s="17"/>
      <c r="J701" s="17"/>
      <c r="K701" s="17"/>
      <c r="L701" s="17"/>
      <c r="N701" s="31">
        <v>699</v>
      </c>
      <c r="O701" s="32" t="s">
        <v>2881</v>
      </c>
      <c r="P701" s="33" t="s">
        <v>57</v>
      </c>
      <c r="Q701" s="32" t="s">
        <v>32</v>
      </c>
      <c r="R701" s="69">
        <v>44265.699074074073</v>
      </c>
      <c r="S701" s="35">
        <v>44354</v>
      </c>
      <c r="T701" s="32" t="str">
        <f t="shared" si="41"/>
        <v>+6282291887***</v>
      </c>
      <c r="U701" s="32" t="str">
        <f t="shared" ca="1" si="42"/>
        <v>mace***@jossmail.com</v>
      </c>
      <c r="V701" s="32">
        <f t="shared" si="43"/>
        <v>24</v>
      </c>
      <c r="W701" s="36">
        <f t="shared" si="44"/>
        <v>0.05</v>
      </c>
    </row>
    <row r="702" spans="4:23" ht="27" customHeight="1" x14ac:dyDescent="0.25">
      <c r="D702" s="14" t="s">
        <v>2882</v>
      </c>
      <c r="E702" s="14" t="s">
        <v>2883</v>
      </c>
      <c r="F702" s="84" t="s">
        <v>2247</v>
      </c>
      <c r="G702" s="15" t="s">
        <v>27</v>
      </c>
      <c r="H702" s="16" t="s">
        <v>2884</v>
      </c>
      <c r="I702" s="17"/>
      <c r="J702" s="17"/>
      <c r="K702" s="17"/>
      <c r="L702" s="17"/>
      <c r="N702" s="31">
        <v>700</v>
      </c>
      <c r="O702" s="32" t="s">
        <v>2515</v>
      </c>
      <c r="P702" s="33" t="s">
        <v>42</v>
      </c>
      <c r="Q702" s="32" t="s">
        <v>40</v>
      </c>
      <c r="R702" s="69">
        <v>44265.700266203705</v>
      </c>
      <c r="S702" s="35">
        <v>44354</v>
      </c>
      <c r="T702" s="32" t="str">
        <f t="shared" si="41"/>
        <v>+822 95707***</v>
      </c>
      <c r="U702" s="32" t="str">
        <f t="shared" ca="1" si="42"/>
        <v>mare***@jossmail.com</v>
      </c>
      <c r="V702" s="32">
        <f t="shared" si="43"/>
        <v>24</v>
      </c>
      <c r="W702" s="36">
        <f t="shared" si="44"/>
        <v>0.05</v>
      </c>
    </row>
    <row r="703" spans="4:23" ht="27" customHeight="1" x14ac:dyDescent="0.25">
      <c r="D703" s="14" t="s">
        <v>2885</v>
      </c>
      <c r="E703" s="14" t="s">
        <v>2886</v>
      </c>
      <c r="F703" s="84" t="s">
        <v>627</v>
      </c>
      <c r="G703" s="15" t="s">
        <v>27</v>
      </c>
      <c r="H703" s="16" t="s">
        <v>2887</v>
      </c>
      <c r="I703" s="17"/>
      <c r="J703" s="17"/>
      <c r="K703" s="17"/>
      <c r="L703" s="17"/>
      <c r="N703" s="31">
        <v>701</v>
      </c>
      <c r="O703" s="32" t="s">
        <v>2888</v>
      </c>
      <c r="P703" s="33" t="s">
        <v>31</v>
      </c>
      <c r="Q703" s="32" t="s">
        <v>32</v>
      </c>
      <c r="R703" s="69">
        <v>44265.702650462961</v>
      </c>
      <c r="S703" s="35">
        <v>44320</v>
      </c>
      <c r="T703" s="32" t="str">
        <f t="shared" si="41"/>
        <v>+83260029***</v>
      </c>
      <c r="U703" s="32" t="str">
        <f t="shared" ca="1" si="42"/>
        <v>juli***@yuhuumail.com</v>
      </c>
      <c r="V703" s="32">
        <f t="shared" si="43"/>
        <v>24</v>
      </c>
      <c r="W703" s="36">
        <f t="shared" si="44"/>
        <v>0.05</v>
      </c>
    </row>
    <row r="704" spans="4:23" ht="27" customHeight="1" x14ac:dyDescent="0.25">
      <c r="D704" s="14" t="s">
        <v>2889</v>
      </c>
      <c r="E704" s="14" t="s">
        <v>2890</v>
      </c>
      <c r="F704" s="84" t="s">
        <v>343</v>
      </c>
      <c r="G704" s="15" t="s">
        <v>68</v>
      </c>
      <c r="H704" s="16" t="s">
        <v>2891</v>
      </c>
      <c r="I704" s="17"/>
      <c r="J704" s="17"/>
      <c r="K704" s="17"/>
      <c r="L704" s="17"/>
      <c r="N704" s="31">
        <v>702</v>
      </c>
      <c r="O704" s="32" t="s">
        <v>2892</v>
      </c>
      <c r="P704" s="33" t="s">
        <v>31</v>
      </c>
      <c r="Q704" s="32" t="s">
        <v>40</v>
      </c>
      <c r="R704" s="69">
        <v>43928.490671296298</v>
      </c>
      <c r="S704" s="35">
        <v>44352</v>
      </c>
      <c r="T704" s="32" t="str">
        <f t="shared" si="41"/>
        <v>+0852-68927***</v>
      </c>
      <c r="U704" s="32" t="str">
        <f t="shared" ca="1" si="42"/>
        <v>nanc***@jossmail.com</v>
      </c>
      <c r="V704" s="32">
        <f t="shared" si="43"/>
        <v>23</v>
      </c>
      <c r="W704" s="36">
        <f t="shared" si="44"/>
        <v>6.5000000000000002E-2</v>
      </c>
    </row>
    <row r="705" spans="4:23" ht="27" customHeight="1" x14ac:dyDescent="0.25">
      <c r="D705" s="14" t="s">
        <v>2893</v>
      </c>
      <c r="E705" s="14" t="s">
        <v>2894</v>
      </c>
      <c r="F705" s="84" t="s">
        <v>538</v>
      </c>
      <c r="G705" s="15" t="s">
        <v>27</v>
      </c>
      <c r="H705" s="16" t="s">
        <v>2895</v>
      </c>
      <c r="I705" s="17"/>
      <c r="J705" s="17"/>
      <c r="K705" s="17"/>
      <c r="L705" s="17"/>
      <c r="N705" s="31">
        <v>703</v>
      </c>
      <c r="O705" s="32" t="s">
        <v>2896</v>
      </c>
      <c r="P705" s="33" t="s">
        <v>42</v>
      </c>
      <c r="Q705" s="32" t="s">
        <v>32</v>
      </c>
      <c r="R705" s="69">
        <v>44265.711261574077</v>
      </c>
      <c r="S705" s="35">
        <v>44352</v>
      </c>
      <c r="T705" s="32" t="str">
        <f t="shared" si="41"/>
        <v>+0822-74253***</v>
      </c>
      <c r="U705" s="32" t="str">
        <f t="shared" ca="1" si="42"/>
        <v>aubr***@yuhuumail.com</v>
      </c>
      <c r="V705" s="32">
        <f t="shared" si="43"/>
        <v>24</v>
      </c>
      <c r="W705" s="36">
        <f t="shared" si="44"/>
        <v>0.05</v>
      </c>
    </row>
    <row r="706" spans="4:23" ht="27" customHeight="1" x14ac:dyDescent="0.25">
      <c r="D706" s="14" t="s">
        <v>2897</v>
      </c>
      <c r="E706" s="14" t="s">
        <v>97</v>
      </c>
      <c r="F706" s="84" t="s">
        <v>2461</v>
      </c>
      <c r="G706" s="15" t="s">
        <v>68</v>
      </c>
      <c r="H706" s="16" t="s">
        <v>2898</v>
      </c>
      <c r="I706" s="17"/>
      <c r="J706" s="17"/>
      <c r="K706" s="17"/>
      <c r="L706" s="17"/>
      <c r="N706" s="31">
        <v>704</v>
      </c>
      <c r="O706" s="32" t="s">
        <v>2899</v>
      </c>
      <c r="P706" s="33" t="s">
        <v>31</v>
      </c>
      <c r="Q706" s="32" t="s">
        <v>40</v>
      </c>
      <c r="R706" s="69">
        <v>44174.860277777778</v>
      </c>
      <c r="S706" s="35">
        <v>44356</v>
      </c>
      <c r="T706" s="32" t="str">
        <f t="shared" si="41"/>
        <v>+0842 68167***</v>
      </c>
      <c r="U706" s="32" t="str">
        <f t="shared" ca="1" si="42"/>
        <v>irvi***@yuhuumail.com</v>
      </c>
      <c r="V706" s="32">
        <f t="shared" si="43"/>
        <v>24</v>
      </c>
      <c r="W706" s="36">
        <f t="shared" si="44"/>
        <v>0.05</v>
      </c>
    </row>
    <row r="707" spans="4:23" ht="27" customHeight="1" x14ac:dyDescent="0.25">
      <c r="D707" s="14" t="s">
        <v>2900</v>
      </c>
      <c r="E707" s="14" t="s">
        <v>2901</v>
      </c>
      <c r="F707" s="84" t="s">
        <v>674</v>
      </c>
      <c r="G707" s="15" t="s">
        <v>27</v>
      </c>
      <c r="H707" s="16" t="s">
        <v>2902</v>
      </c>
      <c r="I707" s="17"/>
      <c r="J707" s="17"/>
      <c r="K707" s="17"/>
      <c r="L707" s="17"/>
      <c r="N707" s="31">
        <v>705</v>
      </c>
      <c r="O707" s="32" t="s">
        <v>1973</v>
      </c>
      <c r="P707" s="33" t="s">
        <v>31</v>
      </c>
      <c r="Q707" s="32" t="s">
        <v>32</v>
      </c>
      <c r="R707" s="69">
        <v>44265.701851851853</v>
      </c>
      <c r="S707" s="35">
        <v>44359</v>
      </c>
      <c r="T707" s="32" t="str">
        <f t="shared" si="41"/>
        <v>+082228173***</v>
      </c>
      <c r="U707" s="32" t="str">
        <f t="shared" ca="1" si="42"/>
        <v>eric***@jossmail.com</v>
      </c>
      <c r="V707" s="32">
        <f t="shared" si="43"/>
        <v>24</v>
      </c>
      <c r="W707" s="36">
        <f t="shared" si="44"/>
        <v>0.05</v>
      </c>
    </row>
    <row r="708" spans="4:23" ht="27" customHeight="1" x14ac:dyDescent="0.25">
      <c r="D708" s="14" t="s">
        <v>2903</v>
      </c>
      <c r="E708" s="14" t="s">
        <v>2904</v>
      </c>
      <c r="F708" s="84" t="s">
        <v>494</v>
      </c>
      <c r="G708" s="15" t="s">
        <v>68</v>
      </c>
      <c r="H708" s="16" t="s">
        <v>2905</v>
      </c>
      <c r="I708" s="17"/>
      <c r="J708" s="17"/>
      <c r="K708" s="17"/>
      <c r="L708" s="17"/>
      <c r="N708" s="31">
        <v>706</v>
      </c>
      <c r="O708" s="32" t="s">
        <v>2906</v>
      </c>
      <c r="P708" s="33" t="s">
        <v>57</v>
      </c>
      <c r="Q708" s="32" t="s">
        <v>40</v>
      </c>
      <c r="R708" s="69">
        <v>44265.714675925927</v>
      </c>
      <c r="S708" s="35">
        <v>44352</v>
      </c>
      <c r="T708" s="32" t="str">
        <f t="shared" si="41"/>
        <v>+832 30491***</v>
      </c>
      <c r="U708" s="32" t="str">
        <f t="shared" ca="1" si="42"/>
        <v>rose***@yuhuumail.com</v>
      </c>
      <c r="V708" s="32">
        <f t="shared" si="43"/>
        <v>24</v>
      </c>
      <c r="W708" s="36">
        <f t="shared" si="44"/>
        <v>0.05</v>
      </c>
    </row>
    <row r="709" spans="4:23" ht="27" customHeight="1" x14ac:dyDescent="0.25">
      <c r="D709" s="14" t="s">
        <v>2907</v>
      </c>
      <c r="E709" s="14" t="s">
        <v>2908</v>
      </c>
      <c r="F709" s="84" t="s">
        <v>674</v>
      </c>
      <c r="G709" s="15" t="s">
        <v>68</v>
      </c>
      <c r="H709" s="16" t="s">
        <v>2909</v>
      </c>
      <c r="I709" s="17"/>
      <c r="J709" s="17"/>
      <c r="K709" s="17"/>
      <c r="L709" s="17"/>
      <c r="N709" s="31">
        <v>707</v>
      </c>
      <c r="O709" s="32" t="s">
        <v>2910</v>
      </c>
      <c r="P709" s="33" t="s">
        <v>31</v>
      </c>
      <c r="Q709" s="32" t="s">
        <v>32</v>
      </c>
      <c r="R709" s="69">
        <v>44265.717939814815</v>
      </c>
      <c r="S709" s="71">
        <v>44358</v>
      </c>
      <c r="T709" s="32" t="str">
        <f t="shared" ref="T709:T772" si="45">"+"&amp;_xlfn.XLOOKUP($O709, $E$2:$E$3002, $H$2:$H$3002, "Not Found")</f>
        <v>+0852 88509***</v>
      </c>
      <c r="U709" s="32" t="str">
        <f t="shared" ref="U709:U772" ca="1" si="46" xml:space="preserve"> LOWER(LEFT(_xlfn.XLOOKUP($O709, $E$2:$E$3002, $D$2:$D$3002), 4))
  &amp; "***@"
  &amp; IF(RAND()&gt;0.5, "jossmail.com", "yuhuumail.com")</f>
        <v>manu***@jossmail.com</v>
      </c>
      <c r="V709" s="32">
        <f t="shared" ref="V709:V772" si="47">DATEDIF(_xlfn.XLOOKUP($O709, $E$2:$E$3002, $F$2:$F$3002), $R709, "Y")</f>
        <v>24</v>
      </c>
      <c r="W709" s="36">
        <f t="shared" ref="W709:W772" si="48">IF(DATEDIF($R709, $S709, "Y") &gt;= 3, 0.025,
   IF(DATEDIF($R709, $S709, "Y") &gt;= 1, 0.015, 0)) +
 IF($V709 &gt;= 50, 0.04,
   IF($V709 &gt;= 40, 0.03,
     IF($V709 &gt;= 30, 0.02,
       IF($V709 &gt;= 20, 0.05, 0))))</f>
        <v>0.05</v>
      </c>
    </row>
    <row r="710" spans="4:23" ht="27" customHeight="1" x14ac:dyDescent="0.25">
      <c r="D710" s="14" t="s">
        <v>2911</v>
      </c>
      <c r="E710" s="14" t="s">
        <v>1077</v>
      </c>
      <c r="F710" s="84" t="s">
        <v>764</v>
      </c>
      <c r="G710" s="15" t="s">
        <v>68</v>
      </c>
      <c r="H710" s="16" t="s">
        <v>2912</v>
      </c>
      <c r="I710" s="17"/>
      <c r="J710" s="17"/>
      <c r="K710" s="17"/>
      <c r="L710" s="17"/>
      <c r="N710" s="31">
        <v>708</v>
      </c>
      <c r="O710" s="32" t="s">
        <v>2913</v>
      </c>
      <c r="P710" s="33" t="s">
        <v>31</v>
      </c>
      <c r="Q710" s="32" t="s">
        <v>40</v>
      </c>
      <c r="R710" s="69">
        <v>44265.718715277777</v>
      </c>
      <c r="S710" s="71">
        <v>44318</v>
      </c>
      <c r="T710" s="32" t="str">
        <f t="shared" si="45"/>
        <v>+0832-26523***</v>
      </c>
      <c r="U710" s="32" t="str">
        <f t="shared" ca="1" si="46"/>
        <v>dari***@jossmail.com</v>
      </c>
      <c r="V710" s="32">
        <f t="shared" si="47"/>
        <v>24</v>
      </c>
      <c r="W710" s="36">
        <f t="shared" si="48"/>
        <v>0.05</v>
      </c>
    </row>
    <row r="711" spans="4:23" ht="27" customHeight="1" x14ac:dyDescent="0.25">
      <c r="D711" s="14" t="s">
        <v>2914</v>
      </c>
      <c r="E711" s="14" t="s">
        <v>1667</v>
      </c>
      <c r="F711" s="84" t="s">
        <v>781</v>
      </c>
      <c r="G711" s="15" t="s">
        <v>27</v>
      </c>
      <c r="H711" s="16" t="s">
        <v>2915</v>
      </c>
      <c r="I711" s="17"/>
      <c r="J711" s="17"/>
      <c r="K711" s="17"/>
      <c r="L711" s="17"/>
      <c r="N711" s="31">
        <v>709</v>
      </c>
      <c r="O711" s="32" t="s">
        <v>776</v>
      </c>
      <c r="P711" s="33" t="s">
        <v>31</v>
      </c>
      <c r="Q711" s="32" t="s">
        <v>32</v>
      </c>
      <c r="R711" s="69">
        <v>43374.512303240743</v>
      </c>
      <c r="S711" s="71">
        <v>44318</v>
      </c>
      <c r="T711" s="32" t="str">
        <f t="shared" si="45"/>
        <v>+832 79736***</v>
      </c>
      <c r="U711" s="32" t="str">
        <f t="shared" ca="1" si="46"/>
        <v>ther***@yuhuumail.com</v>
      </c>
      <c r="V711" s="32">
        <f t="shared" si="47"/>
        <v>21</v>
      </c>
      <c r="W711" s="36">
        <f t="shared" si="48"/>
        <v>6.5000000000000002E-2</v>
      </c>
    </row>
    <row r="712" spans="4:23" ht="27" customHeight="1" x14ac:dyDescent="0.25">
      <c r="D712" s="14" t="s">
        <v>2916</v>
      </c>
      <c r="E712" s="14" t="s">
        <v>2917</v>
      </c>
      <c r="F712" s="84" t="s">
        <v>887</v>
      </c>
      <c r="G712" s="15" t="s">
        <v>68</v>
      </c>
      <c r="H712" s="16" t="s">
        <v>2918</v>
      </c>
      <c r="I712" s="17"/>
      <c r="J712" s="17"/>
      <c r="K712" s="17"/>
      <c r="L712" s="17"/>
      <c r="N712" s="31">
        <v>710</v>
      </c>
      <c r="O712" s="32" t="s">
        <v>2919</v>
      </c>
      <c r="P712" s="33" t="s">
        <v>31</v>
      </c>
      <c r="Q712" s="32" t="s">
        <v>40</v>
      </c>
      <c r="R712" s="69">
        <v>44265.727349537039</v>
      </c>
      <c r="S712" s="71">
        <v>44362</v>
      </c>
      <c r="T712" s="32" t="str">
        <f t="shared" si="45"/>
        <v>+842 49488***</v>
      </c>
      <c r="U712" s="32" t="str">
        <f t="shared" ca="1" si="46"/>
        <v>beck***@jossmail.com</v>
      </c>
      <c r="V712" s="32">
        <f t="shared" si="47"/>
        <v>24</v>
      </c>
      <c r="W712" s="36">
        <f t="shared" si="48"/>
        <v>0.05</v>
      </c>
    </row>
    <row r="713" spans="4:23" ht="27" customHeight="1" x14ac:dyDescent="0.25">
      <c r="D713" s="14" t="s">
        <v>2920</v>
      </c>
      <c r="E713" s="14" t="s">
        <v>253</v>
      </c>
      <c r="F713" s="84" t="s">
        <v>1716</v>
      </c>
      <c r="G713" s="15" t="s">
        <v>68</v>
      </c>
      <c r="H713" s="16" t="s">
        <v>2921</v>
      </c>
      <c r="I713" s="17"/>
      <c r="J713" s="17"/>
      <c r="K713" s="17"/>
      <c r="L713" s="17"/>
      <c r="N713" s="31">
        <v>711</v>
      </c>
      <c r="O713" s="32" t="s">
        <v>2922</v>
      </c>
      <c r="P713" s="33" t="s">
        <v>31</v>
      </c>
      <c r="Q713" s="32" t="s">
        <v>32</v>
      </c>
      <c r="R713" s="69">
        <v>44265.733449074076</v>
      </c>
      <c r="S713" s="71">
        <v>44352</v>
      </c>
      <c r="T713" s="32" t="str">
        <f t="shared" si="45"/>
        <v>+83270907***</v>
      </c>
      <c r="U713" s="32" t="str">
        <f t="shared" ca="1" si="46"/>
        <v>josu***@yuhuumail.com</v>
      </c>
      <c r="V713" s="32">
        <f t="shared" si="47"/>
        <v>24</v>
      </c>
      <c r="W713" s="36">
        <f t="shared" si="48"/>
        <v>0.05</v>
      </c>
    </row>
    <row r="714" spans="4:23" ht="27" customHeight="1" x14ac:dyDescent="0.25">
      <c r="D714" s="14" t="s">
        <v>2923</v>
      </c>
      <c r="E714" s="14" t="s">
        <v>2924</v>
      </c>
      <c r="F714" s="84" t="s">
        <v>194</v>
      </c>
      <c r="G714" s="15" t="s">
        <v>27</v>
      </c>
      <c r="H714" s="16" t="s">
        <v>2925</v>
      </c>
      <c r="I714" s="17"/>
      <c r="J714" s="17"/>
      <c r="K714" s="17"/>
      <c r="L714" s="17"/>
      <c r="N714" s="31">
        <v>712</v>
      </c>
      <c r="O714" s="32" t="s">
        <v>2594</v>
      </c>
      <c r="P714" s="33" t="s">
        <v>57</v>
      </c>
      <c r="Q714" s="32" t="s">
        <v>40</v>
      </c>
      <c r="R714" s="69">
        <v>44265.719131944446</v>
      </c>
      <c r="S714" s="71">
        <v>44362</v>
      </c>
      <c r="T714" s="32" t="str">
        <f t="shared" si="45"/>
        <v>+0832 28912***</v>
      </c>
      <c r="U714" s="32" t="str">
        <f t="shared" ca="1" si="46"/>
        <v>elli***@yuhuumail.com</v>
      </c>
      <c r="V714" s="32">
        <f t="shared" si="47"/>
        <v>24</v>
      </c>
      <c r="W714" s="36">
        <f t="shared" si="48"/>
        <v>0.05</v>
      </c>
    </row>
    <row r="715" spans="4:23" ht="27" customHeight="1" x14ac:dyDescent="0.25">
      <c r="D715" s="14" t="s">
        <v>2926</v>
      </c>
      <c r="E715" s="14" t="s">
        <v>2927</v>
      </c>
      <c r="F715" s="84" t="s">
        <v>206</v>
      </c>
      <c r="G715" s="15" t="s">
        <v>27</v>
      </c>
      <c r="H715" s="16" t="s">
        <v>2928</v>
      </c>
      <c r="I715" s="17"/>
      <c r="J715" s="17"/>
      <c r="K715" s="17"/>
      <c r="L715" s="17"/>
      <c r="N715" s="31">
        <v>713</v>
      </c>
      <c r="O715" s="32" t="s">
        <v>2929</v>
      </c>
      <c r="P715" s="33" t="s">
        <v>42</v>
      </c>
      <c r="Q715" s="32" t="s">
        <v>32</v>
      </c>
      <c r="R715" s="69">
        <v>42640.32267361111</v>
      </c>
      <c r="S715" s="71">
        <v>44356</v>
      </c>
      <c r="T715" s="32" t="str">
        <f t="shared" si="45"/>
        <v>+812 84015***</v>
      </c>
      <c r="U715" s="32" t="str">
        <f t="shared" ca="1" si="46"/>
        <v>haid***@jossmail.com</v>
      </c>
      <c r="V715" s="32">
        <f t="shared" si="47"/>
        <v>19</v>
      </c>
      <c r="W715" s="36">
        <f t="shared" si="48"/>
        <v>2.5000000000000001E-2</v>
      </c>
    </row>
    <row r="716" spans="4:23" ht="27" customHeight="1" x14ac:dyDescent="0.25">
      <c r="D716" s="14" t="s">
        <v>2930</v>
      </c>
      <c r="E716" s="14" t="s">
        <v>1128</v>
      </c>
      <c r="F716" s="84" t="s">
        <v>67</v>
      </c>
      <c r="G716" s="15" t="s">
        <v>68</v>
      </c>
      <c r="H716" s="16" t="s">
        <v>2931</v>
      </c>
      <c r="I716" s="17"/>
      <c r="J716" s="17"/>
      <c r="K716" s="17"/>
      <c r="L716" s="17"/>
      <c r="N716" s="31">
        <v>714</v>
      </c>
      <c r="O716" s="32" t="s">
        <v>2932</v>
      </c>
      <c r="P716" s="33" t="s">
        <v>42</v>
      </c>
      <c r="Q716" s="32" t="s">
        <v>40</v>
      </c>
      <c r="R716" s="69">
        <v>43893.978784722225</v>
      </c>
      <c r="S716" s="71">
        <v>44362</v>
      </c>
      <c r="T716" s="32" t="str">
        <f t="shared" si="45"/>
        <v>+0852 89730***</v>
      </c>
      <c r="U716" s="32" t="str">
        <f t="shared" ca="1" si="46"/>
        <v>abra***@jossmail.com</v>
      </c>
      <c r="V716" s="32">
        <f t="shared" si="47"/>
        <v>23</v>
      </c>
      <c r="W716" s="36">
        <f t="shared" si="48"/>
        <v>6.5000000000000002E-2</v>
      </c>
    </row>
    <row r="717" spans="4:23" ht="27" customHeight="1" x14ac:dyDescent="0.25">
      <c r="D717" s="14" t="s">
        <v>2933</v>
      </c>
      <c r="E717" s="14" t="s">
        <v>2301</v>
      </c>
      <c r="F717" s="84" t="s">
        <v>627</v>
      </c>
      <c r="G717" s="15" t="s">
        <v>27</v>
      </c>
      <c r="H717" s="16" t="s">
        <v>2934</v>
      </c>
      <c r="I717" s="17"/>
      <c r="J717" s="17"/>
      <c r="K717" s="17"/>
      <c r="L717" s="17"/>
      <c r="N717" s="31">
        <v>715</v>
      </c>
      <c r="O717" s="32" t="s">
        <v>2935</v>
      </c>
      <c r="P717" s="33" t="s">
        <v>57</v>
      </c>
      <c r="Q717" s="32" t="s">
        <v>32</v>
      </c>
      <c r="R717" s="69">
        <v>44265.746111111112</v>
      </c>
      <c r="S717" s="71">
        <v>44362</v>
      </c>
      <c r="T717" s="32" t="str">
        <f t="shared" si="45"/>
        <v>+0812-89978***</v>
      </c>
      <c r="U717" s="32" t="str">
        <f t="shared" ca="1" si="46"/>
        <v>octa***@jossmail.com</v>
      </c>
      <c r="V717" s="32">
        <f t="shared" si="47"/>
        <v>24</v>
      </c>
      <c r="W717" s="36">
        <f t="shared" si="48"/>
        <v>0.05</v>
      </c>
    </row>
    <row r="718" spans="4:23" ht="27" customHeight="1" x14ac:dyDescent="0.25">
      <c r="D718" s="14" t="s">
        <v>2936</v>
      </c>
      <c r="E718" s="14" t="s">
        <v>2937</v>
      </c>
      <c r="F718" s="84" t="s">
        <v>900</v>
      </c>
      <c r="G718" s="15" t="s">
        <v>68</v>
      </c>
      <c r="H718" s="16" t="s">
        <v>2938</v>
      </c>
      <c r="I718" s="17"/>
      <c r="J718" s="17"/>
      <c r="K718" s="17"/>
      <c r="L718" s="17"/>
      <c r="N718" s="31">
        <v>716</v>
      </c>
      <c r="O718" s="32" t="s">
        <v>2939</v>
      </c>
      <c r="P718" s="33" t="s">
        <v>42</v>
      </c>
      <c r="Q718" s="32" t="s">
        <v>40</v>
      </c>
      <c r="R718" s="69">
        <v>43395.468460648146</v>
      </c>
      <c r="S718" s="71">
        <v>44352</v>
      </c>
      <c r="T718" s="32" t="str">
        <f t="shared" si="45"/>
        <v>+0832 84636***</v>
      </c>
      <c r="U718" s="32" t="str">
        <f t="shared" ca="1" si="46"/>
        <v>sier***@jossmail.com</v>
      </c>
      <c r="V718" s="32">
        <f t="shared" si="47"/>
        <v>22</v>
      </c>
      <c r="W718" s="36">
        <f t="shared" si="48"/>
        <v>6.5000000000000002E-2</v>
      </c>
    </row>
    <row r="719" spans="4:23" ht="27" customHeight="1" x14ac:dyDescent="0.25">
      <c r="D719" s="14" t="s">
        <v>2940</v>
      </c>
      <c r="E719" s="14" t="s">
        <v>2941</v>
      </c>
      <c r="F719" s="84" t="s">
        <v>710</v>
      </c>
      <c r="G719" s="15" t="s">
        <v>27</v>
      </c>
      <c r="H719" s="16" t="s">
        <v>2942</v>
      </c>
      <c r="I719" s="17"/>
      <c r="J719" s="17"/>
      <c r="K719" s="17"/>
      <c r="L719" s="17"/>
      <c r="N719" s="31">
        <v>717</v>
      </c>
      <c r="O719" s="32" t="s">
        <v>2943</v>
      </c>
      <c r="P719" s="33" t="s">
        <v>31</v>
      </c>
      <c r="Q719" s="32" t="s">
        <v>32</v>
      </c>
      <c r="R719" s="69">
        <v>43208.787557870368</v>
      </c>
      <c r="S719" s="71">
        <v>44320</v>
      </c>
      <c r="T719" s="32" t="str">
        <f t="shared" si="45"/>
        <v>+0822-40605***</v>
      </c>
      <c r="U719" s="32" t="str">
        <f t="shared" ca="1" si="46"/>
        <v>aliv***@jossmail.com</v>
      </c>
      <c r="V719" s="32">
        <f t="shared" si="47"/>
        <v>21</v>
      </c>
      <c r="W719" s="36">
        <f t="shared" si="48"/>
        <v>7.5000000000000011E-2</v>
      </c>
    </row>
    <row r="720" spans="4:23" ht="27" customHeight="1" x14ac:dyDescent="0.25">
      <c r="D720" s="14" t="s">
        <v>2944</v>
      </c>
      <c r="E720" s="14" t="s">
        <v>1423</v>
      </c>
      <c r="F720" s="84" t="s">
        <v>74</v>
      </c>
      <c r="G720" s="15" t="s">
        <v>27</v>
      </c>
      <c r="H720" s="16" t="s">
        <v>2945</v>
      </c>
      <c r="I720" s="17"/>
      <c r="J720" s="17"/>
      <c r="K720" s="17"/>
      <c r="L720" s="17"/>
      <c r="N720" s="31">
        <v>718</v>
      </c>
      <c r="O720" s="32" t="s">
        <v>1465</v>
      </c>
      <c r="P720" s="33" t="s">
        <v>42</v>
      </c>
      <c r="Q720" s="32" t="s">
        <v>40</v>
      </c>
      <c r="R720" s="69">
        <v>44265.752326388887</v>
      </c>
      <c r="S720" s="71">
        <v>44362</v>
      </c>
      <c r="T720" s="32" t="str">
        <f t="shared" si="45"/>
        <v>+0842 92041***</v>
      </c>
      <c r="U720" s="32" t="str">
        <f t="shared" ca="1" si="46"/>
        <v>jose***@jossmail.com</v>
      </c>
      <c r="V720" s="32">
        <f t="shared" si="47"/>
        <v>24</v>
      </c>
      <c r="W720" s="36">
        <f t="shared" si="48"/>
        <v>0.05</v>
      </c>
    </row>
    <row r="721" spans="4:23" ht="27" customHeight="1" x14ac:dyDescent="0.25">
      <c r="D721" s="14" t="s">
        <v>2946</v>
      </c>
      <c r="E721" s="14" t="s">
        <v>2947</v>
      </c>
      <c r="F721" s="84" t="s">
        <v>372</v>
      </c>
      <c r="G721" s="15" t="s">
        <v>27</v>
      </c>
      <c r="H721" s="16" t="s">
        <v>2948</v>
      </c>
      <c r="I721" s="17"/>
      <c r="J721" s="17"/>
      <c r="K721" s="17"/>
      <c r="L721" s="17"/>
      <c r="N721" s="31">
        <v>719</v>
      </c>
      <c r="O721" s="32" t="s">
        <v>2949</v>
      </c>
      <c r="P721" s="33" t="s">
        <v>42</v>
      </c>
      <c r="Q721" s="32" t="s">
        <v>32</v>
      </c>
      <c r="R721" s="69">
        <v>42483.574479166666</v>
      </c>
      <c r="S721" s="71">
        <v>44320</v>
      </c>
      <c r="T721" s="32" t="str">
        <f t="shared" si="45"/>
        <v>+0832 26469***</v>
      </c>
      <c r="U721" s="32" t="str">
        <f t="shared" ca="1" si="46"/>
        <v>memp***@jossmail.com</v>
      </c>
      <c r="V721" s="32">
        <f t="shared" si="47"/>
        <v>19</v>
      </c>
      <c r="W721" s="36">
        <f t="shared" si="48"/>
        <v>2.5000000000000001E-2</v>
      </c>
    </row>
    <row r="722" spans="4:23" ht="27" customHeight="1" x14ac:dyDescent="0.25">
      <c r="D722" s="14" t="s">
        <v>2950</v>
      </c>
      <c r="E722" s="14" t="s">
        <v>2951</v>
      </c>
      <c r="F722" s="84" t="s">
        <v>1118</v>
      </c>
      <c r="G722" s="15" t="s">
        <v>27</v>
      </c>
      <c r="H722" s="16" t="s">
        <v>2952</v>
      </c>
      <c r="I722" s="17"/>
      <c r="J722" s="17"/>
      <c r="K722" s="17"/>
      <c r="L722" s="17"/>
      <c r="N722" s="31">
        <v>720</v>
      </c>
      <c r="O722" s="32" t="s">
        <v>1113</v>
      </c>
      <c r="P722" s="33" t="s">
        <v>57</v>
      </c>
      <c r="Q722" s="32" t="s">
        <v>40</v>
      </c>
      <c r="R722" s="69">
        <v>44265.759745370371</v>
      </c>
      <c r="S722" s="71">
        <v>44354</v>
      </c>
      <c r="T722" s="32" t="str">
        <f t="shared" si="45"/>
        <v>+82250637***</v>
      </c>
      <c r="U722" s="32" t="str">
        <f t="shared" ca="1" si="46"/>
        <v>mira***@yuhuumail.com</v>
      </c>
      <c r="V722" s="32">
        <f t="shared" si="47"/>
        <v>24</v>
      </c>
      <c r="W722" s="36">
        <f t="shared" si="48"/>
        <v>0.05</v>
      </c>
    </row>
    <row r="723" spans="4:23" ht="27" customHeight="1" x14ac:dyDescent="0.25">
      <c r="D723" s="14" t="s">
        <v>2953</v>
      </c>
      <c r="E723" s="14" t="s">
        <v>2954</v>
      </c>
      <c r="F723" s="84" t="s">
        <v>1729</v>
      </c>
      <c r="G723" s="15" t="s">
        <v>27</v>
      </c>
      <c r="H723" s="16" t="s">
        <v>2955</v>
      </c>
      <c r="I723" s="17"/>
      <c r="J723" s="17"/>
      <c r="K723" s="17"/>
      <c r="L723" s="17"/>
      <c r="N723" s="31">
        <v>721</v>
      </c>
      <c r="O723" s="32" t="s">
        <v>2956</v>
      </c>
      <c r="P723" s="33" t="s">
        <v>57</v>
      </c>
      <c r="Q723" s="32" t="s">
        <v>32</v>
      </c>
      <c r="R723" s="69">
        <v>44265.763969907406</v>
      </c>
      <c r="S723" s="71">
        <v>44320</v>
      </c>
      <c r="T723" s="32" t="str">
        <f t="shared" si="45"/>
        <v>+0852 83592***</v>
      </c>
      <c r="U723" s="32" t="str">
        <f t="shared" ca="1" si="46"/>
        <v>esth***@yuhuumail.com</v>
      </c>
      <c r="V723" s="32">
        <f t="shared" si="47"/>
        <v>24</v>
      </c>
      <c r="W723" s="36">
        <f t="shared" si="48"/>
        <v>0.05</v>
      </c>
    </row>
    <row r="724" spans="4:23" ht="27" customHeight="1" x14ac:dyDescent="0.25">
      <c r="D724" s="14" t="s">
        <v>2957</v>
      </c>
      <c r="E724" s="14" t="s">
        <v>2958</v>
      </c>
      <c r="F724" s="84" t="s">
        <v>61</v>
      </c>
      <c r="G724" s="15" t="s">
        <v>27</v>
      </c>
      <c r="H724" s="16" t="s">
        <v>2959</v>
      </c>
      <c r="I724" s="17"/>
      <c r="J724" s="17"/>
      <c r="K724" s="17"/>
      <c r="L724" s="17"/>
      <c r="N724" s="31">
        <v>722</v>
      </c>
      <c r="O724" s="32" t="s">
        <v>2960</v>
      </c>
      <c r="P724" s="33" t="s">
        <v>31</v>
      </c>
      <c r="Q724" s="32" t="s">
        <v>40</v>
      </c>
      <c r="R724" s="69">
        <v>44265.766770833332</v>
      </c>
      <c r="S724" s="71">
        <v>44320</v>
      </c>
      <c r="T724" s="32" t="str">
        <f t="shared" si="45"/>
        <v>+0822-18657***</v>
      </c>
      <c r="U724" s="32" t="str">
        <f t="shared" ca="1" si="46"/>
        <v>lizb***@jossmail.com</v>
      </c>
      <c r="V724" s="32">
        <f t="shared" si="47"/>
        <v>24</v>
      </c>
      <c r="W724" s="36">
        <f t="shared" si="48"/>
        <v>0.05</v>
      </c>
    </row>
    <row r="725" spans="4:23" ht="27" customHeight="1" x14ac:dyDescent="0.25">
      <c r="D725" s="14" t="s">
        <v>2961</v>
      </c>
      <c r="E725" s="14" t="s">
        <v>1574</v>
      </c>
      <c r="F725" s="84" t="s">
        <v>508</v>
      </c>
      <c r="G725" s="15" t="s">
        <v>68</v>
      </c>
      <c r="H725" s="16" t="s">
        <v>2962</v>
      </c>
      <c r="I725" s="17"/>
      <c r="J725" s="17"/>
      <c r="K725" s="17"/>
      <c r="L725" s="17"/>
      <c r="N725" s="31">
        <v>723</v>
      </c>
      <c r="O725" s="32" t="s">
        <v>2963</v>
      </c>
      <c r="P725" s="33" t="s">
        <v>42</v>
      </c>
      <c r="Q725" s="32" t="s">
        <v>32</v>
      </c>
      <c r="R725" s="69">
        <v>44265.762928240743</v>
      </c>
      <c r="S725" s="71">
        <v>44359</v>
      </c>
      <c r="T725" s="32" t="str">
        <f t="shared" si="45"/>
        <v>+842 36733***</v>
      </c>
      <c r="U725" s="32" t="str">
        <f t="shared" ca="1" si="46"/>
        <v>shan***@jossmail.com</v>
      </c>
      <c r="V725" s="32">
        <f t="shared" si="47"/>
        <v>24</v>
      </c>
      <c r="W725" s="36">
        <f t="shared" si="48"/>
        <v>0.05</v>
      </c>
    </row>
    <row r="726" spans="4:23" ht="27" customHeight="1" x14ac:dyDescent="0.25">
      <c r="D726" s="14" t="s">
        <v>2964</v>
      </c>
      <c r="E726" s="14" t="s">
        <v>2965</v>
      </c>
      <c r="F726" s="84" t="s">
        <v>597</v>
      </c>
      <c r="G726" s="15" t="s">
        <v>68</v>
      </c>
      <c r="H726" s="16" t="s">
        <v>2966</v>
      </c>
      <c r="I726" s="17"/>
      <c r="J726" s="17"/>
      <c r="K726" s="17"/>
      <c r="L726" s="17"/>
      <c r="N726" s="31">
        <v>724</v>
      </c>
      <c r="O726" s="32" t="s">
        <v>2967</v>
      </c>
      <c r="P726" s="33" t="s">
        <v>42</v>
      </c>
      <c r="Q726" s="32" t="s">
        <v>40</v>
      </c>
      <c r="R726" s="69">
        <v>44258.765277777777</v>
      </c>
      <c r="S726" s="71">
        <v>44320</v>
      </c>
      <c r="T726" s="32" t="str">
        <f t="shared" si="45"/>
        <v>+084251159***</v>
      </c>
      <c r="U726" s="32" t="str">
        <f t="shared" ca="1" si="46"/>
        <v>samm***@yuhuumail.com</v>
      </c>
      <c r="V726" s="32">
        <f t="shared" si="47"/>
        <v>24</v>
      </c>
      <c r="W726" s="36">
        <f t="shared" si="48"/>
        <v>0.05</v>
      </c>
    </row>
    <row r="727" spans="4:23" ht="27" customHeight="1" x14ac:dyDescent="0.25">
      <c r="D727" s="14" t="s">
        <v>2968</v>
      </c>
      <c r="E727" s="14" t="s">
        <v>840</v>
      </c>
      <c r="F727" s="84" t="s">
        <v>251</v>
      </c>
      <c r="G727" s="15" t="s">
        <v>27</v>
      </c>
      <c r="H727" s="16" t="s">
        <v>2969</v>
      </c>
      <c r="I727" s="17"/>
      <c r="J727" s="17"/>
      <c r="K727" s="17"/>
      <c r="L727" s="17"/>
      <c r="N727" s="31">
        <v>725</v>
      </c>
      <c r="O727" s="32" t="s">
        <v>2970</v>
      </c>
      <c r="P727" s="33" t="s">
        <v>31</v>
      </c>
      <c r="Q727" s="32" t="s">
        <v>32</v>
      </c>
      <c r="R727" s="69">
        <v>44265.771886574075</v>
      </c>
      <c r="S727" s="71">
        <v>44321</v>
      </c>
      <c r="T727" s="32" t="str">
        <f t="shared" si="45"/>
        <v>+0852-12280***</v>
      </c>
      <c r="U727" s="32" t="str">
        <f t="shared" ca="1" si="46"/>
        <v>marc***@yuhuumail.com</v>
      </c>
      <c r="V727" s="32">
        <f t="shared" si="47"/>
        <v>24</v>
      </c>
      <c r="W727" s="36">
        <f t="shared" si="48"/>
        <v>0.05</v>
      </c>
    </row>
    <row r="728" spans="4:23" ht="27" customHeight="1" x14ac:dyDescent="0.25">
      <c r="D728" s="14" t="s">
        <v>2971</v>
      </c>
      <c r="E728" s="14" t="s">
        <v>2972</v>
      </c>
      <c r="F728" s="84" t="s">
        <v>46</v>
      </c>
      <c r="G728" s="15" t="s">
        <v>27</v>
      </c>
      <c r="H728" s="16" t="s">
        <v>2973</v>
      </c>
      <c r="I728" s="17"/>
      <c r="J728" s="17"/>
      <c r="K728" s="17"/>
      <c r="L728" s="17"/>
      <c r="N728" s="31">
        <v>726</v>
      </c>
      <c r="O728" s="32" t="s">
        <v>606</v>
      </c>
      <c r="P728" s="33" t="s">
        <v>31</v>
      </c>
      <c r="Q728" s="32" t="s">
        <v>40</v>
      </c>
      <c r="R728" s="69">
        <v>44265.773379629631</v>
      </c>
      <c r="S728" s="71">
        <v>44362</v>
      </c>
      <c r="T728" s="32" t="str">
        <f t="shared" si="45"/>
        <v>+6284252390***</v>
      </c>
      <c r="U728" s="32" t="str">
        <f t="shared" ca="1" si="46"/>
        <v>dona***@jossmail.com</v>
      </c>
      <c r="V728" s="32">
        <f t="shared" si="47"/>
        <v>24</v>
      </c>
      <c r="W728" s="36">
        <f t="shared" si="48"/>
        <v>0.05</v>
      </c>
    </row>
    <row r="729" spans="4:23" ht="27" customHeight="1" x14ac:dyDescent="0.25">
      <c r="D729" s="14" t="s">
        <v>2974</v>
      </c>
      <c r="E729" s="14" t="s">
        <v>1090</v>
      </c>
      <c r="F729" s="84" t="s">
        <v>764</v>
      </c>
      <c r="G729" s="15" t="s">
        <v>68</v>
      </c>
      <c r="H729" s="16" t="s">
        <v>2975</v>
      </c>
      <c r="I729" s="17"/>
      <c r="J729" s="17"/>
      <c r="K729" s="17"/>
      <c r="L729" s="17"/>
      <c r="N729" s="31">
        <v>727</v>
      </c>
      <c r="O729" s="32" t="s">
        <v>2976</v>
      </c>
      <c r="P729" s="33" t="s">
        <v>57</v>
      </c>
      <c r="Q729" s="32" t="s">
        <v>32</v>
      </c>
      <c r="R729" s="69">
        <v>44265.766793981478</v>
      </c>
      <c r="S729" s="35">
        <v>44320</v>
      </c>
      <c r="T729" s="32" t="str">
        <f t="shared" si="45"/>
        <v>+83256733***</v>
      </c>
      <c r="U729" s="32" t="str">
        <f t="shared" ca="1" si="46"/>
        <v>sabr***@yuhuumail.com</v>
      </c>
      <c r="V729" s="32">
        <f t="shared" si="47"/>
        <v>24</v>
      </c>
      <c r="W729" s="36">
        <f t="shared" si="48"/>
        <v>0.05</v>
      </c>
    </row>
    <row r="730" spans="4:23" ht="27" customHeight="1" x14ac:dyDescent="0.25">
      <c r="D730" s="14" t="s">
        <v>2977</v>
      </c>
      <c r="E730" s="14" t="s">
        <v>2978</v>
      </c>
      <c r="F730" s="84" t="s">
        <v>261</v>
      </c>
      <c r="G730" s="15" t="s">
        <v>68</v>
      </c>
      <c r="H730" s="16" t="s">
        <v>2979</v>
      </c>
      <c r="I730" s="17"/>
      <c r="J730" s="17"/>
      <c r="K730" s="17"/>
      <c r="L730" s="17"/>
      <c r="N730" s="31">
        <v>728</v>
      </c>
      <c r="O730" s="32" t="s">
        <v>91</v>
      </c>
      <c r="P730" s="33" t="s">
        <v>57</v>
      </c>
      <c r="Q730" s="32" t="s">
        <v>40</v>
      </c>
      <c r="R730" s="69">
        <v>44265.777187500003</v>
      </c>
      <c r="S730" s="35">
        <v>44352</v>
      </c>
      <c r="T730" s="32" t="str">
        <f t="shared" si="45"/>
        <v>+6283239538***</v>
      </c>
      <c r="U730" s="32" t="str">
        <f t="shared" ca="1" si="46"/>
        <v>ruth***@yuhuumail.com</v>
      </c>
      <c r="V730" s="32">
        <f t="shared" si="47"/>
        <v>24</v>
      </c>
      <c r="W730" s="36">
        <f t="shared" si="48"/>
        <v>0.05</v>
      </c>
    </row>
    <row r="731" spans="4:23" ht="27" customHeight="1" x14ac:dyDescent="0.25">
      <c r="D731" s="14" t="s">
        <v>2980</v>
      </c>
      <c r="E731" s="14" t="s">
        <v>2981</v>
      </c>
      <c r="F731" s="84" t="s">
        <v>2461</v>
      </c>
      <c r="G731" s="15" t="s">
        <v>68</v>
      </c>
      <c r="H731" s="16" t="s">
        <v>2982</v>
      </c>
      <c r="I731" s="17"/>
      <c r="J731" s="17"/>
      <c r="K731" s="17"/>
      <c r="L731" s="17"/>
      <c r="N731" s="31">
        <v>729</v>
      </c>
      <c r="O731" s="32" t="s">
        <v>2313</v>
      </c>
      <c r="P731" s="33" t="s">
        <v>31</v>
      </c>
      <c r="Q731" s="32" t="s">
        <v>32</v>
      </c>
      <c r="R731" s="69">
        <v>44162.443831018521</v>
      </c>
      <c r="S731" s="35">
        <v>44359</v>
      </c>
      <c r="T731" s="32" t="str">
        <f t="shared" si="45"/>
        <v>+0832 74981***</v>
      </c>
      <c r="U731" s="32" t="str">
        <f t="shared" ca="1" si="46"/>
        <v>lill***@yuhuumail.com</v>
      </c>
      <c r="V731" s="32">
        <f t="shared" si="47"/>
        <v>24</v>
      </c>
      <c r="W731" s="36">
        <f t="shared" si="48"/>
        <v>0.05</v>
      </c>
    </row>
    <row r="732" spans="4:23" ht="27" customHeight="1" x14ac:dyDescent="0.25">
      <c r="D732" s="14" t="s">
        <v>2983</v>
      </c>
      <c r="E732" s="14" t="s">
        <v>869</v>
      </c>
      <c r="F732" s="84" t="s">
        <v>719</v>
      </c>
      <c r="G732" s="15" t="s">
        <v>27</v>
      </c>
      <c r="H732" s="16" t="s">
        <v>2984</v>
      </c>
      <c r="I732" s="17"/>
      <c r="J732" s="17"/>
      <c r="K732" s="17"/>
      <c r="L732" s="17"/>
      <c r="N732" s="31">
        <v>730</v>
      </c>
      <c r="O732" s="32" t="s">
        <v>2985</v>
      </c>
      <c r="P732" s="33" t="s">
        <v>57</v>
      </c>
      <c r="Q732" s="32" t="s">
        <v>40</v>
      </c>
      <c r="R732" s="69">
        <v>44265.781828703701</v>
      </c>
      <c r="S732" s="35">
        <v>44362</v>
      </c>
      <c r="T732" s="32" t="str">
        <f t="shared" si="45"/>
        <v>+0842-16635***</v>
      </c>
      <c r="U732" s="32" t="str">
        <f t="shared" ca="1" si="46"/>
        <v>lace***@yuhuumail.com</v>
      </c>
      <c r="V732" s="32">
        <f t="shared" si="47"/>
        <v>24</v>
      </c>
      <c r="W732" s="36">
        <f t="shared" si="48"/>
        <v>0.05</v>
      </c>
    </row>
    <row r="733" spans="4:23" ht="27" customHeight="1" x14ac:dyDescent="0.25">
      <c r="D733" s="14" t="s">
        <v>2986</v>
      </c>
      <c r="E733" s="14" t="s">
        <v>2987</v>
      </c>
      <c r="F733" s="84" t="s">
        <v>164</v>
      </c>
      <c r="G733" s="15" t="s">
        <v>27</v>
      </c>
      <c r="H733" s="16" t="s">
        <v>2988</v>
      </c>
      <c r="I733" s="17"/>
      <c r="J733" s="17"/>
      <c r="K733" s="17"/>
      <c r="L733" s="17"/>
      <c r="N733" s="31">
        <v>731</v>
      </c>
      <c r="O733" s="32" t="s">
        <v>1267</v>
      </c>
      <c r="P733" s="33" t="s">
        <v>42</v>
      </c>
      <c r="Q733" s="32" t="s">
        <v>32</v>
      </c>
      <c r="R733" s="69">
        <v>44166.753842592596</v>
      </c>
      <c r="S733" s="35">
        <v>44362</v>
      </c>
      <c r="T733" s="32" t="str">
        <f t="shared" si="45"/>
        <v>+0832 19741***</v>
      </c>
      <c r="U733" s="32" t="str">
        <f t="shared" ca="1" si="46"/>
        <v>elai***@yuhuumail.com</v>
      </c>
      <c r="V733" s="32">
        <f t="shared" si="47"/>
        <v>24</v>
      </c>
      <c r="W733" s="36">
        <f t="shared" si="48"/>
        <v>0.05</v>
      </c>
    </row>
    <row r="734" spans="4:23" ht="27" customHeight="1" x14ac:dyDescent="0.25">
      <c r="D734" s="14" t="s">
        <v>2989</v>
      </c>
      <c r="E734" s="14" t="s">
        <v>836</v>
      </c>
      <c r="F734" s="84" t="s">
        <v>251</v>
      </c>
      <c r="G734" s="15" t="s">
        <v>27</v>
      </c>
      <c r="H734" s="16" t="s">
        <v>2990</v>
      </c>
      <c r="I734" s="17"/>
      <c r="J734" s="17"/>
      <c r="K734" s="17"/>
      <c r="L734" s="17"/>
      <c r="N734" s="31">
        <v>732</v>
      </c>
      <c r="O734" s="32" t="s">
        <v>2991</v>
      </c>
      <c r="P734" s="33" t="s">
        <v>31</v>
      </c>
      <c r="Q734" s="32" t="s">
        <v>40</v>
      </c>
      <c r="R734" s="69">
        <v>44265.782858796294</v>
      </c>
      <c r="S734" s="35">
        <v>44359</v>
      </c>
      <c r="T734" s="32" t="str">
        <f t="shared" si="45"/>
        <v>+081243897***</v>
      </c>
      <c r="U734" s="32" t="str">
        <f t="shared" ca="1" si="46"/>
        <v>bran***@jossmail.com</v>
      </c>
      <c r="V734" s="32">
        <f t="shared" si="47"/>
        <v>24</v>
      </c>
      <c r="W734" s="36">
        <f t="shared" si="48"/>
        <v>0.05</v>
      </c>
    </row>
    <row r="735" spans="4:23" ht="27" customHeight="1" x14ac:dyDescent="0.25">
      <c r="D735" s="14" t="s">
        <v>2992</v>
      </c>
      <c r="E735" s="14" t="s">
        <v>2993</v>
      </c>
      <c r="F735" s="84" t="s">
        <v>508</v>
      </c>
      <c r="G735" s="15" t="s">
        <v>27</v>
      </c>
      <c r="H735" s="16" t="s">
        <v>2994</v>
      </c>
      <c r="I735" s="17"/>
      <c r="J735" s="17"/>
      <c r="K735" s="17"/>
      <c r="L735" s="17"/>
      <c r="N735" s="31">
        <v>733</v>
      </c>
      <c r="O735" s="32" t="s">
        <v>2995</v>
      </c>
      <c r="P735" s="33" t="s">
        <v>31</v>
      </c>
      <c r="Q735" s="32" t="s">
        <v>32</v>
      </c>
      <c r="R735" s="69">
        <v>44150.608599537038</v>
      </c>
      <c r="S735" s="35">
        <v>44356</v>
      </c>
      <c r="T735" s="32" t="str">
        <f t="shared" si="45"/>
        <v>+0832-53521***</v>
      </c>
      <c r="U735" s="32" t="str">
        <f t="shared" ca="1" si="46"/>
        <v>lenn***@yuhuumail.com</v>
      </c>
      <c r="V735" s="32">
        <f t="shared" si="47"/>
        <v>24</v>
      </c>
      <c r="W735" s="36">
        <f t="shared" si="48"/>
        <v>0.05</v>
      </c>
    </row>
    <row r="736" spans="4:23" ht="27" customHeight="1" x14ac:dyDescent="0.25">
      <c r="D736" s="14" t="s">
        <v>2996</v>
      </c>
      <c r="E736" s="14" t="s">
        <v>766</v>
      </c>
      <c r="F736" s="84" t="s">
        <v>2997</v>
      </c>
      <c r="G736" s="15" t="s">
        <v>27</v>
      </c>
      <c r="H736" s="16" t="s">
        <v>2998</v>
      </c>
      <c r="I736" s="17"/>
      <c r="J736" s="17"/>
      <c r="K736" s="17"/>
      <c r="L736" s="17"/>
      <c r="N736" s="31">
        <v>734</v>
      </c>
      <c r="O736" s="32" t="s">
        <v>2999</v>
      </c>
      <c r="P736" s="33" t="s">
        <v>31</v>
      </c>
      <c r="Q736" s="32" t="s">
        <v>40</v>
      </c>
      <c r="R736" s="69">
        <v>44265.78634259259</v>
      </c>
      <c r="S736" s="35">
        <v>44354</v>
      </c>
      <c r="T736" s="32" t="str">
        <f t="shared" si="45"/>
        <v>+0832-37374***</v>
      </c>
      <c r="U736" s="32" t="str">
        <f t="shared" ca="1" si="46"/>
        <v>paul***@jossmail.com</v>
      </c>
      <c r="V736" s="32">
        <f t="shared" si="47"/>
        <v>24</v>
      </c>
      <c r="W736" s="36">
        <f t="shared" si="48"/>
        <v>0.05</v>
      </c>
    </row>
    <row r="737" spans="4:23" ht="27" customHeight="1" x14ac:dyDescent="0.25">
      <c r="D737" s="14" t="s">
        <v>3000</v>
      </c>
      <c r="E737" s="14" t="s">
        <v>2817</v>
      </c>
      <c r="F737" s="84" t="s">
        <v>422</v>
      </c>
      <c r="G737" s="15" t="s">
        <v>68</v>
      </c>
      <c r="H737" s="16" t="s">
        <v>3001</v>
      </c>
      <c r="I737" s="17"/>
      <c r="J737" s="17"/>
      <c r="K737" s="17"/>
      <c r="L737" s="17"/>
      <c r="N737" s="31">
        <v>735</v>
      </c>
      <c r="O737" s="32" t="s">
        <v>1576</v>
      </c>
      <c r="P737" s="33" t="s">
        <v>31</v>
      </c>
      <c r="Q737" s="32" t="s">
        <v>32</v>
      </c>
      <c r="R737" s="69">
        <v>44265.792534722219</v>
      </c>
      <c r="S737" s="35">
        <v>44318</v>
      </c>
      <c r="T737" s="32" t="str">
        <f t="shared" si="45"/>
        <v>+832 55048***</v>
      </c>
      <c r="U737" s="32" t="str">
        <f t="shared" ca="1" si="46"/>
        <v>kath***@jossmail.com</v>
      </c>
      <c r="V737" s="32">
        <f t="shared" si="47"/>
        <v>24</v>
      </c>
      <c r="W737" s="36">
        <f t="shared" si="48"/>
        <v>0.05</v>
      </c>
    </row>
    <row r="738" spans="4:23" ht="27" customHeight="1" x14ac:dyDescent="0.25">
      <c r="D738" s="14" t="s">
        <v>3002</v>
      </c>
      <c r="E738" s="14" t="s">
        <v>3003</v>
      </c>
      <c r="F738" s="84" t="s">
        <v>524</v>
      </c>
      <c r="G738" s="15" t="s">
        <v>68</v>
      </c>
      <c r="H738" s="16" t="s">
        <v>3004</v>
      </c>
      <c r="I738" s="17"/>
      <c r="J738" s="17"/>
      <c r="K738" s="17"/>
      <c r="L738" s="17"/>
      <c r="N738" s="31">
        <v>736</v>
      </c>
      <c r="O738" s="32" t="s">
        <v>3005</v>
      </c>
      <c r="P738" s="33" t="s">
        <v>42</v>
      </c>
      <c r="Q738" s="32" t="s">
        <v>40</v>
      </c>
      <c r="R738" s="69">
        <v>44265.789884259262</v>
      </c>
      <c r="S738" s="35">
        <v>44354</v>
      </c>
      <c r="T738" s="32" t="str">
        <f t="shared" si="45"/>
        <v>+0842-33232***</v>
      </c>
      <c r="U738" s="32" t="str">
        <f t="shared" ca="1" si="46"/>
        <v>clai***@jossmail.com</v>
      </c>
      <c r="V738" s="32">
        <f t="shared" si="47"/>
        <v>24</v>
      </c>
      <c r="W738" s="36">
        <f t="shared" si="48"/>
        <v>0.05</v>
      </c>
    </row>
    <row r="739" spans="4:23" ht="27" customHeight="1" x14ac:dyDescent="0.25">
      <c r="D739" s="14" t="s">
        <v>3006</v>
      </c>
      <c r="E739" s="14" t="s">
        <v>3007</v>
      </c>
      <c r="F739" s="84" t="s">
        <v>290</v>
      </c>
      <c r="G739" s="15" t="s">
        <v>27</v>
      </c>
      <c r="H739" s="16" t="s">
        <v>3008</v>
      </c>
      <c r="I739" s="17"/>
      <c r="J739" s="17"/>
      <c r="K739" s="17"/>
      <c r="L739" s="17"/>
      <c r="N739" s="31">
        <v>737</v>
      </c>
      <c r="O739" s="32" t="s">
        <v>3009</v>
      </c>
      <c r="P739" s="33" t="s">
        <v>31</v>
      </c>
      <c r="Q739" s="32" t="s">
        <v>32</v>
      </c>
      <c r="R739" s="69">
        <v>44265.796377314815</v>
      </c>
      <c r="S739" s="35">
        <v>44354</v>
      </c>
      <c r="T739" s="32" t="str">
        <f t="shared" si="45"/>
        <v>+83270992***</v>
      </c>
      <c r="U739" s="32" t="str">
        <f t="shared" ca="1" si="46"/>
        <v>caro***@yuhuumail.com</v>
      </c>
      <c r="V739" s="32">
        <f t="shared" si="47"/>
        <v>24</v>
      </c>
      <c r="W739" s="36">
        <f t="shared" si="48"/>
        <v>0.05</v>
      </c>
    </row>
    <row r="740" spans="4:23" ht="27" customHeight="1" x14ac:dyDescent="0.25">
      <c r="D740" s="14" t="s">
        <v>3010</v>
      </c>
      <c r="E740" s="14" t="s">
        <v>3011</v>
      </c>
      <c r="F740" s="84" t="s">
        <v>92</v>
      </c>
      <c r="G740" s="15" t="s">
        <v>27</v>
      </c>
      <c r="H740" s="16" t="s">
        <v>3012</v>
      </c>
      <c r="I740" s="17"/>
      <c r="J740" s="17"/>
      <c r="K740" s="17"/>
      <c r="L740" s="17"/>
      <c r="N740" s="31">
        <v>738</v>
      </c>
      <c r="O740" s="32" t="s">
        <v>3013</v>
      </c>
      <c r="P740" s="33" t="s">
        <v>57</v>
      </c>
      <c r="Q740" s="32" t="s">
        <v>40</v>
      </c>
      <c r="R740" s="69">
        <v>44265.789814814816</v>
      </c>
      <c r="S740" s="35">
        <v>44318</v>
      </c>
      <c r="T740" s="32" t="str">
        <f t="shared" si="45"/>
        <v>+83275258***</v>
      </c>
      <c r="U740" s="32" t="str">
        <f t="shared" ca="1" si="46"/>
        <v>layl***@jossmail.com</v>
      </c>
      <c r="V740" s="32">
        <f t="shared" si="47"/>
        <v>24</v>
      </c>
      <c r="W740" s="36">
        <f t="shared" si="48"/>
        <v>0.05</v>
      </c>
    </row>
    <row r="741" spans="4:23" ht="27" customHeight="1" x14ac:dyDescent="0.25">
      <c r="D741" s="14" t="s">
        <v>3014</v>
      </c>
      <c r="E741" s="14" t="s">
        <v>3015</v>
      </c>
      <c r="F741" s="84" t="s">
        <v>121</v>
      </c>
      <c r="G741" s="15" t="s">
        <v>27</v>
      </c>
      <c r="H741" s="16" t="s">
        <v>3016</v>
      </c>
      <c r="I741" s="17"/>
      <c r="J741" s="17"/>
      <c r="K741" s="17"/>
      <c r="L741" s="17"/>
      <c r="N741" s="31">
        <v>739</v>
      </c>
      <c r="O741" s="32" t="s">
        <v>3017</v>
      </c>
      <c r="P741" s="33" t="s">
        <v>42</v>
      </c>
      <c r="Q741" s="32" t="s">
        <v>32</v>
      </c>
      <c r="R741" s="69">
        <v>44265.802164351851</v>
      </c>
      <c r="S741" s="35">
        <v>44318</v>
      </c>
      <c r="T741" s="32" t="str">
        <f t="shared" si="45"/>
        <v>+6285219973***</v>
      </c>
      <c r="U741" s="32" t="str">
        <f t="shared" ca="1" si="46"/>
        <v>alex***@yuhuumail.com</v>
      </c>
      <c r="V741" s="32">
        <f t="shared" si="47"/>
        <v>24</v>
      </c>
      <c r="W741" s="36">
        <f t="shared" si="48"/>
        <v>0.05</v>
      </c>
    </row>
    <row r="742" spans="4:23" ht="27" customHeight="1" x14ac:dyDescent="0.25">
      <c r="D742" s="14" t="s">
        <v>3018</v>
      </c>
      <c r="E742" s="14" t="s">
        <v>721</v>
      </c>
      <c r="F742" s="84" t="s">
        <v>188</v>
      </c>
      <c r="G742" s="15" t="s">
        <v>27</v>
      </c>
      <c r="H742" s="16" t="s">
        <v>3019</v>
      </c>
      <c r="I742" s="17"/>
      <c r="J742" s="17"/>
      <c r="K742" s="17"/>
      <c r="L742" s="17"/>
      <c r="N742" s="31">
        <v>740</v>
      </c>
      <c r="O742" s="32" t="s">
        <v>3020</v>
      </c>
      <c r="P742" s="33" t="s">
        <v>31</v>
      </c>
      <c r="Q742" s="32" t="s">
        <v>40</v>
      </c>
      <c r="R742" s="69">
        <v>44265.808391203704</v>
      </c>
      <c r="S742" s="35">
        <v>44321</v>
      </c>
      <c r="T742" s="32" t="str">
        <f t="shared" si="45"/>
        <v>+84225488***</v>
      </c>
      <c r="U742" s="32" t="str">
        <f t="shared" ca="1" si="46"/>
        <v>brae***@yuhuumail.com</v>
      </c>
      <c r="V742" s="32">
        <f t="shared" si="47"/>
        <v>24</v>
      </c>
      <c r="W742" s="36">
        <f t="shared" si="48"/>
        <v>0.05</v>
      </c>
    </row>
    <row r="743" spans="4:23" ht="27" customHeight="1" x14ac:dyDescent="0.25">
      <c r="D743" s="14" t="s">
        <v>3021</v>
      </c>
      <c r="E743" s="14" t="s">
        <v>3022</v>
      </c>
      <c r="F743" s="84" t="s">
        <v>674</v>
      </c>
      <c r="G743" s="15" t="s">
        <v>27</v>
      </c>
      <c r="H743" s="16" t="s">
        <v>3023</v>
      </c>
      <c r="I743" s="17"/>
      <c r="J743" s="17"/>
      <c r="K743" s="17"/>
      <c r="L743" s="17"/>
      <c r="N743" s="31">
        <v>741</v>
      </c>
      <c r="O743" s="32" t="s">
        <v>3011</v>
      </c>
      <c r="P743" s="33" t="s">
        <v>42</v>
      </c>
      <c r="Q743" s="32" t="s">
        <v>32</v>
      </c>
      <c r="R743" s="69">
        <v>44265.820057870369</v>
      </c>
      <c r="S743" s="71">
        <v>44318</v>
      </c>
      <c r="T743" s="32" t="str">
        <f t="shared" si="45"/>
        <v>+6282221879***</v>
      </c>
      <c r="U743" s="32" t="str">
        <f t="shared" ca="1" si="46"/>
        <v>imma***@yuhuumail.com</v>
      </c>
      <c r="V743" s="32">
        <f t="shared" si="47"/>
        <v>24</v>
      </c>
      <c r="W743" s="36">
        <f t="shared" si="48"/>
        <v>0.05</v>
      </c>
    </row>
    <row r="744" spans="4:23" ht="27" customHeight="1" x14ac:dyDescent="0.25">
      <c r="D744" s="14" t="s">
        <v>3024</v>
      </c>
      <c r="E744" s="14" t="s">
        <v>1785</v>
      </c>
      <c r="F744" s="84" t="s">
        <v>847</v>
      </c>
      <c r="G744" s="15" t="s">
        <v>68</v>
      </c>
      <c r="H744" s="16" t="s">
        <v>3025</v>
      </c>
      <c r="I744" s="17"/>
      <c r="J744" s="17"/>
      <c r="K744" s="17"/>
      <c r="L744" s="17"/>
      <c r="N744" s="31">
        <v>742</v>
      </c>
      <c r="O744" s="32" t="s">
        <v>3026</v>
      </c>
      <c r="P744" s="33" t="s">
        <v>31</v>
      </c>
      <c r="Q744" s="32" t="s">
        <v>40</v>
      </c>
      <c r="R744" s="69">
        <v>44265.82309027778</v>
      </c>
      <c r="S744" s="71">
        <v>44359</v>
      </c>
      <c r="T744" s="32" t="str">
        <f t="shared" si="45"/>
        <v>+6285222157***</v>
      </c>
      <c r="U744" s="32" t="str">
        <f t="shared" ca="1" si="46"/>
        <v>ansl***@jossmail.com</v>
      </c>
      <c r="V744" s="32">
        <f t="shared" si="47"/>
        <v>24</v>
      </c>
      <c r="W744" s="36">
        <f t="shared" si="48"/>
        <v>0.05</v>
      </c>
    </row>
    <row r="745" spans="4:23" ht="27" customHeight="1" x14ac:dyDescent="0.25">
      <c r="D745" s="14" t="s">
        <v>3027</v>
      </c>
      <c r="E745" s="14" t="s">
        <v>235</v>
      </c>
      <c r="F745" s="84" t="s">
        <v>80</v>
      </c>
      <c r="G745" s="15" t="s">
        <v>68</v>
      </c>
      <c r="H745" s="16" t="s">
        <v>3028</v>
      </c>
      <c r="I745" s="17"/>
      <c r="J745" s="17"/>
      <c r="K745" s="17"/>
      <c r="L745" s="17"/>
      <c r="N745" s="31">
        <v>743</v>
      </c>
      <c r="O745" s="32" t="s">
        <v>1981</v>
      </c>
      <c r="P745" s="33" t="s">
        <v>31</v>
      </c>
      <c r="Q745" s="32" t="s">
        <v>32</v>
      </c>
      <c r="R745" s="69">
        <v>44265.833807870367</v>
      </c>
      <c r="S745" s="71">
        <v>44354</v>
      </c>
      <c r="T745" s="32" t="str">
        <f t="shared" si="45"/>
        <v>+85277217***</v>
      </c>
      <c r="U745" s="32" t="str">
        <f t="shared" ca="1" si="46"/>
        <v>cris***@yuhuumail.com</v>
      </c>
      <c r="V745" s="32">
        <f t="shared" si="47"/>
        <v>24</v>
      </c>
      <c r="W745" s="36">
        <f t="shared" si="48"/>
        <v>0.05</v>
      </c>
    </row>
    <row r="746" spans="4:23" ht="27" customHeight="1" x14ac:dyDescent="0.25">
      <c r="D746" s="14" t="s">
        <v>3029</v>
      </c>
      <c r="E746" s="14" t="s">
        <v>3030</v>
      </c>
      <c r="F746" s="84" t="s">
        <v>206</v>
      </c>
      <c r="G746" s="15" t="s">
        <v>27</v>
      </c>
      <c r="H746" s="16" t="s">
        <v>3031</v>
      </c>
      <c r="I746" s="17"/>
      <c r="J746" s="17"/>
      <c r="K746" s="17"/>
      <c r="L746" s="17"/>
      <c r="N746" s="31">
        <v>744</v>
      </c>
      <c r="O746" s="32" t="s">
        <v>3032</v>
      </c>
      <c r="P746" s="33" t="s">
        <v>42</v>
      </c>
      <c r="Q746" s="32" t="s">
        <v>40</v>
      </c>
      <c r="R746" s="69">
        <v>43924.005416666667</v>
      </c>
      <c r="S746" s="71">
        <v>44320</v>
      </c>
      <c r="T746" s="32" t="str">
        <f t="shared" si="45"/>
        <v>+6283238879***</v>
      </c>
      <c r="U746" s="32" t="str">
        <f t="shared" ca="1" si="46"/>
        <v>hada***@yuhuumail.com</v>
      </c>
      <c r="V746" s="32">
        <f t="shared" si="47"/>
        <v>23</v>
      </c>
      <c r="W746" s="36">
        <f t="shared" si="48"/>
        <v>6.5000000000000002E-2</v>
      </c>
    </row>
    <row r="747" spans="4:23" ht="27" customHeight="1" x14ac:dyDescent="0.25">
      <c r="D747" s="14" t="s">
        <v>3033</v>
      </c>
      <c r="E747" s="14" t="s">
        <v>2039</v>
      </c>
      <c r="F747" s="84" t="s">
        <v>412</v>
      </c>
      <c r="G747" s="15" t="s">
        <v>27</v>
      </c>
      <c r="H747" s="16" t="s">
        <v>3034</v>
      </c>
      <c r="I747" s="17"/>
      <c r="J747" s="17"/>
      <c r="K747" s="17"/>
      <c r="L747" s="17"/>
      <c r="N747" s="31">
        <v>745</v>
      </c>
      <c r="O747" s="32" t="s">
        <v>1295</v>
      </c>
      <c r="P747" s="33" t="s">
        <v>31</v>
      </c>
      <c r="Q747" s="32" t="s">
        <v>32</v>
      </c>
      <c r="R747" s="69">
        <v>44265.836863425924</v>
      </c>
      <c r="S747" s="71">
        <v>44355</v>
      </c>
      <c r="T747" s="32" t="str">
        <f t="shared" si="45"/>
        <v>+084275456***</v>
      </c>
      <c r="U747" s="32" t="str">
        <f t="shared" ca="1" si="46"/>
        <v>keel***@jossmail.com</v>
      </c>
      <c r="V747" s="32">
        <f t="shared" si="47"/>
        <v>24</v>
      </c>
      <c r="W747" s="36">
        <f t="shared" si="48"/>
        <v>0.05</v>
      </c>
    </row>
    <row r="748" spans="4:23" ht="27" customHeight="1" x14ac:dyDescent="0.25">
      <c r="D748" s="14" t="s">
        <v>3035</v>
      </c>
      <c r="E748" s="14" t="s">
        <v>3036</v>
      </c>
      <c r="F748" s="84" t="s">
        <v>129</v>
      </c>
      <c r="G748" s="15" t="s">
        <v>27</v>
      </c>
      <c r="H748" s="16" t="s">
        <v>3037</v>
      </c>
      <c r="I748" s="17"/>
      <c r="J748" s="17"/>
      <c r="K748" s="17"/>
      <c r="L748" s="17"/>
      <c r="N748" s="31">
        <v>746</v>
      </c>
      <c r="O748" s="32" t="s">
        <v>3038</v>
      </c>
      <c r="P748" s="33" t="s">
        <v>42</v>
      </c>
      <c r="Q748" s="32" t="s">
        <v>40</v>
      </c>
      <c r="R748" s="69">
        <v>44265.827766203707</v>
      </c>
      <c r="S748" s="71">
        <v>44318</v>
      </c>
      <c r="T748" s="32" t="str">
        <f t="shared" si="45"/>
        <v>+6284298204***</v>
      </c>
      <c r="U748" s="32" t="str">
        <f t="shared" ca="1" si="46"/>
        <v>mari***@jossmail.com</v>
      </c>
      <c r="V748" s="32">
        <f t="shared" si="47"/>
        <v>24</v>
      </c>
      <c r="W748" s="36">
        <f t="shared" si="48"/>
        <v>0.05</v>
      </c>
    </row>
    <row r="749" spans="4:23" ht="27" customHeight="1" x14ac:dyDescent="0.25">
      <c r="D749" s="14" t="s">
        <v>3039</v>
      </c>
      <c r="E749" s="14" t="s">
        <v>1324</v>
      </c>
      <c r="F749" s="84" t="s">
        <v>751</v>
      </c>
      <c r="G749" s="15" t="s">
        <v>27</v>
      </c>
      <c r="H749" s="16" t="s">
        <v>3040</v>
      </c>
      <c r="I749" s="17"/>
      <c r="J749" s="17"/>
      <c r="K749" s="17"/>
      <c r="L749" s="17"/>
      <c r="N749" s="31">
        <v>747</v>
      </c>
      <c r="O749" s="32" t="s">
        <v>3041</v>
      </c>
      <c r="P749" s="33" t="s">
        <v>57</v>
      </c>
      <c r="Q749" s="32" t="s">
        <v>32</v>
      </c>
      <c r="R749" s="69">
        <v>44265.781076388892</v>
      </c>
      <c r="S749" s="71">
        <v>44356</v>
      </c>
      <c r="T749" s="32" t="str">
        <f t="shared" si="45"/>
        <v>+0852-64978***</v>
      </c>
      <c r="U749" s="32" t="str">
        <f t="shared" ca="1" si="46"/>
        <v>madi***@jossmail.com</v>
      </c>
      <c r="V749" s="32">
        <f t="shared" si="47"/>
        <v>24</v>
      </c>
      <c r="W749" s="36">
        <f t="shared" si="48"/>
        <v>0.05</v>
      </c>
    </row>
    <row r="750" spans="4:23" ht="27" customHeight="1" x14ac:dyDescent="0.25">
      <c r="D750" s="14" t="s">
        <v>3042</v>
      </c>
      <c r="E750" s="14" t="s">
        <v>3043</v>
      </c>
      <c r="F750" s="84" t="s">
        <v>61</v>
      </c>
      <c r="G750" s="15" t="s">
        <v>27</v>
      </c>
      <c r="H750" s="16" t="s">
        <v>3044</v>
      </c>
      <c r="I750" s="17"/>
      <c r="J750" s="17"/>
      <c r="K750" s="17"/>
      <c r="L750" s="17"/>
      <c r="N750" s="31">
        <v>748</v>
      </c>
      <c r="O750" s="32" t="s">
        <v>3045</v>
      </c>
      <c r="P750" s="33" t="s">
        <v>31</v>
      </c>
      <c r="Q750" s="32" t="s">
        <v>40</v>
      </c>
      <c r="R750" s="69">
        <v>44265.850219907406</v>
      </c>
      <c r="S750" s="71">
        <v>44320</v>
      </c>
      <c r="T750" s="32" t="str">
        <f t="shared" si="45"/>
        <v>+085275259***</v>
      </c>
      <c r="U750" s="32" t="str">
        <f t="shared" ca="1" si="46"/>
        <v>toby***@jossmail.com</v>
      </c>
      <c r="V750" s="32">
        <f t="shared" si="47"/>
        <v>24</v>
      </c>
      <c r="W750" s="36">
        <f t="shared" si="48"/>
        <v>0.05</v>
      </c>
    </row>
    <row r="751" spans="4:23" ht="27" customHeight="1" x14ac:dyDescent="0.25">
      <c r="D751" s="14" t="s">
        <v>3046</v>
      </c>
      <c r="E751" s="14" t="s">
        <v>3047</v>
      </c>
      <c r="F751" s="84" t="s">
        <v>321</v>
      </c>
      <c r="G751" s="15" t="s">
        <v>27</v>
      </c>
      <c r="H751" s="16" t="s">
        <v>3048</v>
      </c>
      <c r="I751" s="17"/>
      <c r="J751" s="17"/>
      <c r="K751" s="17"/>
      <c r="L751" s="17"/>
      <c r="N751" s="31">
        <v>749</v>
      </c>
      <c r="O751" s="32" t="s">
        <v>801</v>
      </c>
      <c r="P751" s="33" t="s">
        <v>31</v>
      </c>
      <c r="Q751" s="32" t="s">
        <v>32</v>
      </c>
      <c r="R751" s="69">
        <v>44265.854224537034</v>
      </c>
      <c r="S751" s="71">
        <v>44356</v>
      </c>
      <c r="T751" s="32" t="str">
        <f t="shared" si="45"/>
        <v>+83263190***</v>
      </c>
      <c r="U751" s="32" t="str">
        <f t="shared" ca="1" si="46"/>
        <v>gera***@jossmail.com</v>
      </c>
      <c r="V751" s="32">
        <f t="shared" si="47"/>
        <v>24</v>
      </c>
      <c r="W751" s="36">
        <f t="shared" si="48"/>
        <v>0.05</v>
      </c>
    </row>
    <row r="752" spans="4:23" ht="27" customHeight="1" x14ac:dyDescent="0.25">
      <c r="D752" s="14" t="s">
        <v>3049</v>
      </c>
      <c r="E752" s="14" t="s">
        <v>3050</v>
      </c>
      <c r="F752" s="84" t="s">
        <v>143</v>
      </c>
      <c r="G752" s="15" t="s">
        <v>68</v>
      </c>
      <c r="H752" s="16" t="s">
        <v>3051</v>
      </c>
      <c r="I752" s="17"/>
      <c r="J752" s="17"/>
      <c r="K752" s="17"/>
      <c r="L752" s="17"/>
      <c r="N752" s="31">
        <v>750</v>
      </c>
      <c r="O752" s="32" t="s">
        <v>3052</v>
      </c>
      <c r="P752" s="33" t="s">
        <v>31</v>
      </c>
      <c r="Q752" s="32" t="s">
        <v>40</v>
      </c>
      <c r="R752" s="69">
        <v>44265.851481481484</v>
      </c>
      <c r="S752" s="71">
        <v>44362</v>
      </c>
      <c r="T752" s="32" t="str">
        <f t="shared" si="45"/>
        <v>+82278655***</v>
      </c>
      <c r="U752" s="32" t="str">
        <f t="shared" ca="1" si="46"/>
        <v>ashl***@jossmail.com</v>
      </c>
      <c r="V752" s="32">
        <f t="shared" si="47"/>
        <v>24</v>
      </c>
      <c r="W752" s="36">
        <f t="shared" si="48"/>
        <v>0.05</v>
      </c>
    </row>
    <row r="753" spans="4:23" ht="27" customHeight="1" x14ac:dyDescent="0.25">
      <c r="D753" s="14" t="s">
        <v>3053</v>
      </c>
      <c r="E753" s="14" t="s">
        <v>3054</v>
      </c>
      <c r="F753" s="84" t="s">
        <v>266</v>
      </c>
      <c r="G753" s="15" t="s">
        <v>68</v>
      </c>
      <c r="H753" s="16" t="s">
        <v>3055</v>
      </c>
      <c r="I753" s="17"/>
      <c r="J753" s="17"/>
      <c r="K753" s="17"/>
      <c r="L753" s="17"/>
      <c r="N753" s="31">
        <v>751</v>
      </c>
      <c r="O753" s="32" t="s">
        <v>3056</v>
      </c>
      <c r="P753" s="33" t="s">
        <v>42</v>
      </c>
      <c r="Q753" s="32" t="s">
        <v>32</v>
      </c>
      <c r="R753" s="69">
        <v>44265.864444444444</v>
      </c>
      <c r="S753" s="71">
        <v>44352</v>
      </c>
      <c r="T753" s="32" t="str">
        <f t="shared" si="45"/>
        <v>+6283234134***</v>
      </c>
      <c r="U753" s="32" t="str">
        <f t="shared" ca="1" si="46"/>
        <v>sant***@yuhuumail.com</v>
      </c>
      <c r="V753" s="32">
        <f t="shared" si="47"/>
        <v>24</v>
      </c>
      <c r="W753" s="36">
        <f t="shared" si="48"/>
        <v>0.05</v>
      </c>
    </row>
    <row r="754" spans="4:23" ht="27" customHeight="1" x14ac:dyDescent="0.25">
      <c r="D754" s="14" t="s">
        <v>3057</v>
      </c>
      <c r="E754" s="14" t="s">
        <v>3058</v>
      </c>
      <c r="F754" s="84" t="s">
        <v>261</v>
      </c>
      <c r="G754" s="15" t="s">
        <v>27</v>
      </c>
      <c r="H754" s="16" t="s">
        <v>3059</v>
      </c>
      <c r="I754" s="17"/>
      <c r="J754" s="17"/>
      <c r="K754" s="17"/>
      <c r="L754" s="17"/>
      <c r="N754" s="31">
        <v>752</v>
      </c>
      <c r="O754" s="32" t="s">
        <v>2590</v>
      </c>
      <c r="P754" s="33" t="s">
        <v>42</v>
      </c>
      <c r="Q754" s="32" t="s">
        <v>40</v>
      </c>
      <c r="R754" s="69">
        <v>43451.541435185187</v>
      </c>
      <c r="S754" s="71">
        <v>44352</v>
      </c>
      <c r="T754" s="32" t="str">
        <f t="shared" si="45"/>
        <v>+0832 53992***</v>
      </c>
      <c r="U754" s="32" t="str">
        <f t="shared" ca="1" si="46"/>
        <v>vivi***@yuhuumail.com</v>
      </c>
      <c r="V754" s="32">
        <f t="shared" si="47"/>
        <v>22</v>
      </c>
      <c r="W754" s="36">
        <f t="shared" si="48"/>
        <v>6.5000000000000002E-2</v>
      </c>
    </row>
    <row r="755" spans="4:23" ht="27" customHeight="1" x14ac:dyDescent="0.25">
      <c r="D755" s="14" t="s">
        <v>3060</v>
      </c>
      <c r="E755" s="14" t="s">
        <v>1902</v>
      </c>
      <c r="F755" s="84" t="s">
        <v>381</v>
      </c>
      <c r="G755" s="15" t="s">
        <v>27</v>
      </c>
      <c r="H755" s="16" t="s">
        <v>3061</v>
      </c>
      <c r="I755" s="17"/>
      <c r="J755" s="17"/>
      <c r="K755" s="17"/>
      <c r="L755" s="17"/>
      <c r="N755" s="31">
        <v>753</v>
      </c>
      <c r="O755" s="32" t="s">
        <v>3062</v>
      </c>
      <c r="P755" s="33" t="s">
        <v>31</v>
      </c>
      <c r="Q755" s="32" t="s">
        <v>32</v>
      </c>
      <c r="R755" s="69">
        <v>44265.549085648148</v>
      </c>
      <c r="S755" s="71">
        <v>44356</v>
      </c>
      <c r="T755" s="32" t="str">
        <f t="shared" si="45"/>
        <v>+83214024***</v>
      </c>
      <c r="U755" s="32" t="str">
        <f t="shared" ca="1" si="46"/>
        <v>jami***@yuhuumail.com</v>
      </c>
      <c r="V755" s="32">
        <f t="shared" si="47"/>
        <v>24</v>
      </c>
      <c r="W755" s="36">
        <f t="shared" si="48"/>
        <v>0.05</v>
      </c>
    </row>
    <row r="756" spans="4:23" ht="27" customHeight="1" x14ac:dyDescent="0.25">
      <c r="D756" s="14" t="s">
        <v>3063</v>
      </c>
      <c r="E756" s="14" t="s">
        <v>1420</v>
      </c>
      <c r="F756" s="84" t="s">
        <v>74</v>
      </c>
      <c r="G756" s="15" t="s">
        <v>27</v>
      </c>
      <c r="H756" s="16" t="s">
        <v>3064</v>
      </c>
      <c r="I756" s="17"/>
      <c r="J756" s="17"/>
      <c r="K756" s="17"/>
      <c r="L756" s="17"/>
      <c r="N756" s="31">
        <v>754</v>
      </c>
      <c r="O756" s="32" t="s">
        <v>3065</v>
      </c>
      <c r="P756" s="33" t="s">
        <v>31</v>
      </c>
      <c r="Q756" s="32" t="s">
        <v>40</v>
      </c>
      <c r="R756" s="69">
        <v>43764.284687500003</v>
      </c>
      <c r="S756" s="71">
        <v>44359</v>
      </c>
      <c r="T756" s="32" t="str">
        <f t="shared" si="45"/>
        <v>+84224234***</v>
      </c>
      <c r="U756" s="32" t="str">
        <f t="shared" ca="1" si="46"/>
        <v>regi***@jossmail.com</v>
      </c>
      <c r="V756" s="32">
        <f t="shared" si="47"/>
        <v>23</v>
      </c>
      <c r="W756" s="36">
        <f t="shared" si="48"/>
        <v>6.5000000000000002E-2</v>
      </c>
    </row>
    <row r="757" spans="4:23" ht="27" customHeight="1" x14ac:dyDescent="0.25">
      <c r="D757" s="14" t="s">
        <v>3066</v>
      </c>
      <c r="E757" s="14" t="s">
        <v>3067</v>
      </c>
      <c r="F757" s="84" t="s">
        <v>969</v>
      </c>
      <c r="G757" s="15" t="s">
        <v>27</v>
      </c>
      <c r="H757" s="16" t="s">
        <v>3068</v>
      </c>
      <c r="I757" s="17"/>
      <c r="J757" s="17"/>
      <c r="K757" s="17"/>
      <c r="L757" s="17"/>
      <c r="N757" s="31">
        <v>755</v>
      </c>
      <c r="O757" s="32" t="s">
        <v>3069</v>
      </c>
      <c r="P757" s="33" t="s">
        <v>57</v>
      </c>
      <c r="Q757" s="32" t="s">
        <v>32</v>
      </c>
      <c r="R757" s="69">
        <v>43396.709722222222</v>
      </c>
      <c r="S757" s="71">
        <v>44320</v>
      </c>
      <c r="T757" s="32" t="str">
        <f t="shared" si="45"/>
        <v>+0812 32012***</v>
      </c>
      <c r="U757" s="32" t="str">
        <f t="shared" ca="1" si="46"/>
        <v>megh***@yuhuumail.com</v>
      </c>
      <c r="V757" s="32">
        <f t="shared" si="47"/>
        <v>22</v>
      </c>
      <c r="W757" s="36">
        <f t="shared" si="48"/>
        <v>6.5000000000000002E-2</v>
      </c>
    </row>
    <row r="758" spans="4:23" ht="27" customHeight="1" x14ac:dyDescent="0.25">
      <c r="D758" s="14" t="s">
        <v>3070</v>
      </c>
      <c r="E758" s="14" t="s">
        <v>3071</v>
      </c>
      <c r="F758" s="84" t="s">
        <v>143</v>
      </c>
      <c r="G758" s="15" t="s">
        <v>27</v>
      </c>
      <c r="H758" s="16" t="s">
        <v>3072</v>
      </c>
      <c r="I758" s="17"/>
      <c r="J758" s="17"/>
      <c r="K758" s="17"/>
      <c r="L758" s="17"/>
      <c r="N758" s="31">
        <v>756</v>
      </c>
      <c r="O758" s="32" t="s">
        <v>3073</v>
      </c>
      <c r="P758" s="33" t="s">
        <v>42</v>
      </c>
      <c r="Q758" s="32" t="s">
        <v>40</v>
      </c>
      <c r="R758" s="69">
        <v>43808.608483796299</v>
      </c>
      <c r="S758" s="71">
        <v>44318</v>
      </c>
      <c r="T758" s="32" t="str">
        <f t="shared" si="45"/>
        <v>+082290266***</v>
      </c>
      <c r="U758" s="32" t="str">
        <f t="shared" ca="1" si="46"/>
        <v>carl***@jossmail.com</v>
      </c>
      <c r="V758" s="32">
        <f t="shared" si="47"/>
        <v>23</v>
      </c>
      <c r="W758" s="36">
        <f t="shared" si="48"/>
        <v>6.5000000000000002E-2</v>
      </c>
    </row>
    <row r="759" spans="4:23" ht="27" customHeight="1" x14ac:dyDescent="0.25">
      <c r="D759" s="14" t="s">
        <v>3074</v>
      </c>
      <c r="E759" s="14" t="s">
        <v>3075</v>
      </c>
      <c r="F759" s="84" t="s">
        <v>129</v>
      </c>
      <c r="G759" s="15" t="s">
        <v>27</v>
      </c>
      <c r="H759" s="16" t="s">
        <v>3076</v>
      </c>
      <c r="I759" s="17"/>
      <c r="J759" s="17"/>
      <c r="K759" s="17"/>
      <c r="L759" s="17"/>
      <c r="N759" s="31">
        <v>757</v>
      </c>
      <c r="O759" s="32" t="s">
        <v>1943</v>
      </c>
      <c r="P759" s="33" t="s">
        <v>42</v>
      </c>
      <c r="Q759" s="32" t="s">
        <v>32</v>
      </c>
      <c r="R759" s="69">
        <v>44265.899247685185</v>
      </c>
      <c r="S759" s="71">
        <v>44362</v>
      </c>
      <c r="T759" s="32" t="str">
        <f t="shared" si="45"/>
        <v>+0822 52593***</v>
      </c>
      <c r="U759" s="32" t="str">
        <f t="shared" ca="1" si="46"/>
        <v>brya***@jossmail.com</v>
      </c>
      <c r="V759" s="32">
        <f t="shared" si="47"/>
        <v>24</v>
      </c>
      <c r="W759" s="36">
        <f t="shared" si="48"/>
        <v>0.05</v>
      </c>
    </row>
    <row r="760" spans="4:23" ht="27" customHeight="1" x14ac:dyDescent="0.25">
      <c r="D760" s="14" t="s">
        <v>3077</v>
      </c>
      <c r="E760" s="14" t="s">
        <v>1858</v>
      </c>
      <c r="F760" s="84" t="s">
        <v>149</v>
      </c>
      <c r="G760" s="15" t="s">
        <v>68</v>
      </c>
      <c r="H760" s="16" t="s">
        <v>3078</v>
      </c>
      <c r="I760" s="17"/>
      <c r="J760" s="17"/>
      <c r="K760" s="17"/>
      <c r="L760" s="17"/>
      <c r="N760" s="31">
        <v>758</v>
      </c>
      <c r="O760" s="32" t="s">
        <v>3079</v>
      </c>
      <c r="P760" s="33" t="s">
        <v>57</v>
      </c>
      <c r="Q760" s="32" t="s">
        <v>40</v>
      </c>
      <c r="R760" s="69">
        <v>44265.898495370369</v>
      </c>
      <c r="S760" s="71">
        <v>44352</v>
      </c>
      <c r="T760" s="32" t="str">
        <f t="shared" si="45"/>
        <v>+081263941***</v>
      </c>
      <c r="U760" s="32" t="str">
        <f t="shared" ca="1" si="46"/>
        <v>nick***@yuhuumail.com</v>
      </c>
      <c r="V760" s="32">
        <f t="shared" si="47"/>
        <v>24</v>
      </c>
      <c r="W760" s="36">
        <f t="shared" si="48"/>
        <v>0.05</v>
      </c>
    </row>
    <row r="761" spans="4:23" ht="27" customHeight="1" x14ac:dyDescent="0.25">
      <c r="D761" s="14" t="s">
        <v>3080</v>
      </c>
      <c r="E761" s="14" t="s">
        <v>3081</v>
      </c>
      <c r="F761" s="84" t="s">
        <v>256</v>
      </c>
      <c r="G761" s="15" t="s">
        <v>27</v>
      </c>
      <c r="H761" s="16" t="s">
        <v>3082</v>
      </c>
      <c r="I761" s="17"/>
      <c r="J761" s="17"/>
      <c r="K761" s="17"/>
      <c r="L761" s="17"/>
      <c r="N761" s="31">
        <v>759</v>
      </c>
      <c r="O761" s="32" t="s">
        <v>3083</v>
      </c>
      <c r="P761" s="33" t="s">
        <v>42</v>
      </c>
      <c r="Q761" s="32" t="s">
        <v>32</v>
      </c>
      <c r="R761" s="69">
        <v>44265.903969907406</v>
      </c>
      <c r="S761" s="71">
        <v>44320</v>
      </c>
      <c r="T761" s="32" t="str">
        <f t="shared" si="45"/>
        <v>+81263925***</v>
      </c>
      <c r="U761" s="32" t="str">
        <f t="shared" ca="1" si="46"/>
        <v>aman***@jossmail.com</v>
      </c>
      <c r="V761" s="32">
        <f t="shared" si="47"/>
        <v>24</v>
      </c>
      <c r="W761" s="36">
        <f t="shared" si="48"/>
        <v>0.05</v>
      </c>
    </row>
    <row r="762" spans="4:23" ht="27" customHeight="1" x14ac:dyDescent="0.25">
      <c r="D762" s="14" t="s">
        <v>3084</v>
      </c>
      <c r="E762" s="14" t="s">
        <v>1262</v>
      </c>
      <c r="F762" s="84" t="s">
        <v>332</v>
      </c>
      <c r="G762" s="15" t="s">
        <v>68</v>
      </c>
      <c r="H762" s="16" t="s">
        <v>3085</v>
      </c>
      <c r="I762" s="17"/>
      <c r="J762" s="17"/>
      <c r="K762" s="17"/>
      <c r="L762" s="17"/>
      <c r="N762" s="31">
        <v>760</v>
      </c>
      <c r="O762" s="32" t="s">
        <v>3086</v>
      </c>
      <c r="P762" s="33" t="s">
        <v>31</v>
      </c>
      <c r="Q762" s="32" t="s">
        <v>40</v>
      </c>
      <c r="R762" s="69">
        <v>44265.909942129627</v>
      </c>
      <c r="S762" s="71">
        <v>44362</v>
      </c>
      <c r="T762" s="32" t="str">
        <f t="shared" si="45"/>
        <v>+0842-46846***</v>
      </c>
      <c r="U762" s="32" t="str">
        <f t="shared" ca="1" si="46"/>
        <v>eile***@jossmail.com</v>
      </c>
      <c r="V762" s="32">
        <f t="shared" si="47"/>
        <v>24</v>
      </c>
      <c r="W762" s="36">
        <f t="shared" si="48"/>
        <v>0.05</v>
      </c>
    </row>
    <row r="763" spans="4:23" ht="27" customHeight="1" x14ac:dyDescent="0.25">
      <c r="D763" s="14" t="s">
        <v>3087</v>
      </c>
      <c r="E763" s="14" t="s">
        <v>3088</v>
      </c>
      <c r="F763" s="84" t="s">
        <v>61</v>
      </c>
      <c r="G763" s="15" t="s">
        <v>68</v>
      </c>
      <c r="H763" s="16" t="s">
        <v>3089</v>
      </c>
      <c r="I763" s="17"/>
      <c r="J763" s="17"/>
      <c r="K763" s="17"/>
      <c r="L763" s="17"/>
      <c r="N763" s="31">
        <v>761</v>
      </c>
      <c r="O763" s="32" t="s">
        <v>3090</v>
      </c>
      <c r="P763" s="33" t="s">
        <v>31</v>
      </c>
      <c r="Q763" s="32" t="s">
        <v>32</v>
      </c>
      <c r="R763" s="69">
        <v>44265.883622685185</v>
      </c>
      <c r="S763" s="35">
        <v>44356</v>
      </c>
      <c r="T763" s="32" t="str">
        <f t="shared" si="45"/>
        <v>+83242849***</v>
      </c>
      <c r="U763" s="32" t="str">
        <f t="shared" ca="1" si="46"/>
        <v>cedr***@jossmail.com</v>
      </c>
      <c r="V763" s="32">
        <f t="shared" si="47"/>
        <v>24</v>
      </c>
      <c r="W763" s="36">
        <f t="shared" si="48"/>
        <v>0.05</v>
      </c>
    </row>
    <row r="764" spans="4:23" ht="27" customHeight="1" x14ac:dyDescent="0.25">
      <c r="D764" s="14" t="s">
        <v>3091</v>
      </c>
      <c r="E764" s="14" t="s">
        <v>3092</v>
      </c>
      <c r="F764" s="84" t="s">
        <v>524</v>
      </c>
      <c r="G764" s="15" t="s">
        <v>68</v>
      </c>
      <c r="H764" s="16" t="s">
        <v>3093</v>
      </c>
      <c r="I764" s="17"/>
      <c r="J764" s="17"/>
      <c r="K764" s="17"/>
      <c r="L764" s="17"/>
      <c r="N764" s="31">
        <v>762</v>
      </c>
      <c r="O764" s="32" t="s">
        <v>3094</v>
      </c>
      <c r="P764" s="33" t="s">
        <v>31</v>
      </c>
      <c r="Q764" s="32" t="s">
        <v>40</v>
      </c>
      <c r="R764" s="69">
        <v>44265.907685185186</v>
      </c>
      <c r="S764" s="35">
        <v>44320</v>
      </c>
      <c r="T764" s="32" t="str">
        <f t="shared" si="45"/>
        <v>+852 47106***</v>
      </c>
      <c r="U764" s="32" t="str">
        <f t="shared" ca="1" si="46"/>
        <v>camr***@yuhuumail.com</v>
      </c>
      <c r="V764" s="32">
        <f t="shared" si="47"/>
        <v>24</v>
      </c>
      <c r="W764" s="36">
        <f t="shared" si="48"/>
        <v>0.05</v>
      </c>
    </row>
    <row r="765" spans="4:23" ht="27" customHeight="1" x14ac:dyDescent="0.25">
      <c r="D765" s="14" t="s">
        <v>3095</v>
      </c>
      <c r="E765" s="14" t="s">
        <v>3096</v>
      </c>
      <c r="F765" s="84" t="s">
        <v>524</v>
      </c>
      <c r="G765" s="15" t="s">
        <v>27</v>
      </c>
      <c r="H765" s="16" t="s">
        <v>3097</v>
      </c>
      <c r="I765" s="17"/>
      <c r="J765" s="17"/>
      <c r="K765" s="17"/>
      <c r="L765" s="17"/>
      <c r="N765" s="31">
        <v>763</v>
      </c>
      <c r="O765" s="32" t="s">
        <v>3098</v>
      </c>
      <c r="P765" s="33" t="s">
        <v>57</v>
      </c>
      <c r="Q765" s="32" t="s">
        <v>32</v>
      </c>
      <c r="R765" s="69">
        <v>44265.914293981485</v>
      </c>
      <c r="S765" s="35">
        <v>44356</v>
      </c>
      <c r="T765" s="32" t="str">
        <f t="shared" si="45"/>
        <v>+6285273721***</v>
      </c>
      <c r="U765" s="32" t="str">
        <f t="shared" ca="1" si="46"/>
        <v>grac***@yuhuumail.com</v>
      </c>
      <c r="V765" s="32">
        <f t="shared" si="47"/>
        <v>24</v>
      </c>
      <c r="W765" s="36">
        <f t="shared" si="48"/>
        <v>0.05</v>
      </c>
    </row>
    <row r="766" spans="4:23" ht="27" customHeight="1" x14ac:dyDescent="0.25">
      <c r="D766" s="14" t="s">
        <v>3099</v>
      </c>
      <c r="E766" s="14" t="s">
        <v>3100</v>
      </c>
      <c r="F766" s="84" t="s">
        <v>900</v>
      </c>
      <c r="G766" s="15" t="s">
        <v>27</v>
      </c>
      <c r="H766" s="16" t="s">
        <v>3101</v>
      </c>
      <c r="I766" s="17"/>
      <c r="J766" s="17"/>
      <c r="K766" s="17"/>
      <c r="L766" s="17"/>
      <c r="N766" s="31">
        <v>764</v>
      </c>
      <c r="O766" s="32" t="s">
        <v>1061</v>
      </c>
      <c r="P766" s="33" t="s">
        <v>42</v>
      </c>
      <c r="Q766" s="32" t="s">
        <v>40</v>
      </c>
      <c r="R766" s="69">
        <v>44265.917615740742</v>
      </c>
      <c r="S766" s="35">
        <v>44352</v>
      </c>
      <c r="T766" s="32" t="str">
        <f t="shared" si="45"/>
        <v>+0822 25712***</v>
      </c>
      <c r="U766" s="32" t="str">
        <f t="shared" ca="1" si="46"/>
        <v>este***@yuhuumail.com</v>
      </c>
      <c r="V766" s="32">
        <f t="shared" si="47"/>
        <v>24</v>
      </c>
      <c r="W766" s="36">
        <f t="shared" si="48"/>
        <v>0.05</v>
      </c>
    </row>
    <row r="767" spans="4:23" ht="27" customHeight="1" x14ac:dyDescent="0.25">
      <c r="D767" s="14" t="s">
        <v>3102</v>
      </c>
      <c r="E767" s="14" t="s">
        <v>3103</v>
      </c>
      <c r="F767" s="84" t="s">
        <v>80</v>
      </c>
      <c r="G767" s="15" t="s">
        <v>27</v>
      </c>
      <c r="H767" s="16" t="s">
        <v>3104</v>
      </c>
      <c r="I767" s="17"/>
      <c r="J767" s="17"/>
      <c r="K767" s="17"/>
      <c r="L767" s="17"/>
      <c r="N767" s="31">
        <v>765</v>
      </c>
      <c r="O767" s="32" t="s">
        <v>3105</v>
      </c>
      <c r="P767" s="33" t="s">
        <v>42</v>
      </c>
      <c r="Q767" s="32" t="s">
        <v>32</v>
      </c>
      <c r="R767" s="69">
        <v>44265.925081018519</v>
      </c>
      <c r="S767" s="35">
        <v>44352</v>
      </c>
      <c r="T767" s="32" t="str">
        <f t="shared" si="45"/>
        <v>+0852 34928***</v>
      </c>
      <c r="U767" s="32" t="str">
        <f t="shared" ca="1" si="46"/>
        <v>ryla***@yuhuumail.com</v>
      </c>
      <c r="V767" s="32">
        <f t="shared" si="47"/>
        <v>24</v>
      </c>
      <c r="W767" s="36">
        <f t="shared" si="48"/>
        <v>0.05</v>
      </c>
    </row>
    <row r="768" spans="4:23" ht="27" customHeight="1" x14ac:dyDescent="0.25">
      <c r="D768" s="14" t="s">
        <v>3106</v>
      </c>
      <c r="E768" s="14" t="s">
        <v>3107</v>
      </c>
      <c r="F768" s="84" t="s">
        <v>211</v>
      </c>
      <c r="G768" s="15" t="s">
        <v>27</v>
      </c>
      <c r="H768" s="16" t="s">
        <v>3108</v>
      </c>
      <c r="I768" s="17"/>
      <c r="J768" s="17"/>
      <c r="K768" s="17"/>
      <c r="L768" s="17"/>
      <c r="N768" s="31">
        <v>766</v>
      </c>
      <c r="O768" s="32" t="s">
        <v>3109</v>
      </c>
      <c r="P768" s="33" t="s">
        <v>31</v>
      </c>
      <c r="Q768" s="32" t="s">
        <v>40</v>
      </c>
      <c r="R768" s="69">
        <v>44265.931111111109</v>
      </c>
      <c r="S768" s="35">
        <v>44359</v>
      </c>
      <c r="T768" s="32" t="str">
        <f t="shared" si="45"/>
        <v>+812 55117***</v>
      </c>
      <c r="U768" s="32" t="str">
        <f t="shared" ca="1" si="46"/>
        <v>rees***@yuhuumail.com</v>
      </c>
      <c r="V768" s="32">
        <f t="shared" si="47"/>
        <v>24</v>
      </c>
      <c r="W768" s="36">
        <f t="shared" si="48"/>
        <v>0.05</v>
      </c>
    </row>
    <row r="769" spans="4:23" ht="27" customHeight="1" x14ac:dyDescent="0.25">
      <c r="D769" s="14" t="s">
        <v>3110</v>
      </c>
      <c r="E769" s="14" t="s">
        <v>3111</v>
      </c>
      <c r="F769" s="84" t="s">
        <v>710</v>
      </c>
      <c r="G769" s="15" t="s">
        <v>68</v>
      </c>
      <c r="H769" s="16" t="s">
        <v>3112</v>
      </c>
      <c r="I769" s="17"/>
      <c r="J769" s="17"/>
      <c r="K769" s="17"/>
      <c r="L769" s="17"/>
      <c r="N769" s="31">
        <v>767</v>
      </c>
      <c r="O769" s="32" t="s">
        <v>3113</v>
      </c>
      <c r="P769" s="33" t="s">
        <v>31</v>
      </c>
      <c r="Q769" s="32" t="s">
        <v>32</v>
      </c>
      <c r="R769" s="69">
        <v>44265.904872685183</v>
      </c>
      <c r="S769" s="35">
        <v>44359</v>
      </c>
      <c r="T769" s="32" t="str">
        <f t="shared" si="45"/>
        <v>+0812-78608***</v>
      </c>
      <c r="U769" s="32" t="str">
        <f t="shared" ca="1" si="46"/>
        <v>sama***@jossmail.com</v>
      </c>
      <c r="V769" s="32">
        <f t="shared" si="47"/>
        <v>24</v>
      </c>
      <c r="W769" s="36">
        <f t="shared" si="48"/>
        <v>0.05</v>
      </c>
    </row>
    <row r="770" spans="4:23" ht="27" customHeight="1" x14ac:dyDescent="0.25">
      <c r="D770" s="14" t="s">
        <v>3114</v>
      </c>
      <c r="E770" s="14" t="s">
        <v>3115</v>
      </c>
      <c r="F770" s="84" t="s">
        <v>1572</v>
      </c>
      <c r="G770" s="15" t="s">
        <v>27</v>
      </c>
      <c r="H770" s="16" t="s">
        <v>3116</v>
      </c>
      <c r="I770" s="17"/>
      <c r="J770" s="17"/>
      <c r="K770" s="17"/>
      <c r="L770" s="17"/>
      <c r="N770" s="31">
        <v>768</v>
      </c>
      <c r="O770" s="32" t="s">
        <v>3117</v>
      </c>
      <c r="P770" s="33" t="s">
        <v>57</v>
      </c>
      <c r="Q770" s="32" t="s">
        <v>40</v>
      </c>
      <c r="R770" s="69">
        <v>44265.942708333336</v>
      </c>
      <c r="S770" s="35">
        <v>44320</v>
      </c>
      <c r="T770" s="32" t="str">
        <f t="shared" si="45"/>
        <v>+081280227***</v>
      </c>
      <c r="U770" s="32" t="str">
        <f t="shared" ca="1" si="46"/>
        <v>sara***@yuhuumail.com</v>
      </c>
      <c r="V770" s="32">
        <f t="shared" si="47"/>
        <v>24</v>
      </c>
      <c r="W770" s="36">
        <f t="shared" si="48"/>
        <v>0.05</v>
      </c>
    </row>
    <row r="771" spans="4:23" ht="27" customHeight="1" x14ac:dyDescent="0.25">
      <c r="D771" s="14" t="s">
        <v>3118</v>
      </c>
      <c r="E771" s="14" t="s">
        <v>3119</v>
      </c>
      <c r="F771" s="84" t="s">
        <v>3120</v>
      </c>
      <c r="G771" s="15" t="s">
        <v>27</v>
      </c>
      <c r="H771" s="16" t="s">
        <v>3121</v>
      </c>
      <c r="I771" s="17"/>
      <c r="J771" s="17"/>
      <c r="K771" s="17"/>
      <c r="L771" s="17"/>
      <c r="N771" s="31">
        <v>769</v>
      </c>
      <c r="O771" s="32" t="s">
        <v>3122</v>
      </c>
      <c r="P771" s="33" t="s">
        <v>31</v>
      </c>
      <c r="Q771" s="32" t="s">
        <v>32</v>
      </c>
      <c r="R771" s="69">
        <v>44265.889699074076</v>
      </c>
      <c r="S771" s="35">
        <v>44320</v>
      </c>
      <c r="T771" s="32" t="str">
        <f t="shared" si="45"/>
        <v>+083271731***</v>
      </c>
      <c r="U771" s="32" t="str">
        <f t="shared" ca="1" si="46"/>
        <v>zack***@yuhuumail.com</v>
      </c>
      <c r="V771" s="32">
        <f t="shared" si="47"/>
        <v>24</v>
      </c>
      <c r="W771" s="36">
        <f t="shared" si="48"/>
        <v>0.05</v>
      </c>
    </row>
    <row r="772" spans="4:23" ht="27" customHeight="1" x14ac:dyDescent="0.25">
      <c r="D772" s="14" t="s">
        <v>3123</v>
      </c>
      <c r="E772" s="14" t="s">
        <v>3124</v>
      </c>
      <c r="F772" s="84" t="s">
        <v>175</v>
      </c>
      <c r="G772" s="15" t="s">
        <v>27</v>
      </c>
      <c r="H772" s="16" t="s">
        <v>3125</v>
      </c>
      <c r="I772" s="17"/>
      <c r="J772" s="17"/>
      <c r="K772" s="17"/>
      <c r="L772" s="17"/>
      <c r="N772" s="31">
        <v>770</v>
      </c>
      <c r="O772" s="32" t="s">
        <v>3126</v>
      </c>
      <c r="P772" s="33" t="s">
        <v>31</v>
      </c>
      <c r="Q772" s="32" t="s">
        <v>40</v>
      </c>
      <c r="R772" s="69">
        <v>44265.944722222222</v>
      </c>
      <c r="S772" s="35">
        <v>44352</v>
      </c>
      <c r="T772" s="32" t="str">
        <f t="shared" si="45"/>
        <v>+0812-74690***</v>
      </c>
      <c r="U772" s="32" t="str">
        <f t="shared" ca="1" si="46"/>
        <v>andr***@yuhuumail.com</v>
      </c>
      <c r="V772" s="32">
        <f t="shared" si="47"/>
        <v>24</v>
      </c>
      <c r="W772" s="36">
        <f t="shared" si="48"/>
        <v>0.05</v>
      </c>
    </row>
    <row r="773" spans="4:23" ht="27" customHeight="1" x14ac:dyDescent="0.25">
      <c r="D773" s="14" t="s">
        <v>3127</v>
      </c>
      <c r="E773" s="14" t="s">
        <v>3128</v>
      </c>
      <c r="F773" s="84" t="s">
        <v>524</v>
      </c>
      <c r="G773" s="15" t="s">
        <v>27</v>
      </c>
      <c r="H773" s="16" t="s">
        <v>3129</v>
      </c>
      <c r="I773" s="17"/>
      <c r="J773" s="17"/>
      <c r="K773" s="17"/>
      <c r="L773" s="17"/>
      <c r="N773" s="31">
        <v>771</v>
      </c>
      <c r="O773" s="32" t="s">
        <v>3130</v>
      </c>
      <c r="P773" s="33" t="s">
        <v>42</v>
      </c>
      <c r="Q773" s="32" t="s">
        <v>32</v>
      </c>
      <c r="R773" s="69">
        <v>43635.573784722219</v>
      </c>
      <c r="S773" s="35">
        <v>44320</v>
      </c>
      <c r="T773" s="32" t="str">
        <f t="shared" ref="T773:T836" si="49">"+"&amp;_xlfn.XLOOKUP($O773, $E$2:$E$3002, $H$2:$H$3002, "Not Found")</f>
        <v>+85293821***</v>
      </c>
      <c r="U773" s="32" t="str">
        <f t="shared" ref="U773:U836" ca="1" si="50" xml:space="preserve"> LOWER(LEFT(_xlfn.XLOOKUP($O773, $E$2:$E$3002, $D$2:$D$3002), 4))
  &amp; "***@"
  &amp; IF(RAND()&gt;0.5, "jossmail.com", "yuhuumail.com")</f>
        <v>joel***@jossmail.com</v>
      </c>
      <c r="V773" s="32">
        <f t="shared" ref="V773:V836" si="51">DATEDIF(_xlfn.XLOOKUP($O773, $E$2:$E$3002, $F$2:$F$3002), $R773, "Y")</f>
        <v>22</v>
      </c>
      <c r="W773" s="36">
        <f t="shared" ref="W773:W836" si="52">IF(DATEDIF($R773, $S773, "Y") &gt;= 3, 0.025,
   IF(DATEDIF($R773, $S773, "Y") &gt;= 1, 0.015, 0)) +
 IF($V773 &gt;= 50, 0.04,
   IF($V773 &gt;= 40, 0.03,
     IF($V773 &gt;= 30, 0.02,
       IF($V773 &gt;= 20, 0.05, 0))))</f>
        <v>6.5000000000000002E-2</v>
      </c>
    </row>
    <row r="774" spans="4:23" ht="27" customHeight="1" x14ac:dyDescent="0.25">
      <c r="D774" s="14" t="s">
        <v>3131</v>
      </c>
      <c r="E774" s="14" t="s">
        <v>3132</v>
      </c>
      <c r="F774" s="84" t="s">
        <v>121</v>
      </c>
      <c r="G774" s="15" t="s">
        <v>27</v>
      </c>
      <c r="H774" s="16" t="s">
        <v>3133</v>
      </c>
      <c r="I774" s="17"/>
      <c r="J774" s="17"/>
      <c r="K774" s="17"/>
      <c r="L774" s="17"/>
      <c r="N774" s="31">
        <v>772</v>
      </c>
      <c r="O774" s="32" t="s">
        <v>528</v>
      </c>
      <c r="P774" s="33" t="s">
        <v>31</v>
      </c>
      <c r="Q774" s="32" t="s">
        <v>40</v>
      </c>
      <c r="R774" s="69">
        <v>44265.955601851849</v>
      </c>
      <c r="S774" s="35">
        <v>44320</v>
      </c>
      <c r="T774" s="32" t="str">
        <f t="shared" si="49"/>
        <v>+0842-33559***</v>
      </c>
      <c r="U774" s="32" t="str">
        <f t="shared" ca="1" si="50"/>
        <v>harr***@yuhuumail.com</v>
      </c>
      <c r="V774" s="32">
        <f t="shared" si="51"/>
        <v>24</v>
      </c>
      <c r="W774" s="36">
        <f t="shared" si="52"/>
        <v>0.05</v>
      </c>
    </row>
    <row r="775" spans="4:23" ht="27" customHeight="1" x14ac:dyDescent="0.25">
      <c r="D775" s="14" t="s">
        <v>3134</v>
      </c>
      <c r="E775" s="14" t="s">
        <v>3135</v>
      </c>
      <c r="F775" s="84" t="s">
        <v>1473</v>
      </c>
      <c r="G775" s="15" t="s">
        <v>27</v>
      </c>
      <c r="H775" s="16" t="s">
        <v>3136</v>
      </c>
      <c r="I775" s="17"/>
      <c r="J775" s="17"/>
      <c r="K775" s="17"/>
      <c r="L775" s="17"/>
      <c r="N775" s="31">
        <v>773</v>
      </c>
      <c r="O775" s="32" t="s">
        <v>3137</v>
      </c>
      <c r="P775" s="33" t="s">
        <v>31</v>
      </c>
      <c r="Q775" s="32" t="s">
        <v>32</v>
      </c>
      <c r="R775" s="69">
        <v>44265.958252314813</v>
      </c>
      <c r="S775" s="35">
        <v>44354</v>
      </c>
      <c r="T775" s="32" t="str">
        <f t="shared" si="49"/>
        <v>+081222815***</v>
      </c>
      <c r="U775" s="32" t="str">
        <f t="shared" ca="1" si="50"/>
        <v>deac***@jossmail.com</v>
      </c>
      <c r="V775" s="32">
        <f t="shared" si="51"/>
        <v>24</v>
      </c>
      <c r="W775" s="36">
        <f t="shared" si="52"/>
        <v>0.05</v>
      </c>
    </row>
    <row r="776" spans="4:23" ht="27" customHeight="1" x14ac:dyDescent="0.25">
      <c r="D776" s="14" t="s">
        <v>3138</v>
      </c>
      <c r="E776" s="14" t="s">
        <v>3139</v>
      </c>
      <c r="F776" s="84" t="s">
        <v>386</v>
      </c>
      <c r="G776" s="15" t="s">
        <v>27</v>
      </c>
      <c r="H776" s="16" t="s">
        <v>3140</v>
      </c>
      <c r="I776" s="17"/>
      <c r="J776" s="17"/>
      <c r="K776" s="17"/>
      <c r="L776" s="17"/>
      <c r="N776" s="31">
        <v>774</v>
      </c>
      <c r="O776" s="32" t="s">
        <v>3141</v>
      </c>
      <c r="P776" s="33" t="s">
        <v>57</v>
      </c>
      <c r="Q776" s="32" t="s">
        <v>40</v>
      </c>
      <c r="R776" s="69">
        <v>44265.967581018522</v>
      </c>
      <c r="S776" s="35">
        <v>44318</v>
      </c>
      <c r="T776" s="32" t="str">
        <f t="shared" si="49"/>
        <v>+6281284588***</v>
      </c>
      <c r="U776" s="32" t="str">
        <f t="shared" ca="1" si="50"/>
        <v>hele***@jossmail.com</v>
      </c>
      <c r="V776" s="32">
        <f t="shared" si="51"/>
        <v>24</v>
      </c>
      <c r="W776" s="36">
        <f t="shared" si="52"/>
        <v>0.05</v>
      </c>
    </row>
    <row r="777" spans="4:23" ht="27" customHeight="1" x14ac:dyDescent="0.25">
      <c r="D777" s="14" t="s">
        <v>3142</v>
      </c>
      <c r="E777" s="14" t="s">
        <v>3143</v>
      </c>
      <c r="F777" s="84" t="s">
        <v>592</v>
      </c>
      <c r="G777" s="15" t="s">
        <v>68</v>
      </c>
      <c r="H777" s="16" t="s">
        <v>3144</v>
      </c>
      <c r="I777" s="17"/>
      <c r="J777" s="17"/>
      <c r="K777" s="17"/>
      <c r="L777" s="17"/>
      <c r="N777" s="31">
        <v>775</v>
      </c>
      <c r="O777" s="32" t="s">
        <v>3145</v>
      </c>
      <c r="P777" s="33" t="s">
        <v>42</v>
      </c>
      <c r="Q777" s="32" t="s">
        <v>32</v>
      </c>
      <c r="R777" s="69">
        <v>44265.972962962966</v>
      </c>
      <c r="S777" s="71">
        <v>44317</v>
      </c>
      <c r="T777" s="32" t="str">
        <f t="shared" si="49"/>
        <v>+0842 58478***</v>
      </c>
      <c r="U777" s="32" t="str">
        <f t="shared" ca="1" si="50"/>
        <v>tyca***@yuhuumail.com</v>
      </c>
      <c r="V777" s="32">
        <f t="shared" si="51"/>
        <v>24</v>
      </c>
      <c r="W777" s="36">
        <f t="shared" si="52"/>
        <v>0.05</v>
      </c>
    </row>
    <row r="778" spans="4:23" ht="27" customHeight="1" x14ac:dyDescent="0.25">
      <c r="D778" s="14" t="s">
        <v>3146</v>
      </c>
      <c r="E778" s="14" t="s">
        <v>3147</v>
      </c>
      <c r="F778" s="84" t="s">
        <v>887</v>
      </c>
      <c r="G778" s="15" t="s">
        <v>27</v>
      </c>
      <c r="H778" s="16" t="s">
        <v>3148</v>
      </c>
      <c r="I778" s="17"/>
      <c r="J778" s="17"/>
      <c r="K778" s="17"/>
      <c r="L778" s="17"/>
      <c r="N778" s="31">
        <v>776</v>
      </c>
      <c r="O778" s="32" t="s">
        <v>3149</v>
      </c>
      <c r="P778" s="33" t="s">
        <v>57</v>
      </c>
      <c r="Q778" s="32" t="s">
        <v>40</v>
      </c>
      <c r="R778" s="69">
        <v>44265.982164351852</v>
      </c>
      <c r="S778" s="71">
        <v>44359</v>
      </c>
      <c r="T778" s="32" t="str">
        <f t="shared" si="49"/>
        <v>+81293588***</v>
      </c>
      <c r="U778" s="32" t="str">
        <f t="shared" ca="1" si="50"/>
        <v>lisa***@jossmail.com</v>
      </c>
      <c r="V778" s="32">
        <f t="shared" si="51"/>
        <v>24</v>
      </c>
      <c r="W778" s="36">
        <f t="shared" si="52"/>
        <v>0.05</v>
      </c>
    </row>
    <row r="779" spans="4:23" ht="27" customHeight="1" x14ac:dyDescent="0.25">
      <c r="D779" s="14" t="s">
        <v>3150</v>
      </c>
      <c r="E779" s="14" t="s">
        <v>2552</v>
      </c>
      <c r="F779" s="84" t="s">
        <v>159</v>
      </c>
      <c r="G779" s="15" t="s">
        <v>27</v>
      </c>
      <c r="H779" s="16" t="s">
        <v>3151</v>
      </c>
      <c r="I779" s="17"/>
      <c r="J779" s="17"/>
      <c r="K779" s="17"/>
      <c r="L779" s="17"/>
      <c r="N779" s="31">
        <v>777</v>
      </c>
      <c r="O779" s="32" t="s">
        <v>3152</v>
      </c>
      <c r="P779" s="33" t="s">
        <v>42</v>
      </c>
      <c r="Q779" s="32" t="s">
        <v>32</v>
      </c>
      <c r="R779" s="69">
        <v>44265.985081018516</v>
      </c>
      <c r="S779" s="71">
        <v>44317</v>
      </c>
      <c r="T779" s="32" t="str">
        <f t="shared" si="49"/>
        <v>+0852 90351***</v>
      </c>
      <c r="U779" s="32" t="str">
        <f t="shared" ca="1" si="50"/>
        <v>jayl***@jossmail.com</v>
      </c>
      <c r="V779" s="32">
        <f t="shared" si="51"/>
        <v>24</v>
      </c>
      <c r="W779" s="36">
        <f t="shared" si="52"/>
        <v>0.05</v>
      </c>
    </row>
    <row r="780" spans="4:23" ht="27" customHeight="1" x14ac:dyDescent="0.25">
      <c r="D780" s="14" t="s">
        <v>3153</v>
      </c>
      <c r="E780" s="14" t="s">
        <v>936</v>
      </c>
      <c r="F780" s="84" t="s">
        <v>653</v>
      </c>
      <c r="G780" s="15" t="s">
        <v>68</v>
      </c>
      <c r="H780" s="16" t="s">
        <v>3154</v>
      </c>
      <c r="I780" s="17"/>
      <c r="J780" s="17"/>
      <c r="K780" s="17"/>
      <c r="L780" s="17"/>
      <c r="N780" s="31">
        <v>778</v>
      </c>
      <c r="O780" s="32" t="s">
        <v>1362</v>
      </c>
      <c r="P780" s="33" t="s">
        <v>42</v>
      </c>
      <c r="Q780" s="32" t="s">
        <v>40</v>
      </c>
      <c r="R780" s="69">
        <v>44265.984884259262</v>
      </c>
      <c r="S780" s="71">
        <v>44352</v>
      </c>
      <c r="T780" s="32" t="str">
        <f t="shared" si="49"/>
        <v>+0842 14618***</v>
      </c>
      <c r="U780" s="32" t="str">
        <f t="shared" ca="1" si="50"/>
        <v>yadi***@jossmail.com</v>
      </c>
      <c r="V780" s="32">
        <f t="shared" si="51"/>
        <v>24</v>
      </c>
      <c r="W780" s="36">
        <f t="shared" si="52"/>
        <v>0.05</v>
      </c>
    </row>
    <row r="781" spans="4:23" ht="27" customHeight="1" x14ac:dyDescent="0.25">
      <c r="D781" s="14" t="s">
        <v>3155</v>
      </c>
      <c r="E781" s="14" t="s">
        <v>3156</v>
      </c>
      <c r="F781" s="84" t="s">
        <v>566</v>
      </c>
      <c r="G781" s="15" t="s">
        <v>27</v>
      </c>
      <c r="H781" s="16" t="s">
        <v>3157</v>
      </c>
      <c r="I781" s="17"/>
      <c r="J781" s="17"/>
      <c r="K781" s="17"/>
      <c r="L781" s="17"/>
      <c r="N781" s="31">
        <v>779</v>
      </c>
      <c r="O781" s="32" t="s">
        <v>3158</v>
      </c>
      <c r="P781" s="33" t="s">
        <v>42</v>
      </c>
      <c r="Q781" s="32" t="s">
        <v>32</v>
      </c>
      <c r="R781" s="69">
        <v>44265.989641203705</v>
      </c>
      <c r="S781" s="71">
        <v>44352</v>
      </c>
      <c r="T781" s="32" t="str">
        <f t="shared" si="49"/>
        <v>+0812 33855***</v>
      </c>
      <c r="U781" s="32" t="str">
        <f t="shared" ca="1" si="50"/>
        <v>virg***@jossmail.com</v>
      </c>
      <c r="V781" s="32">
        <f t="shared" si="51"/>
        <v>24</v>
      </c>
      <c r="W781" s="36">
        <f t="shared" si="52"/>
        <v>0.05</v>
      </c>
    </row>
    <row r="782" spans="4:23" ht="27" customHeight="1" x14ac:dyDescent="0.25">
      <c r="D782" s="14" t="s">
        <v>3159</v>
      </c>
      <c r="E782" s="14" t="s">
        <v>2443</v>
      </c>
      <c r="F782" s="84" t="s">
        <v>114</v>
      </c>
      <c r="G782" s="15" t="s">
        <v>27</v>
      </c>
      <c r="H782" s="16" t="s">
        <v>3160</v>
      </c>
      <c r="I782" s="17"/>
      <c r="J782" s="17"/>
      <c r="K782" s="17"/>
      <c r="L782" s="17"/>
      <c r="N782" s="31">
        <v>780</v>
      </c>
      <c r="O782" s="32" t="s">
        <v>3161</v>
      </c>
      <c r="P782" s="33" t="s">
        <v>31</v>
      </c>
      <c r="Q782" s="32" t="s">
        <v>40</v>
      </c>
      <c r="R782" s="69">
        <v>42014.567430555559</v>
      </c>
      <c r="S782" s="71">
        <v>44352</v>
      </c>
      <c r="T782" s="32" t="str">
        <f t="shared" si="49"/>
        <v>+0822 24305***</v>
      </c>
      <c r="U782" s="32" t="str">
        <f t="shared" ca="1" si="50"/>
        <v>kimo***@jossmail.com</v>
      </c>
      <c r="V782" s="32">
        <f t="shared" si="51"/>
        <v>18</v>
      </c>
      <c r="W782" s="36">
        <f t="shared" si="52"/>
        <v>2.5000000000000001E-2</v>
      </c>
    </row>
    <row r="783" spans="4:23" ht="27" customHeight="1" x14ac:dyDescent="0.25">
      <c r="D783" s="14" t="s">
        <v>3162</v>
      </c>
      <c r="E783" s="14" t="s">
        <v>3163</v>
      </c>
      <c r="F783" s="84" t="s">
        <v>159</v>
      </c>
      <c r="G783" s="15" t="s">
        <v>27</v>
      </c>
      <c r="H783" s="16" t="s">
        <v>3164</v>
      </c>
      <c r="I783" s="17"/>
      <c r="J783" s="17"/>
      <c r="K783" s="17"/>
      <c r="L783" s="17"/>
      <c r="N783" s="31">
        <v>781</v>
      </c>
      <c r="O783" s="32" t="s">
        <v>3165</v>
      </c>
      <c r="P783" s="33" t="s">
        <v>31</v>
      </c>
      <c r="Q783" s="32" t="s">
        <v>32</v>
      </c>
      <c r="R783" s="69">
        <v>44265.994027777779</v>
      </c>
      <c r="S783" s="71">
        <v>44352</v>
      </c>
      <c r="T783" s="32" t="str">
        <f t="shared" si="49"/>
        <v>+82265863***</v>
      </c>
      <c r="U783" s="32" t="str">
        <f t="shared" ca="1" si="50"/>
        <v>walk***@jossmail.com</v>
      </c>
      <c r="V783" s="32">
        <f t="shared" si="51"/>
        <v>24</v>
      </c>
      <c r="W783" s="36">
        <f t="shared" si="52"/>
        <v>0.05</v>
      </c>
    </row>
    <row r="784" spans="4:23" ht="27" customHeight="1" x14ac:dyDescent="0.25">
      <c r="D784" s="14" t="s">
        <v>3166</v>
      </c>
      <c r="E784" s="14" t="s">
        <v>1273</v>
      </c>
      <c r="F784" s="84" t="s">
        <v>332</v>
      </c>
      <c r="G784" s="15" t="s">
        <v>27</v>
      </c>
      <c r="H784" s="16" t="s">
        <v>3167</v>
      </c>
      <c r="I784" s="17"/>
      <c r="J784" s="17"/>
      <c r="K784" s="17"/>
      <c r="L784" s="17"/>
      <c r="N784" s="31">
        <v>782</v>
      </c>
      <c r="O784" s="32" t="s">
        <v>3168</v>
      </c>
      <c r="P784" s="33" t="s">
        <v>57</v>
      </c>
      <c r="Q784" s="32" t="s">
        <v>40</v>
      </c>
      <c r="R784" s="69">
        <v>43062.823333333334</v>
      </c>
      <c r="S784" s="71">
        <v>44359</v>
      </c>
      <c r="T784" s="32" t="str">
        <f t="shared" si="49"/>
        <v>+0822-75444***</v>
      </c>
      <c r="U784" s="32" t="str">
        <f t="shared" ca="1" si="50"/>
        <v>kyra***@jossmail.com</v>
      </c>
      <c r="V784" s="32">
        <f t="shared" si="51"/>
        <v>21</v>
      </c>
      <c r="W784" s="36">
        <f t="shared" si="52"/>
        <v>7.5000000000000011E-2</v>
      </c>
    </row>
    <row r="785" spans="4:23" ht="27" customHeight="1" x14ac:dyDescent="0.25">
      <c r="D785" s="14" t="s">
        <v>3169</v>
      </c>
      <c r="E785" s="14" t="s">
        <v>3170</v>
      </c>
      <c r="F785" s="84" t="s">
        <v>1626</v>
      </c>
      <c r="G785" s="15" t="s">
        <v>27</v>
      </c>
      <c r="H785" s="16" t="s">
        <v>3171</v>
      </c>
      <c r="I785" s="17"/>
      <c r="J785" s="17"/>
      <c r="K785" s="17"/>
      <c r="L785" s="17"/>
      <c r="N785" s="31">
        <v>783</v>
      </c>
      <c r="O785" s="32" t="s">
        <v>3172</v>
      </c>
      <c r="P785" s="33" t="s">
        <v>57</v>
      </c>
      <c r="Q785" s="32" t="s">
        <v>32</v>
      </c>
      <c r="R785" s="69">
        <v>44266.015972222223</v>
      </c>
      <c r="S785" s="71">
        <v>44354</v>
      </c>
      <c r="T785" s="32" t="str">
        <f t="shared" si="49"/>
        <v>+83282879***</v>
      </c>
      <c r="U785" s="32" t="str">
        <f t="shared" ca="1" si="50"/>
        <v>perl***@jossmail.com</v>
      </c>
      <c r="V785" s="32">
        <f t="shared" si="51"/>
        <v>24</v>
      </c>
      <c r="W785" s="36">
        <f t="shared" si="52"/>
        <v>0.05</v>
      </c>
    </row>
    <row r="786" spans="4:23" ht="27" customHeight="1" x14ac:dyDescent="0.25">
      <c r="D786" s="14" t="s">
        <v>3173</v>
      </c>
      <c r="E786" s="14" t="s">
        <v>2696</v>
      </c>
      <c r="F786" s="84" t="s">
        <v>592</v>
      </c>
      <c r="G786" s="15" t="s">
        <v>27</v>
      </c>
      <c r="H786" s="16" t="s">
        <v>3174</v>
      </c>
      <c r="I786" s="17"/>
      <c r="J786" s="17"/>
      <c r="K786" s="17"/>
      <c r="L786" s="17"/>
      <c r="N786" s="31">
        <v>784</v>
      </c>
      <c r="O786" s="32" t="s">
        <v>3175</v>
      </c>
      <c r="P786" s="33" t="s">
        <v>31</v>
      </c>
      <c r="Q786" s="32" t="s">
        <v>40</v>
      </c>
      <c r="R786" s="69">
        <v>44265.991053240738</v>
      </c>
      <c r="S786" s="71">
        <v>44327</v>
      </c>
      <c r="T786" s="32" t="str">
        <f t="shared" si="49"/>
        <v>+0812-48844***</v>
      </c>
      <c r="U786" s="32" t="str">
        <f t="shared" ca="1" si="50"/>
        <v>rebe***@yuhuumail.com</v>
      </c>
      <c r="V786" s="32">
        <f t="shared" si="51"/>
        <v>24</v>
      </c>
      <c r="W786" s="36">
        <f t="shared" si="52"/>
        <v>0.05</v>
      </c>
    </row>
    <row r="787" spans="4:23" ht="27" customHeight="1" x14ac:dyDescent="0.25">
      <c r="D787" s="14" t="s">
        <v>3176</v>
      </c>
      <c r="E787" s="14" t="s">
        <v>1223</v>
      </c>
      <c r="F787" s="84" t="s">
        <v>674</v>
      </c>
      <c r="G787" s="15" t="s">
        <v>68</v>
      </c>
      <c r="H787" s="16" t="s">
        <v>3177</v>
      </c>
      <c r="I787" s="17"/>
      <c r="J787" s="17"/>
      <c r="K787" s="17"/>
      <c r="L787" s="17"/>
      <c r="N787" s="31">
        <v>785</v>
      </c>
      <c r="O787" s="32" t="s">
        <v>3178</v>
      </c>
      <c r="P787" s="33" t="s">
        <v>31</v>
      </c>
      <c r="Q787" s="32" t="s">
        <v>32</v>
      </c>
      <c r="R787" s="69">
        <v>42830.91269675926</v>
      </c>
      <c r="S787" s="71">
        <v>44362</v>
      </c>
      <c r="T787" s="32" t="str">
        <f t="shared" si="49"/>
        <v>+81220316***</v>
      </c>
      <c r="U787" s="32" t="str">
        <f t="shared" ca="1" si="50"/>
        <v>jazl***@jossmail.com</v>
      </c>
      <c r="V787" s="32">
        <f t="shared" si="51"/>
        <v>20</v>
      </c>
      <c r="W787" s="36">
        <f t="shared" si="52"/>
        <v>7.5000000000000011E-2</v>
      </c>
    </row>
    <row r="788" spans="4:23" ht="27" customHeight="1" x14ac:dyDescent="0.25">
      <c r="D788" s="14" t="s">
        <v>3179</v>
      </c>
      <c r="E788" s="14" t="s">
        <v>3180</v>
      </c>
      <c r="F788" s="84" t="s">
        <v>211</v>
      </c>
      <c r="G788" s="15" t="s">
        <v>27</v>
      </c>
      <c r="H788" s="16" t="s">
        <v>3181</v>
      </c>
      <c r="I788" s="17"/>
      <c r="J788" s="17"/>
      <c r="K788" s="17"/>
      <c r="L788" s="17"/>
      <c r="N788" s="31">
        <v>786</v>
      </c>
      <c r="O788" s="32" t="s">
        <v>2639</v>
      </c>
      <c r="P788" s="33" t="s">
        <v>42</v>
      </c>
      <c r="Q788" s="32" t="s">
        <v>40</v>
      </c>
      <c r="R788" s="69">
        <v>44266.020891203705</v>
      </c>
      <c r="S788" s="71">
        <v>44354</v>
      </c>
      <c r="T788" s="32" t="str">
        <f t="shared" si="49"/>
        <v>+6281264550***</v>
      </c>
      <c r="U788" s="32" t="str">
        <f t="shared" ca="1" si="50"/>
        <v>jaid***@yuhuumail.com</v>
      </c>
      <c r="V788" s="32">
        <f t="shared" si="51"/>
        <v>24</v>
      </c>
      <c r="W788" s="36">
        <f t="shared" si="52"/>
        <v>0.05</v>
      </c>
    </row>
    <row r="789" spans="4:23" ht="27" customHeight="1" x14ac:dyDescent="0.25">
      <c r="D789" s="14" t="s">
        <v>3182</v>
      </c>
      <c r="E789" s="14" t="s">
        <v>1413</v>
      </c>
      <c r="F789" s="84" t="s">
        <v>74</v>
      </c>
      <c r="G789" s="15" t="s">
        <v>27</v>
      </c>
      <c r="H789" s="16" t="s">
        <v>3183</v>
      </c>
      <c r="I789" s="17"/>
      <c r="J789" s="17"/>
      <c r="K789" s="17"/>
      <c r="L789" s="17"/>
      <c r="N789" s="31">
        <v>787</v>
      </c>
      <c r="O789" s="32" t="s">
        <v>3184</v>
      </c>
      <c r="P789" s="33" t="s">
        <v>42</v>
      </c>
      <c r="Q789" s="32" t="s">
        <v>32</v>
      </c>
      <c r="R789" s="69">
        <v>43200.885243055556</v>
      </c>
      <c r="S789" s="71">
        <v>44354</v>
      </c>
      <c r="T789" s="32" t="str">
        <f t="shared" si="49"/>
        <v>+85267780***</v>
      </c>
      <c r="U789" s="32" t="str">
        <f t="shared" ca="1" si="50"/>
        <v>feli***@yuhuumail.com</v>
      </c>
      <c r="V789" s="32">
        <f t="shared" si="51"/>
        <v>21</v>
      </c>
      <c r="W789" s="36">
        <f t="shared" si="52"/>
        <v>7.5000000000000011E-2</v>
      </c>
    </row>
    <row r="790" spans="4:23" ht="27" customHeight="1" x14ac:dyDescent="0.25">
      <c r="D790" s="14" t="s">
        <v>3185</v>
      </c>
      <c r="E790" s="14" t="s">
        <v>2862</v>
      </c>
      <c r="F790" s="84" t="s">
        <v>422</v>
      </c>
      <c r="G790" s="15" t="s">
        <v>27</v>
      </c>
      <c r="H790" s="16" t="s">
        <v>3186</v>
      </c>
      <c r="I790" s="17"/>
      <c r="J790" s="17"/>
      <c r="K790" s="17"/>
      <c r="L790" s="17"/>
      <c r="N790" s="31">
        <v>788</v>
      </c>
      <c r="O790" s="32" t="s">
        <v>3187</v>
      </c>
      <c r="P790" s="33" t="s">
        <v>31</v>
      </c>
      <c r="Q790" s="32" t="s">
        <v>40</v>
      </c>
      <c r="R790" s="69">
        <v>44266.048275462963</v>
      </c>
      <c r="S790" s="71">
        <v>44352</v>
      </c>
      <c r="T790" s="32" t="str">
        <f t="shared" si="49"/>
        <v>+81271675***</v>
      </c>
      <c r="U790" s="32" t="str">
        <f t="shared" ca="1" si="50"/>
        <v>theo***@yuhuumail.com</v>
      </c>
      <c r="V790" s="32">
        <f t="shared" si="51"/>
        <v>24</v>
      </c>
      <c r="W790" s="36">
        <f t="shared" si="52"/>
        <v>0.05</v>
      </c>
    </row>
    <row r="791" spans="4:23" ht="27" customHeight="1" x14ac:dyDescent="0.25">
      <c r="D791" s="14" t="s">
        <v>3188</v>
      </c>
      <c r="E791" s="14" t="s">
        <v>3189</v>
      </c>
      <c r="F791" s="84" t="s">
        <v>348</v>
      </c>
      <c r="G791" s="15" t="s">
        <v>27</v>
      </c>
      <c r="H791" s="16" t="s">
        <v>3190</v>
      </c>
      <c r="I791" s="17"/>
      <c r="J791" s="17"/>
      <c r="K791" s="17"/>
      <c r="L791" s="17"/>
      <c r="N791" s="31">
        <v>789</v>
      </c>
      <c r="O791" s="32" t="s">
        <v>452</v>
      </c>
      <c r="P791" s="33" t="s">
        <v>31</v>
      </c>
      <c r="Q791" s="32" t="s">
        <v>32</v>
      </c>
      <c r="R791" s="69">
        <v>44266.054826388892</v>
      </c>
      <c r="S791" s="71">
        <v>44359</v>
      </c>
      <c r="T791" s="32" t="str">
        <f t="shared" si="49"/>
        <v>+842 88884***</v>
      </c>
      <c r="U791" s="32" t="str">
        <f t="shared" ca="1" si="50"/>
        <v>leon***@jossmail.com</v>
      </c>
      <c r="V791" s="32">
        <f t="shared" si="51"/>
        <v>24</v>
      </c>
      <c r="W791" s="36">
        <f t="shared" si="52"/>
        <v>0.05</v>
      </c>
    </row>
    <row r="792" spans="4:23" ht="27" customHeight="1" x14ac:dyDescent="0.25">
      <c r="D792" s="14" t="s">
        <v>3191</v>
      </c>
      <c r="E792" s="14" t="s">
        <v>1360</v>
      </c>
      <c r="F792" s="84" t="s">
        <v>1093</v>
      </c>
      <c r="G792" s="15" t="s">
        <v>27</v>
      </c>
      <c r="H792" s="16" t="s">
        <v>3192</v>
      </c>
      <c r="I792" s="17"/>
      <c r="J792" s="17"/>
      <c r="K792" s="17"/>
      <c r="L792" s="17"/>
      <c r="N792" s="31">
        <v>790</v>
      </c>
      <c r="O792" s="32" t="s">
        <v>2089</v>
      </c>
      <c r="P792" s="33" t="s">
        <v>42</v>
      </c>
      <c r="Q792" s="32" t="s">
        <v>40</v>
      </c>
      <c r="R792" s="69">
        <v>44265.83797453704</v>
      </c>
      <c r="S792" s="71">
        <v>44354</v>
      </c>
      <c r="T792" s="32" t="str">
        <f t="shared" si="49"/>
        <v>+85278402***</v>
      </c>
      <c r="U792" s="32" t="str">
        <f t="shared" ca="1" si="50"/>
        <v>alej***@yuhuumail.com</v>
      </c>
      <c r="V792" s="32">
        <f t="shared" si="51"/>
        <v>24</v>
      </c>
      <c r="W792" s="36">
        <f t="shared" si="52"/>
        <v>0.05</v>
      </c>
    </row>
    <row r="793" spans="4:23" ht="27" customHeight="1" x14ac:dyDescent="0.25">
      <c r="D793" s="14" t="s">
        <v>3193</v>
      </c>
      <c r="E793" s="14" t="s">
        <v>3194</v>
      </c>
      <c r="F793" s="84" t="s">
        <v>1886</v>
      </c>
      <c r="G793" s="15" t="s">
        <v>27</v>
      </c>
      <c r="H793" s="16" t="s">
        <v>3195</v>
      </c>
      <c r="I793" s="17"/>
      <c r="J793" s="17"/>
      <c r="K793" s="17"/>
      <c r="L793" s="17"/>
      <c r="N793" s="31">
        <v>791</v>
      </c>
      <c r="O793" s="32" t="s">
        <v>3196</v>
      </c>
      <c r="P793" s="33" t="s">
        <v>42</v>
      </c>
      <c r="Q793" s="32" t="s">
        <v>32</v>
      </c>
      <c r="R793" s="69">
        <v>43580.774467592593</v>
      </c>
      <c r="S793" s="71">
        <v>44320</v>
      </c>
      <c r="T793" s="32" t="str">
        <f t="shared" si="49"/>
        <v>+0852-83587***</v>
      </c>
      <c r="U793" s="32" t="str">
        <f t="shared" ca="1" si="50"/>
        <v>ryde***@jossmail.com</v>
      </c>
      <c r="V793" s="32">
        <f t="shared" si="51"/>
        <v>22</v>
      </c>
      <c r="W793" s="36">
        <f t="shared" si="52"/>
        <v>6.5000000000000002E-2</v>
      </c>
    </row>
    <row r="794" spans="4:23" ht="27" customHeight="1" x14ac:dyDescent="0.25">
      <c r="D794" s="14" t="s">
        <v>3197</v>
      </c>
      <c r="E794" s="14" t="s">
        <v>3198</v>
      </c>
      <c r="F794" s="84" t="s">
        <v>321</v>
      </c>
      <c r="G794" s="15" t="s">
        <v>27</v>
      </c>
      <c r="H794" s="16" t="s">
        <v>3199</v>
      </c>
      <c r="I794" s="17"/>
      <c r="J794" s="17"/>
      <c r="K794" s="17"/>
      <c r="L794" s="17"/>
      <c r="N794" s="31">
        <v>792</v>
      </c>
      <c r="O794" s="32" t="s">
        <v>2643</v>
      </c>
      <c r="P794" s="33" t="s">
        <v>31</v>
      </c>
      <c r="Q794" s="32" t="s">
        <v>40</v>
      </c>
      <c r="R794" s="69">
        <v>44266.232465277775</v>
      </c>
      <c r="S794" s="71">
        <v>44359</v>
      </c>
      <c r="T794" s="32" t="str">
        <f t="shared" si="49"/>
        <v>+6285228866***</v>
      </c>
      <c r="U794" s="32" t="str">
        <f t="shared" ca="1" si="50"/>
        <v>jayc***@jossmail.com</v>
      </c>
      <c r="V794" s="32">
        <f t="shared" si="51"/>
        <v>24</v>
      </c>
      <c r="W794" s="36">
        <f t="shared" si="52"/>
        <v>0.05</v>
      </c>
    </row>
    <row r="795" spans="4:23" ht="27" customHeight="1" x14ac:dyDescent="0.25">
      <c r="D795" s="14" t="s">
        <v>3200</v>
      </c>
      <c r="E795" s="14" t="s">
        <v>3201</v>
      </c>
      <c r="F795" s="84" t="s">
        <v>280</v>
      </c>
      <c r="G795" s="15" t="s">
        <v>27</v>
      </c>
      <c r="H795" s="16" t="s">
        <v>3202</v>
      </c>
      <c r="I795" s="17"/>
      <c r="J795" s="17"/>
      <c r="K795" s="17"/>
      <c r="L795" s="17"/>
      <c r="N795" s="31">
        <v>793</v>
      </c>
      <c r="O795" s="32" t="s">
        <v>3203</v>
      </c>
      <c r="P795" s="33" t="s">
        <v>42</v>
      </c>
      <c r="Q795" s="32" t="s">
        <v>32</v>
      </c>
      <c r="R795" s="69">
        <v>44266.240312499998</v>
      </c>
      <c r="S795" s="71">
        <v>44359</v>
      </c>
      <c r="T795" s="32" t="str">
        <f t="shared" si="49"/>
        <v>+0852-66840***</v>
      </c>
      <c r="U795" s="32" t="str">
        <f t="shared" ca="1" si="50"/>
        <v>skye***@jossmail.com</v>
      </c>
      <c r="V795" s="32">
        <f t="shared" si="51"/>
        <v>24</v>
      </c>
      <c r="W795" s="36">
        <f t="shared" si="52"/>
        <v>0.05</v>
      </c>
    </row>
    <row r="796" spans="4:23" ht="27" customHeight="1" x14ac:dyDescent="0.25">
      <c r="D796" s="14" t="s">
        <v>3204</v>
      </c>
      <c r="E796" s="14" t="s">
        <v>3205</v>
      </c>
      <c r="F796" s="84" t="s">
        <v>261</v>
      </c>
      <c r="G796" s="15" t="s">
        <v>27</v>
      </c>
      <c r="H796" s="16" t="s">
        <v>3206</v>
      </c>
      <c r="I796" s="17"/>
      <c r="J796" s="17"/>
      <c r="K796" s="17"/>
      <c r="L796" s="17"/>
      <c r="N796" s="31">
        <v>794</v>
      </c>
      <c r="O796" s="32" t="s">
        <v>2864</v>
      </c>
      <c r="P796" s="33" t="s">
        <v>57</v>
      </c>
      <c r="Q796" s="32" t="s">
        <v>40</v>
      </c>
      <c r="R796" s="69">
        <v>44190.841099537036</v>
      </c>
      <c r="S796" s="71">
        <v>44359</v>
      </c>
      <c r="T796" s="32" t="str">
        <f t="shared" si="49"/>
        <v>+0852 37204***</v>
      </c>
      <c r="U796" s="32" t="str">
        <f t="shared" ca="1" si="50"/>
        <v>carl***@jossmail.com</v>
      </c>
      <c r="V796" s="32">
        <f t="shared" si="51"/>
        <v>24</v>
      </c>
      <c r="W796" s="36">
        <f t="shared" si="52"/>
        <v>0.05</v>
      </c>
    </row>
    <row r="797" spans="4:23" ht="27" customHeight="1" x14ac:dyDescent="0.25">
      <c r="D797" s="14" t="s">
        <v>3207</v>
      </c>
      <c r="E797" s="14" t="s">
        <v>3208</v>
      </c>
      <c r="F797" s="84" t="s">
        <v>266</v>
      </c>
      <c r="G797" s="15" t="s">
        <v>27</v>
      </c>
      <c r="H797" s="16" t="s">
        <v>3209</v>
      </c>
      <c r="I797" s="17"/>
      <c r="J797" s="17"/>
      <c r="K797" s="17"/>
      <c r="L797" s="17"/>
      <c r="N797" s="31">
        <v>795</v>
      </c>
      <c r="O797" s="32" t="s">
        <v>1908</v>
      </c>
      <c r="P797" s="33" t="s">
        <v>31</v>
      </c>
      <c r="Q797" s="32" t="s">
        <v>32</v>
      </c>
      <c r="R797" s="69">
        <v>44266.291979166665</v>
      </c>
      <c r="S797" s="35">
        <v>44352</v>
      </c>
      <c r="T797" s="32" t="str">
        <f t="shared" si="49"/>
        <v>+83261765***</v>
      </c>
      <c r="U797" s="32" t="str">
        <f t="shared" ca="1" si="50"/>
        <v>omar***@yuhuumail.com</v>
      </c>
      <c r="V797" s="32">
        <f t="shared" si="51"/>
        <v>24</v>
      </c>
      <c r="W797" s="36">
        <f t="shared" si="52"/>
        <v>0.05</v>
      </c>
    </row>
    <row r="798" spans="4:23" ht="27" customHeight="1" x14ac:dyDescent="0.25">
      <c r="D798" s="14" t="s">
        <v>3210</v>
      </c>
      <c r="E798" s="14" t="s">
        <v>3211</v>
      </c>
      <c r="F798" s="84" t="s">
        <v>200</v>
      </c>
      <c r="G798" s="15" t="s">
        <v>68</v>
      </c>
      <c r="H798" s="16" t="s">
        <v>3212</v>
      </c>
      <c r="I798" s="17"/>
      <c r="J798" s="17"/>
      <c r="K798" s="17"/>
      <c r="L798" s="17"/>
      <c r="N798" s="31">
        <v>796</v>
      </c>
      <c r="O798" s="32" t="s">
        <v>3213</v>
      </c>
      <c r="P798" s="33" t="s">
        <v>42</v>
      </c>
      <c r="Q798" s="32" t="s">
        <v>40</v>
      </c>
      <c r="R798" s="69">
        <v>44266.32917824074</v>
      </c>
      <c r="S798" s="35">
        <v>44356</v>
      </c>
      <c r="T798" s="32" t="str">
        <f t="shared" si="49"/>
        <v>+84218027***</v>
      </c>
      <c r="U798" s="32" t="str">
        <f t="shared" ca="1" si="50"/>
        <v>maur***@yuhuumail.com</v>
      </c>
      <c r="V798" s="32">
        <f t="shared" si="51"/>
        <v>24</v>
      </c>
      <c r="W798" s="36">
        <f t="shared" si="52"/>
        <v>0.05</v>
      </c>
    </row>
    <row r="799" spans="4:23" ht="27" customHeight="1" x14ac:dyDescent="0.25">
      <c r="D799" s="14" t="s">
        <v>3214</v>
      </c>
      <c r="E799" s="14" t="s">
        <v>3215</v>
      </c>
      <c r="F799" s="84" t="s">
        <v>592</v>
      </c>
      <c r="G799" s="15" t="s">
        <v>27</v>
      </c>
      <c r="H799" s="16" t="s">
        <v>3216</v>
      </c>
      <c r="I799" s="17"/>
      <c r="J799" s="17"/>
      <c r="K799" s="17"/>
      <c r="L799" s="17"/>
      <c r="N799" s="31">
        <v>797</v>
      </c>
      <c r="O799" s="32" t="s">
        <v>1472</v>
      </c>
      <c r="P799" s="33" t="s">
        <v>31</v>
      </c>
      <c r="Q799" s="32" t="s">
        <v>32</v>
      </c>
      <c r="R799" s="69">
        <v>44266.337418981479</v>
      </c>
      <c r="S799" s="35">
        <v>44354</v>
      </c>
      <c r="T799" s="32" t="str">
        <f t="shared" si="49"/>
        <v>+0842-45943***</v>
      </c>
      <c r="U799" s="32" t="str">
        <f t="shared" ca="1" si="50"/>
        <v>myle***@yuhuumail.com</v>
      </c>
      <c r="V799" s="32">
        <f t="shared" si="51"/>
        <v>24</v>
      </c>
      <c r="W799" s="36">
        <f t="shared" si="52"/>
        <v>0.05</v>
      </c>
    </row>
    <row r="800" spans="4:23" ht="27" customHeight="1" x14ac:dyDescent="0.25">
      <c r="D800" s="14" t="s">
        <v>3217</v>
      </c>
      <c r="E800" s="14" t="s">
        <v>3218</v>
      </c>
      <c r="F800" s="84" t="s">
        <v>969</v>
      </c>
      <c r="G800" s="15" t="s">
        <v>27</v>
      </c>
      <c r="H800" s="16" t="s">
        <v>3219</v>
      </c>
      <c r="I800" s="17"/>
      <c r="J800" s="17"/>
      <c r="K800" s="17"/>
      <c r="L800" s="17"/>
      <c r="N800" s="31">
        <v>798</v>
      </c>
      <c r="O800" s="32" t="s">
        <v>3220</v>
      </c>
      <c r="P800" s="33" t="s">
        <v>31</v>
      </c>
      <c r="Q800" s="32" t="s">
        <v>40</v>
      </c>
      <c r="R800" s="69">
        <v>44266.362719907411</v>
      </c>
      <c r="S800" s="35">
        <v>44359</v>
      </c>
      <c r="T800" s="32" t="str">
        <f t="shared" si="49"/>
        <v>+0852 76754***</v>
      </c>
      <c r="U800" s="32" t="str">
        <f t="shared" ca="1" si="50"/>
        <v>zoey***@yuhuumail.com</v>
      </c>
      <c r="V800" s="32">
        <f t="shared" si="51"/>
        <v>24</v>
      </c>
      <c r="W800" s="36">
        <f t="shared" si="52"/>
        <v>0.05</v>
      </c>
    </row>
    <row r="801" spans="4:23" ht="27" customHeight="1" x14ac:dyDescent="0.25">
      <c r="D801" s="14" t="s">
        <v>3221</v>
      </c>
      <c r="E801" s="14" t="s">
        <v>3222</v>
      </c>
      <c r="F801" s="84" t="s">
        <v>524</v>
      </c>
      <c r="G801" s="15" t="s">
        <v>27</v>
      </c>
      <c r="H801" s="16" t="s">
        <v>3223</v>
      </c>
      <c r="I801" s="17"/>
      <c r="J801" s="17"/>
      <c r="K801" s="17"/>
      <c r="L801" s="17"/>
      <c r="N801" s="31">
        <v>799</v>
      </c>
      <c r="O801" s="32" t="s">
        <v>3224</v>
      </c>
      <c r="P801" s="33" t="s">
        <v>31</v>
      </c>
      <c r="Q801" s="32" t="s">
        <v>32</v>
      </c>
      <c r="R801" s="69">
        <v>44266.360937500001</v>
      </c>
      <c r="S801" s="35">
        <v>44354</v>
      </c>
      <c r="T801" s="32" t="str">
        <f t="shared" si="49"/>
        <v>+084211933***</v>
      </c>
      <c r="U801" s="32" t="str">
        <f t="shared" ca="1" si="50"/>
        <v>sher***@jossmail.com</v>
      </c>
      <c r="V801" s="32">
        <f t="shared" si="51"/>
        <v>24</v>
      </c>
      <c r="W801" s="36">
        <f t="shared" si="52"/>
        <v>0.05</v>
      </c>
    </row>
    <row r="802" spans="4:23" ht="27" customHeight="1" x14ac:dyDescent="0.25">
      <c r="D802" s="14" t="s">
        <v>3225</v>
      </c>
      <c r="E802" s="14" t="s">
        <v>1650</v>
      </c>
      <c r="F802" s="84" t="s">
        <v>952</v>
      </c>
      <c r="G802" s="15" t="s">
        <v>68</v>
      </c>
      <c r="H802" s="16" t="s">
        <v>3226</v>
      </c>
      <c r="I802" s="17"/>
      <c r="J802" s="17"/>
      <c r="K802" s="17"/>
      <c r="L802" s="17"/>
      <c r="N802" s="31">
        <v>800</v>
      </c>
      <c r="O802" s="32" t="s">
        <v>3227</v>
      </c>
      <c r="P802" s="33" t="s">
        <v>57</v>
      </c>
      <c r="Q802" s="32" t="s">
        <v>40</v>
      </c>
      <c r="R802" s="69">
        <v>44266.364259259259</v>
      </c>
      <c r="S802" s="35">
        <v>44328</v>
      </c>
      <c r="T802" s="32" t="str">
        <f t="shared" si="49"/>
        <v>+6283251752***</v>
      </c>
      <c r="U802" s="32" t="str">
        <f t="shared" ca="1" si="50"/>
        <v>reub***@jossmail.com</v>
      </c>
      <c r="V802" s="32">
        <f t="shared" si="51"/>
        <v>24</v>
      </c>
      <c r="W802" s="36">
        <f t="shared" si="52"/>
        <v>0.05</v>
      </c>
    </row>
    <row r="803" spans="4:23" ht="27" customHeight="1" x14ac:dyDescent="0.25">
      <c r="D803" s="14" t="s">
        <v>3228</v>
      </c>
      <c r="E803" s="14" t="s">
        <v>3229</v>
      </c>
      <c r="F803" s="84" t="s">
        <v>402</v>
      </c>
      <c r="G803" s="15" t="s">
        <v>68</v>
      </c>
      <c r="H803" s="16" t="s">
        <v>3230</v>
      </c>
      <c r="I803" s="17"/>
      <c r="J803" s="17"/>
      <c r="K803" s="17"/>
      <c r="L803" s="17"/>
      <c r="N803" s="31">
        <v>801</v>
      </c>
      <c r="O803" s="32" t="s">
        <v>3231</v>
      </c>
      <c r="P803" s="33" t="s">
        <v>42</v>
      </c>
      <c r="Q803" s="32" t="s">
        <v>32</v>
      </c>
      <c r="R803" s="69">
        <v>44266.3750462963</v>
      </c>
      <c r="S803" s="35">
        <v>44356</v>
      </c>
      <c r="T803" s="32" t="str">
        <f t="shared" si="49"/>
        <v>+812 31879***</v>
      </c>
      <c r="U803" s="32" t="str">
        <f t="shared" ca="1" si="50"/>
        <v>anns***@yuhuumail.com</v>
      </c>
      <c r="V803" s="32">
        <f t="shared" si="51"/>
        <v>24</v>
      </c>
      <c r="W803" s="36">
        <f t="shared" si="52"/>
        <v>0.05</v>
      </c>
    </row>
    <row r="804" spans="4:23" ht="27" customHeight="1" x14ac:dyDescent="0.25">
      <c r="D804" s="14" t="s">
        <v>3232</v>
      </c>
      <c r="E804" s="14" t="s">
        <v>3233</v>
      </c>
      <c r="F804" s="84" t="s">
        <v>280</v>
      </c>
      <c r="G804" s="15" t="s">
        <v>68</v>
      </c>
      <c r="H804" s="16" t="s">
        <v>3234</v>
      </c>
      <c r="I804" s="17"/>
      <c r="J804" s="17"/>
      <c r="K804" s="17"/>
      <c r="L804" s="17"/>
      <c r="N804" s="31">
        <v>802</v>
      </c>
      <c r="O804" s="32" t="s">
        <v>3135</v>
      </c>
      <c r="P804" s="33" t="s">
        <v>31</v>
      </c>
      <c r="Q804" s="32" t="s">
        <v>40</v>
      </c>
      <c r="R804" s="69">
        <v>44266.378807870373</v>
      </c>
      <c r="S804" s="35">
        <v>44356</v>
      </c>
      <c r="T804" s="32" t="str">
        <f t="shared" si="49"/>
        <v>+0812-81838***</v>
      </c>
      <c r="U804" s="32" t="str">
        <f t="shared" ca="1" si="50"/>
        <v>rose***@jossmail.com</v>
      </c>
      <c r="V804" s="32">
        <f t="shared" si="51"/>
        <v>24</v>
      </c>
      <c r="W804" s="36">
        <f t="shared" si="52"/>
        <v>0.05</v>
      </c>
    </row>
    <row r="805" spans="4:23" ht="27" customHeight="1" x14ac:dyDescent="0.25">
      <c r="D805" s="14" t="s">
        <v>3235</v>
      </c>
      <c r="E805" s="14" t="s">
        <v>3236</v>
      </c>
      <c r="F805" s="84" t="s">
        <v>290</v>
      </c>
      <c r="G805" s="15" t="s">
        <v>27</v>
      </c>
      <c r="H805" s="16" t="s">
        <v>3237</v>
      </c>
      <c r="I805" s="17"/>
      <c r="J805" s="17"/>
      <c r="K805" s="17"/>
      <c r="L805" s="17"/>
      <c r="N805" s="31">
        <v>803</v>
      </c>
      <c r="O805" s="32" t="s">
        <v>3238</v>
      </c>
      <c r="P805" s="33" t="s">
        <v>31</v>
      </c>
      <c r="Q805" s="32" t="s">
        <v>32</v>
      </c>
      <c r="R805" s="69">
        <v>44266.381979166668</v>
      </c>
      <c r="S805" s="35">
        <v>44320</v>
      </c>
      <c r="T805" s="32" t="str">
        <f t="shared" si="49"/>
        <v>+85241101***</v>
      </c>
      <c r="U805" s="32" t="str">
        <f t="shared" ca="1" si="50"/>
        <v>kase***@yuhuumail.com</v>
      </c>
      <c r="V805" s="32">
        <f t="shared" si="51"/>
        <v>24</v>
      </c>
      <c r="W805" s="36">
        <f t="shared" si="52"/>
        <v>0.05</v>
      </c>
    </row>
    <row r="806" spans="4:23" ht="27" customHeight="1" x14ac:dyDescent="0.25">
      <c r="D806" s="14" t="s">
        <v>3239</v>
      </c>
      <c r="E806" s="14" t="s">
        <v>3240</v>
      </c>
      <c r="F806" s="84" t="s">
        <v>417</v>
      </c>
      <c r="G806" s="15" t="s">
        <v>68</v>
      </c>
      <c r="H806" s="16" t="s">
        <v>3241</v>
      </c>
      <c r="I806" s="17"/>
      <c r="J806" s="17"/>
      <c r="K806" s="17"/>
      <c r="L806" s="17"/>
      <c r="N806" s="31">
        <v>804</v>
      </c>
      <c r="O806" s="32" t="s">
        <v>3242</v>
      </c>
      <c r="P806" s="33" t="s">
        <v>31</v>
      </c>
      <c r="Q806" s="32" t="s">
        <v>40</v>
      </c>
      <c r="R806" s="69">
        <v>44266.029629629629</v>
      </c>
      <c r="S806" s="35">
        <v>44352</v>
      </c>
      <c r="T806" s="32" t="str">
        <f t="shared" si="49"/>
        <v>+083228941***</v>
      </c>
      <c r="U806" s="32" t="str">
        <f t="shared" ca="1" si="50"/>
        <v>ceci***@yuhuumail.com</v>
      </c>
      <c r="V806" s="32">
        <f t="shared" si="51"/>
        <v>24</v>
      </c>
      <c r="W806" s="36">
        <f t="shared" si="52"/>
        <v>0.05</v>
      </c>
    </row>
    <row r="807" spans="4:23" ht="27" customHeight="1" x14ac:dyDescent="0.25">
      <c r="D807" s="14" t="s">
        <v>3243</v>
      </c>
      <c r="E807" s="14" t="s">
        <v>3244</v>
      </c>
      <c r="F807" s="84" t="s">
        <v>1886</v>
      </c>
      <c r="G807" s="15" t="s">
        <v>27</v>
      </c>
      <c r="H807" s="16" t="s">
        <v>3245</v>
      </c>
      <c r="I807" s="17"/>
      <c r="J807" s="17"/>
      <c r="K807" s="17"/>
      <c r="L807" s="17"/>
      <c r="N807" s="31">
        <v>805</v>
      </c>
      <c r="O807" s="32" t="s">
        <v>3246</v>
      </c>
      <c r="P807" s="33" t="s">
        <v>42</v>
      </c>
      <c r="Q807" s="32" t="s">
        <v>32</v>
      </c>
      <c r="R807" s="69">
        <v>44266.418402777781</v>
      </c>
      <c r="S807" s="35">
        <v>44362</v>
      </c>
      <c r="T807" s="32" t="str">
        <f t="shared" si="49"/>
        <v>+0852-83786***</v>
      </c>
      <c r="U807" s="32" t="str">
        <f t="shared" ca="1" si="50"/>
        <v>aden***@jossmail.com</v>
      </c>
      <c r="V807" s="32">
        <f t="shared" si="51"/>
        <v>24</v>
      </c>
      <c r="W807" s="36">
        <f t="shared" si="52"/>
        <v>0.05</v>
      </c>
    </row>
    <row r="808" spans="4:23" ht="27" customHeight="1" x14ac:dyDescent="0.25">
      <c r="D808" s="14" t="s">
        <v>3247</v>
      </c>
      <c r="E808" s="14" t="s">
        <v>3248</v>
      </c>
      <c r="F808" s="84" t="s">
        <v>485</v>
      </c>
      <c r="G808" s="15" t="s">
        <v>27</v>
      </c>
      <c r="H808" s="16" t="s">
        <v>3249</v>
      </c>
      <c r="I808" s="17"/>
      <c r="J808" s="17"/>
      <c r="K808" s="17"/>
      <c r="L808" s="17"/>
      <c r="N808" s="31">
        <v>806</v>
      </c>
      <c r="O808" s="32" t="s">
        <v>3250</v>
      </c>
      <c r="P808" s="33" t="s">
        <v>57</v>
      </c>
      <c r="Q808" s="32" t="s">
        <v>40</v>
      </c>
      <c r="R808" s="69">
        <v>44261.613229166665</v>
      </c>
      <c r="S808" s="35">
        <v>44359</v>
      </c>
      <c r="T808" s="32" t="str">
        <f t="shared" si="49"/>
        <v>+6281259070***</v>
      </c>
      <c r="U808" s="32" t="str">
        <f t="shared" ca="1" si="50"/>
        <v>sonn***@yuhuumail.com</v>
      </c>
      <c r="V808" s="32">
        <f t="shared" si="51"/>
        <v>24</v>
      </c>
      <c r="W808" s="36">
        <f t="shared" si="52"/>
        <v>0.05</v>
      </c>
    </row>
    <row r="809" spans="4:23" ht="27" customHeight="1" x14ac:dyDescent="0.25">
      <c r="D809" s="14" t="s">
        <v>3251</v>
      </c>
      <c r="E809" s="14" t="s">
        <v>3252</v>
      </c>
      <c r="F809" s="84" t="s">
        <v>3253</v>
      </c>
      <c r="G809" s="15" t="s">
        <v>27</v>
      </c>
      <c r="H809" s="16" t="s">
        <v>3254</v>
      </c>
      <c r="I809" s="17"/>
      <c r="J809" s="17"/>
      <c r="K809" s="17"/>
      <c r="L809" s="17"/>
      <c r="N809" s="31">
        <v>807</v>
      </c>
      <c r="O809" s="32" t="s">
        <v>3255</v>
      </c>
      <c r="P809" s="33" t="s">
        <v>57</v>
      </c>
      <c r="Q809" s="32" t="s">
        <v>32</v>
      </c>
      <c r="R809" s="69">
        <v>44265.79791666667</v>
      </c>
      <c r="S809" s="35">
        <v>44359</v>
      </c>
      <c r="T809" s="32" t="str">
        <f t="shared" si="49"/>
        <v>+082260986***</v>
      </c>
      <c r="U809" s="32" t="str">
        <f t="shared" ca="1" si="50"/>
        <v>bell***@jossmail.com</v>
      </c>
      <c r="V809" s="32">
        <f t="shared" si="51"/>
        <v>24</v>
      </c>
      <c r="W809" s="36">
        <f t="shared" si="52"/>
        <v>0.05</v>
      </c>
    </row>
    <row r="810" spans="4:23" ht="27" customHeight="1" x14ac:dyDescent="0.25">
      <c r="D810" s="14" t="s">
        <v>3256</v>
      </c>
      <c r="E810" s="14" t="s">
        <v>221</v>
      </c>
      <c r="F810" s="84" t="s">
        <v>100</v>
      </c>
      <c r="G810" s="15" t="s">
        <v>27</v>
      </c>
      <c r="H810" s="16" t="s">
        <v>3257</v>
      </c>
      <c r="I810" s="17"/>
      <c r="J810" s="17"/>
      <c r="K810" s="17"/>
      <c r="L810" s="17"/>
      <c r="N810" s="31">
        <v>808</v>
      </c>
      <c r="O810" s="32" t="s">
        <v>3258</v>
      </c>
      <c r="P810" s="33" t="s">
        <v>57</v>
      </c>
      <c r="Q810" s="32" t="s">
        <v>40</v>
      </c>
      <c r="R810" s="69">
        <v>44266.428657407407</v>
      </c>
      <c r="S810" s="35">
        <v>44358</v>
      </c>
      <c r="T810" s="32" t="str">
        <f t="shared" si="49"/>
        <v>+0842-71935***</v>
      </c>
      <c r="U810" s="32" t="str">
        <f t="shared" ca="1" si="50"/>
        <v>gary***@yuhuumail.com</v>
      </c>
      <c r="V810" s="32">
        <f t="shared" si="51"/>
        <v>23</v>
      </c>
      <c r="W810" s="36">
        <f t="shared" si="52"/>
        <v>0.05</v>
      </c>
    </row>
    <row r="811" spans="4:23" ht="27" customHeight="1" x14ac:dyDescent="0.25">
      <c r="D811" s="14" t="s">
        <v>3259</v>
      </c>
      <c r="E811" s="14" t="s">
        <v>1822</v>
      </c>
      <c r="F811" s="84" t="s">
        <v>847</v>
      </c>
      <c r="G811" s="15" t="s">
        <v>27</v>
      </c>
      <c r="H811" s="16" t="s">
        <v>3260</v>
      </c>
      <c r="I811" s="17"/>
      <c r="J811" s="17"/>
      <c r="K811" s="17"/>
      <c r="L811" s="17"/>
      <c r="N811" s="31">
        <v>809</v>
      </c>
      <c r="O811" s="32" t="s">
        <v>3261</v>
      </c>
      <c r="P811" s="33" t="s">
        <v>42</v>
      </c>
      <c r="Q811" s="32" t="s">
        <v>32</v>
      </c>
      <c r="R811" s="69">
        <v>43740.25408564815</v>
      </c>
      <c r="S811" s="71">
        <v>44318</v>
      </c>
      <c r="T811" s="32" t="str">
        <f t="shared" si="49"/>
        <v>+0842-35847***</v>
      </c>
      <c r="U811" s="32" t="str">
        <f t="shared" ca="1" si="50"/>
        <v>dill***@yuhuumail.com</v>
      </c>
      <c r="V811" s="32">
        <f t="shared" si="51"/>
        <v>22</v>
      </c>
      <c r="W811" s="36">
        <f t="shared" si="52"/>
        <v>6.5000000000000002E-2</v>
      </c>
    </row>
    <row r="812" spans="4:23" ht="27" customHeight="1" x14ac:dyDescent="0.25">
      <c r="D812" s="14" t="s">
        <v>3262</v>
      </c>
      <c r="E812" s="14" t="s">
        <v>2836</v>
      </c>
      <c r="F812" s="84" t="s">
        <v>422</v>
      </c>
      <c r="G812" s="15" t="s">
        <v>27</v>
      </c>
      <c r="H812" s="16" t="s">
        <v>3263</v>
      </c>
      <c r="I812" s="17"/>
      <c r="J812" s="17"/>
      <c r="K812" s="17"/>
      <c r="L812" s="17"/>
      <c r="N812" s="31">
        <v>810</v>
      </c>
      <c r="O812" s="32" t="s">
        <v>1221</v>
      </c>
      <c r="P812" s="33" t="s">
        <v>31</v>
      </c>
      <c r="Q812" s="32" t="s">
        <v>40</v>
      </c>
      <c r="R812" s="69">
        <v>44266.42224537037</v>
      </c>
      <c r="S812" s="71">
        <v>44320</v>
      </c>
      <c r="T812" s="32" t="str">
        <f t="shared" si="49"/>
        <v>+6284230638***</v>
      </c>
      <c r="U812" s="32" t="str">
        <f t="shared" ca="1" si="50"/>
        <v>sien***@jossmail.com</v>
      </c>
      <c r="V812" s="32">
        <f t="shared" si="51"/>
        <v>23</v>
      </c>
      <c r="W812" s="36">
        <f t="shared" si="52"/>
        <v>0.05</v>
      </c>
    </row>
    <row r="813" spans="4:23" ht="27" customHeight="1" x14ac:dyDescent="0.25">
      <c r="D813" s="14" t="s">
        <v>3264</v>
      </c>
      <c r="E813" s="14" t="s">
        <v>463</v>
      </c>
      <c r="F813" s="84" t="s">
        <v>715</v>
      </c>
      <c r="G813" s="15" t="s">
        <v>27</v>
      </c>
      <c r="H813" s="16" t="s">
        <v>3265</v>
      </c>
      <c r="I813" s="17"/>
      <c r="J813" s="17"/>
      <c r="K813" s="17"/>
      <c r="L813" s="17"/>
      <c r="N813" s="31">
        <v>811</v>
      </c>
      <c r="O813" s="32" t="s">
        <v>2894</v>
      </c>
      <c r="P813" s="33" t="s">
        <v>57</v>
      </c>
      <c r="Q813" s="32" t="s">
        <v>32</v>
      </c>
      <c r="R813" s="69">
        <v>44266.437430555554</v>
      </c>
      <c r="S813" s="71">
        <v>44352</v>
      </c>
      <c r="T813" s="32" t="str">
        <f t="shared" si="49"/>
        <v>+082283491***</v>
      </c>
      <c r="U813" s="32" t="str">
        <f t="shared" ca="1" si="50"/>
        <v>dela***@yuhuumail.com</v>
      </c>
      <c r="V813" s="32">
        <f t="shared" si="51"/>
        <v>23</v>
      </c>
      <c r="W813" s="36">
        <f t="shared" si="52"/>
        <v>0.05</v>
      </c>
    </row>
    <row r="814" spans="4:23" ht="27" customHeight="1" x14ac:dyDescent="0.25">
      <c r="D814" s="14" t="s">
        <v>3266</v>
      </c>
      <c r="E814" s="14" t="s">
        <v>2704</v>
      </c>
      <c r="F814" s="84" t="s">
        <v>592</v>
      </c>
      <c r="G814" s="15" t="s">
        <v>27</v>
      </c>
      <c r="H814" s="16" t="s">
        <v>3267</v>
      </c>
      <c r="I814" s="17"/>
      <c r="J814" s="17"/>
      <c r="K814" s="17"/>
      <c r="L814" s="17"/>
      <c r="N814" s="31">
        <v>812</v>
      </c>
      <c r="O814" s="32" t="s">
        <v>3268</v>
      </c>
      <c r="P814" s="33" t="s">
        <v>31</v>
      </c>
      <c r="Q814" s="32" t="s">
        <v>40</v>
      </c>
      <c r="R814" s="69">
        <v>44266.456076388888</v>
      </c>
      <c r="S814" s="71">
        <v>44359</v>
      </c>
      <c r="T814" s="32" t="str">
        <f t="shared" si="49"/>
        <v>+83226614***</v>
      </c>
      <c r="U814" s="32" t="str">
        <f t="shared" ca="1" si="50"/>
        <v>sinc***@yuhuumail.com</v>
      </c>
      <c r="V814" s="32">
        <f t="shared" si="51"/>
        <v>23</v>
      </c>
      <c r="W814" s="36">
        <f t="shared" si="52"/>
        <v>0.05</v>
      </c>
    </row>
    <row r="815" spans="4:23" ht="27" customHeight="1" x14ac:dyDescent="0.25">
      <c r="D815" s="14" t="s">
        <v>3269</v>
      </c>
      <c r="E815" s="14" t="s">
        <v>3098</v>
      </c>
      <c r="F815" s="84" t="s">
        <v>485</v>
      </c>
      <c r="G815" s="15" t="s">
        <v>68</v>
      </c>
      <c r="H815" s="16" t="s">
        <v>3270</v>
      </c>
      <c r="I815" s="17"/>
      <c r="J815" s="17"/>
      <c r="K815" s="17"/>
      <c r="L815" s="17"/>
      <c r="N815" s="31">
        <v>813</v>
      </c>
      <c r="O815" s="32" t="s">
        <v>3271</v>
      </c>
      <c r="P815" s="33" t="s">
        <v>57</v>
      </c>
      <c r="Q815" s="32" t="s">
        <v>32</v>
      </c>
      <c r="R815" s="69">
        <v>42655.524756944447</v>
      </c>
      <c r="S815" s="71">
        <v>44358</v>
      </c>
      <c r="T815" s="32" t="str">
        <f t="shared" si="49"/>
        <v>+84220489***</v>
      </c>
      <c r="U815" s="32" t="str">
        <f t="shared" ca="1" si="50"/>
        <v>kenn***@jossmail.com</v>
      </c>
      <c r="V815" s="32">
        <f t="shared" si="51"/>
        <v>19</v>
      </c>
      <c r="W815" s="36">
        <f t="shared" si="52"/>
        <v>2.5000000000000001E-2</v>
      </c>
    </row>
    <row r="816" spans="4:23" ht="27" customHeight="1" x14ac:dyDescent="0.25">
      <c r="D816" s="14" t="s">
        <v>3272</v>
      </c>
      <c r="E816" s="14" t="s">
        <v>3273</v>
      </c>
      <c r="F816" s="84" t="s">
        <v>302</v>
      </c>
      <c r="G816" s="15" t="s">
        <v>68</v>
      </c>
      <c r="H816" s="16" t="s">
        <v>3274</v>
      </c>
      <c r="I816" s="17"/>
      <c r="J816" s="17"/>
      <c r="K816" s="17"/>
      <c r="L816" s="17"/>
      <c r="N816" s="31">
        <v>814</v>
      </c>
      <c r="O816" s="32" t="s">
        <v>3275</v>
      </c>
      <c r="P816" s="33" t="s">
        <v>31</v>
      </c>
      <c r="Q816" s="32" t="s">
        <v>40</v>
      </c>
      <c r="R816" s="69">
        <v>44266.45140046296</v>
      </c>
      <c r="S816" s="71">
        <v>44359</v>
      </c>
      <c r="T816" s="32" t="str">
        <f t="shared" si="49"/>
        <v>+0812 42053***</v>
      </c>
      <c r="U816" s="32" t="str">
        <f t="shared" ca="1" si="50"/>
        <v>luci***@yuhuumail.com</v>
      </c>
      <c r="V816" s="32">
        <f t="shared" si="51"/>
        <v>23</v>
      </c>
      <c r="W816" s="36">
        <f t="shared" si="52"/>
        <v>0.05</v>
      </c>
    </row>
    <row r="817" spans="4:23" ht="27" customHeight="1" x14ac:dyDescent="0.25">
      <c r="D817" s="14" t="s">
        <v>3276</v>
      </c>
      <c r="E817" s="14" t="s">
        <v>3277</v>
      </c>
      <c r="F817" s="84" t="s">
        <v>524</v>
      </c>
      <c r="G817" s="15" t="s">
        <v>27</v>
      </c>
      <c r="H817" s="16" t="s">
        <v>3278</v>
      </c>
      <c r="I817" s="17"/>
      <c r="J817" s="17"/>
      <c r="K817" s="17"/>
      <c r="L817" s="17"/>
      <c r="N817" s="31">
        <v>815</v>
      </c>
      <c r="O817" s="32" t="s">
        <v>1833</v>
      </c>
      <c r="P817" s="33" t="s">
        <v>42</v>
      </c>
      <c r="Q817" s="32" t="s">
        <v>32</v>
      </c>
      <c r="R817" s="69">
        <v>43724.675567129627</v>
      </c>
      <c r="S817" s="71">
        <v>44356</v>
      </c>
      <c r="T817" s="32" t="str">
        <f t="shared" si="49"/>
        <v>+0842-24270***</v>
      </c>
      <c r="U817" s="32" t="str">
        <f t="shared" ca="1" si="50"/>
        <v>autu***@yuhuumail.com</v>
      </c>
      <c r="V817" s="32">
        <f t="shared" si="51"/>
        <v>21</v>
      </c>
      <c r="W817" s="36">
        <f t="shared" si="52"/>
        <v>6.5000000000000002E-2</v>
      </c>
    </row>
    <row r="818" spans="4:23" ht="27" customHeight="1" x14ac:dyDescent="0.25">
      <c r="D818" s="14" t="s">
        <v>3279</v>
      </c>
      <c r="E818" s="14" t="s">
        <v>1937</v>
      </c>
      <c r="F818" s="84" t="s">
        <v>143</v>
      </c>
      <c r="G818" s="15" t="s">
        <v>27</v>
      </c>
      <c r="H818" s="16" t="s">
        <v>3280</v>
      </c>
      <c r="I818" s="17"/>
      <c r="J818" s="17"/>
      <c r="K818" s="17"/>
      <c r="L818" s="17"/>
      <c r="N818" s="31">
        <v>816</v>
      </c>
      <c r="O818" s="32" t="s">
        <v>3281</v>
      </c>
      <c r="P818" s="33" t="s">
        <v>42</v>
      </c>
      <c r="Q818" s="32" t="s">
        <v>40</v>
      </c>
      <c r="R818" s="69">
        <v>44266.495000000003</v>
      </c>
      <c r="S818" s="71">
        <v>44356</v>
      </c>
      <c r="T818" s="32" t="str">
        <f t="shared" si="49"/>
        <v>+6285221789***</v>
      </c>
      <c r="U818" s="32" t="str">
        <f t="shared" ca="1" si="50"/>
        <v>agus***@yuhuumail.com</v>
      </c>
      <c r="V818" s="32">
        <f t="shared" si="51"/>
        <v>23</v>
      </c>
      <c r="W818" s="36">
        <f t="shared" si="52"/>
        <v>0.05</v>
      </c>
    </row>
    <row r="819" spans="4:23" ht="27" customHeight="1" x14ac:dyDescent="0.25">
      <c r="D819" s="14" t="s">
        <v>3282</v>
      </c>
      <c r="E819" s="14" t="s">
        <v>3283</v>
      </c>
      <c r="F819" s="84" t="s">
        <v>3284</v>
      </c>
      <c r="G819" s="15" t="s">
        <v>27</v>
      </c>
      <c r="H819" s="16" t="s">
        <v>3285</v>
      </c>
      <c r="I819" s="17"/>
      <c r="J819" s="17"/>
      <c r="K819" s="17"/>
      <c r="L819" s="17"/>
      <c r="N819" s="31">
        <v>817</v>
      </c>
      <c r="O819" s="32" t="s">
        <v>1669</v>
      </c>
      <c r="P819" s="33" t="s">
        <v>31</v>
      </c>
      <c r="Q819" s="32" t="s">
        <v>32</v>
      </c>
      <c r="R819" s="69">
        <v>44266.457858796297</v>
      </c>
      <c r="S819" s="71">
        <v>44352</v>
      </c>
      <c r="T819" s="32" t="str">
        <f t="shared" si="49"/>
        <v>+832 34131***</v>
      </c>
      <c r="U819" s="32" t="str">
        <f t="shared" ca="1" si="50"/>
        <v>anni***@jossmail.com</v>
      </c>
      <c r="V819" s="32">
        <f t="shared" si="51"/>
        <v>23</v>
      </c>
      <c r="W819" s="36">
        <f t="shared" si="52"/>
        <v>0.05</v>
      </c>
    </row>
    <row r="820" spans="4:23" ht="27" customHeight="1" x14ac:dyDescent="0.25">
      <c r="D820" s="14" t="s">
        <v>3286</v>
      </c>
      <c r="E820" s="14" t="s">
        <v>3287</v>
      </c>
      <c r="F820" s="84" t="s">
        <v>266</v>
      </c>
      <c r="G820" s="15" t="s">
        <v>27</v>
      </c>
      <c r="H820" s="16" t="s">
        <v>3288</v>
      </c>
      <c r="I820" s="17"/>
      <c r="J820" s="17"/>
      <c r="K820" s="17"/>
      <c r="L820" s="17"/>
      <c r="N820" s="31">
        <v>818</v>
      </c>
      <c r="O820" s="32" t="s">
        <v>3289</v>
      </c>
      <c r="P820" s="33" t="s">
        <v>31</v>
      </c>
      <c r="Q820" s="32" t="s">
        <v>40</v>
      </c>
      <c r="R820" s="69">
        <v>43698.731782407405</v>
      </c>
      <c r="S820" s="71">
        <v>44322</v>
      </c>
      <c r="T820" s="32" t="str">
        <f t="shared" si="49"/>
        <v>+085227596***</v>
      </c>
      <c r="U820" s="32" t="str">
        <f t="shared" ca="1" si="50"/>
        <v>maka***@jossmail.com</v>
      </c>
      <c r="V820" s="32">
        <f t="shared" si="51"/>
        <v>21</v>
      </c>
      <c r="W820" s="36">
        <f t="shared" si="52"/>
        <v>6.5000000000000002E-2</v>
      </c>
    </row>
    <row r="821" spans="4:23" ht="27" customHeight="1" x14ac:dyDescent="0.25">
      <c r="D821" s="14" t="s">
        <v>3290</v>
      </c>
      <c r="E821" s="14" t="s">
        <v>3291</v>
      </c>
      <c r="F821" s="84" t="s">
        <v>653</v>
      </c>
      <c r="G821" s="15" t="s">
        <v>68</v>
      </c>
      <c r="H821" s="16" t="s">
        <v>3292</v>
      </c>
      <c r="I821" s="17"/>
      <c r="J821" s="17"/>
      <c r="K821" s="17"/>
      <c r="L821" s="17"/>
      <c r="N821" s="31">
        <v>819</v>
      </c>
      <c r="O821" s="32" t="s">
        <v>3293</v>
      </c>
      <c r="P821" s="33" t="s">
        <v>42</v>
      </c>
      <c r="Q821" s="32" t="s">
        <v>32</v>
      </c>
      <c r="R821" s="69">
        <v>44266.349722222221</v>
      </c>
      <c r="S821" s="71">
        <v>44356</v>
      </c>
      <c r="T821" s="32" t="str">
        <f t="shared" si="49"/>
        <v>+081267027***</v>
      </c>
      <c r="U821" s="32" t="str">
        <f t="shared" ca="1" si="50"/>
        <v>finn***@yuhuumail.com</v>
      </c>
      <c r="V821" s="32">
        <f t="shared" si="51"/>
        <v>23</v>
      </c>
      <c r="W821" s="36">
        <f t="shared" si="52"/>
        <v>0.05</v>
      </c>
    </row>
    <row r="822" spans="4:23" ht="27" customHeight="1" x14ac:dyDescent="0.25">
      <c r="D822" s="14" t="s">
        <v>3294</v>
      </c>
      <c r="E822" s="14" t="s">
        <v>3295</v>
      </c>
      <c r="F822" s="84" t="s">
        <v>614</v>
      </c>
      <c r="G822" s="15" t="s">
        <v>27</v>
      </c>
      <c r="H822" s="16" t="s">
        <v>3296</v>
      </c>
      <c r="I822" s="17"/>
      <c r="J822" s="17"/>
      <c r="K822" s="17"/>
      <c r="L822" s="17"/>
      <c r="N822" s="31">
        <v>820</v>
      </c>
      <c r="O822" s="32" t="s">
        <v>3297</v>
      </c>
      <c r="P822" s="33" t="s">
        <v>57</v>
      </c>
      <c r="Q822" s="32" t="s">
        <v>40</v>
      </c>
      <c r="R822" s="69">
        <v>44266.578287037039</v>
      </c>
      <c r="S822" s="71">
        <v>44318</v>
      </c>
      <c r="T822" s="32" t="str">
        <f t="shared" si="49"/>
        <v>+0812 55981***</v>
      </c>
      <c r="U822" s="32" t="str">
        <f t="shared" ca="1" si="50"/>
        <v>maso***@jossmail.com</v>
      </c>
      <c r="V822" s="32">
        <f t="shared" si="51"/>
        <v>23</v>
      </c>
      <c r="W822" s="36">
        <f t="shared" si="52"/>
        <v>0.05</v>
      </c>
    </row>
    <row r="823" spans="4:23" ht="27" customHeight="1" x14ac:dyDescent="0.25">
      <c r="D823" s="14" t="s">
        <v>3298</v>
      </c>
      <c r="E823" s="14" t="s">
        <v>1059</v>
      </c>
      <c r="F823" s="84" t="s">
        <v>764</v>
      </c>
      <c r="G823" s="15" t="s">
        <v>27</v>
      </c>
      <c r="H823" s="16" t="s">
        <v>3299</v>
      </c>
      <c r="I823" s="17"/>
      <c r="J823" s="17"/>
      <c r="K823" s="17"/>
      <c r="L823" s="17"/>
      <c r="N823" s="31">
        <v>821</v>
      </c>
      <c r="O823" s="32" t="s">
        <v>2632</v>
      </c>
      <c r="P823" s="33" t="s">
        <v>57</v>
      </c>
      <c r="Q823" s="32" t="s">
        <v>32</v>
      </c>
      <c r="R823" s="69">
        <v>44266.587893518517</v>
      </c>
      <c r="S823" s="71">
        <v>44354</v>
      </c>
      <c r="T823" s="32" t="str">
        <f t="shared" si="49"/>
        <v>+83223302***</v>
      </c>
      <c r="U823" s="32" t="str">
        <f t="shared" ca="1" si="50"/>
        <v>kyan***@jossmail.com</v>
      </c>
      <c r="V823" s="32">
        <f t="shared" si="51"/>
        <v>23</v>
      </c>
      <c r="W823" s="36">
        <f t="shared" si="52"/>
        <v>0.05</v>
      </c>
    </row>
    <row r="824" spans="4:23" ht="27" customHeight="1" x14ac:dyDescent="0.25">
      <c r="D824" s="14" t="s">
        <v>3300</v>
      </c>
      <c r="E824" s="14" t="s">
        <v>3301</v>
      </c>
      <c r="F824" s="84" t="s">
        <v>233</v>
      </c>
      <c r="G824" s="15" t="s">
        <v>27</v>
      </c>
      <c r="H824" s="16" t="s">
        <v>3302</v>
      </c>
      <c r="I824" s="17"/>
      <c r="J824" s="17"/>
      <c r="K824" s="17"/>
      <c r="L824" s="17"/>
      <c r="N824" s="31">
        <v>822</v>
      </c>
      <c r="O824" s="32" t="s">
        <v>3303</v>
      </c>
      <c r="P824" s="33" t="s">
        <v>57</v>
      </c>
      <c r="Q824" s="32" t="s">
        <v>40</v>
      </c>
      <c r="R824" s="69">
        <v>44266.591481481482</v>
      </c>
      <c r="S824" s="71">
        <v>44359</v>
      </c>
      <c r="T824" s="32" t="str">
        <f t="shared" si="49"/>
        <v>+82279897***</v>
      </c>
      <c r="U824" s="32" t="str">
        <f t="shared" ca="1" si="50"/>
        <v>tyle***@yuhuumail.com</v>
      </c>
      <c r="V824" s="32">
        <f t="shared" si="51"/>
        <v>23</v>
      </c>
      <c r="W824" s="36">
        <f t="shared" si="52"/>
        <v>0.05</v>
      </c>
    </row>
    <row r="825" spans="4:23" ht="27" customHeight="1" x14ac:dyDescent="0.25">
      <c r="D825" s="14" t="s">
        <v>3304</v>
      </c>
      <c r="E825" s="14" t="s">
        <v>3305</v>
      </c>
      <c r="F825" s="84" t="s">
        <v>316</v>
      </c>
      <c r="G825" s="15" t="s">
        <v>68</v>
      </c>
      <c r="H825" s="16" t="s">
        <v>3306</v>
      </c>
      <c r="I825" s="17"/>
      <c r="J825" s="17"/>
      <c r="K825" s="17"/>
      <c r="L825" s="17"/>
      <c r="N825" s="31">
        <v>823</v>
      </c>
      <c r="O825" s="32" t="s">
        <v>3307</v>
      </c>
      <c r="P825" s="33" t="s">
        <v>57</v>
      </c>
      <c r="Q825" s="32" t="s">
        <v>32</v>
      </c>
      <c r="R825" s="69">
        <v>44266.612766203703</v>
      </c>
      <c r="S825" s="71">
        <v>44359</v>
      </c>
      <c r="T825" s="32" t="str">
        <f t="shared" si="49"/>
        <v>+6284224323***</v>
      </c>
      <c r="U825" s="32" t="str">
        <f t="shared" ca="1" si="50"/>
        <v>thom***@jossmail.com</v>
      </c>
      <c r="V825" s="32">
        <f t="shared" si="51"/>
        <v>23</v>
      </c>
      <c r="W825" s="36">
        <f t="shared" si="52"/>
        <v>0.05</v>
      </c>
    </row>
    <row r="826" spans="4:23" ht="27" customHeight="1" x14ac:dyDescent="0.25">
      <c r="D826" s="14" t="s">
        <v>3308</v>
      </c>
      <c r="E826" s="14" t="s">
        <v>3309</v>
      </c>
      <c r="F826" s="84" t="s">
        <v>1201</v>
      </c>
      <c r="G826" s="15" t="s">
        <v>27</v>
      </c>
      <c r="H826" s="16" t="s">
        <v>3310</v>
      </c>
      <c r="I826" s="17"/>
      <c r="J826" s="17"/>
      <c r="K826" s="17"/>
      <c r="L826" s="17"/>
      <c r="N826" s="31">
        <v>824</v>
      </c>
      <c r="O826" s="32" t="s">
        <v>3311</v>
      </c>
      <c r="P826" s="33" t="s">
        <v>31</v>
      </c>
      <c r="Q826" s="32" t="s">
        <v>40</v>
      </c>
      <c r="R826" s="69">
        <v>44266.627337962964</v>
      </c>
      <c r="S826" s="71">
        <v>44362</v>
      </c>
      <c r="T826" s="32" t="str">
        <f t="shared" si="49"/>
        <v>+83290230***</v>
      </c>
      <c r="U826" s="32" t="str">
        <f t="shared" ca="1" si="50"/>
        <v>tama***@jossmail.com</v>
      </c>
      <c r="V826" s="32">
        <f t="shared" si="51"/>
        <v>23</v>
      </c>
      <c r="W826" s="36">
        <f t="shared" si="52"/>
        <v>0.05</v>
      </c>
    </row>
    <row r="827" spans="4:23" ht="27" customHeight="1" x14ac:dyDescent="0.25">
      <c r="D827" s="14" t="s">
        <v>3312</v>
      </c>
      <c r="E827" s="14" t="s">
        <v>1356</v>
      </c>
      <c r="F827" s="84" t="s">
        <v>1093</v>
      </c>
      <c r="G827" s="15" t="s">
        <v>27</v>
      </c>
      <c r="H827" s="16" t="s">
        <v>3313</v>
      </c>
      <c r="I827" s="17"/>
      <c r="J827" s="17"/>
      <c r="K827" s="17"/>
      <c r="L827" s="17"/>
      <c r="N827" s="31">
        <v>825</v>
      </c>
      <c r="O827" s="32" t="s">
        <v>537</v>
      </c>
      <c r="P827" s="33" t="s">
        <v>57</v>
      </c>
      <c r="Q827" s="32" t="s">
        <v>32</v>
      </c>
      <c r="R827" s="69">
        <v>44266.640567129631</v>
      </c>
      <c r="S827" s="71">
        <v>44359</v>
      </c>
      <c r="T827" s="32" t="str">
        <f t="shared" si="49"/>
        <v>+0852 57089***</v>
      </c>
      <c r="U827" s="32" t="str">
        <f t="shared" ca="1" si="50"/>
        <v>mira***@yuhuumail.com</v>
      </c>
      <c r="V827" s="32">
        <f t="shared" si="51"/>
        <v>23</v>
      </c>
      <c r="W827" s="36">
        <f t="shared" si="52"/>
        <v>0.05</v>
      </c>
    </row>
    <row r="828" spans="4:23" ht="27" customHeight="1" x14ac:dyDescent="0.25">
      <c r="D828" s="14" t="s">
        <v>3314</v>
      </c>
      <c r="E828" s="14" t="s">
        <v>3315</v>
      </c>
      <c r="F828" s="84" t="s">
        <v>261</v>
      </c>
      <c r="G828" s="15" t="s">
        <v>27</v>
      </c>
      <c r="H828" s="16" t="s">
        <v>3316</v>
      </c>
      <c r="I828" s="17"/>
      <c r="J828" s="17"/>
      <c r="K828" s="17"/>
      <c r="L828" s="17"/>
      <c r="N828" s="31">
        <v>826</v>
      </c>
      <c r="O828" s="32" t="s">
        <v>1900</v>
      </c>
      <c r="P828" s="33" t="s">
        <v>42</v>
      </c>
      <c r="Q828" s="32" t="s">
        <v>40</v>
      </c>
      <c r="R828" s="69">
        <v>44266.642361111109</v>
      </c>
      <c r="S828" s="71">
        <v>44320</v>
      </c>
      <c r="T828" s="32" t="str">
        <f t="shared" si="49"/>
        <v>+84267419***</v>
      </c>
      <c r="U828" s="32" t="str">
        <f t="shared" ca="1" si="50"/>
        <v>alyv***@jossmail.com</v>
      </c>
      <c r="V828" s="32">
        <f t="shared" si="51"/>
        <v>23</v>
      </c>
      <c r="W828" s="36">
        <f t="shared" si="52"/>
        <v>0.05</v>
      </c>
    </row>
    <row r="829" spans="4:23" ht="27" customHeight="1" x14ac:dyDescent="0.25">
      <c r="D829" s="14" t="s">
        <v>3317</v>
      </c>
      <c r="E829" s="14" t="s">
        <v>3318</v>
      </c>
      <c r="F829" s="84" t="s">
        <v>444</v>
      </c>
      <c r="G829" s="15" t="s">
        <v>27</v>
      </c>
      <c r="H829" s="16" t="s">
        <v>3319</v>
      </c>
      <c r="I829" s="17"/>
      <c r="J829" s="17"/>
      <c r="K829" s="17"/>
      <c r="L829" s="17"/>
      <c r="N829" s="31">
        <v>827</v>
      </c>
      <c r="O829" s="32" t="s">
        <v>3320</v>
      </c>
      <c r="P829" s="33" t="s">
        <v>57</v>
      </c>
      <c r="Q829" s="32" t="s">
        <v>32</v>
      </c>
      <c r="R829" s="69">
        <v>44266.638657407406</v>
      </c>
      <c r="S829" s="71">
        <v>44352</v>
      </c>
      <c r="T829" s="32" t="str">
        <f t="shared" si="49"/>
        <v>+0812 84000***</v>
      </c>
      <c r="U829" s="32" t="str">
        <f t="shared" ca="1" si="50"/>
        <v>anto***@jossmail.com</v>
      </c>
      <c r="V829" s="32">
        <f t="shared" si="51"/>
        <v>23</v>
      </c>
      <c r="W829" s="36">
        <f t="shared" si="52"/>
        <v>0.05</v>
      </c>
    </row>
    <row r="830" spans="4:23" ht="27" customHeight="1" x14ac:dyDescent="0.25">
      <c r="D830" s="14" t="s">
        <v>3321</v>
      </c>
      <c r="E830" s="14" t="s">
        <v>2967</v>
      </c>
      <c r="F830" s="84" t="s">
        <v>92</v>
      </c>
      <c r="G830" s="15" t="s">
        <v>27</v>
      </c>
      <c r="H830" s="16" t="s">
        <v>3322</v>
      </c>
      <c r="I830" s="17"/>
      <c r="J830" s="17"/>
      <c r="K830" s="17"/>
      <c r="L830" s="17"/>
      <c r="N830" s="31">
        <v>828</v>
      </c>
      <c r="O830" s="32" t="s">
        <v>3323</v>
      </c>
      <c r="P830" s="33" t="s">
        <v>57</v>
      </c>
      <c r="Q830" s="32" t="s">
        <v>40</v>
      </c>
      <c r="R830" s="69">
        <v>44266.649641203701</v>
      </c>
      <c r="S830" s="71">
        <v>44362</v>
      </c>
      <c r="T830" s="32" t="str">
        <f t="shared" si="49"/>
        <v>+085279874***</v>
      </c>
      <c r="U830" s="32" t="str">
        <f t="shared" ca="1" si="50"/>
        <v>jona***@jossmail.com</v>
      </c>
      <c r="V830" s="32">
        <f t="shared" si="51"/>
        <v>23</v>
      </c>
      <c r="W830" s="36">
        <f t="shared" si="52"/>
        <v>0.05</v>
      </c>
    </row>
    <row r="831" spans="4:23" ht="27" customHeight="1" x14ac:dyDescent="0.25">
      <c r="D831" s="14" t="s">
        <v>3324</v>
      </c>
      <c r="E831" s="14" t="s">
        <v>3325</v>
      </c>
      <c r="F831" s="84" t="s">
        <v>296</v>
      </c>
      <c r="G831" s="15" t="s">
        <v>68</v>
      </c>
      <c r="H831" s="16" t="s">
        <v>3326</v>
      </c>
      <c r="I831" s="17"/>
      <c r="J831" s="17"/>
      <c r="K831" s="17"/>
      <c r="L831" s="17"/>
      <c r="N831" s="31">
        <v>829</v>
      </c>
      <c r="O831" s="32" t="s">
        <v>3327</v>
      </c>
      <c r="P831" s="33" t="s">
        <v>42</v>
      </c>
      <c r="Q831" s="32" t="s">
        <v>32</v>
      </c>
      <c r="R831" s="69">
        <v>44266.676041666666</v>
      </c>
      <c r="S831" s="35">
        <v>44331</v>
      </c>
      <c r="T831" s="32" t="str">
        <f t="shared" si="49"/>
        <v>+82278941***</v>
      </c>
      <c r="U831" s="32" t="str">
        <f t="shared" ca="1" si="50"/>
        <v>alys***@jossmail.com</v>
      </c>
      <c r="V831" s="32">
        <f t="shared" si="51"/>
        <v>23</v>
      </c>
      <c r="W831" s="36">
        <f t="shared" si="52"/>
        <v>0.05</v>
      </c>
    </row>
    <row r="832" spans="4:23" ht="27" customHeight="1" x14ac:dyDescent="0.25">
      <c r="D832" s="14" t="s">
        <v>3328</v>
      </c>
      <c r="E832" s="14" t="s">
        <v>544</v>
      </c>
      <c r="F832" s="84" t="s">
        <v>439</v>
      </c>
      <c r="G832" s="15" t="s">
        <v>27</v>
      </c>
      <c r="H832" s="16" t="s">
        <v>3329</v>
      </c>
      <c r="I832" s="17"/>
      <c r="J832" s="17"/>
      <c r="K832" s="17"/>
      <c r="L832" s="17"/>
      <c r="N832" s="31">
        <v>830</v>
      </c>
      <c r="O832" s="32" t="s">
        <v>3330</v>
      </c>
      <c r="P832" s="33" t="s">
        <v>42</v>
      </c>
      <c r="Q832" s="32" t="s">
        <v>40</v>
      </c>
      <c r="R832" s="69">
        <v>44266.676770833335</v>
      </c>
      <c r="S832" s="35">
        <v>44356</v>
      </c>
      <c r="T832" s="32" t="str">
        <f t="shared" si="49"/>
        <v>+0822-60218***</v>
      </c>
      <c r="U832" s="32" t="str">
        <f t="shared" ca="1" si="50"/>
        <v>amir***@yuhuumail.com</v>
      </c>
      <c r="V832" s="32">
        <f t="shared" si="51"/>
        <v>23</v>
      </c>
      <c r="W832" s="36">
        <f t="shared" si="52"/>
        <v>0.05</v>
      </c>
    </row>
    <row r="833" spans="4:23" ht="27" customHeight="1" x14ac:dyDescent="0.25">
      <c r="D833" s="14" t="s">
        <v>3331</v>
      </c>
      <c r="E833" s="14" t="s">
        <v>3332</v>
      </c>
      <c r="F833" s="84" t="s">
        <v>412</v>
      </c>
      <c r="G833" s="15" t="s">
        <v>27</v>
      </c>
      <c r="H833" s="16" t="s">
        <v>3333</v>
      </c>
      <c r="I833" s="17"/>
      <c r="J833" s="17"/>
      <c r="K833" s="17"/>
      <c r="L833" s="17"/>
      <c r="N833" s="31">
        <v>831</v>
      </c>
      <c r="O833" s="32" t="s">
        <v>3334</v>
      </c>
      <c r="P833" s="33" t="s">
        <v>31</v>
      </c>
      <c r="Q833" s="32" t="s">
        <v>32</v>
      </c>
      <c r="R833" s="69">
        <v>44266.696111111109</v>
      </c>
      <c r="S833" s="35">
        <v>44359</v>
      </c>
      <c r="T833" s="32" t="str">
        <f t="shared" si="49"/>
        <v>+822 25523***</v>
      </c>
      <c r="U833" s="32" t="str">
        <f t="shared" ca="1" si="50"/>
        <v>korb***@yuhuumail.com</v>
      </c>
      <c r="V833" s="32">
        <f t="shared" si="51"/>
        <v>23</v>
      </c>
      <c r="W833" s="36">
        <f t="shared" si="52"/>
        <v>0.05</v>
      </c>
    </row>
    <row r="834" spans="4:23" ht="27" customHeight="1" x14ac:dyDescent="0.25">
      <c r="D834" s="14" t="s">
        <v>3335</v>
      </c>
      <c r="E834" s="14" t="s">
        <v>3336</v>
      </c>
      <c r="F834" s="84" t="s">
        <v>402</v>
      </c>
      <c r="G834" s="15" t="s">
        <v>68</v>
      </c>
      <c r="H834" s="16" t="s">
        <v>3337</v>
      </c>
      <c r="I834" s="17"/>
      <c r="J834" s="17"/>
      <c r="K834" s="17"/>
      <c r="L834" s="17"/>
      <c r="N834" s="31">
        <v>832</v>
      </c>
      <c r="O834" s="32" t="s">
        <v>2806</v>
      </c>
      <c r="P834" s="33" t="s">
        <v>31</v>
      </c>
      <c r="Q834" s="32" t="s">
        <v>40</v>
      </c>
      <c r="R834" s="69">
        <v>44266.69295138889</v>
      </c>
      <c r="S834" s="35">
        <v>44325</v>
      </c>
      <c r="T834" s="32" t="str">
        <f t="shared" si="49"/>
        <v>+082285042***</v>
      </c>
      <c r="U834" s="32" t="str">
        <f t="shared" ca="1" si="50"/>
        <v>emma***@yuhuumail.com</v>
      </c>
      <c r="V834" s="32">
        <f t="shared" si="51"/>
        <v>23</v>
      </c>
      <c r="W834" s="36">
        <f t="shared" si="52"/>
        <v>0.05</v>
      </c>
    </row>
    <row r="835" spans="4:23" ht="27" customHeight="1" x14ac:dyDescent="0.25">
      <c r="D835" s="14" t="s">
        <v>3338</v>
      </c>
      <c r="E835" s="14" t="s">
        <v>1855</v>
      </c>
      <c r="F835" s="84" t="s">
        <v>149</v>
      </c>
      <c r="G835" s="15" t="s">
        <v>27</v>
      </c>
      <c r="H835" s="16" t="s">
        <v>3339</v>
      </c>
      <c r="I835" s="17"/>
      <c r="J835" s="17"/>
      <c r="K835" s="17"/>
      <c r="L835" s="17"/>
      <c r="N835" s="31">
        <v>833</v>
      </c>
      <c r="O835" s="32" t="s">
        <v>3340</v>
      </c>
      <c r="P835" s="33" t="s">
        <v>42</v>
      </c>
      <c r="Q835" s="32" t="s">
        <v>32</v>
      </c>
      <c r="R835" s="69">
        <v>44266.721307870372</v>
      </c>
      <c r="S835" s="35">
        <v>44362</v>
      </c>
      <c r="T835" s="32" t="str">
        <f t="shared" si="49"/>
        <v>+0822 31639***</v>
      </c>
      <c r="U835" s="32" t="str">
        <f t="shared" ca="1" si="50"/>
        <v>izay***@yuhuumail.com</v>
      </c>
      <c r="V835" s="32">
        <f t="shared" si="51"/>
        <v>23</v>
      </c>
      <c r="W835" s="36">
        <f t="shared" si="52"/>
        <v>0.05</v>
      </c>
    </row>
    <row r="836" spans="4:23" ht="27" customHeight="1" x14ac:dyDescent="0.25">
      <c r="D836" s="14" t="s">
        <v>3341</v>
      </c>
      <c r="E836" s="14" t="s">
        <v>3342</v>
      </c>
      <c r="F836" s="84" t="s">
        <v>61</v>
      </c>
      <c r="G836" s="15" t="s">
        <v>68</v>
      </c>
      <c r="H836" s="16" t="s">
        <v>3343</v>
      </c>
      <c r="I836" s="17"/>
      <c r="J836" s="17"/>
      <c r="K836" s="17"/>
      <c r="L836" s="17"/>
      <c r="N836" s="31">
        <v>834</v>
      </c>
      <c r="O836" s="32" t="s">
        <v>1688</v>
      </c>
      <c r="P836" s="33" t="s">
        <v>57</v>
      </c>
      <c r="Q836" s="32" t="s">
        <v>40</v>
      </c>
      <c r="R836" s="69">
        <v>44081.274826388886</v>
      </c>
      <c r="S836" s="35">
        <v>44320</v>
      </c>
      <c r="T836" s="32" t="str">
        <f t="shared" si="49"/>
        <v>+084237533***</v>
      </c>
      <c r="U836" s="32" t="str">
        <f t="shared" ca="1" si="50"/>
        <v>domi***@jossmail.com</v>
      </c>
      <c r="V836" s="32">
        <f t="shared" si="51"/>
        <v>22</v>
      </c>
      <c r="W836" s="36">
        <f t="shared" si="52"/>
        <v>0.05</v>
      </c>
    </row>
    <row r="837" spans="4:23" ht="27" customHeight="1" x14ac:dyDescent="0.25">
      <c r="D837" s="14" t="s">
        <v>3344</v>
      </c>
      <c r="E837" s="14" t="s">
        <v>3345</v>
      </c>
      <c r="F837" s="84" t="s">
        <v>233</v>
      </c>
      <c r="G837" s="15" t="s">
        <v>27</v>
      </c>
      <c r="H837" s="16" t="s">
        <v>3346</v>
      </c>
      <c r="I837" s="17"/>
      <c r="J837" s="17"/>
      <c r="K837" s="17"/>
      <c r="L837" s="17"/>
      <c r="N837" s="31">
        <v>835</v>
      </c>
      <c r="O837" s="32" t="s">
        <v>3347</v>
      </c>
      <c r="P837" s="33" t="s">
        <v>42</v>
      </c>
      <c r="Q837" s="32" t="s">
        <v>32</v>
      </c>
      <c r="R837" s="69">
        <v>44266.743773148148</v>
      </c>
      <c r="S837" s="35">
        <v>44354</v>
      </c>
      <c r="T837" s="32" t="str">
        <f t="shared" ref="T837:T900" si="53">"+"&amp;_xlfn.XLOOKUP($O837, $E$2:$E$3002, $H$2:$H$3002, "Not Found")</f>
        <v>+0842 57385***</v>
      </c>
      <c r="U837" s="32" t="str">
        <f t="shared" ref="U837:U900" ca="1" si="54" xml:space="preserve"> LOWER(LEFT(_xlfn.XLOOKUP($O837, $E$2:$E$3002, $D$2:$D$3002), 4))
  &amp; "***@"
  &amp; IF(RAND()&gt;0.5, "jossmail.com", "yuhuumail.com")</f>
        <v>bren***@jossmail.com</v>
      </c>
      <c r="V837" s="32">
        <f t="shared" ref="V837:V900" si="55">DATEDIF(_xlfn.XLOOKUP($O837, $E$2:$E$3002, $F$2:$F$3002), $R837, "Y")</f>
        <v>23</v>
      </c>
      <c r="W837" s="36">
        <f t="shared" ref="W837:W900" si="56">IF(DATEDIF($R837, $S837, "Y") &gt;= 3, 0.025,
   IF(DATEDIF($R837, $S837, "Y") &gt;= 1, 0.015, 0)) +
 IF($V837 &gt;= 50, 0.04,
   IF($V837 &gt;= 40, 0.03,
     IF($V837 &gt;= 30, 0.02,
       IF($V837 &gt;= 20, 0.05, 0))))</f>
        <v>0.05</v>
      </c>
    </row>
    <row r="838" spans="4:23" ht="27" customHeight="1" x14ac:dyDescent="0.25">
      <c r="D838" s="14" t="s">
        <v>3348</v>
      </c>
      <c r="E838" s="14" t="s">
        <v>3349</v>
      </c>
      <c r="F838" s="84" t="s">
        <v>524</v>
      </c>
      <c r="G838" s="15" t="s">
        <v>27</v>
      </c>
      <c r="H838" s="16" t="s">
        <v>3350</v>
      </c>
      <c r="I838" s="17"/>
      <c r="J838" s="17"/>
      <c r="K838" s="17"/>
      <c r="L838" s="17"/>
      <c r="N838" s="31">
        <v>836</v>
      </c>
      <c r="O838" s="32" t="s">
        <v>3351</v>
      </c>
      <c r="P838" s="33" t="s">
        <v>42</v>
      </c>
      <c r="Q838" s="32" t="s">
        <v>40</v>
      </c>
      <c r="R838" s="69">
        <v>44266.781307870369</v>
      </c>
      <c r="S838" s="35">
        <v>44352</v>
      </c>
      <c r="T838" s="32" t="str">
        <f t="shared" si="53"/>
        <v>+852 29685***</v>
      </c>
      <c r="U838" s="32" t="str">
        <f t="shared" ca="1" si="54"/>
        <v>davi***@jossmail.com</v>
      </c>
      <c r="V838" s="32">
        <f t="shared" si="55"/>
        <v>23</v>
      </c>
      <c r="W838" s="36">
        <f t="shared" si="56"/>
        <v>0.05</v>
      </c>
    </row>
    <row r="839" spans="4:23" ht="27" customHeight="1" x14ac:dyDescent="0.25">
      <c r="D839" s="14" t="s">
        <v>3352</v>
      </c>
      <c r="E839" s="14" t="s">
        <v>3353</v>
      </c>
      <c r="F839" s="84" t="s">
        <v>296</v>
      </c>
      <c r="G839" s="15" t="s">
        <v>27</v>
      </c>
      <c r="H839" s="16" t="s">
        <v>3354</v>
      </c>
      <c r="I839" s="17"/>
      <c r="J839" s="17"/>
      <c r="K839" s="17"/>
      <c r="L839" s="17"/>
      <c r="N839" s="31">
        <v>837</v>
      </c>
      <c r="O839" s="32" t="s">
        <v>3355</v>
      </c>
      <c r="P839" s="33" t="s">
        <v>42</v>
      </c>
      <c r="Q839" s="32" t="s">
        <v>32</v>
      </c>
      <c r="R839" s="69">
        <v>44187.658483796295</v>
      </c>
      <c r="S839" s="35">
        <v>44318</v>
      </c>
      <c r="T839" s="32" t="str">
        <f t="shared" si="53"/>
        <v>+6284295106***</v>
      </c>
      <c r="U839" s="32" t="str">
        <f t="shared" ca="1" si="54"/>
        <v>javo***@yuhuumail.com</v>
      </c>
      <c r="V839" s="32">
        <f t="shared" si="55"/>
        <v>23</v>
      </c>
      <c r="W839" s="36">
        <f t="shared" si="56"/>
        <v>0.05</v>
      </c>
    </row>
    <row r="840" spans="4:23" ht="27" customHeight="1" x14ac:dyDescent="0.25">
      <c r="D840" s="14" t="s">
        <v>3356</v>
      </c>
      <c r="E840" s="14" t="s">
        <v>3357</v>
      </c>
      <c r="F840" s="84" t="s">
        <v>302</v>
      </c>
      <c r="G840" s="15" t="s">
        <v>27</v>
      </c>
      <c r="H840" s="16" t="s">
        <v>3358</v>
      </c>
      <c r="I840" s="17"/>
      <c r="J840" s="17"/>
      <c r="K840" s="17"/>
      <c r="L840" s="17"/>
      <c r="N840" s="31">
        <v>838</v>
      </c>
      <c r="O840" s="32" t="s">
        <v>1256</v>
      </c>
      <c r="P840" s="33" t="s">
        <v>57</v>
      </c>
      <c r="Q840" s="32" t="s">
        <v>40</v>
      </c>
      <c r="R840" s="69">
        <v>44266.799305555556</v>
      </c>
      <c r="S840" s="35">
        <v>44352</v>
      </c>
      <c r="T840" s="32" t="str">
        <f t="shared" si="53"/>
        <v>+0822-96119***</v>
      </c>
      <c r="U840" s="32" t="str">
        <f t="shared" ca="1" si="54"/>
        <v>dani***@jossmail.com</v>
      </c>
      <c r="V840" s="32">
        <f t="shared" si="55"/>
        <v>23</v>
      </c>
      <c r="W840" s="36">
        <f t="shared" si="56"/>
        <v>0.05</v>
      </c>
    </row>
    <row r="841" spans="4:23" ht="27" customHeight="1" x14ac:dyDescent="0.25">
      <c r="D841" s="14" t="s">
        <v>3359</v>
      </c>
      <c r="E841" s="14" t="s">
        <v>889</v>
      </c>
      <c r="F841" s="84" t="s">
        <v>719</v>
      </c>
      <c r="G841" s="15" t="s">
        <v>27</v>
      </c>
      <c r="H841" s="16" t="s">
        <v>3360</v>
      </c>
      <c r="I841" s="17"/>
      <c r="J841" s="17"/>
      <c r="K841" s="17"/>
      <c r="L841" s="17"/>
      <c r="N841" s="31">
        <v>839</v>
      </c>
      <c r="O841" s="32" t="s">
        <v>2411</v>
      </c>
      <c r="P841" s="33" t="s">
        <v>31</v>
      </c>
      <c r="Q841" s="32" t="s">
        <v>32</v>
      </c>
      <c r="R841" s="69">
        <v>44266.803773148145</v>
      </c>
      <c r="S841" s="35">
        <v>44320</v>
      </c>
      <c r="T841" s="32" t="str">
        <f t="shared" si="53"/>
        <v>+0832 32292***</v>
      </c>
      <c r="U841" s="32" t="str">
        <f t="shared" ca="1" si="54"/>
        <v>scot***@yuhuumail.com</v>
      </c>
      <c r="V841" s="32">
        <f t="shared" si="55"/>
        <v>23</v>
      </c>
      <c r="W841" s="36">
        <f t="shared" si="56"/>
        <v>0.05</v>
      </c>
    </row>
    <row r="842" spans="4:23" ht="27" customHeight="1" x14ac:dyDescent="0.25">
      <c r="D842" s="14" t="s">
        <v>3361</v>
      </c>
      <c r="E842" s="14" t="s">
        <v>2458</v>
      </c>
      <c r="F842" s="84" t="s">
        <v>114</v>
      </c>
      <c r="G842" s="15" t="s">
        <v>68</v>
      </c>
      <c r="H842" s="16" t="s">
        <v>3362</v>
      </c>
      <c r="I842" s="17"/>
      <c r="J842" s="17"/>
      <c r="K842" s="17"/>
      <c r="L842" s="17"/>
      <c r="N842" s="31">
        <v>840</v>
      </c>
      <c r="O842" s="32" t="s">
        <v>3363</v>
      </c>
      <c r="P842" s="33" t="s">
        <v>31</v>
      </c>
      <c r="Q842" s="32" t="s">
        <v>40</v>
      </c>
      <c r="R842" s="69">
        <v>44266.799930555557</v>
      </c>
      <c r="S842" s="35">
        <v>44322</v>
      </c>
      <c r="T842" s="32" t="str">
        <f t="shared" si="53"/>
        <v>+0852 38879***</v>
      </c>
      <c r="U842" s="32" t="str">
        <f t="shared" ca="1" si="54"/>
        <v>mekh***@yuhuumail.com</v>
      </c>
      <c r="V842" s="32">
        <f t="shared" si="55"/>
        <v>23</v>
      </c>
      <c r="W842" s="36">
        <f t="shared" si="56"/>
        <v>0.05</v>
      </c>
    </row>
    <row r="843" spans="4:23" ht="27" customHeight="1" x14ac:dyDescent="0.25">
      <c r="D843" s="14" t="s">
        <v>3364</v>
      </c>
      <c r="E843" s="14" t="s">
        <v>3365</v>
      </c>
      <c r="F843" s="84" t="s">
        <v>149</v>
      </c>
      <c r="G843" s="15" t="s">
        <v>27</v>
      </c>
      <c r="H843" s="16" t="s">
        <v>3366</v>
      </c>
      <c r="I843" s="17"/>
      <c r="J843" s="17"/>
      <c r="K843" s="17"/>
      <c r="L843" s="17"/>
      <c r="N843" s="31">
        <v>841</v>
      </c>
      <c r="O843" s="32" t="s">
        <v>3367</v>
      </c>
      <c r="P843" s="33" t="s">
        <v>57</v>
      </c>
      <c r="Q843" s="32" t="s">
        <v>32</v>
      </c>
      <c r="R843" s="69">
        <v>44266.779733796298</v>
      </c>
      <c r="S843" s="35">
        <v>44359</v>
      </c>
      <c r="T843" s="32" t="str">
        <f t="shared" si="53"/>
        <v>+0842-97998***</v>
      </c>
      <c r="U843" s="32" t="str">
        <f t="shared" ca="1" si="54"/>
        <v>zain***@yuhuumail.com</v>
      </c>
      <c r="V843" s="32">
        <f t="shared" si="55"/>
        <v>23</v>
      </c>
      <c r="W843" s="36">
        <f t="shared" si="56"/>
        <v>0.05</v>
      </c>
    </row>
    <row r="844" spans="4:23" ht="27" customHeight="1" x14ac:dyDescent="0.25">
      <c r="D844" s="14" t="s">
        <v>3368</v>
      </c>
      <c r="E844" s="14" t="s">
        <v>2290</v>
      </c>
      <c r="F844" s="84" t="s">
        <v>627</v>
      </c>
      <c r="G844" s="15" t="s">
        <v>68</v>
      </c>
      <c r="H844" s="16" t="s">
        <v>3369</v>
      </c>
      <c r="I844" s="17"/>
      <c r="J844" s="17"/>
      <c r="K844" s="17"/>
      <c r="L844" s="17"/>
      <c r="N844" s="31">
        <v>842</v>
      </c>
      <c r="O844" s="32" t="s">
        <v>1508</v>
      </c>
      <c r="P844" s="33" t="s">
        <v>57</v>
      </c>
      <c r="Q844" s="32" t="s">
        <v>40</v>
      </c>
      <c r="R844" s="69">
        <v>44266.805312500001</v>
      </c>
      <c r="S844" s="35">
        <v>44351</v>
      </c>
      <c r="T844" s="32" t="str">
        <f t="shared" si="53"/>
        <v>+6283286939***</v>
      </c>
      <c r="U844" s="32" t="str">
        <f t="shared" ca="1" si="54"/>
        <v>lain***@yuhuumail.com</v>
      </c>
      <c r="V844" s="32">
        <f t="shared" si="55"/>
        <v>23</v>
      </c>
      <c r="W844" s="36">
        <f t="shared" si="56"/>
        <v>0.05</v>
      </c>
    </row>
    <row r="845" spans="4:23" ht="27" customHeight="1" x14ac:dyDescent="0.25">
      <c r="D845" s="14" t="s">
        <v>3370</v>
      </c>
      <c r="E845" s="14" t="s">
        <v>3275</v>
      </c>
      <c r="F845" s="84" t="s">
        <v>538</v>
      </c>
      <c r="G845" s="15" t="s">
        <v>27</v>
      </c>
      <c r="H845" s="16" t="s">
        <v>3371</v>
      </c>
      <c r="I845" s="17"/>
      <c r="J845" s="17"/>
      <c r="K845" s="17"/>
      <c r="L845" s="17"/>
      <c r="N845" s="31">
        <v>843</v>
      </c>
      <c r="O845" s="32" t="s">
        <v>3372</v>
      </c>
      <c r="P845" s="33" t="s">
        <v>31</v>
      </c>
      <c r="Q845" s="32" t="s">
        <v>32</v>
      </c>
      <c r="R845" s="69">
        <v>44266.805335648147</v>
      </c>
      <c r="S845" s="71">
        <v>44320</v>
      </c>
      <c r="T845" s="32" t="str">
        <f t="shared" si="53"/>
        <v>+84244983***</v>
      </c>
      <c r="U845" s="32" t="str">
        <f t="shared" ca="1" si="54"/>
        <v>ryle***@jossmail.com</v>
      </c>
      <c r="V845" s="32">
        <f t="shared" si="55"/>
        <v>23</v>
      </c>
      <c r="W845" s="36">
        <f t="shared" si="56"/>
        <v>0.05</v>
      </c>
    </row>
    <row r="846" spans="4:23" ht="27" customHeight="1" x14ac:dyDescent="0.25">
      <c r="D846" s="14" t="s">
        <v>3373</v>
      </c>
      <c r="E846" s="14" t="s">
        <v>3374</v>
      </c>
      <c r="F846" s="84" t="s">
        <v>909</v>
      </c>
      <c r="G846" s="15" t="s">
        <v>27</v>
      </c>
      <c r="H846" s="16" t="s">
        <v>3375</v>
      </c>
      <c r="I846" s="17"/>
      <c r="J846" s="17"/>
      <c r="K846" s="17"/>
      <c r="L846" s="17"/>
      <c r="N846" s="31">
        <v>844</v>
      </c>
      <c r="O846" s="32" t="s">
        <v>2274</v>
      </c>
      <c r="P846" s="33" t="s">
        <v>57</v>
      </c>
      <c r="Q846" s="32" t="s">
        <v>40</v>
      </c>
      <c r="R846" s="69">
        <v>44266.823298611111</v>
      </c>
      <c r="S846" s="71">
        <v>44354</v>
      </c>
      <c r="T846" s="32" t="str">
        <f t="shared" si="53"/>
        <v>+6281244989***</v>
      </c>
      <c r="U846" s="32" t="str">
        <f t="shared" ca="1" si="54"/>
        <v>moha***@jossmail.com</v>
      </c>
      <c r="V846" s="32">
        <f t="shared" si="55"/>
        <v>23</v>
      </c>
      <c r="W846" s="36">
        <f t="shared" si="56"/>
        <v>0.05</v>
      </c>
    </row>
    <row r="847" spans="4:23" ht="27" customHeight="1" x14ac:dyDescent="0.25">
      <c r="D847" s="14" t="s">
        <v>3376</v>
      </c>
      <c r="E847" s="14" t="s">
        <v>3377</v>
      </c>
      <c r="F847" s="84" t="s">
        <v>61</v>
      </c>
      <c r="G847" s="15" t="s">
        <v>68</v>
      </c>
      <c r="H847" s="16" t="s">
        <v>3378</v>
      </c>
      <c r="I847" s="17"/>
      <c r="J847" s="17"/>
      <c r="K847" s="17"/>
      <c r="L847" s="17"/>
      <c r="N847" s="31">
        <v>845</v>
      </c>
      <c r="O847" s="32" t="s">
        <v>3379</v>
      </c>
      <c r="P847" s="33" t="s">
        <v>31</v>
      </c>
      <c r="Q847" s="32" t="s">
        <v>32</v>
      </c>
      <c r="R847" s="69">
        <v>44265.815983796296</v>
      </c>
      <c r="S847" s="71">
        <v>44320</v>
      </c>
      <c r="T847" s="32" t="str">
        <f t="shared" si="53"/>
        <v>+082270576***</v>
      </c>
      <c r="U847" s="32" t="str">
        <f t="shared" ca="1" si="54"/>
        <v>cohe***@yuhuumail.com</v>
      </c>
      <c r="V847" s="32">
        <f t="shared" si="55"/>
        <v>23</v>
      </c>
      <c r="W847" s="36">
        <f t="shared" si="56"/>
        <v>0.05</v>
      </c>
    </row>
    <row r="848" spans="4:23" ht="27" customHeight="1" x14ac:dyDescent="0.25">
      <c r="D848" s="14" t="s">
        <v>3380</v>
      </c>
      <c r="E848" s="14" t="s">
        <v>1569</v>
      </c>
      <c r="F848" s="84" t="s">
        <v>508</v>
      </c>
      <c r="G848" s="15" t="s">
        <v>68</v>
      </c>
      <c r="H848" s="16" t="s">
        <v>3381</v>
      </c>
      <c r="I848" s="17"/>
      <c r="J848" s="17"/>
      <c r="K848" s="17"/>
      <c r="L848" s="17"/>
      <c r="N848" s="31">
        <v>846</v>
      </c>
      <c r="O848" s="32" t="s">
        <v>1017</v>
      </c>
      <c r="P848" s="33" t="s">
        <v>31</v>
      </c>
      <c r="Q848" s="32" t="s">
        <v>40</v>
      </c>
      <c r="R848" s="69">
        <v>44266.819085648145</v>
      </c>
      <c r="S848" s="71">
        <v>44359</v>
      </c>
      <c r="T848" s="32" t="str">
        <f t="shared" si="53"/>
        <v>+82263157***</v>
      </c>
      <c r="U848" s="32" t="str">
        <f t="shared" ca="1" si="54"/>
        <v>linc***@yuhuumail.com</v>
      </c>
      <c r="V848" s="32">
        <f t="shared" si="55"/>
        <v>23</v>
      </c>
      <c r="W848" s="36">
        <f t="shared" si="56"/>
        <v>0.05</v>
      </c>
    </row>
    <row r="849" spans="4:23" ht="27" customHeight="1" x14ac:dyDescent="0.25">
      <c r="D849" s="14" t="s">
        <v>3382</v>
      </c>
      <c r="E849" s="14" t="s">
        <v>3383</v>
      </c>
      <c r="F849" s="84" t="s">
        <v>175</v>
      </c>
      <c r="G849" s="15" t="s">
        <v>27</v>
      </c>
      <c r="H849" s="16" t="s">
        <v>3384</v>
      </c>
      <c r="I849" s="17"/>
      <c r="J849" s="17"/>
      <c r="K849" s="17"/>
      <c r="L849" s="17"/>
      <c r="N849" s="31">
        <v>847</v>
      </c>
      <c r="O849" s="32" t="s">
        <v>3385</v>
      </c>
      <c r="P849" s="33" t="s">
        <v>42</v>
      </c>
      <c r="Q849" s="32" t="s">
        <v>32</v>
      </c>
      <c r="R849" s="69">
        <v>44266.828738425924</v>
      </c>
      <c r="S849" s="71">
        <v>44352</v>
      </c>
      <c r="T849" s="32" t="str">
        <f t="shared" si="53"/>
        <v>+083275243***</v>
      </c>
      <c r="U849" s="32" t="str">
        <f t="shared" ca="1" si="54"/>
        <v>colt***@yuhuumail.com</v>
      </c>
      <c r="V849" s="32">
        <f t="shared" si="55"/>
        <v>23</v>
      </c>
      <c r="W849" s="36">
        <f t="shared" si="56"/>
        <v>0.05</v>
      </c>
    </row>
    <row r="850" spans="4:23" ht="27" customHeight="1" x14ac:dyDescent="0.25">
      <c r="D850" s="14" t="s">
        <v>3386</v>
      </c>
      <c r="E850" s="14" t="s">
        <v>2896</v>
      </c>
      <c r="F850" s="84" t="s">
        <v>422</v>
      </c>
      <c r="G850" s="15" t="s">
        <v>27</v>
      </c>
      <c r="H850" s="16" t="s">
        <v>3387</v>
      </c>
      <c r="I850" s="17"/>
      <c r="J850" s="17"/>
      <c r="K850" s="17"/>
      <c r="L850" s="17"/>
      <c r="N850" s="31">
        <v>848</v>
      </c>
      <c r="O850" s="32" t="s">
        <v>3388</v>
      </c>
      <c r="P850" s="33" t="s">
        <v>31</v>
      </c>
      <c r="Q850" s="32" t="s">
        <v>40</v>
      </c>
      <c r="R850" s="69">
        <v>44266.83489583333</v>
      </c>
      <c r="S850" s="71">
        <v>44354</v>
      </c>
      <c r="T850" s="32" t="str">
        <f t="shared" si="53"/>
        <v>+81281318***</v>
      </c>
      <c r="U850" s="32" t="str">
        <f t="shared" ca="1" si="54"/>
        <v>aspe***@jossmail.com</v>
      </c>
      <c r="V850" s="32">
        <f t="shared" si="55"/>
        <v>23</v>
      </c>
      <c r="W850" s="36">
        <f t="shared" si="56"/>
        <v>0.05</v>
      </c>
    </row>
    <row r="851" spans="4:23" ht="27" customHeight="1" x14ac:dyDescent="0.25">
      <c r="D851" s="14" t="s">
        <v>3389</v>
      </c>
      <c r="E851" s="14" t="s">
        <v>3390</v>
      </c>
      <c r="F851" s="84" t="s">
        <v>302</v>
      </c>
      <c r="G851" s="15" t="s">
        <v>27</v>
      </c>
      <c r="H851" s="16" t="s">
        <v>3391</v>
      </c>
      <c r="I851" s="17"/>
      <c r="J851" s="17"/>
      <c r="K851" s="17"/>
      <c r="L851" s="17"/>
      <c r="N851" s="31">
        <v>849</v>
      </c>
      <c r="O851" s="32" t="s">
        <v>3392</v>
      </c>
      <c r="P851" s="33" t="s">
        <v>42</v>
      </c>
      <c r="Q851" s="32" t="s">
        <v>32</v>
      </c>
      <c r="R851" s="69">
        <v>44266.795844907407</v>
      </c>
      <c r="S851" s="71">
        <v>44318</v>
      </c>
      <c r="T851" s="32" t="str">
        <f t="shared" si="53"/>
        <v>+082215916***</v>
      </c>
      <c r="U851" s="32" t="str">
        <f t="shared" ca="1" si="54"/>
        <v>andr***@jossmail.com</v>
      </c>
      <c r="V851" s="32">
        <f t="shared" si="55"/>
        <v>23</v>
      </c>
      <c r="W851" s="36">
        <f t="shared" si="56"/>
        <v>0.05</v>
      </c>
    </row>
    <row r="852" spans="4:23" ht="27" customHeight="1" x14ac:dyDescent="0.25">
      <c r="D852" s="14" t="s">
        <v>3393</v>
      </c>
      <c r="E852" s="14" t="s">
        <v>2877</v>
      </c>
      <c r="F852" s="84" t="s">
        <v>422</v>
      </c>
      <c r="G852" s="15" t="s">
        <v>27</v>
      </c>
      <c r="H852" s="16" t="s">
        <v>3394</v>
      </c>
      <c r="I852" s="17"/>
      <c r="J852" s="17"/>
      <c r="K852" s="17"/>
      <c r="L852" s="17"/>
      <c r="N852" s="31">
        <v>850</v>
      </c>
      <c r="O852" s="32" t="s">
        <v>3395</v>
      </c>
      <c r="P852" s="33" t="s">
        <v>42</v>
      </c>
      <c r="Q852" s="32" t="s">
        <v>40</v>
      </c>
      <c r="R852" s="69">
        <v>44266.839745370373</v>
      </c>
      <c r="S852" s="71">
        <v>44362</v>
      </c>
      <c r="T852" s="32" t="str">
        <f t="shared" si="53"/>
        <v>+0842-57083***</v>
      </c>
      <c r="U852" s="32" t="str">
        <f t="shared" ca="1" si="54"/>
        <v>heid***@yuhuumail.com</v>
      </c>
      <c r="V852" s="32">
        <f t="shared" si="55"/>
        <v>23</v>
      </c>
      <c r="W852" s="36">
        <f t="shared" si="56"/>
        <v>0.05</v>
      </c>
    </row>
    <row r="853" spans="4:23" ht="27" customHeight="1" x14ac:dyDescent="0.25">
      <c r="D853" s="14" t="s">
        <v>3396</v>
      </c>
      <c r="E853" s="14" t="s">
        <v>3397</v>
      </c>
      <c r="F853" s="84" t="s">
        <v>499</v>
      </c>
      <c r="G853" s="15" t="s">
        <v>27</v>
      </c>
      <c r="H853" s="16" t="s">
        <v>3398</v>
      </c>
      <c r="I853" s="17"/>
      <c r="J853" s="17"/>
      <c r="K853" s="17"/>
      <c r="L853" s="17"/>
      <c r="N853" s="31">
        <v>851</v>
      </c>
      <c r="O853" s="32" t="s">
        <v>3399</v>
      </c>
      <c r="P853" s="33" t="s">
        <v>31</v>
      </c>
      <c r="Q853" s="32" t="s">
        <v>32</v>
      </c>
      <c r="R853" s="69">
        <v>44266.848020833335</v>
      </c>
      <c r="S853" s="71">
        <v>44322</v>
      </c>
      <c r="T853" s="32" t="str">
        <f t="shared" si="53"/>
        <v>+0832-88070***</v>
      </c>
      <c r="U853" s="32" t="str">
        <f t="shared" ca="1" si="54"/>
        <v>javi***@yuhuumail.com</v>
      </c>
      <c r="V853" s="32">
        <f t="shared" si="55"/>
        <v>23</v>
      </c>
      <c r="W853" s="36">
        <f t="shared" si="56"/>
        <v>0.05</v>
      </c>
    </row>
    <row r="854" spans="4:23" ht="27" customHeight="1" x14ac:dyDescent="0.25">
      <c r="D854" s="14" t="s">
        <v>3400</v>
      </c>
      <c r="E854" s="14" t="s">
        <v>3401</v>
      </c>
      <c r="F854" s="84" t="s">
        <v>261</v>
      </c>
      <c r="G854" s="15" t="s">
        <v>27</v>
      </c>
      <c r="H854" s="16" t="s">
        <v>3402</v>
      </c>
      <c r="I854" s="17"/>
      <c r="J854" s="17"/>
      <c r="K854" s="17"/>
      <c r="L854" s="17"/>
      <c r="N854" s="31">
        <v>852</v>
      </c>
      <c r="O854" s="32" t="s">
        <v>3403</v>
      </c>
      <c r="P854" s="33" t="s">
        <v>31</v>
      </c>
      <c r="Q854" s="32" t="s">
        <v>40</v>
      </c>
      <c r="R854" s="69">
        <v>44266.85050925926</v>
      </c>
      <c r="S854" s="71">
        <v>44354</v>
      </c>
      <c r="T854" s="32" t="str">
        <f t="shared" si="53"/>
        <v>+0832 79125***</v>
      </c>
      <c r="U854" s="32" t="str">
        <f t="shared" ca="1" si="54"/>
        <v>kelv***@yuhuumail.com</v>
      </c>
      <c r="V854" s="32">
        <f t="shared" si="55"/>
        <v>23</v>
      </c>
      <c r="W854" s="36">
        <f t="shared" si="56"/>
        <v>0.05</v>
      </c>
    </row>
    <row r="855" spans="4:23" ht="27" customHeight="1" x14ac:dyDescent="0.25">
      <c r="D855" s="14" t="s">
        <v>3404</v>
      </c>
      <c r="E855" s="14" t="s">
        <v>3405</v>
      </c>
      <c r="F855" s="84" t="s">
        <v>280</v>
      </c>
      <c r="G855" s="15" t="s">
        <v>27</v>
      </c>
      <c r="H855" s="16" t="s">
        <v>3406</v>
      </c>
      <c r="I855" s="17"/>
      <c r="J855" s="17"/>
      <c r="K855" s="17"/>
      <c r="L855" s="17"/>
      <c r="N855" s="31">
        <v>853</v>
      </c>
      <c r="O855" s="32" t="s">
        <v>3407</v>
      </c>
      <c r="P855" s="33" t="s">
        <v>31</v>
      </c>
      <c r="Q855" s="32" t="s">
        <v>32</v>
      </c>
      <c r="R855" s="69">
        <v>44266.858171296299</v>
      </c>
      <c r="S855" s="71">
        <v>44356</v>
      </c>
      <c r="T855" s="32" t="str">
        <f t="shared" si="53"/>
        <v>+6285236772***</v>
      </c>
      <c r="U855" s="32" t="str">
        <f t="shared" ca="1" si="54"/>
        <v>crai***@jossmail.com</v>
      </c>
      <c r="V855" s="32">
        <f t="shared" si="55"/>
        <v>23</v>
      </c>
      <c r="W855" s="36">
        <f t="shared" si="56"/>
        <v>0.05</v>
      </c>
    </row>
    <row r="856" spans="4:23" ht="27" customHeight="1" x14ac:dyDescent="0.25">
      <c r="D856" s="14" t="s">
        <v>3408</v>
      </c>
      <c r="E856" s="14" t="s">
        <v>1502</v>
      </c>
      <c r="F856" s="84" t="s">
        <v>561</v>
      </c>
      <c r="G856" s="15" t="s">
        <v>68</v>
      </c>
      <c r="H856" s="16" t="s">
        <v>3409</v>
      </c>
      <c r="I856" s="17"/>
      <c r="J856" s="17"/>
      <c r="K856" s="17"/>
      <c r="L856" s="17"/>
      <c r="N856" s="31">
        <v>854</v>
      </c>
      <c r="O856" s="32" t="s">
        <v>3410</v>
      </c>
      <c r="P856" s="33" t="s">
        <v>31</v>
      </c>
      <c r="Q856" s="32" t="s">
        <v>40</v>
      </c>
      <c r="R856" s="69">
        <v>44266.453263888892</v>
      </c>
      <c r="S856" s="71">
        <v>44356</v>
      </c>
      <c r="T856" s="32" t="str">
        <f t="shared" si="53"/>
        <v>+0842-47583***</v>
      </c>
      <c r="U856" s="32" t="str">
        <f t="shared" ca="1" si="54"/>
        <v>layt***@jossmail.com</v>
      </c>
      <c r="V856" s="32">
        <f t="shared" si="55"/>
        <v>23</v>
      </c>
      <c r="W856" s="36">
        <f t="shared" si="56"/>
        <v>0.05</v>
      </c>
    </row>
    <row r="857" spans="4:23" ht="27" customHeight="1" x14ac:dyDescent="0.25">
      <c r="D857" s="14" t="s">
        <v>3411</v>
      </c>
      <c r="E857" s="14" t="s">
        <v>3020</v>
      </c>
      <c r="F857" s="84" t="s">
        <v>92</v>
      </c>
      <c r="G857" s="15" t="s">
        <v>27</v>
      </c>
      <c r="H857" s="16" t="s">
        <v>3412</v>
      </c>
      <c r="I857" s="17"/>
      <c r="J857" s="17"/>
      <c r="K857" s="17"/>
      <c r="L857" s="17"/>
      <c r="N857" s="31">
        <v>855</v>
      </c>
      <c r="O857" s="32" t="s">
        <v>315</v>
      </c>
      <c r="P857" s="33" t="s">
        <v>31</v>
      </c>
      <c r="Q857" s="32" t="s">
        <v>32</v>
      </c>
      <c r="R857" s="69">
        <v>44041.713136574072</v>
      </c>
      <c r="S857" s="71">
        <v>44356</v>
      </c>
      <c r="T857" s="32" t="str">
        <f t="shared" si="53"/>
        <v>+0822-83752***</v>
      </c>
      <c r="U857" s="32" t="str">
        <f t="shared" ca="1" si="54"/>
        <v>lean***@yuhuumail.com</v>
      </c>
      <c r="V857" s="32">
        <f t="shared" si="55"/>
        <v>22</v>
      </c>
      <c r="W857" s="36">
        <f t="shared" si="56"/>
        <v>0.05</v>
      </c>
    </row>
    <row r="858" spans="4:23" ht="27" customHeight="1" x14ac:dyDescent="0.25">
      <c r="D858" s="14" t="s">
        <v>3413</v>
      </c>
      <c r="E858" s="14" t="s">
        <v>3414</v>
      </c>
      <c r="F858" s="84" t="s">
        <v>627</v>
      </c>
      <c r="G858" s="15" t="s">
        <v>27</v>
      </c>
      <c r="H858" s="16" t="s">
        <v>3415</v>
      </c>
      <c r="I858" s="17"/>
      <c r="J858" s="17"/>
      <c r="K858" s="17"/>
      <c r="L858" s="17"/>
      <c r="N858" s="31">
        <v>856</v>
      </c>
      <c r="O858" s="32" t="s">
        <v>3416</v>
      </c>
      <c r="P858" s="33" t="s">
        <v>31</v>
      </c>
      <c r="Q858" s="32" t="s">
        <v>40</v>
      </c>
      <c r="R858" s="69">
        <v>44266.8908912037</v>
      </c>
      <c r="S858" s="71">
        <v>44318</v>
      </c>
      <c r="T858" s="32" t="str">
        <f t="shared" si="53"/>
        <v>+6284219952***</v>
      </c>
      <c r="U858" s="32" t="str">
        <f t="shared" ca="1" si="54"/>
        <v>layt***@jossmail.com</v>
      </c>
      <c r="V858" s="32">
        <f t="shared" si="55"/>
        <v>23</v>
      </c>
      <c r="W858" s="36">
        <f t="shared" si="56"/>
        <v>0.05</v>
      </c>
    </row>
    <row r="859" spans="4:23" ht="27" customHeight="1" x14ac:dyDescent="0.25">
      <c r="D859" s="14" t="s">
        <v>3417</v>
      </c>
      <c r="E859" s="14" t="s">
        <v>3418</v>
      </c>
      <c r="F859" s="84" t="s">
        <v>490</v>
      </c>
      <c r="G859" s="15" t="s">
        <v>27</v>
      </c>
      <c r="H859" s="16" t="s">
        <v>3419</v>
      </c>
      <c r="I859" s="17"/>
      <c r="J859" s="17"/>
      <c r="K859" s="17"/>
      <c r="L859" s="17"/>
      <c r="N859" s="31">
        <v>857</v>
      </c>
      <c r="O859" s="32" t="s">
        <v>3420</v>
      </c>
      <c r="P859" s="33" t="s">
        <v>57</v>
      </c>
      <c r="Q859" s="32" t="s">
        <v>32</v>
      </c>
      <c r="R859" s="69">
        <v>43201.445300925923</v>
      </c>
      <c r="S859" s="71">
        <v>44320</v>
      </c>
      <c r="T859" s="32" t="str">
        <f t="shared" si="53"/>
        <v>+0842 47162***</v>
      </c>
      <c r="U859" s="32" t="str">
        <f t="shared" ca="1" si="54"/>
        <v>coop***@yuhuumail.com</v>
      </c>
      <c r="V859" s="32">
        <f t="shared" si="55"/>
        <v>20</v>
      </c>
      <c r="W859" s="36">
        <f t="shared" si="56"/>
        <v>7.5000000000000011E-2</v>
      </c>
    </row>
    <row r="860" spans="4:23" ht="27" customHeight="1" x14ac:dyDescent="0.25">
      <c r="D860" s="14" t="s">
        <v>3421</v>
      </c>
      <c r="E860" s="14" t="s">
        <v>3422</v>
      </c>
      <c r="F860" s="84" t="s">
        <v>909</v>
      </c>
      <c r="G860" s="15" t="s">
        <v>68</v>
      </c>
      <c r="H860" s="16" t="s">
        <v>3423</v>
      </c>
      <c r="I860" s="17"/>
      <c r="J860" s="17"/>
      <c r="K860" s="17"/>
      <c r="L860" s="17"/>
      <c r="N860" s="31">
        <v>858</v>
      </c>
      <c r="O860" s="32" t="s">
        <v>1633</v>
      </c>
      <c r="P860" s="33" t="s">
        <v>31</v>
      </c>
      <c r="Q860" s="32" t="s">
        <v>40</v>
      </c>
      <c r="R860" s="69">
        <v>44266.923171296294</v>
      </c>
      <c r="S860" s="71">
        <v>44359</v>
      </c>
      <c r="T860" s="32" t="str">
        <f t="shared" si="53"/>
        <v>+0812-91934***</v>
      </c>
      <c r="U860" s="32" t="str">
        <f t="shared" ca="1" si="54"/>
        <v>flet***@yuhuumail.com</v>
      </c>
      <c r="V860" s="32">
        <f t="shared" si="55"/>
        <v>23</v>
      </c>
      <c r="W860" s="36">
        <f t="shared" si="56"/>
        <v>0.05</v>
      </c>
    </row>
    <row r="861" spans="4:23" ht="27" customHeight="1" x14ac:dyDescent="0.25">
      <c r="D861" s="14" t="s">
        <v>3424</v>
      </c>
      <c r="E861" s="14" t="s">
        <v>3425</v>
      </c>
      <c r="F861" s="84" t="s">
        <v>1886</v>
      </c>
      <c r="G861" s="15" t="s">
        <v>27</v>
      </c>
      <c r="H861" s="16" t="s">
        <v>3426</v>
      </c>
      <c r="I861" s="17"/>
      <c r="J861" s="17"/>
      <c r="K861" s="17"/>
      <c r="L861" s="17"/>
      <c r="N861" s="31">
        <v>859</v>
      </c>
      <c r="O861" s="32" t="s">
        <v>1045</v>
      </c>
      <c r="P861" s="33" t="s">
        <v>31</v>
      </c>
      <c r="Q861" s="32" t="s">
        <v>32</v>
      </c>
      <c r="R861" s="69">
        <v>43769.827615740738</v>
      </c>
      <c r="S861" s="71">
        <v>44320</v>
      </c>
      <c r="T861" s="32" t="str">
        <f t="shared" si="53"/>
        <v>+6285284532***</v>
      </c>
      <c r="U861" s="32" t="str">
        <f t="shared" ca="1" si="54"/>
        <v>fran***@yuhuumail.com</v>
      </c>
      <c r="V861" s="32">
        <f t="shared" si="55"/>
        <v>22</v>
      </c>
      <c r="W861" s="36">
        <f t="shared" si="56"/>
        <v>6.5000000000000002E-2</v>
      </c>
    </row>
    <row r="862" spans="4:23" ht="27" customHeight="1" x14ac:dyDescent="0.25">
      <c r="D862" s="14" t="s">
        <v>3427</v>
      </c>
      <c r="E862" s="14" t="s">
        <v>3428</v>
      </c>
      <c r="F862" s="84" t="s">
        <v>348</v>
      </c>
      <c r="G862" s="15" t="s">
        <v>27</v>
      </c>
      <c r="H862" s="16" t="s">
        <v>3429</v>
      </c>
      <c r="I862" s="17"/>
      <c r="J862" s="17"/>
      <c r="K862" s="17"/>
      <c r="L862" s="17"/>
      <c r="N862" s="31">
        <v>860</v>
      </c>
      <c r="O862" s="32" t="s">
        <v>3430</v>
      </c>
      <c r="P862" s="33" t="s">
        <v>31</v>
      </c>
      <c r="Q862" s="32" t="s">
        <v>40</v>
      </c>
      <c r="R862" s="69">
        <v>44266.934606481482</v>
      </c>
      <c r="S862" s="71">
        <v>44354</v>
      </c>
      <c r="T862" s="32" t="str">
        <f t="shared" si="53"/>
        <v>+6283287671***</v>
      </c>
      <c r="U862" s="32" t="str">
        <f t="shared" ca="1" si="54"/>
        <v>mica***@yuhuumail.com</v>
      </c>
      <c r="V862" s="32">
        <f t="shared" si="55"/>
        <v>23</v>
      </c>
      <c r="W862" s="36">
        <f t="shared" si="56"/>
        <v>0.05</v>
      </c>
    </row>
    <row r="863" spans="4:23" ht="27" customHeight="1" x14ac:dyDescent="0.25">
      <c r="D863" s="14" t="s">
        <v>3431</v>
      </c>
      <c r="E863" s="14" t="s">
        <v>3432</v>
      </c>
      <c r="F863" s="84" t="s">
        <v>46</v>
      </c>
      <c r="G863" s="15" t="s">
        <v>27</v>
      </c>
      <c r="H863" s="16" t="s">
        <v>3433</v>
      </c>
      <c r="I863" s="17"/>
      <c r="J863" s="17"/>
      <c r="K863" s="17"/>
      <c r="L863" s="17"/>
      <c r="N863" s="31">
        <v>861</v>
      </c>
      <c r="O863" s="32" t="s">
        <v>3434</v>
      </c>
      <c r="P863" s="33" t="s">
        <v>31</v>
      </c>
      <c r="Q863" s="32" t="s">
        <v>32</v>
      </c>
      <c r="R863" s="69">
        <v>44266.941354166665</v>
      </c>
      <c r="S863" s="71">
        <v>44351</v>
      </c>
      <c r="T863" s="32" t="str">
        <f t="shared" si="53"/>
        <v>+6283238491***</v>
      </c>
      <c r="U863" s="32" t="str">
        <f t="shared" ca="1" si="54"/>
        <v>cass***@jossmail.com</v>
      </c>
      <c r="V863" s="32">
        <f t="shared" si="55"/>
        <v>23</v>
      </c>
      <c r="W863" s="36">
        <f t="shared" si="56"/>
        <v>0.05</v>
      </c>
    </row>
    <row r="864" spans="4:23" ht="27" customHeight="1" x14ac:dyDescent="0.25">
      <c r="D864" s="14" t="s">
        <v>3435</v>
      </c>
      <c r="E864" s="14" t="s">
        <v>3436</v>
      </c>
      <c r="F864" s="84" t="s">
        <v>121</v>
      </c>
      <c r="G864" s="15" t="s">
        <v>27</v>
      </c>
      <c r="H864" s="16" t="s">
        <v>3437</v>
      </c>
      <c r="I864" s="17"/>
      <c r="J864" s="17"/>
      <c r="K864" s="17"/>
      <c r="L864" s="17"/>
      <c r="N864" s="31">
        <v>862</v>
      </c>
      <c r="O864" s="32" t="s">
        <v>3305</v>
      </c>
      <c r="P864" s="33" t="s">
        <v>57</v>
      </c>
      <c r="Q864" s="32" t="s">
        <v>40</v>
      </c>
      <c r="R864" s="69">
        <v>44266.946631944447</v>
      </c>
      <c r="S864" s="71">
        <v>44359</v>
      </c>
      <c r="T864" s="32" t="str">
        <f t="shared" si="53"/>
        <v>+0822-59438***</v>
      </c>
      <c r="U864" s="32" t="str">
        <f t="shared" ca="1" si="54"/>
        <v>heid***@yuhuumail.com</v>
      </c>
      <c r="V864" s="32">
        <f t="shared" si="55"/>
        <v>23</v>
      </c>
      <c r="W864" s="36">
        <f t="shared" si="56"/>
        <v>0.05</v>
      </c>
    </row>
    <row r="865" spans="4:23" ht="27" customHeight="1" x14ac:dyDescent="0.25">
      <c r="D865" s="14" t="s">
        <v>3438</v>
      </c>
      <c r="E865" s="14" t="s">
        <v>2881</v>
      </c>
      <c r="F865" s="84" t="s">
        <v>422</v>
      </c>
      <c r="G865" s="15" t="s">
        <v>68</v>
      </c>
      <c r="H865" s="16" t="s">
        <v>3439</v>
      </c>
      <c r="I865" s="17"/>
      <c r="J865" s="17"/>
      <c r="K865" s="17"/>
      <c r="L865" s="17"/>
      <c r="N865" s="31">
        <v>863</v>
      </c>
      <c r="O865" s="32" t="s">
        <v>1996</v>
      </c>
      <c r="P865" s="33" t="s">
        <v>57</v>
      </c>
      <c r="Q865" s="32" t="s">
        <v>32</v>
      </c>
      <c r="R865" s="69">
        <v>44266.945706018516</v>
      </c>
      <c r="S865" s="35">
        <v>44352</v>
      </c>
      <c r="T865" s="32" t="str">
        <f t="shared" si="53"/>
        <v>+81215576***</v>
      </c>
      <c r="U865" s="32" t="str">
        <f t="shared" ca="1" si="54"/>
        <v>amir***@jossmail.com</v>
      </c>
      <c r="V865" s="32">
        <f t="shared" si="55"/>
        <v>23</v>
      </c>
      <c r="W865" s="36">
        <f t="shared" si="56"/>
        <v>0.05</v>
      </c>
    </row>
    <row r="866" spans="4:23" ht="27" customHeight="1" x14ac:dyDescent="0.25">
      <c r="D866" s="14" t="s">
        <v>3440</v>
      </c>
      <c r="E866" s="14" t="s">
        <v>3441</v>
      </c>
      <c r="F866" s="84" t="s">
        <v>710</v>
      </c>
      <c r="G866" s="15" t="s">
        <v>27</v>
      </c>
      <c r="H866" s="16" t="s">
        <v>3442</v>
      </c>
      <c r="I866" s="17"/>
      <c r="J866" s="17"/>
      <c r="K866" s="17"/>
      <c r="L866" s="17"/>
      <c r="N866" s="31">
        <v>864</v>
      </c>
      <c r="O866" s="32" t="s">
        <v>3443</v>
      </c>
      <c r="P866" s="33" t="s">
        <v>57</v>
      </c>
      <c r="Q866" s="32" t="s">
        <v>40</v>
      </c>
      <c r="R866" s="69">
        <v>44266.956134259257</v>
      </c>
      <c r="S866" s="35">
        <v>44354</v>
      </c>
      <c r="T866" s="32" t="str">
        <f t="shared" si="53"/>
        <v>+812 96252***</v>
      </c>
      <c r="U866" s="32" t="str">
        <f t="shared" ca="1" si="54"/>
        <v>dust***@yuhuumail.com</v>
      </c>
      <c r="V866" s="32">
        <f t="shared" si="55"/>
        <v>23</v>
      </c>
      <c r="W866" s="36">
        <f t="shared" si="56"/>
        <v>0.05</v>
      </c>
    </row>
    <row r="867" spans="4:23" ht="27" customHeight="1" x14ac:dyDescent="0.25">
      <c r="D867" s="14" t="s">
        <v>3444</v>
      </c>
      <c r="E867" s="14" t="s">
        <v>3445</v>
      </c>
      <c r="F867" s="84" t="s">
        <v>847</v>
      </c>
      <c r="G867" s="15" t="s">
        <v>27</v>
      </c>
      <c r="H867" s="16" t="s">
        <v>3446</v>
      </c>
      <c r="I867" s="17"/>
      <c r="J867" s="17"/>
      <c r="K867" s="17"/>
      <c r="L867" s="17"/>
      <c r="N867" s="31">
        <v>865</v>
      </c>
      <c r="O867" s="32" t="s">
        <v>1720</v>
      </c>
      <c r="P867" s="33" t="s">
        <v>42</v>
      </c>
      <c r="Q867" s="32" t="s">
        <v>32</v>
      </c>
      <c r="R867" s="69">
        <v>44266.017187500001</v>
      </c>
      <c r="S867" s="35">
        <v>44354</v>
      </c>
      <c r="T867" s="32" t="str">
        <f t="shared" si="53"/>
        <v>+85286209***</v>
      </c>
      <c r="U867" s="32" t="str">
        <f t="shared" ca="1" si="54"/>
        <v>elli***@yuhuumail.com</v>
      </c>
      <c r="V867" s="32">
        <f t="shared" si="55"/>
        <v>23</v>
      </c>
      <c r="W867" s="36">
        <f t="shared" si="56"/>
        <v>0.05</v>
      </c>
    </row>
    <row r="868" spans="4:23" ht="27" customHeight="1" x14ac:dyDescent="0.25">
      <c r="D868" s="14" t="s">
        <v>3447</v>
      </c>
      <c r="E868" s="14" t="s">
        <v>3448</v>
      </c>
      <c r="F868" s="84" t="s">
        <v>280</v>
      </c>
      <c r="G868" s="15" t="s">
        <v>27</v>
      </c>
      <c r="H868" s="16" t="s">
        <v>3449</v>
      </c>
      <c r="I868" s="17"/>
      <c r="J868" s="17"/>
      <c r="K868" s="17"/>
      <c r="L868" s="17"/>
      <c r="N868" s="31">
        <v>866</v>
      </c>
      <c r="O868" s="32" t="s">
        <v>3450</v>
      </c>
      <c r="P868" s="33" t="s">
        <v>42</v>
      </c>
      <c r="Q868" s="32" t="s">
        <v>40</v>
      </c>
      <c r="R868" s="69">
        <v>43179.814930555556</v>
      </c>
      <c r="S868" s="35">
        <v>44320</v>
      </c>
      <c r="T868" s="32" t="str">
        <f t="shared" si="53"/>
        <v>+82276871***</v>
      </c>
      <c r="U868" s="32" t="str">
        <f t="shared" ca="1" si="54"/>
        <v>jazm***@jossmail.com</v>
      </c>
      <c r="V868" s="32">
        <f t="shared" si="55"/>
        <v>20</v>
      </c>
      <c r="W868" s="36">
        <f t="shared" si="56"/>
        <v>7.5000000000000011E-2</v>
      </c>
    </row>
    <row r="869" spans="4:23" ht="27" customHeight="1" x14ac:dyDescent="0.25">
      <c r="D869" s="14" t="s">
        <v>3451</v>
      </c>
      <c r="E869" s="14" t="s">
        <v>823</v>
      </c>
      <c r="F869" s="84" t="s">
        <v>251</v>
      </c>
      <c r="G869" s="15" t="s">
        <v>27</v>
      </c>
      <c r="H869" s="16" t="s">
        <v>3452</v>
      </c>
      <c r="I869" s="17"/>
      <c r="J869" s="17"/>
      <c r="K869" s="17"/>
      <c r="L869" s="17"/>
      <c r="N869" s="31">
        <v>867</v>
      </c>
      <c r="O869" s="32" t="s">
        <v>2568</v>
      </c>
      <c r="P869" s="33" t="s">
        <v>31</v>
      </c>
      <c r="Q869" s="32" t="s">
        <v>32</v>
      </c>
      <c r="R869" s="69">
        <v>44267.003854166665</v>
      </c>
      <c r="S869" s="35">
        <v>44354</v>
      </c>
      <c r="T869" s="32" t="str">
        <f t="shared" si="53"/>
        <v>+6281295416***</v>
      </c>
      <c r="U869" s="32" t="str">
        <f t="shared" ca="1" si="54"/>
        <v>walk***@jossmail.com</v>
      </c>
      <c r="V869" s="32">
        <f t="shared" si="55"/>
        <v>23</v>
      </c>
      <c r="W869" s="36">
        <f t="shared" si="56"/>
        <v>0.05</v>
      </c>
    </row>
    <row r="870" spans="4:23" ht="27" customHeight="1" x14ac:dyDescent="0.25">
      <c r="D870" s="14" t="s">
        <v>3453</v>
      </c>
      <c r="E870" s="14" t="s">
        <v>2413</v>
      </c>
      <c r="F870" s="84" t="s">
        <v>372</v>
      </c>
      <c r="G870" s="15" t="s">
        <v>27</v>
      </c>
      <c r="H870" s="16" t="s">
        <v>3454</v>
      </c>
      <c r="I870" s="17"/>
      <c r="J870" s="17"/>
      <c r="K870" s="17"/>
      <c r="L870" s="17"/>
      <c r="N870" s="31">
        <v>868</v>
      </c>
      <c r="O870" s="32" t="s">
        <v>3455</v>
      </c>
      <c r="P870" s="33" t="s">
        <v>57</v>
      </c>
      <c r="Q870" s="32" t="s">
        <v>40</v>
      </c>
      <c r="R870" s="69">
        <v>44267.017974537041</v>
      </c>
      <c r="S870" s="35">
        <v>44356</v>
      </c>
      <c r="T870" s="32" t="str">
        <f t="shared" si="53"/>
        <v>+0822 37132***</v>
      </c>
      <c r="U870" s="32" t="str">
        <f t="shared" ca="1" si="54"/>
        <v>shel***@yuhuumail.com</v>
      </c>
      <c r="V870" s="32">
        <f t="shared" si="55"/>
        <v>23</v>
      </c>
      <c r="W870" s="36">
        <f t="shared" si="56"/>
        <v>0.05</v>
      </c>
    </row>
    <row r="871" spans="4:23" ht="27" customHeight="1" x14ac:dyDescent="0.25">
      <c r="D871" s="14" t="s">
        <v>3456</v>
      </c>
      <c r="E871" s="14" t="s">
        <v>3457</v>
      </c>
      <c r="F871" s="84" t="s">
        <v>1626</v>
      </c>
      <c r="G871" s="15" t="s">
        <v>27</v>
      </c>
      <c r="H871" s="16" t="s">
        <v>3458</v>
      </c>
      <c r="I871" s="17"/>
      <c r="J871" s="17"/>
      <c r="K871" s="17"/>
      <c r="L871" s="17"/>
      <c r="N871" s="31">
        <v>869</v>
      </c>
      <c r="O871" s="32" t="s">
        <v>3459</v>
      </c>
      <c r="P871" s="33" t="s">
        <v>31</v>
      </c>
      <c r="Q871" s="32" t="s">
        <v>32</v>
      </c>
      <c r="R871" s="69">
        <v>44267.025138888886</v>
      </c>
      <c r="S871" s="35">
        <v>44359</v>
      </c>
      <c r="T871" s="32" t="str">
        <f t="shared" si="53"/>
        <v>+6281254536***</v>
      </c>
      <c r="U871" s="32" t="str">
        <f t="shared" ca="1" si="54"/>
        <v>kase***@jossmail.com</v>
      </c>
      <c r="V871" s="32">
        <f t="shared" si="55"/>
        <v>23</v>
      </c>
      <c r="W871" s="36">
        <f t="shared" si="56"/>
        <v>0.05</v>
      </c>
    </row>
    <row r="872" spans="4:23" ht="27" customHeight="1" x14ac:dyDescent="0.25">
      <c r="D872" s="14" t="s">
        <v>3460</v>
      </c>
      <c r="E872" s="14" t="s">
        <v>3461</v>
      </c>
      <c r="F872" s="84" t="s">
        <v>280</v>
      </c>
      <c r="G872" s="15" t="s">
        <v>27</v>
      </c>
      <c r="H872" s="16" t="s">
        <v>3462</v>
      </c>
      <c r="I872" s="17"/>
      <c r="J872" s="17"/>
      <c r="K872" s="17"/>
      <c r="L872" s="17"/>
      <c r="N872" s="31">
        <v>870</v>
      </c>
      <c r="O872" s="32" t="s">
        <v>3463</v>
      </c>
      <c r="P872" s="33" t="s">
        <v>31</v>
      </c>
      <c r="Q872" s="32" t="s">
        <v>40</v>
      </c>
      <c r="R872" s="69">
        <v>44267.068576388891</v>
      </c>
      <c r="S872" s="35">
        <v>44354</v>
      </c>
      <c r="T872" s="32" t="str">
        <f t="shared" si="53"/>
        <v>+084262152***</v>
      </c>
      <c r="U872" s="32" t="str">
        <f t="shared" ca="1" si="54"/>
        <v>zavi***@yuhuumail.com</v>
      </c>
      <c r="V872" s="32">
        <f t="shared" si="55"/>
        <v>23</v>
      </c>
      <c r="W872" s="36">
        <f t="shared" si="56"/>
        <v>0.05</v>
      </c>
    </row>
    <row r="873" spans="4:23" ht="27" customHeight="1" x14ac:dyDescent="0.25">
      <c r="D873" s="14" t="s">
        <v>3464</v>
      </c>
      <c r="E873" s="14" t="s">
        <v>3105</v>
      </c>
      <c r="F873" s="84" t="s">
        <v>485</v>
      </c>
      <c r="G873" s="15" t="s">
        <v>68</v>
      </c>
      <c r="H873" s="16" t="s">
        <v>3465</v>
      </c>
      <c r="I873" s="17"/>
      <c r="J873" s="17"/>
      <c r="K873" s="17"/>
      <c r="L873" s="17"/>
      <c r="N873" s="31">
        <v>871</v>
      </c>
      <c r="O873" s="32" t="s">
        <v>3466</v>
      </c>
      <c r="P873" s="33" t="s">
        <v>31</v>
      </c>
      <c r="Q873" s="32" t="s">
        <v>32</v>
      </c>
      <c r="R873" s="69">
        <v>44267.141377314816</v>
      </c>
      <c r="S873" s="35">
        <v>44359</v>
      </c>
      <c r="T873" s="32" t="str">
        <f t="shared" si="53"/>
        <v>+085273028***</v>
      </c>
      <c r="U873" s="32" t="str">
        <f t="shared" ca="1" si="54"/>
        <v>kayl***@jossmail.com</v>
      </c>
      <c r="V873" s="32">
        <f t="shared" si="55"/>
        <v>23</v>
      </c>
      <c r="W873" s="36">
        <f t="shared" si="56"/>
        <v>0.05</v>
      </c>
    </row>
    <row r="874" spans="4:23" ht="27" customHeight="1" x14ac:dyDescent="0.25">
      <c r="D874" s="14" t="s">
        <v>3467</v>
      </c>
      <c r="E874" s="14" t="s">
        <v>3468</v>
      </c>
      <c r="F874" s="84" t="s">
        <v>3469</v>
      </c>
      <c r="G874" s="15" t="s">
        <v>27</v>
      </c>
      <c r="H874" s="16" t="s">
        <v>3470</v>
      </c>
      <c r="I874" s="17"/>
      <c r="J874" s="17"/>
      <c r="K874" s="17"/>
      <c r="L874" s="17"/>
      <c r="N874" s="31">
        <v>872</v>
      </c>
      <c r="O874" s="32" t="s">
        <v>3471</v>
      </c>
      <c r="P874" s="33" t="s">
        <v>42</v>
      </c>
      <c r="Q874" s="32" t="s">
        <v>40</v>
      </c>
      <c r="R874" s="69">
        <v>44267.244328703702</v>
      </c>
      <c r="S874" s="35">
        <v>44320</v>
      </c>
      <c r="T874" s="32" t="str">
        <f t="shared" si="53"/>
        <v>+82239171***</v>
      </c>
      <c r="U874" s="32" t="str">
        <f t="shared" ca="1" si="54"/>
        <v>tyre***@jossmail.com</v>
      </c>
      <c r="V874" s="32">
        <f t="shared" si="55"/>
        <v>23</v>
      </c>
      <c r="W874" s="36">
        <f t="shared" si="56"/>
        <v>0.05</v>
      </c>
    </row>
    <row r="875" spans="4:23" ht="27" customHeight="1" x14ac:dyDescent="0.25">
      <c r="D875" s="14" t="s">
        <v>3472</v>
      </c>
      <c r="E875" s="14" t="s">
        <v>3473</v>
      </c>
      <c r="F875" s="84" t="s">
        <v>587</v>
      </c>
      <c r="G875" s="15" t="s">
        <v>27</v>
      </c>
      <c r="H875" s="16" t="s">
        <v>3474</v>
      </c>
      <c r="I875" s="17"/>
      <c r="J875" s="17"/>
      <c r="K875" s="17"/>
      <c r="L875" s="17"/>
      <c r="N875" s="31">
        <v>873</v>
      </c>
      <c r="O875" s="32" t="s">
        <v>3475</v>
      </c>
      <c r="P875" s="33" t="s">
        <v>31</v>
      </c>
      <c r="Q875" s="32" t="s">
        <v>32</v>
      </c>
      <c r="R875" s="69">
        <v>44267.279965277776</v>
      </c>
      <c r="S875" s="35">
        <v>44362</v>
      </c>
      <c r="T875" s="32" t="str">
        <f t="shared" si="53"/>
        <v>+81270745***</v>
      </c>
      <c r="U875" s="32" t="str">
        <f t="shared" ca="1" si="54"/>
        <v>vale***@yuhuumail.com</v>
      </c>
      <c r="V875" s="32">
        <f t="shared" si="55"/>
        <v>23</v>
      </c>
      <c r="W875" s="36">
        <f t="shared" si="56"/>
        <v>0.05</v>
      </c>
    </row>
    <row r="876" spans="4:23" ht="27" customHeight="1" x14ac:dyDescent="0.25">
      <c r="D876" s="14" t="s">
        <v>3476</v>
      </c>
      <c r="E876" s="14" t="s">
        <v>2929</v>
      </c>
      <c r="F876" s="84" t="s">
        <v>92</v>
      </c>
      <c r="G876" s="15" t="s">
        <v>27</v>
      </c>
      <c r="H876" s="16" t="s">
        <v>3477</v>
      </c>
      <c r="I876" s="17"/>
      <c r="J876" s="17"/>
      <c r="K876" s="17"/>
      <c r="L876" s="17"/>
      <c r="N876" s="31">
        <v>874</v>
      </c>
      <c r="O876" s="32" t="s">
        <v>565</v>
      </c>
      <c r="P876" s="33" t="s">
        <v>42</v>
      </c>
      <c r="Q876" s="32" t="s">
        <v>40</v>
      </c>
      <c r="R876" s="69">
        <v>44267.290335648147</v>
      </c>
      <c r="S876" s="35">
        <v>44352</v>
      </c>
      <c r="T876" s="32" t="str">
        <f t="shared" si="53"/>
        <v>+842 68614***</v>
      </c>
      <c r="U876" s="32" t="str">
        <f t="shared" ca="1" si="54"/>
        <v>shya***@yuhuumail.com</v>
      </c>
      <c r="V876" s="32">
        <f t="shared" si="55"/>
        <v>23</v>
      </c>
      <c r="W876" s="36">
        <f t="shared" si="56"/>
        <v>0.05</v>
      </c>
    </row>
    <row r="877" spans="4:23" ht="27" customHeight="1" x14ac:dyDescent="0.25">
      <c r="D877" s="14" t="s">
        <v>3478</v>
      </c>
      <c r="E877" s="14" t="s">
        <v>3479</v>
      </c>
      <c r="F877" s="84" t="s">
        <v>321</v>
      </c>
      <c r="G877" s="15" t="s">
        <v>27</v>
      </c>
      <c r="H877" s="16" t="s">
        <v>3480</v>
      </c>
      <c r="I877" s="17"/>
      <c r="J877" s="17"/>
      <c r="K877" s="17"/>
      <c r="L877" s="17"/>
      <c r="N877" s="31">
        <v>875</v>
      </c>
      <c r="O877" s="32" t="s">
        <v>3481</v>
      </c>
      <c r="P877" s="33" t="s">
        <v>57</v>
      </c>
      <c r="Q877" s="32" t="s">
        <v>32</v>
      </c>
      <c r="R877" s="69">
        <v>43988.90420138889</v>
      </c>
      <c r="S877" s="35">
        <v>44362</v>
      </c>
      <c r="T877" s="32" t="str">
        <f t="shared" si="53"/>
        <v>+0832 16781***</v>
      </c>
      <c r="U877" s="32" t="str">
        <f t="shared" ca="1" si="54"/>
        <v>megh***@jossmail.com</v>
      </c>
      <c r="V877" s="32">
        <f t="shared" si="55"/>
        <v>22</v>
      </c>
      <c r="W877" s="36">
        <f t="shared" si="56"/>
        <v>6.5000000000000002E-2</v>
      </c>
    </row>
    <row r="878" spans="4:23" ht="27" customHeight="1" x14ac:dyDescent="0.25">
      <c r="D878" s="14" t="s">
        <v>3482</v>
      </c>
      <c r="E878" s="14" t="s">
        <v>1964</v>
      </c>
      <c r="F878" s="84" t="s">
        <v>143</v>
      </c>
      <c r="G878" s="15" t="s">
        <v>27</v>
      </c>
      <c r="H878" s="16" t="s">
        <v>3483</v>
      </c>
      <c r="I878" s="17"/>
      <c r="J878" s="17"/>
      <c r="K878" s="17"/>
      <c r="L878" s="17"/>
      <c r="N878" s="31">
        <v>876</v>
      </c>
      <c r="O878" s="32" t="s">
        <v>2598</v>
      </c>
      <c r="P878" s="33" t="s">
        <v>31</v>
      </c>
      <c r="Q878" s="32" t="s">
        <v>40</v>
      </c>
      <c r="R878" s="69">
        <v>44267.358807870369</v>
      </c>
      <c r="S878" s="35">
        <v>44352</v>
      </c>
      <c r="T878" s="32" t="str">
        <f t="shared" si="53"/>
        <v>+0822 79837***</v>
      </c>
      <c r="U878" s="32" t="str">
        <f t="shared" ca="1" si="54"/>
        <v>ryde***@jossmail.com</v>
      </c>
      <c r="V878" s="32">
        <f t="shared" si="55"/>
        <v>23</v>
      </c>
      <c r="W878" s="36">
        <f t="shared" si="56"/>
        <v>0.05</v>
      </c>
    </row>
    <row r="879" spans="4:23" ht="27" customHeight="1" x14ac:dyDescent="0.25">
      <c r="D879" s="14" t="s">
        <v>3484</v>
      </c>
      <c r="E879" s="14" t="s">
        <v>3485</v>
      </c>
      <c r="F879" s="84" t="s">
        <v>381</v>
      </c>
      <c r="G879" s="15" t="s">
        <v>68</v>
      </c>
      <c r="H879" s="16" t="s">
        <v>3486</v>
      </c>
      <c r="I879" s="17"/>
      <c r="J879" s="17"/>
      <c r="K879" s="17"/>
      <c r="L879" s="17"/>
      <c r="N879" s="31">
        <v>877</v>
      </c>
      <c r="O879" s="32" t="s">
        <v>3487</v>
      </c>
      <c r="P879" s="33" t="s">
        <v>57</v>
      </c>
      <c r="Q879" s="32" t="s">
        <v>32</v>
      </c>
      <c r="R879" s="69">
        <v>44267.358784722222</v>
      </c>
      <c r="S879" s="71">
        <v>44351</v>
      </c>
      <c r="T879" s="32" t="str">
        <f t="shared" si="53"/>
        <v>+83242447***</v>
      </c>
      <c r="U879" s="32" t="str">
        <f t="shared" ca="1" si="54"/>
        <v>leew***@yuhuumail.com</v>
      </c>
      <c r="V879" s="32">
        <f t="shared" si="55"/>
        <v>23</v>
      </c>
      <c r="W879" s="36">
        <f t="shared" si="56"/>
        <v>0.05</v>
      </c>
    </row>
    <row r="880" spans="4:23" ht="27" customHeight="1" x14ac:dyDescent="0.25">
      <c r="D880" s="14" t="s">
        <v>3488</v>
      </c>
      <c r="E880" s="14" t="s">
        <v>432</v>
      </c>
      <c r="F880" s="84" t="s">
        <v>26</v>
      </c>
      <c r="G880" s="15" t="s">
        <v>68</v>
      </c>
      <c r="H880" s="16" t="s">
        <v>3489</v>
      </c>
      <c r="I880" s="17"/>
      <c r="J880" s="17"/>
      <c r="K880" s="17"/>
      <c r="L880" s="17"/>
      <c r="N880" s="31">
        <v>878</v>
      </c>
      <c r="O880" s="32" t="s">
        <v>3490</v>
      </c>
      <c r="P880" s="33" t="s">
        <v>31</v>
      </c>
      <c r="Q880" s="32" t="s">
        <v>40</v>
      </c>
      <c r="R880" s="69">
        <v>44267.357835648145</v>
      </c>
      <c r="S880" s="71">
        <v>44320</v>
      </c>
      <c r="T880" s="32" t="str">
        <f t="shared" si="53"/>
        <v>+0822-14257***</v>
      </c>
      <c r="U880" s="32" t="str">
        <f t="shared" ca="1" si="54"/>
        <v>tori***@jossmail.com</v>
      </c>
      <c r="V880" s="32">
        <f t="shared" si="55"/>
        <v>23</v>
      </c>
      <c r="W880" s="36">
        <f t="shared" si="56"/>
        <v>0.05</v>
      </c>
    </row>
    <row r="881" spans="4:23" ht="27" customHeight="1" x14ac:dyDescent="0.25">
      <c r="D881" s="14" t="s">
        <v>3491</v>
      </c>
      <c r="E881" s="14" t="s">
        <v>3492</v>
      </c>
      <c r="F881" s="84" t="s">
        <v>1919</v>
      </c>
      <c r="G881" s="15" t="s">
        <v>27</v>
      </c>
      <c r="H881" s="16" t="s">
        <v>3493</v>
      </c>
      <c r="I881" s="17"/>
      <c r="J881" s="17"/>
      <c r="K881" s="17"/>
      <c r="L881" s="17"/>
      <c r="N881" s="31">
        <v>879</v>
      </c>
      <c r="O881" s="32" t="s">
        <v>3494</v>
      </c>
      <c r="P881" s="33" t="s">
        <v>31</v>
      </c>
      <c r="Q881" s="32" t="s">
        <v>32</v>
      </c>
      <c r="R881" s="69">
        <v>44267.353726851848</v>
      </c>
      <c r="S881" s="71">
        <v>44347</v>
      </c>
      <c r="T881" s="32" t="str">
        <f t="shared" si="53"/>
        <v>+085240039***</v>
      </c>
      <c r="U881" s="32" t="str">
        <f t="shared" ca="1" si="54"/>
        <v>alej***@jossmail.com</v>
      </c>
      <c r="V881" s="32">
        <f t="shared" si="55"/>
        <v>23</v>
      </c>
      <c r="W881" s="36">
        <f t="shared" si="56"/>
        <v>0.05</v>
      </c>
    </row>
    <row r="882" spans="4:23" ht="27" customHeight="1" x14ac:dyDescent="0.25">
      <c r="D882" s="14" t="s">
        <v>3495</v>
      </c>
      <c r="E882" s="14" t="s">
        <v>3496</v>
      </c>
      <c r="F882" s="84" t="s">
        <v>602</v>
      </c>
      <c r="G882" s="15" t="s">
        <v>27</v>
      </c>
      <c r="H882" s="16" t="s">
        <v>3497</v>
      </c>
      <c r="I882" s="17"/>
      <c r="J882" s="17"/>
      <c r="K882" s="17"/>
      <c r="L882" s="17"/>
      <c r="N882" s="31">
        <v>880</v>
      </c>
      <c r="O882" s="32" t="s">
        <v>3498</v>
      </c>
      <c r="P882" s="33" t="s">
        <v>42</v>
      </c>
      <c r="Q882" s="32" t="s">
        <v>40</v>
      </c>
      <c r="R882" s="69">
        <v>44267.362361111111</v>
      </c>
      <c r="S882" s="71">
        <v>44318</v>
      </c>
      <c r="T882" s="32" t="str">
        <f t="shared" si="53"/>
        <v>+85243637***</v>
      </c>
      <c r="U882" s="32" t="str">
        <f t="shared" ca="1" si="54"/>
        <v>wayl***@jossmail.com</v>
      </c>
      <c r="V882" s="32">
        <f t="shared" si="55"/>
        <v>23</v>
      </c>
      <c r="W882" s="36">
        <f t="shared" si="56"/>
        <v>0.05</v>
      </c>
    </row>
    <row r="883" spans="4:23" ht="27" customHeight="1" x14ac:dyDescent="0.25">
      <c r="D883" s="14" t="s">
        <v>3499</v>
      </c>
      <c r="E883" s="14" t="s">
        <v>3500</v>
      </c>
      <c r="F883" s="84" t="s">
        <v>372</v>
      </c>
      <c r="G883" s="15" t="s">
        <v>27</v>
      </c>
      <c r="H883" s="16" t="s">
        <v>3501</v>
      </c>
      <c r="I883" s="17"/>
      <c r="J883" s="17"/>
      <c r="K883" s="17"/>
      <c r="L883" s="17"/>
      <c r="N883" s="31">
        <v>881</v>
      </c>
      <c r="O883" s="32" t="s">
        <v>3156</v>
      </c>
      <c r="P883" s="33" t="s">
        <v>57</v>
      </c>
      <c r="Q883" s="32" t="s">
        <v>32</v>
      </c>
      <c r="R883" s="69">
        <v>44267.369942129626</v>
      </c>
      <c r="S883" s="71">
        <v>44359</v>
      </c>
      <c r="T883" s="32" t="str">
        <f t="shared" si="53"/>
        <v>+083272914***</v>
      </c>
      <c r="U883" s="32" t="str">
        <f t="shared" ca="1" si="54"/>
        <v>moni***@jossmail.com</v>
      </c>
      <c r="V883" s="32">
        <f t="shared" si="55"/>
        <v>23</v>
      </c>
      <c r="W883" s="36">
        <f t="shared" si="56"/>
        <v>0.05</v>
      </c>
    </row>
    <row r="884" spans="4:23" ht="27" customHeight="1" x14ac:dyDescent="0.25">
      <c r="D884" s="14" t="s">
        <v>3502</v>
      </c>
      <c r="E884" s="14" t="s">
        <v>3503</v>
      </c>
      <c r="F884" s="84" t="s">
        <v>471</v>
      </c>
      <c r="G884" s="15" t="s">
        <v>27</v>
      </c>
      <c r="H884" s="16" t="s">
        <v>3504</v>
      </c>
      <c r="I884" s="17"/>
      <c r="J884" s="17"/>
      <c r="K884" s="17"/>
      <c r="L884" s="17"/>
      <c r="N884" s="31">
        <v>882</v>
      </c>
      <c r="O884" s="32" t="s">
        <v>3505</v>
      </c>
      <c r="P884" s="33" t="s">
        <v>31</v>
      </c>
      <c r="Q884" s="32" t="s">
        <v>40</v>
      </c>
      <c r="R884" s="69">
        <v>44267.378958333335</v>
      </c>
      <c r="S884" s="71">
        <v>44320</v>
      </c>
      <c r="T884" s="32" t="str">
        <f t="shared" si="53"/>
        <v>+85290596***</v>
      </c>
      <c r="U884" s="32" t="str">
        <f t="shared" ca="1" si="54"/>
        <v>alon***@jossmail.com</v>
      </c>
      <c r="V884" s="32">
        <f t="shared" si="55"/>
        <v>23</v>
      </c>
      <c r="W884" s="36">
        <f t="shared" si="56"/>
        <v>0.05</v>
      </c>
    </row>
    <row r="885" spans="4:23" ht="27" customHeight="1" x14ac:dyDescent="0.25">
      <c r="D885" s="14" t="s">
        <v>3506</v>
      </c>
      <c r="E885" s="14" t="s">
        <v>3507</v>
      </c>
      <c r="F885" s="84" t="s">
        <v>211</v>
      </c>
      <c r="G885" s="15" t="s">
        <v>68</v>
      </c>
      <c r="H885" s="16" t="s">
        <v>3508</v>
      </c>
      <c r="I885" s="17"/>
      <c r="J885" s="17"/>
      <c r="K885" s="17"/>
      <c r="L885" s="17"/>
      <c r="N885" s="31">
        <v>883</v>
      </c>
      <c r="O885" s="32" t="s">
        <v>3509</v>
      </c>
      <c r="P885" s="33" t="s">
        <v>31</v>
      </c>
      <c r="Q885" s="32" t="s">
        <v>32</v>
      </c>
      <c r="R885" s="69">
        <v>44267.383993055555</v>
      </c>
      <c r="S885" s="71">
        <v>44354</v>
      </c>
      <c r="T885" s="32" t="str">
        <f t="shared" si="53"/>
        <v>+0842-21488***</v>
      </c>
      <c r="U885" s="32" t="str">
        <f t="shared" ca="1" si="54"/>
        <v>kend***@jossmail.com</v>
      </c>
      <c r="V885" s="32">
        <f t="shared" si="55"/>
        <v>23</v>
      </c>
      <c r="W885" s="36">
        <f t="shared" si="56"/>
        <v>0.05</v>
      </c>
    </row>
    <row r="886" spans="4:23" ht="27" customHeight="1" x14ac:dyDescent="0.25">
      <c r="D886" s="14" t="s">
        <v>3510</v>
      </c>
      <c r="E886" s="14" t="s">
        <v>3511</v>
      </c>
      <c r="F886" s="84" t="s">
        <v>266</v>
      </c>
      <c r="G886" s="15" t="s">
        <v>68</v>
      </c>
      <c r="H886" s="16" t="s">
        <v>3512</v>
      </c>
      <c r="I886" s="17"/>
      <c r="J886" s="17"/>
      <c r="K886" s="17"/>
      <c r="L886" s="17"/>
      <c r="N886" s="31">
        <v>884</v>
      </c>
      <c r="O886" s="32" t="s">
        <v>3513</v>
      </c>
      <c r="P886" s="33" t="s">
        <v>31</v>
      </c>
      <c r="Q886" s="32" t="s">
        <v>40</v>
      </c>
      <c r="R886" s="69">
        <v>44259.798125000001</v>
      </c>
      <c r="S886" s="71">
        <v>44361</v>
      </c>
      <c r="T886" s="32" t="str">
        <f t="shared" si="53"/>
        <v>+083212800***</v>
      </c>
      <c r="U886" s="32" t="str">
        <f t="shared" ca="1" si="54"/>
        <v>jadi***@jossmail.com</v>
      </c>
      <c r="V886" s="32">
        <f t="shared" si="55"/>
        <v>23</v>
      </c>
      <c r="W886" s="36">
        <f t="shared" si="56"/>
        <v>0.05</v>
      </c>
    </row>
    <row r="887" spans="4:23" ht="27" customHeight="1" x14ac:dyDescent="0.25">
      <c r="D887" s="14" t="s">
        <v>3514</v>
      </c>
      <c r="E887" s="14" t="s">
        <v>3515</v>
      </c>
      <c r="F887" s="84" t="s">
        <v>321</v>
      </c>
      <c r="G887" s="15" t="s">
        <v>27</v>
      </c>
      <c r="H887" s="16" t="s">
        <v>3516</v>
      </c>
      <c r="I887" s="17"/>
      <c r="J887" s="17"/>
      <c r="K887" s="17"/>
      <c r="L887" s="17"/>
      <c r="N887" s="31">
        <v>885</v>
      </c>
      <c r="O887" s="32" t="s">
        <v>610</v>
      </c>
      <c r="P887" s="33" t="s">
        <v>42</v>
      </c>
      <c r="Q887" s="32" t="s">
        <v>32</v>
      </c>
      <c r="R887" s="69">
        <v>44266.934074074074</v>
      </c>
      <c r="S887" s="71">
        <v>44356</v>
      </c>
      <c r="T887" s="32" t="str">
        <f t="shared" si="53"/>
        <v>+81221415***</v>
      </c>
      <c r="U887" s="32" t="str">
        <f t="shared" ca="1" si="54"/>
        <v>sant***@jossmail.com</v>
      </c>
      <c r="V887" s="32">
        <f t="shared" si="55"/>
        <v>23</v>
      </c>
      <c r="W887" s="36">
        <f t="shared" si="56"/>
        <v>0.05</v>
      </c>
    </row>
    <row r="888" spans="4:23" ht="27" customHeight="1" x14ac:dyDescent="0.25">
      <c r="D888" s="14" t="s">
        <v>3517</v>
      </c>
      <c r="E888" s="14" t="s">
        <v>3518</v>
      </c>
      <c r="F888" s="84" t="s">
        <v>614</v>
      </c>
      <c r="G888" s="15" t="s">
        <v>27</v>
      </c>
      <c r="H888" s="16" t="s">
        <v>3519</v>
      </c>
      <c r="I888" s="17"/>
      <c r="J888" s="17"/>
      <c r="K888" s="17"/>
      <c r="L888" s="17"/>
      <c r="N888" s="31">
        <v>886</v>
      </c>
      <c r="O888" s="32" t="s">
        <v>3520</v>
      </c>
      <c r="P888" s="33" t="s">
        <v>31</v>
      </c>
      <c r="Q888" s="32" t="s">
        <v>40</v>
      </c>
      <c r="R888" s="69">
        <v>44267.418749999997</v>
      </c>
      <c r="S888" s="71">
        <v>44356</v>
      </c>
      <c r="T888" s="32" t="str">
        <f t="shared" si="53"/>
        <v>+0832-67499***</v>
      </c>
      <c r="U888" s="32" t="str">
        <f t="shared" ca="1" si="54"/>
        <v>stev***@yuhuumail.com</v>
      </c>
      <c r="V888" s="32">
        <f t="shared" si="55"/>
        <v>23</v>
      </c>
      <c r="W888" s="36">
        <f t="shared" si="56"/>
        <v>0.05</v>
      </c>
    </row>
    <row r="889" spans="4:23" ht="27" customHeight="1" x14ac:dyDescent="0.25">
      <c r="D889" s="14" t="s">
        <v>3521</v>
      </c>
      <c r="E889" s="14" t="s">
        <v>3522</v>
      </c>
      <c r="F889" s="84" t="s">
        <v>1118</v>
      </c>
      <c r="G889" s="15" t="s">
        <v>68</v>
      </c>
      <c r="H889" s="16" t="s">
        <v>3523</v>
      </c>
      <c r="I889" s="17"/>
      <c r="J889" s="17"/>
      <c r="K889" s="17"/>
      <c r="L889" s="17"/>
      <c r="N889" s="31">
        <v>887</v>
      </c>
      <c r="O889" s="32" t="s">
        <v>3524</v>
      </c>
      <c r="P889" s="33" t="s">
        <v>31</v>
      </c>
      <c r="Q889" s="32" t="s">
        <v>32</v>
      </c>
      <c r="R889" s="69">
        <v>44267.433912037035</v>
      </c>
      <c r="S889" s="71">
        <v>44352</v>
      </c>
      <c r="T889" s="32" t="str">
        <f t="shared" si="53"/>
        <v>+85219726***</v>
      </c>
      <c r="U889" s="32" t="str">
        <f t="shared" ca="1" si="54"/>
        <v>alay***@yuhuumail.com</v>
      </c>
      <c r="V889" s="32">
        <f t="shared" si="55"/>
        <v>23</v>
      </c>
      <c r="W889" s="36">
        <f t="shared" si="56"/>
        <v>0.05</v>
      </c>
    </row>
    <row r="890" spans="4:23" ht="27" customHeight="1" x14ac:dyDescent="0.25">
      <c r="D890" s="14" t="s">
        <v>3525</v>
      </c>
      <c r="E890" s="14" t="s">
        <v>3526</v>
      </c>
      <c r="F890" s="84" t="s">
        <v>1535</v>
      </c>
      <c r="G890" s="15" t="s">
        <v>27</v>
      </c>
      <c r="H890" s="16" t="s">
        <v>3527</v>
      </c>
      <c r="I890" s="17"/>
      <c r="J890" s="17"/>
      <c r="K890" s="17"/>
      <c r="L890" s="17"/>
      <c r="N890" s="31">
        <v>888</v>
      </c>
      <c r="O890" s="32" t="s">
        <v>3528</v>
      </c>
      <c r="P890" s="33" t="s">
        <v>57</v>
      </c>
      <c r="Q890" s="32" t="s">
        <v>40</v>
      </c>
      <c r="R890" s="69">
        <v>44267.437071759261</v>
      </c>
      <c r="S890" s="71">
        <v>44352</v>
      </c>
      <c r="T890" s="32" t="str">
        <f t="shared" si="53"/>
        <v>+85228427***</v>
      </c>
      <c r="U890" s="32" t="str">
        <f t="shared" ca="1" si="54"/>
        <v>carl***@jossmail.com</v>
      </c>
      <c r="V890" s="32">
        <f t="shared" si="55"/>
        <v>23</v>
      </c>
      <c r="W890" s="36">
        <f t="shared" si="56"/>
        <v>0.05</v>
      </c>
    </row>
    <row r="891" spans="4:23" ht="27" customHeight="1" x14ac:dyDescent="0.25">
      <c r="D891" s="14" t="s">
        <v>3529</v>
      </c>
      <c r="E891" s="14" t="s">
        <v>3530</v>
      </c>
      <c r="F891" s="84" t="s">
        <v>587</v>
      </c>
      <c r="G891" s="15" t="s">
        <v>27</v>
      </c>
      <c r="H891" s="16" t="s">
        <v>3531</v>
      </c>
      <c r="I891" s="17"/>
      <c r="J891" s="17"/>
      <c r="K891" s="17"/>
      <c r="L891" s="17"/>
      <c r="N891" s="31">
        <v>889</v>
      </c>
      <c r="O891" s="32" t="s">
        <v>2220</v>
      </c>
      <c r="P891" s="33" t="s">
        <v>42</v>
      </c>
      <c r="Q891" s="32" t="s">
        <v>32</v>
      </c>
      <c r="R891" s="69">
        <v>44267.442569444444</v>
      </c>
      <c r="S891" s="71">
        <v>44318</v>
      </c>
      <c r="T891" s="32" t="str">
        <f t="shared" si="53"/>
        <v>+0832 75179***</v>
      </c>
      <c r="U891" s="32" t="str">
        <f t="shared" ca="1" si="54"/>
        <v>rhia***@yuhuumail.com</v>
      </c>
      <c r="V891" s="32">
        <f t="shared" si="55"/>
        <v>23</v>
      </c>
      <c r="W891" s="36">
        <f t="shared" si="56"/>
        <v>0.05</v>
      </c>
    </row>
    <row r="892" spans="4:23" ht="27" customHeight="1" x14ac:dyDescent="0.25">
      <c r="D892" s="14" t="s">
        <v>3532</v>
      </c>
      <c r="E892" s="14" t="s">
        <v>1956</v>
      </c>
      <c r="F892" s="84" t="s">
        <v>143</v>
      </c>
      <c r="G892" s="15" t="s">
        <v>27</v>
      </c>
      <c r="H892" s="16" t="s">
        <v>3533</v>
      </c>
      <c r="I892" s="17"/>
      <c r="J892" s="17"/>
      <c r="K892" s="17"/>
      <c r="L892" s="17"/>
      <c r="N892" s="31">
        <v>890</v>
      </c>
      <c r="O892" s="32" t="s">
        <v>3534</v>
      </c>
      <c r="P892" s="33" t="s">
        <v>57</v>
      </c>
      <c r="Q892" s="32" t="s">
        <v>40</v>
      </c>
      <c r="R892" s="69">
        <v>44267.411805555559</v>
      </c>
      <c r="S892" s="71">
        <v>44356</v>
      </c>
      <c r="T892" s="32" t="str">
        <f t="shared" si="53"/>
        <v>+0832-29410***</v>
      </c>
      <c r="U892" s="32" t="str">
        <f t="shared" ca="1" si="54"/>
        <v>andr***@jossmail.com</v>
      </c>
      <c r="V892" s="32">
        <f t="shared" si="55"/>
        <v>23</v>
      </c>
      <c r="W892" s="36">
        <f t="shared" si="56"/>
        <v>0.05</v>
      </c>
    </row>
    <row r="893" spans="4:23" ht="27" customHeight="1" x14ac:dyDescent="0.25">
      <c r="D893" s="14" t="s">
        <v>3535</v>
      </c>
      <c r="E893" s="14" t="s">
        <v>3536</v>
      </c>
      <c r="F893" s="84" t="s">
        <v>1118</v>
      </c>
      <c r="G893" s="15" t="s">
        <v>27</v>
      </c>
      <c r="H893" s="16" t="s">
        <v>3537</v>
      </c>
      <c r="I893" s="17"/>
      <c r="J893" s="17"/>
      <c r="K893" s="17"/>
      <c r="L893" s="17"/>
      <c r="N893" s="31">
        <v>891</v>
      </c>
      <c r="O893" s="32" t="s">
        <v>3538</v>
      </c>
      <c r="P893" s="33" t="s">
        <v>31</v>
      </c>
      <c r="Q893" s="32" t="s">
        <v>32</v>
      </c>
      <c r="R893" s="69">
        <v>43009.906064814815</v>
      </c>
      <c r="S893" s="71">
        <v>44354</v>
      </c>
      <c r="T893" s="32" t="str">
        <f t="shared" si="53"/>
        <v>+82230865***</v>
      </c>
      <c r="U893" s="32" t="str">
        <f t="shared" ca="1" si="54"/>
        <v>kyle***@yuhuumail.com</v>
      </c>
      <c r="V893" s="32">
        <f t="shared" si="55"/>
        <v>19</v>
      </c>
      <c r="W893" s="36">
        <f t="shared" si="56"/>
        <v>2.5000000000000001E-2</v>
      </c>
    </row>
    <row r="894" spans="4:23" ht="27" customHeight="1" x14ac:dyDescent="0.25">
      <c r="D894" s="14" t="s">
        <v>3539</v>
      </c>
      <c r="E894" s="14" t="s">
        <v>3540</v>
      </c>
      <c r="F894" s="84" t="s">
        <v>129</v>
      </c>
      <c r="G894" s="15" t="s">
        <v>27</v>
      </c>
      <c r="H894" s="16" t="s">
        <v>3541</v>
      </c>
      <c r="I894" s="17"/>
      <c r="J894" s="17"/>
      <c r="K894" s="17"/>
      <c r="L894" s="17"/>
      <c r="N894" s="31">
        <v>892</v>
      </c>
      <c r="O894" s="32" t="s">
        <v>3542</v>
      </c>
      <c r="P894" s="33" t="s">
        <v>31</v>
      </c>
      <c r="Q894" s="32" t="s">
        <v>40</v>
      </c>
      <c r="R894" s="69">
        <v>44267.453483796293</v>
      </c>
      <c r="S894" s="71">
        <v>44362</v>
      </c>
      <c r="T894" s="32" t="str">
        <f t="shared" si="53"/>
        <v>+081235409***</v>
      </c>
      <c r="U894" s="32" t="str">
        <f t="shared" ca="1" si="54"/>
        <v>jama***@jossmail.com</v>
      </c>
      <c r="V894" s="32">
        <f t="shared" si="55"/>
        <v>23</v>
      </c>
      <c r="W894" s="36">
        <f t="shared" si="56"/>
        <v>0.05</v>
      </c>
    </row>
    <row r="895" spans="4:23" ht="27" customHeight="1" x14ac:dyDescent="0.25">
      <c r="D895" s="14" t="s">
        <v>3543</v>
      </c>
      <c r="E895" s="14" t="s">
        <v>2956</v>
      </c>
      <c r="F895" s="84" t="s">
        <v>92</v>
      </c>
      <c r="G895" s="15" t="s">
        <v>27</v>
      </c>
      <c r="H895" s="16" t="s">
        <v>3544</v>
      </c>
      <c r="I895" s="17"/>
      <c r="J895" s="17"/>
      <c r="K895" s="17"/>
      <c r="L895" s="17"/>
      <c r="N895" s="31">
        <v>893</v>
      </c>
      <c r="O895" s="32" t="s">
        <v>3545</v>
      </c>
      <c r="P895" s="33" t="s">
        <v>31</v>
      </c>
      <c r="Q895" s="32" t="s">
        <v>32</v>
      </c>
      <c r="R895" s="69">
        <v>44267.458148148151</v>
      </c>
      <c r="S895" s="71">
        <v>44359</v>
      </c>
      <c r="T895" s="32" t="str">
        <f t="shared" si="53"/>
        <v>+6284299637***</v>
      </c>
      <c r="U895" s="32" t="str">
        <f t="shared" ca="1" si="54"/>
        <v>gaig***@yuhuumail.com</v>
      </c>
      <c r="V895" s="32">
        <f t="shared" si="55"/>
        <v>23</v>
      </c>
      <c r="W895" s="36">
        <f t="shared" si="56"/>
        <v>0.05</v>
      </c>
    </row>
    <row r="896" spans="4:23" ht="27" customHeight="1" x14ac:dyDescent="0.25">
      <c r="D896" s="14" t="s">
        <v>3546</v>
      </c>
      <c r="E896" s="14" t="s">
        <v>1620</v>
      </c>
      <c r="F896" s="84" t="s">
        <v>2773</v>
      </c>
      <c r="G896" s="15" t="s">
        <v>27</v>
      </c>
      <c r="H896" s="16" t="s">
        <v>3547</v>
      </c>
      <c r="I896" s="17"/>
      <c r="J896" s="17"/>
      <c r="K896" s="17"/>
      <c r="L896" s="17"/>
      <c r="N896" s="31">
        <v>894</v>
      </c>
      <c r="O896" s="32" t="s">
        <v>1433</v>
      </c>
      <c r="P896" s="33" t="s">
        <v>42</v>
      </c>
      <c r="Q896" s="32" t="s">
        <v>40</v>
      </c>
      <c r="R896" s="69">
        <v>44267.476377314815</v>
      </c>
      <c r="S896" s="71">
        <v>44362</v>
      </c>
      <c r="T896" s="32" t="str">
        <f t="shared" si="53"/>
        <v>+6281255886***</v>
      </c>
      <c r="U896" s="32" t="str">
        <f t="shared" ca="1" si="54"/>
        <v>bryn***@jossmail.com</v>
      </c>
      <c r="V896" s="32">
        <f t="shared" si="55"/>
        <v>23</v>
      </c>
      <c r="W896" s="36">
        <f t="shared" si="56"/>
        <v>0.05</v>
      </c>
    </row>
    <row r="897" spans="4:23" ht="27" customHeight="1" x14ac:dyDescent="0.25">
      <c r="D897" s="14" t="s">
        <v>3548</v>
      </c>
      <c r="E897" s="14" t="s">
        <v>3549</v>
      </c>
      <c r="F897" s="84" t="s">
        <v>969</v>
      </c>
      <c r="G897" s="15" t="s">
        <v>27</v>
      </c>
      <c r="H897" s="16" t="s">
        <v>3550</v>
      </c>
      <c r="I897" s="17"/>
      <c r="J897" s="17"/>
      <c r="K897" s="17"/>
      <c r="L897" s="17"/>
      <c r="N897" s="31">
        <v>895</v>
      </c>
      <c r="O897" s="32" t="s">
        <v>3551</v>
      </c>
      <c r="P897" s="33" t="s">
        <v>31</v>
      </c>
      <c r="Q897" s="32" t="s">
        <v>32</v>
      </c>
      <c r="R897" s="69">
        <v>44267.470648148148</v>
      </c>
      <c r="S897" s="71">
        <v>44362</v>
      </c>
      <c r="T897" s="32" t="str">
        <f t="shared" si="53"/>
        <v>+822 52307***</v>
      </c>
      <c r="U897" s="32" t="str">
        <f t="shared" ca="1" si="54"/>
        <v>ange***@jossmail.com</v>
      </c>
      <c r="V897" s="32">
        <f t="shared" si="55"/>
        <v>23</v>
      </c>
      <c r="W897" s="36">
        <f t="shared" si="56"/>
        <v>0.05</v>
      </c>
    </row>
    <row r="898" spans="4:23" ht="27" customHeight="1" x14ac:dyDescent="0.25">
      <c r="D898" s="14" t="s">
        <v>3552</v>
      </c>
      <c r="E898" s="14" t="s">
        <v>3553</v>
      </c>
      <c r="F898" s="84" t="s">
        <v>233</v>
      </c>
      <c r="G898" s="15" t="s">
        <v>27</v>
      </c>
      <c r="H898" s="16" t="s">
        <v>3554</v>
      </c>
      <c r="I898" s="17"/>
      <c r="J898" s="17"/>
      <c r="K898" s="17"/>
      <c r="L898" s="17"/>
      <c r="N898" s="31">
        <v>896</v>
      </c>
      <c r="O898" s="32" t="s">
        <v>2285</v>
      </c>
      <c r="P898" s="33" t="s">
        <v>31</v>
      </c>
      <c r="Q898" s="32" t="s">
        <v>40</v>
      </c>
      <c r="R898" s="69">
        <v>44267.475162037037</v>
      </c>
      <c r="S898" s="71">
        <v>44359</v>
      </c>
      <c r="T898" s="32" t="str">
        <f t="shared" si="53"/>
        <v>+83257308***</v>
      </c>
      <c r="U898" s="32" t="str">
        <f t="shared" ca="1" si="54"/>
        <v>annp***@jossmail.com</v>
      </c>
      <c r="V898" s="32">
        <f t="shared" si="55"/>
        <v>23</v>
      </c>
      <c r="W898" s="36">
        <f t="shared" si="56"/>
        <v>0.05</v>
      </c>
    </row>
    <row r="899" spans="4:23" ht="27" customHeight="1" x14ac:dyDescent="0.25">
      <c r="D899" s="14" t="s">
        <v>3555</v>
      </c>
      <c r="E899" s="14" t="s">
        <v>3556</v>
      </c>
      <c r="F899" s="84" t="s">
        <v>485</v>
      </c>
      <c r="G899" s="15" t="s">
        <v>27</v>
      </c>
      <c r="H899" s="16" t="s">
        <v>3557</v>
      </c>
      <c r="I899" s="17"/>
      <c r="J899" s="17"/>
      <c r="K899" s="17"/>
      <c r="L899" s="17"/>
      <c r="N899" s="31">
        <v>897</v>
      </c>
      <c r="O899" s="32" t="s">
        <v>3558</v>
      </c>
      <c r="P899" s="33" t="s">
        <v>31</v>
      </c>
      <c r="Q899" s="32" t="s">
        <v>32</v>
      </c>
      <c r="R899" s="69">
        <v>44267.469699074078</v>
      </c>
      <c r="S899" s="35">
        <v>44354</v>
      </c>
      <c r="T899" s="32" t="str">
        <f t="shared" si="53"/>
        <v>+85255720***</v>
      </c>
      <c r="U899" s="32" t="str">
        <f t="shared" ca="1" si="54"/>
        <v>kyle***@yuhuumail.com</v>
      </c>
      <c r="V899" s="32">
        <f t="shared" si="55"/>
        <v>23</v>
      </c>
      <c r="W899" s="36">
        <f t="shared" si="56"/>
        <v>0.05</v>
      </c>
    </row>
    <row r="900" spans="4:23" ht="27" customHeight="1" x14ac:dyDescent="0.25">
      <c r="D900" s="14" t="s">
        <v>3559</v>
      </c>
      <c r="E900" s="14" t="s">
        <v>3560</v>
      </c>
      <c r="F900" s="84" t="s">
        <v>939</v>
      </c>
      <c r="G900" s="15" t="s">
        <v>27</v>
      </c>
      <c r="H900" s="16" t="s">
        <v>3561</v>
      </c>
      <c r="I900" s="17"/>
      <c r="J900" s="17"/>
      <c r="K900" s="17"/>
      <c r="L900" s="17"/>
      <c r="N900" s="31">
        <v>898</v>
      </c>
      <c r="O900" s="32" t="s">
        <v>3562</v>
      </c>
      <c r="P900" s="33" t="s">
        <v>57</v>
      </c>
      <c r="Q900" s="32" t="s">
        <v>40</v>
      </c>
      <c r="R900" s="69">
        <v>44267.491203703707</v>
      </c>
      <c r="S900" s="35">
        <v>44320</v>
      </c>
      <c r="T900" s="32" t="str">
        <f t="shared" si="53"/>
        <v>+85282662***</v>
      </c>
      <c r="U900" s="32" t="str">
        <f t="shared" ca="1" si="54"/>
        <v>mari***@yuhuumail.com</v>
      </c>
      <c r="V900" s="32">
        <f t="shared" si="55"/>
        <v>23</v>
      </c>
      <c r="W900" s="36">
        <f t="shared" si="56"/>
        <v>0.05</v>
      </c>
    </row>
    <row r="901" spans="4:23" ht="27" customHeight="1" x14ac:dyDescent="0.25">
      <c r="D901" s="14" t="s">
        <v>3563</v>
      </c>
      <c r="E901" s="14" t="s">
        <v>3564</v>
      </c>
      <c r="F901" s="84" t="s">
        <v>239</v>
      </c>
      <c r="G901" s="15" t="s">
        <v>27</v>
      </c>
      <c r="H901" s="16" t="s">
        <v>3565</v>
      </c>
      <c r="I901" s="17"/>
      <c r="J901" s="17"/>
      <c r="K901" s="17"/>
      <c r="L901" s="17"/>
      <c r="N901" s="31">
        <v>899</v>
      </c>
      <c r="O901" s="32" t="s">
        <v>3566</v>
      </c>
      <c r="P901" s="33" t="s">
        <v>57</v>
      </c>
      <c r="Q901" s="32" t="s">
        <v>32</v>
      </c>
      <c r="R901" s="69">
        <v>43530.343356481484</v>
      </c>
      <c r="S901" s="35">
        <v>44320</v>
      </c>
      <c r="T901" s="32" t="str">
        <f t="shared" ref="T901:T964" si="57">"+"&amp;_xlfn.XLOOKUP($O901, $E$2:$E$3002, $H$2:$H$3002, "Not Found")</f>
        <v>+832 28372***</v>
      </c>
      <c r="U901" s="32" t="str">
        <f t="shared" ref="U901:U964" ca="1" si="58" xml:space="preserve"> LOWER(LEFT(_xlfn.XLOOKUP($O901, $E$2:$E$3002, $D$2:$D$3002), 4))
  &amp; "***@"
  &amp; IF(RAND()&gt;0.5, "jossmail.com", "yuhuumail.com")</f>
        <v>deeg***@yuhuumail.com</v>
      </c>
      <c r="V901" s="32">
        <f t="shared" ref="V901:V964" si="59">DATEDIF(_xlfn.XLOOKUP($O901, $E$2:$E$3002, $F$2:$F$3002), $R901, "Y")</f>
        <v>21</v>
      </c>
      <c r="W901" s="36">
        <f t="shared" ref="W901:W964" si="60">IF(DATEDIF($R901, $S901, "Y") &gt;= 3, 0.025,
   IF(DATEDIF($R901, $S901, "Y") &gt;= 1, 0.015, 0)) +
 IF($V901 &gt;= 50, 0.04,
   IF($V901 &gt;= 40, 0.03,
     IF($V901 &gt;= 30, 0.02,
       IF($V901 &gt;= 20, 0.05, 0))))</f>
        <v>6.5000000000000002E-2</v>
      </c>
    </row>
    <row r="902" spans="4:23" ht="27" customHeight="1" x14ac:dyDescent="0.25">
      <c r="D902" s="14" t="s">
        <v>3567</v>
      </c>
      <c r="E902" s="14" t="s">
        <v>3568</v>
      </c>
      <c r="F902" s="84" t="s">
        <v>114</v>
      </c>
      <c r="G902" s="15" t="s">
        <v>27</v>
      </c>
      <c r="H902" s="16" t="s">
        <v>3569</v>
      </c>
      <c r="I902" s="17"/>
      <c r="J902" s="17"/>
      <c r="K902" s="17"/>
      <c r="L902" s="17"/>
      <c r="N902" s="31">
        <v>900</v>
      </c>
      <c r="O902" s="32" t="s">
        <v>3570</v>
      </c>
      <c r="P902" s="33" t="s">
        <v>42</v>
      </c>
      <c r="Q902" s="32" t="s">
        <v>40</v>
      </c>
      <c r="R902" s="69">
        <v>44267.555659722224</v>
      </c>
      <c r="S902" s="35">
        <v>44318</v>
      </c>
      <c r="T902" s="32" t="str">
        <f t="shared" si="57"/>
        <v>+6283257474***</v>
      </c>
      <c r="U902" s="32" t="str">
        <f t="shared" ca="1" si="58"/>
        <v>xime***@jossmail.com</v>
      </c>
      <c r="V902" s="32">
        <f t="shared" si="59"/>
        <v>23</v>
      </c>
      <c r="W902" s="36">
        <f t="shared" si="60"/>
        <v>0.05</v>
      </c>
    </row>
    <row r="903" spans="4:23" ht="27" customHeight="1" x14ac:dyDescent="0.25">
      <c r="D903" s="14" t="s">
        <v>3571</v>
      </c>
      <c r="E903" s="14" t="s">
        <v>3323</v>
      </c>
      <c r="F903" s="84" t="s">
        <v>538</v>
      </c>
      <c r="G903" s="15" t="s">
        <v>68</v>
      </c>
      <c r="H903" s="16" t="s">
        <v>3572</v>
      </c>
      <c r="I903" s="17"/>
      <c r="J903" s="17"/>
      <c r="K903" s="17"/>
      <c r="L903" s="17"/>
      <c r="N903" s="31">
        <v>901</v>
      </c>
      <c r="O903" s="32" t="s">
        <v>1700</v>
      </c>
      <c r="P903" s="33" t="s">
        <v>31</v>
      </c>
      <c r="Q903" s="32" t="s">
        <v>32</v>
      </c>
      <c r="R903" s="69">
        <v>44267.561574074076</v>
      </c>
      <c r="S903" s="35">
        <v>44352</v>
      </c>
      <c r="T903" s="32" t="str">
        <f t="shared" si="57"/>
        <v>+84286649***</v>
      </c>
      <c r="U903" s="32" t="str">
        <f t="shared" ca="1" si="58"/>
        <v>alis***@yuhuumail.com</v>
      </c>
      <c r="V903" s="32">
        <f t="shared" si="59"/>
        <v>23</v>
      </c>
      <c r="W903" s="36">
        <f t="shared" si="60"/>
        <v>0.05</v>
      </c>
    </row>
    <row r="904" spans="4:23" ht="27" customHeight="1" x14ac:dyDescent="0.25">
      <c r="D904" s="14" t="s">
        <v>3573</v>
      </c>
      <c r="E904" s="14" t="s">
        <v>3574</v>
      </c>
      <c r="F904" s="84" t="s">
        <v>92</v>
      </c>
      <c r="G904" s="15" t="s">
        <v>27</v>
      </c>
      <c r="H904" s="16" t="s">
        <v>3575</v>
      </c>
      <c r="I904" s="17"/>
      <c r="J904" s="17"/>
      <c r="K904" s="17"/>
      <c r="L904" s="17"/>
      <c r="N904" s="31">
        <v>902</v>
      </c>
      <c r="O904" s="32" t="s">
        <v>2647</v>
      </c>
      <c r="P904" s="33" t="s">
        <v>57</v>
      </c>
      <c r="Q904" s="32" t="s">
        <v>40</v>
      </c>
      <c r="R904" s="69">
        <v>44267.561516203707</v>
      </c>
      <c r="S904" s="35">
        <v>44362</v>
      </c>
      <c r="T904" s="32" t="str">
        <f t="shared" si="57"/>
        <v>+83293789***</v>
      </c>
      <c r="U904" s="32" t="str">
        <f t="shared" ca="1" si="58"/>
        <v>mead***@jossmail.com</v>
      </c>
      <c r="V904" s="32">
        <f t="shared" si="59"/>
        <v>23</v>
      </c>
      <c r="W904" s="36">
        <f t="shared" si="60"/>
        <v>0.05</v>
      </c>
    </row>
    <row r="905" spans="4:23" ht="27" customHeight="1" x14ac:dyDescent="0.25">
      <c r="D905" s="14" t="s">
        <v>3576</v>
      </c>
      <c r="E905" s="14" t="s">
        <v>1597</v>
      </c>
      <c r="F905" s="84" t="s">
        <v>1525</v>
      </c>
      <c r="G905" s="15" t="s">
        <v>27</v>
      </c>
      <c r="H905" s="16" t="s">
        <v>3577</v>
      </c>
      <c r="I905" s="17"/>
      <c r="J905" s="17"/>
      <c r="K905" s="17"/>
      <c r="L905" s="17"/>
      <c r="N905" s="31">
        <v>903</v>
      </c>
      <c r="O905" s="32" t="s">
        <v>3578</v>
      </c>
      <c r="P905" s="33" t="s">
        <v>31</v>
      </c>
      <c r="Q905" s="32" t="s">
        <v>32</v>
      </c>
      <c r="R905" s="69">
        <v>44267.575115740743</v>
      </c>
      <c r="S905" s="35">
        <v>44318</v>
      </c>
      <c r="T905" s="32" t="str">
        <f t="shared" si="57"/>
        <v>+85256406***</v>
      </c>
      <c r="U905" s="32" t="str">
        <f t="shared" ca="1" si="58"/>
        <v>lina***@yuhuumail.com</v>
      </c>
      <c r="V905" s="32">
        <f t="shared" si="59"/>
        <v>23</v>
      </c>
      <c r="W905" s="36">
        <f t="shared" si="60"/>
        <v>0.05</v>
      </c>
    </row>
    <row r="906" spans="4:23" ht="27" customHeight="1" x14ac:dyDescent="0.25">
      <c r="D906" s="14" t="s">
        <v>3579</v>
      </c>
      <c r="E906" s="14" t="s">
        <v>392</v>
      </c>
      <c r="F906" s="84" t="s">
        <v>3580</v>
      </c>
      <c r="G906" s="15" t="s">
        <v>27</v>
      </c>
      <c r="H906" s="16" t="s">
        <v>3581</v>
      </c>
      <c r="I906" s="17"/>
      <c r="J906" s="17"/>
      <c r="K906" s="17"/>
      <c r="L906" s="17"/>
      <c r="N906" s="31">
        <v>904</v>
      </c>
      <c r="O906" s="32" t="s">
        <v>3582</v>
      </c>
      <c r="P906" s="33" t="s">
        <v>57</v>
      </c>
      <c r="Q906" s="32" t="s">
        <v>40</v>
      </c>
      <c r="R906" s="69">
        <v>44267.589699074073</v>
      </c>
      <c r="S906" s="35">
        <v>44356</v>
      </c>
      <c r="T906" s="32" t="str">
        <f t="shared" si="57"/>
        <v>+0842-63052***</v>
      </c>
      <c r="U906" s="32" t="str">
        <f t="shared" ca="1" si="58"/>
        <v>brod***@yuhuumail.com</v>
      </c>
      <c r="V906" s="32">
        <f t="shared" si="59"/>
        <v>23</v>
      </c>
      <c r="W906" s="36">
        <f t="shared" si="60"/>
        <v>0.05</v>
      </c>
    </row>
    <row r="907" spans="4:23" ht="27" customHeight="1" x14ac:dyDescent="0.25">
      <c r="D907" s="14" t="s">
        <v>3583</v>
      </c>
      <c r="E907" s="14" t="s">
        <v>3584</v>
      </c>
      <c r="F907" s="84" t="s">
        <v>46</v>
      </c>
      <c r="G907" s="15" t="s">
        <v>68</v>
      </c>
      <c r="H907" s="16" t="s">
        <v>3585</v>
      </c>
      <c r="I907" s="17"/>
      <c r="J907" s="17"/>
      <c r="K907" s="17"/>
      <c r="L907" s="17"/>
      <c r="N907" s="31">
        <v>905</v>
      </c>
      <c r="O907" s="32" t="s">
        <v>1200</v>
      </c>
      <c r="P907" s="33" t="s">
        <v>31</v>
      </c>
      <c r="Q907" s="32" t="s">
        <v>32</v>
      </c>
      <c r="R907" s="69">
        <v>44267.602893518517</v>
      </c>
      <c r="S907" s="35">
        <v>44354</v>
      </c>
      <c r="T907" s="32" t="str">
        <f t="shared" si="57"/>
        <v>+085281552***</v>
      </c>
      <c r="U907" s="32" t="str">
        <f t="shared" ca="1" si="58"/>
        <v>isha***@jossmail.com</v>
      </c>
      <c r="V907" s="32">
        <f t="shared" si="59"/>
        <v>23</v>
      </c>
      <c r="W907" s="36">
        <f t="shared" si="60"/>
        <v>0.05</v>
      </c>
    </row>
    <row r="908" spans="4:23" ht="27" customHeight="1" x14ac:dyDescent="0.25">
      <c r="D908" s="14" t="s">
        <v>3586</v>
      </c>
      <c r="E908" s="14" t="s">
        <v>3587</v>
      </c>
      <c r="F908" s="84" t="s">
        <v>290</v>
      </c>
      <c r="G908" s="15" t="s">
        <v>68</v>
      </c>
      <c r="H908" s="16" t="s">
        <v>3588</v>
      </c>
      <c r="I908" s="17"/>
      <c r="J908" s="17"/>
      <c r="K908" s="17"/>
      <c r="L908" s="17"/>
      <c r="N908" s="31">
        <v>906</v>
      </c>
      <c r="O908" s="32" t="s">
        <v>3589</v>
      </c>
      <c r="P908" s="33" t="s">
        <v>31</v>
      </c>
      <c r="Q908" s="32" t="s">
        <v>40</v>
      </c>
      <c r="R908" s="69">
        <v>44267.62667824074</v>
      </c>
      <c r="S908" s="35">
        <v>44352</v>
      </c>
      <c r="T908" s="32" t="str">
        <f t="shared" si="57"/>
        <v>+0822 83856***</v>
      </c>
      <c r="U908" s="32" t="str">
        <f t="shared" ca="1" si="58"/>
        <v>maka***@yuhuumail.com</v>
      </c>
      <c r="V908" s="32">
        <f t="shared" si="59"/>
        <v>23</v>
      </c>
      <c r="W908" s="36">
        <f t="shared" si="60"/>
        <v>0.05</v>
      </c>
    </row>
    <row r="909" spans="4:23" ht="27" customHeight="1" x14ac:dyDescent="0.25">
      <c r="D909" s="14" t="s">
        <v>3590</v>
      </c>
      <c r="E909" s="14" t="s">
        <v>3591</v>
      </c>
      <c r="F909" s="84" t="s">
        <v>2997</v>
      </c>
      <c r="G909" s="15" t="s">
        <v>68</v>
      </c>
      <c r="H909" s="16" t="s">
        <v>3592</v>
      </c>
      <c r="I909" s="17"/>
      <c r="J909" s="17"/>
      <c r="K909" s="17"/>
      <c r="L909" s="17"/>
      <c r="N909" s="31">
        <v>907</v>
      </c>
      <c r="O909" s="32" t="s">
        <v>3593</v>
      </c>
      <c r="P909" s="33" t="s">
        <v>31</v>
      </c>
      <c r="Q909" s="32" t="s">
        <v>32</v>
      </c>
      <c r="R909" s="69">
        <v>44267.640868055554</v>
      </c>
      <c r="S909" s="35">
        <v>44362</v>
      </c>
      <c r="T909" s="32" t="str">
        <f t="shared" si="57"/>
        <v>+83293116***</v>
      </c>
      <c r="U909" s="32" t="str">
        <f t="shared" ca="1" si="58"/>
        <v>glen***@yuhuumail.com</v>
      </c>
      <c r="V909" s="32">
        <f t="shared" si="59"/>
        <v>23</v>
      </c>
      <c r="W909" s="36">
        <f t="shared" si="60"/>
        <v>0.05</v>
      </c>
    </row>
    <row r="910" spans="4:23" ht="27" customHeight="1" x14ac:dyDescent="0.25">
      <c r="D910" s="14" t="s">
        <v>3594</v>
      </c>
      <c r="E910" s="14" t="s">
        <v>339</v>
      </c>
      <c r="F910" s="84" t="s">
        <v>2796</v>
      </c>
      <c r="G910" s="15" t="s">
        <v>68</v>
      </c>
      <c r="H910" s="16" t="s">
        <v>3595</v>
      </c>
      <c r="I910" s="17"/>
      <c r="J910" s="17"/>
      <c r="K910" s="17"/>
      <c r="L910" s="17"/>
      <c r="N910" s="31">
        <v>908</v>
      </c>
      <c r="O910" s="32" t="s">
        <v>3596</v>
      </c>
      <c r="P910" s="33" t="s">
        <v>31</v>
      </c>
      <c r="Q910" s="32" t="s">
        <v>40</v>
      </c>
      <c r="R910" s="69">
        <v>44267.592291666668</v>
      </c>
      <c r="S910" s="35">
        <v>44362</v>
      </c>
      <c r="T910" s="32" t="str">
        <f t="shared" si="57"/>
        <v>+081262410***</v>
      </c>
      <c r="U910" s="32" t="str">
        <f t="shared" ca="1" si="58"/>
        <v>mark***@yuhuumail.com</v>
      </c>
      <c r="V910" s="32">
        <f t="shared" si="59"/>
        <v>23</v>
      </c>
      <c r="W910" s="36">
        <f t="shared" si="60"/>
        <v>0.05</v>
      </c>
    </row>
    <row r="911" spans="4:23" ht="27" customHeight="1" x14ac:dyDescent="0.25">
      <c r="D911" s="14" t="s">
        <v>3597</v>
      </c>
      <c r="E911" s="14" t="s">
        <v>3598</v>
      </c>
      <c r="F911" s="84" t="s">
        <v>407</v>
      </c>
      <c r="G911" s="15" t="s">
        <v>27</v>
      </c>
      <c r="H911" s="16" t="s">
        <v>3599</v>
      </c>
      <c r="I911" s="17"/>
      <c r="J911" s="17"/>
      <c r="K911" s="17"/>
      <c r="L911" s="17"/>
      <c r="N911" s="31">
        <v>909</v>
      </c>
      <c r="O911" s="32" t="s">
        <v>3600</v>
      </c>
      <c r="P911" s="33" t="s">
        <v>57</v>
      </c>
      <c r="Q911" s="32" t="s">
        <v>32</v>
      </c>
      <c r="R911" s="69">
        <v>44267.644756944443</v>
      </c>
      <c r="S911" s="35">
        <v>44356</v>
      </c>
      <c r="T911" s="32" t="str">
        <f t="shared" si="57"/>
        <v>+84230242***</v>
      </c>
      <c r="U911" s="32" t="str">
        <f t="shared" ca="1" si="58"/>
        <v>corb***@jossmail.com</v>
      </c>
      <c r="V911" s="32">
        <f t="shared" si="59"/>
        <v>23</v>
      </c>
      <c r="W911" s="36">
        <f t="shared" si="60"/>
        <v>0.05</v>
      </c>
    </row>
    <row r="912" spans="4:23" ht="27" customHeight="1" x14ac:dyDescent="0.25">
      <c r="D912" s="14" t="s">
        <v>3601</v>
      </c>
      <c r="E912" s="14" t="s">
        <v>3602</v>
      </c>
      <c r="F912" s="84" t="s">
        <v>556</v>
      </c>
      <c r="G912" s="15" t="s">
        <v>68</v>
      </c>
      <c r="H912" s="16" t="s">
        <v>3603</v>
      </c>
      <c r="I912" s="17"/>
      <c r="J912" s="17"/>
      <c r="K912" s="17"/>
      <c r="L912" s="17"/>
      <c r="N912" s="31">
        <v>910</v>
      </c>
      <c r="O912" s="32" t="s">
        <v>3604</v>
      </c>
      <c r="P912" s="33" t="s">
        <v>42</v>
      </c>
      <c r="Q912" s="32" t="s">
        <v>40</v>
      </c>
      <c r="R912" s="69">
        <v>44095.370706018519</v>
      </c>
      <c r="S912" s="35">
        <v>44354</v>
      </c>
      <c r="T912" s="32" t="str">
        <f t="shared" si="57"/>
        <v>+82218729***</v>
      </c>
      <c r="U912" s="32" t="str">
        <f t="shared" ca="1" si="58"/>
        <v>kimo***@yuhuumail.com</v>
      </c>
      <c r="V912" s="32">
        <f t="shared" si="59"/>
        <v>22</v>
      </c>
      <c r="W912" s="36">
        <f t="shared" si="60"/>
        <v>0.05</v>
      </c>
    </row>
    <row r="913" spans="4:23" ht="27" customHeight="1" x14ac:dyDescent="0.25">
      <c r="D913" s="14" t="s">
        <v>3605</v>
      </c>
      <c r="E913" s="14" t="s">
        <v>3606</v>
      </c>
      <c r="F913" s="84" t="s">
        <v>233</v>
      </c>
      <c r="G913" s="15" t="s">
        <v>68</v>
      </c>
      <c r="H913" s="16" t="s">
        <v>3607</v>
      </c>
      <c r="I913" s="17"/>
      <c r="J913" s="17"/>
      <c r="K913" s="17"/>
      <c r="L913" s="17"/>
      <c r="N913" s="31">
        <v>911</v>
      </c>
      <c r="O913" s="32" t="s">
        <v>3608</v>
      </c>
      <c r="P913" s="33" t="s">
        <v>57</v>
      </c>
      <c r="Q913" s="32" t="s">
        <v>32</v>
      </c>
      <c r="R913" s="69">
        <v>44267.653865740744</v>
      </c>
      <c r="S913" s="71">
        <v>44320</v>
      </c>
      <c r="T913" s="32" t="str">
        <f t="shared" si="57"/>
        <v>+081218607***</v>
      </c>
      <c r="U913" s="32" t="str">
        <f t="shared" ca="1" si="58"/>
        <v>bren***@jossmail.com</v>
      </c>
      <c r="V913" s="32">
        <f t="shared" si="59"/>
        <v>23</v>
      </c>
      <c r="W913" s="36">
        <f t="shared" si="60"/>
        <v>0.05</v>
      </c>
    </row>
    <row r="914" spans="4:23" ht="27" customHeight="1" x14ac:dyDescent="0.25">
      <c r="D914" s="14" t="s">
        <v>3609</v>
      </c>
      <c r="E914" s="14" t="s">
        <v>1807</v>
      </c>
      <c r="F914" s="84" t="s">
        <v>847</v>
      </c>
      <c r="G914" s="15" t="s">
        <v>27</v>
      </c>
      <c r="H914" s="16" t="s">
        <v>3610</v>
      </c>
      <c r="I914" s="17"/>
      <c r="J914" s="17"/>
      <c r="K914" s="17"/>
      <c r="L914" s="17"/>
      <c r="N914" s="31">
        <v>912</v>
      </c>
      <c r="O914" s="32" t="s">
        <v>3611</v>
      </c>
      <c r="P914" s="33" t="s">
        <v>31</v>
      </c>
      <c r="Q914" s="32" t="s">
        <v>40</v>
      </c>
      <c r="R914" s="69">
        <v>44267.393067129633</v>
      </c>
      <c r="S914" s="71">
        <v>44359</v>
      </c>
      <c r="T914" s="32" t="str">
        <f t="shared" si="57"/>
        <v>+852 94142***</v>
      </c>
      <c r="U914" s="32" t="str">
        <f t="shared" ca="1" si="58"/>
        <v>amir***@yuhuumail.com</v>
      </c>
      <c r="V914" s="32">
        <f t="shared" si="59"/>
        <v>23</v>
      </c>
      <c r="W914" s="36">
        <f t="shared" si="60"/>
        <v>0.05</v>
      </c>
    </row>
    <row r="915" spans="4:23" ht="27" customHeight="1" x14ac:dyDescent="0.25">
      <c r="D915" s="14" t="s">
        <v>3612</v>
      </c>
      <c r="E915" s="14" t="s">
        <v>3613</v>
      </c>
      <c r="F915" s="84" t="s">
        <v>592</v>
      </c>
      <c r="G915" s="15" t="s">
        <v>27</v>
      </c>
      <c r="H915" s="16" t="s">
        <v>3614</v>
      </c>
      <c r="I915" s="17"/>
      <c r="J915" s="17"/>
      <c r="K915" s="17"/>
      <c r="L915" s="17"/>
      <c r="N915" s="31">
        <v>913</v>
      </c>
      <c r="O915" s="32" t="s">
        <v>3615</v>
      </c>
      <c r="P915" s="33" t="s">
        <v>57</v>
      </c>
      <c r="Q915" s="32" t="s">
        <v>32</v>
      </c>
      <c r="R915" s="69">
        <v>44267.683009259257</v>
      </c>
      <c r="S915" s="71">
        <v>44342</v>
      </c>
      <c r="T915" s="32" t="str">
        <f t="shared" si="57"/>
        <v>+84220888***</v>
      </c>
      <c r="U915" s="32" t="str">
        <f t="shared" ca="1" si="58"/>
        <v>mari***@jossmail.com</v>
      </c>
      <c r="V915" s="32">
        <f t="shared" si="59"/>
        <v>23</v>
      </c>
      <c r="W915" s="36">
        <f t="shared" si="60"/>
        <v>0.05</v>
      </c>
    </row>
    <row r="916" spans="4:23" ht="27" customHeight="1" x14ac:dyDescent="0.25">
      <c r="D916" s="14" t="s">
        <v>3616</v>
      </c>
      <c r="E916" s="14" t="s">
        <v>2764</v>
      </c>
      <c r="F916" s="84" t="s">
        <v>296</v>
      </c>
      <c r="G916" s="15" t="s">
        <v>27</v>
      </c>
      <c r="H916" s="16" t="s">
        <v>3617</v>
      </c>
      <c r="I916" s="17"/>
      <c r="J916" s="17"/>
      <c r="K916" s="17"/>
      <c r="L916" s="17"/>
      <c r="N916" s="31">
        <v>914</v>
      </c>
      <c r="O916" s="32" t="s">
        <v>3618</v>
      </c>
      <c r="P916" s="33" t="s">
        <v>31</v>
      </c>
      <c r="Q916" s="32" t="s">
        <v>40</v>
      </c>
      <c r="R916" s="69">
        <v>43395.44462962963</v>
      </c>
      <c r="S916" s="71">
        <v>44362</v>
      </c>
      <c r="T916" s="32" t="str">
        <f t="shared" si="57"/>
        <v>+6284254907***</v>
      </c>
      <c r="U916" s="32" t="str">
        <f t="shared" ca="1" si="58"/>
        <v>kian***@jossmail.com</v>
      </c>
      <c r="V916" s="32">
        <f t="shared" si="59"/>
        <v>21</v>
      </c>
      <c r="W916" s="36">
        <f t="shared" si="60"/>
        <v>6.5000000000000002E-2</v>
      </c>
    </row>
    <row r="917" spans="4:23" ht="27" customHeight="1" x14ac:dyDescent="0.25">
      <c r="D917" s="14" t="s">
        <v>3619</v>
      </c>
      <c r="E917" s="14" t="s">
        <v>3620</v>
      </c>
      <c r="F917" s="84" t="s">
        <v>614</v>
      </c>
      <c r="G917" s="15" t="s">
        <v>68</v>
      </c>
      <c r="H917" s="16" t="s">
        <v>3621</v>
      </c>
      <c r="I917" s="17"/>
      <c r="J917" s="17"/>
      <c r="K917" s="17"/>
      <c r="L917" s="17"/>
      <c r="N917" s="31">
        <v>915</v>
      </c>
      <c r="O917" s="32" t="s">
        <v>3622</v>
      </c>
      <c r="P917" s="33" t="s">
        <v>31</v>
      </c>
      <c r="Q917" s="32" t="s">
        <v>32</v>
      </c>
      <c r="R917" s="69">
        <v>44267.743217592593</v>
      </c>
      <c r="S917" s="71">
        <v>44320</v>
      </c>
      <c r="T917" s="32" t="str">
        <f t="shared" si="57"/>
        <v>+6282276046***</v>
      </c>
      <c r="U917" s="32" t="str">
        <f t="shared" ca="1" si="58"/>
        <v>step***@yuhuumail.com</v>
      </c>
      <c r="V917" s="32">
        <f t="shared" si="59"/>
        <v>23</v>
      </c>
      <c r="W917" s="36">
        <f t="shared" si="60"/>
        <v>0.05</v>
      </c>
    </row>
    <row r="918" spans="4:23" ht="27" customHeight="1" x14ac:dyDescent="0.25">
      <c r="D918" s="14" t="s">
        <v>3623</v>
      </c>
      <c r="E918" s="14" t="s">
        <v>3624</v>
      </c>
      <c r="F918" s="84" t="s">
        <v>261</v>
      </c>
      <c r="G918" s="15" t="s">
        <v>27</v>
      </c>
      <c r="H918" s="16" t="s">
        <v>3625</v>
      </c>
      <c r="I918" s="17"/>
      <c r="J918" s="17"/>
      <c r="K918" s="17"/>
      <c r="L918" s="17"/>
      <c r="N918" s="31">
        <v>916</v>
      </c>
      <c r="O918" s="32" t="s">
        <v>3626</v>
      </c>
      <c r="P918" s="33" t="s">
        <v>31</v>
      </c>
      <c r="Q918" s="32" t="s">
        <v>40</v>
      </c>
      <c r="R918" s="69">
        <v>44267.762025462966</v>
      </c>
      <c r="S918" s="71">
        <v>44352</v>
      </c>
      <c r="T918" s="32" t="str">
        <f t="shared" si="57"/>
        <v>+085212594***</v>
      </c>
      <c r="U918" s="32" t="str">
        <f t="shared" ca="1" si="58"/>
        <v>abdi***@jossmail.com</v>
      </c>
      <c r="V918" s="32">
        <f t="shared" si="59"/>
        <v>23</v>
      </c>
      <c r="W918" s="36">
        <f t="shared" si="60"/>
        <v>0.05</v>
      </c>
    </row>
    <row r="919" spans="4:23" ht="27" customHeight="1" x14ac:dyDescent="0.25">
      <c r="D919" s="14" t="s">
        <v>3627</v>
      </c>
      <c r="E919" s="14" t="s">
        <v>3628</v>
      </c>
      <c r="F919" s="84" t="s">
        <v>1093</v>
      </c>
      <c r="G919" s="15" t="s">
        <v>68</v>
      </c>
      <c r="H919" s="16" t="s">
        <v>3629</v>
      </c>
      <c r="I919" s="17"/>
      <c r="J919" s="17"/>
      <c r="K919" s="17"/>
      <c r="L919" s="17"/>
      <c r="N919" s="31">
        <v>917</v>
      </c>
      <c r="O919" s="32" t="s">
        <v>3630</v>
      </c>
      <c r="P919" s="33" t="s">
        <v>57</v>
      </c>
      <c r="Q919" s="32" t="s">
        <v>32</v>
      </c>
      <c r="R919" s="69">
        <v>44267.788449074076</v>
      </c>
      <c r="S919" s="71">
        <v>44359</v>
      </c>
      <c r="T919" s="32" t="str">
        <f t="shared" si="57"/>
        <v>+85249587***</v>
      </c>
      <c r="U919" s="32" t="str">
        <f t="shared" ca="1" si="58"/>
        <v>loga***@yuhuumail.com</v>
      </c>
      <c r="V919" s="32">
        <f t="shared" si="59"/>
        <v>23</v>
      </c>
      <c r="W919" s="36">
        <f t="shared" si="60"/>
        <v>0.05</v>
      </c>
    </row>
    <row r="920" spans="4:23" ht="27" customHeight="1" x14ac:dyDescent="0.25">
      <c r="D920" s="14" t="s">
        <v>3631</v>
      </c>
      <c r="E920" s="14" t="s">
        <v>2265</v>
      </c>
      <c r="F920" s="84" t="s">
        <v>627</v>
      </c>
      <c r="G920" s="15" t="s">
        <v>68</v>
      </c>
      <c r="H920" s="16" t="s">
        <v>3632</v>
      </c>
      <c r="I920" s="17"/>
      <c r="J920" s="17"/>
      <c r="K920" s="17"/>
      <c r="L920" s="17"/>
      <c r="N920" s="31">
        <v>918</v>
      </c>
      <c r="O920" s="32" t="s">
        <v>1346</v>
      </c>
      <c r="P920" s="33" t="s">
        <v>57</v>
      </c>
      <c r="Q920" s="32" t="s">
        <v>40</v>
      </c>
      <c r="R920" s="69">
        <v>43202.965046296296</v>
      </c>
      <c r="S920" s="71">
        <v>44318</v>
      </c>
      <c r="T920" s="32" t="str">
        <f t="shared" si="57"/>
        <v>+0842-29206***</v>
      </c>
      <c r="U920" s="32" t="str">
        <f t="shared" ca="1" si="58"/>
        <v>iris***@yuhuumail.com</v>
      </c>
      <c r="V920" s="32">
        <f t="shared" si="59"/>
        <v>20</v>
      </c>
      <c r="W920" s="36">
        <f t="shared" si="60"/>
        <v>7.5000000000000011E-2</v>
      </c>
    </row>
    <row r="921" spans="4:23" ht="27" customHeight="1" x14ac:dyDescent="0.25">
      <c r="D921" s="14" t="s">
        <v>3633</v>
      </c>
      <c r="E921" s="14" t="s">
        <v>3634</v>
      </c>
      <c r="F921" s="84" t="s">
        <v>46</v>
      </c>
      <c r="G921" s="15" t="s">
        <v>27</v>
      </c>
      <c r="H921" s="16" t="s">
        <v>3635</v>
      </c>
      <c r="I921" s="17"/>
      <c r="J921" s="17"/>
      <c r="K921" s="17"/>
      <c r="L921" s="17"/>
      <c r="N921" s="31">
        <v>919</v>
      </c>
      <c r="O921" s="32" t="s">
        <v>3636</v>
      </c>
      <c r="P921" s="33" t="s">
        <v>31</v>
      </c>
      <c r="Q921" s="32" t="s">
        <v>32</v>
      </c>
      <c r="R921" s="69">
        <v>44267.814432870371</v>
      </c>
      <c r="S921" s="71">
        <v>44319</v>
      </c>
      <c r="T921" s="32" t="str">
        <f t="shared" si="57"/>
        <v>+6285247804***</v>
      </c>
      <c r="U921" s="32" t="str">
        <f t="shared" ca="1" si="58"/>
        <v>jase***@jossmail.com</v>
      </c>
      <c r="V921" s="32">
        <f t="shared" si="59"/>
        <v>23</v>
      </c>
      <c r="W921" s="36">
        <f t="shared" si="60"/>
        <v>0.05</v>
      </c>
    </row>
    <row r="922" spans="4:23" ht="27" customHeight="1" x14ac:dyDescent="0.25">
      <c r="D922" s="14" t="s">
        <v>3637</v>
      </c>
      <c r="E922" s="14" t="s">
        <v>3638</v>
      </c>
      <c r="F922" s="84" t="s">
        <v>302</v>
      </c>
      <c r="G922" s="15" t="s">
        <v>27</v>
      </c>
      <c r="H922" s="16" t="s">
        <v>3639</v>
      </c>
      <c r="I922" s="17"/>
      <c r="J922" s="17"/>
      <c r="K922" s="17"/>
      <c r="L922" s="17"/>
      <c r="N922" s="31">
        <v>920</v>
      </c>
      <c r="O922" s="32" t="s">
        <v>3640</v>
      </c>
      <c r="P922" s="33" t="s">
        <v>57</v>
      </c>
      <c r="Q922" s="32" t="s">
        <v>40</v>
      </c>
      <c r="R922" s="69">
        <v>44267.823206018518</v>
      </c>
      <c r="S922" s="71">
        <v>44354</v>
      </c>
      <c r="T922" s="32" t="str">
        <f t="shared" si="57"/>
        <v>+081277852***</v>
      </c>
      <c r="U922" s="32" t="str">
        <f t="shared" ca="1" si="58"/>
        <v>alis***@yuhuumail.com</v>
      </c>
      <c r="V922" s="32">
        <f t="shared" si="59"/>
        <v>23</v>
      </c>
      <c r="W922" s="36">
        <f t="shared" si="60"/>
        <v>0.05</v>
      </c>
    </row>
    <row r="923" spans="4:23" ht="27" customHeight="1" x14ac:dyDescent="0.25">
      <c r="D923" s="14" t="s">
        <v>3641</v>
      </c>
      <c r="E923" s="14" t="s">
        <v>3642</v>
      </c>
      <c r="F923" s="84" t="s">
        <v>280</v>
      </c>
      <c r="G923" s="15" t="s">
        <v>27</v>
      </c>
      <c r="H923" s="16" t="s">
        <v>3643</v>
      </c>
      <c r="I923" s="17"/>
      <c r="J923" s="17"/>
      <c r="K923" s="17"/>
      <c r="L923" s="17"/>
      <c r="N923" s="31">
        <v>921</v>
      </c>
      <c r="O923" s="32" t="s">
        <v>3644</v>
      </c>
      <c r="P923" s="33" t="s">
        <v>57</v>
      </c>
      <c r="Q923" s="32" t="s">
        <v>32</v>
      </c>
      <c r="R923" s="69">
        <v>44267.429942129631</v>
      </c>
      <c r="S923" s="71">
        <v>44359</v>
      </c>
      <c r="T923" s="32" t="str">
        <f t="shared" si="57"/>
        <v>+84277354***</v>
      </c>
      <c r="U923" s="32" t="str">
        <f t="shared" ca="1" si="58"/>
        <v>raid***@yuhuumail.com</v>
      </c>
      <c r="V923" s="32">
        <f t="shared" si="59"/>
        <v>23</v>
      </c>
      <c r="W923" s="36">
        <f t="shared" si="60"/>
        <v>0.05</v>
      </c>
    </row>
    <row r="924" spans="4:23" ht="27" customHeight="1" x14ac:dyDescent="0.25">
      <c r="D924" s="14" t="s">
        <v>3645</v>
      </c>
      <c r="E924" s="14" t="s">
        <v>3646</v>
      </c>
      <c r="F924" s="84" t="s">
        <v>1535</v>
      </c>
      <c r="G924" s="15" t="s">
        <v>27</v>
      </c>
      <c r="H924" s="16" t="s">
        <v>3647</v>
      </c>
      <c r="I924" s="17"/>
      <c r="J924" s="17"/>
      <c r="K924" s="17"/>
      <c r="L924" s="17"/>
      <c r="N924" s="31">
        <v>922</v>
      </c>
      <c r="O924" s="32" t="s">
        <v>1322</v>
      </c>
      <c r="P924" s="33" t="s">
        <v>57</v>
      </c>
      <c r="Q924" s="32" t="s">
        <v>40</v>
      </c>
      <c r="R924" s="69">
        <v>44267.831041666665</v>
      </c>
      <c r="S924" s="71">
        <v>44356</v>
      </c>
      <c r="T924" s="32" t="str">
        <f t="shared" si="57"/>
        <v>+6283271085***</v>
      </c>
      <c r="U924" s="32" t="str">
        <f t="shared" ca="1" si="58"/>
        <v>carl***@jossmail.com</v>
      </c>
      <c r="V924" s="32">
        <f t="shared" si="59"/>
        <v>23</v>
      </c>
      <c r="W924" s="36">
        <f t="shared" si="60"/>
        <v>0.05</v>
      </c>
    </row>
    <row r="925" spans="4:23" ht="27" customHeight="1" x14ac:dyDescent="0.25">
      <c r="D925" s="14" t="s">
        <v>3648</v>
      </c>
      <c r="E925" s="14" t="s">
        <v>2661</v>
      </c>
      <c r="F925" s="84" t="s">
        <v>183</v>
      </c>
      <c r="G925" s="15" t="s">
        <v>68</v>
      </c>
      <c r="H925" s="16" t="s">
        <v>3649</v>
      </c>
      <c r="I925" s="17"/>
      <c r="J925" s="17"/>
      <c r="K925" s="17"/>
      <c r="L925" s="17"/>
      <c r="N925" s="31">
        <v>923</v>
      </c>
      <c r="O925" s="32" t="s">
        <v>3650</v>
      </c>
      <c r="P925" s="33" t="s">
        <v>31</v>
      </c>
      <c r="Q925" s="32" t="s">
        <v>32</v>
      </c>
      <c r="R925" s="69">
        <v>44267.851736111108</v>
      </c>
      <c r="S925" s="71">
        <v>44356</v>
      </c>
      <c r="T925" s="32" t="str">
        <f t="shared" si="57"/>
        <v>+832 13428***</v>
      </c>
      <c r="U925" s="32" t="str">
        <f t="shared" ca="1" si="58"/>
        <v>dalt***@yuhuumail.com</v>
      </c>
      <c r="V925" s="32">
        <f t="shared" si="59"/>
        <v>23</v>
      </c>
      <c r="W925" s="36">
        <f t="shared" si="60"/>
        <v>0.05</v>
      </c>
    </row>
    <row r="926" spans="4:23" ht="27" customHeight="1" x14ac:dyDescent="0.25">
      <c r="D926" s="14" t="s">
        <v>3651</v>
      </c>
      <c r="E926" s="14" t="s">
        <v>3652</v>
      </c>
      <c r="F926" s="84" t="s">
        <v>175</v>
      </c>
      <c r="G926" s="15" t="s">
        <v>68</v>
      </c>
      <c r="H926" s="16" t="s">
        <v>3653</v>
      </c>
      <c r="I926" s="17"/>
      <c r="J926" s="17"/>
      <c r="K926" s="17"/>
      <c r="L926" s="17"/>
      <c r="N926" s="31">
        <v>924</v>
      </c>
      <c r="O926" s="32" t="s">
        <v>3654</v>
      </c>
      <c r="P926" s="33" t="s">
        <v>31</v>
      </c>
      <c r="Q926" s="32" t="s">
        <v>40</v>
      </c>
      <c r="R926" s="69">
        <v>44259.460902777777</v>
      </c>
      <c r="S926" s="71">
        <v>44352</v>
      </c>
      <c r="T926" s="32" t="str">
        <f t="shared" si="57"/>
        <v>+0812-43250***</v>
      </c>
      <c r="U926" s="32" t="str">
        <f t="shared" ca="1" si="58"/>
        <v>prin***@yuhuumail.com</v>
      </c>
      <c r="V926" s="32">
        <f t="shared" si="59"/>
        <v>23</v>
      </c>
      <c r="W926" s="36">
        <f t="shared" si="60"/>
        <v>0.05</v>
      </c>
    </row>
    <row r="927" spans="4:23" ht="27" customHeight="1" x14ac:dyDescent="0.25">
      <c r="D927" s="14" t="s">
        <v>3655</v>
      </c>
      <c r="E927" s="14" t="s">
        <v>3656</v>
      </c>
      <c r="F927" s="84" t="s">
        <v>114</v>
      </c>
      <c r="G927" s="15" t="s">
        <v>68</v>
      </c>
      <c r="H927" s="16" t="s">
        <v>3657</v>
      </c>
      <c r="I927" s="17"/>
      <c r="J927" s="17"/>
      <c r="K927" s="17"/>
      <c r="L927" s="17"/>
      <c r="N927" s="31">
        <v>925</v>
      </c>
      <c r="O927" s="32" t="s">
        <v>3658</v>
      </c>
      <c r="P927" s="33" t="s">
        <v>31</v>
      </c>
      <c r="Q927" s="32" t="s">
        <v>32</v>
      </c>
      <c r="R927" s="69">
        <v>44267.873854166668</v>
      </c>
      <c r="S927" s="71">
        <v>44320</v>
      </c>
      <c r="T927" s="32" t="str">
        <f t="shared" si="57"/>
        <v>+85249392***</v>
      </c>
      <c r="U927" s="32" t="str">
        <f t="shared" ca="1" si="58"/>
        <v>wins***@jossmail.com</v>
      </c>
      <c r="V927" s="32">
        <f t="shared" si="59"/>
        <v>23</v>
      </c>
      <c r="W927" s="36">
        <f t="shared" si="60"/>
        <v>0.05</v>
      </c>
    </row>
    <row r="928" spans="4:23" ht="27" customHeight="1" x14ac:dyDescent="0.25">
      <c r="D928" s="14" t="s">
        <v>3659</v>
      </c>
      <c r="E928" s="14" t="s">
        <v>1198</v>
      </c>
      <c r="F928" s="84" t="s">
        <v>490</v>
      </c>
      <c r="G928" s="15" t="s">
        <v>68</v>
      </c>
      <c r="H928" s="16" t="s">
        <v>3660</v>
      </c>
      <c r="I928" s="17"/>
      <c r="J928" s="17"/>
      <c r="K928" s="17"/>
      <c r="L928" s="17"/>
      <c r="N928" s="31">
        <v>926</v>
      </c>
      <c r="O928" s="32" t="s">
        <v>3661</v>
      </c>
      <c r="P928" s="33" t="s">
        <v>57</v>
      </c>
      <c r="Q928" s="32" t="s">
        <v>40</v>
      </c>
      <c r="R928" s="69">
        <v>44267.682199074072</v>
      </c>
      <c r="S928" s="71">
        <v>44362</v>
      </c>
      <c r="T928" s="32" t="str">
        <f t="shared" si="57"/>
        <v>+0812-12536***</v>
      </c>
      <c r="U928" s="32" t="str">
        <f t="shared" ca="1" si="58"/>
        <v>juli***@jossmail.com</v>
      </c>
      <c r="V928" s="32">
        <f t="shared" si="59"/>
        <v>23</v>
      </c>
      <c r="W928" s="36">
        <f t="shared" si="60"/>
        <v>0.05</v>
      </c>
    </row>
    <row r="929" spans="4:23" ht="27" customHeight="1" x14ac:dyDescent="0.25">
      <c r="D929" s="14" t="s">
        <v>3662</v>
      </c>
      <c r="E929" s="14" t="s">
        <v>3663</v>
      </c>
      <c r="F929" s="84" t="s">
        <v>38</v>
      </c>
      <c r="G929" s="15" t="s">
        <v>27</v>
      </c>
      <c r="H929" s="16" t="s">
        <v>3664</v>
      </c>
      <c r="I929" s="17"/>
      <c r="J929" s="17"/>
      <c r="K929" s="17"/>
      <c r="L929" s="17"/>
      <c r="N929" s="31">
        <v>927</v>
      </c>
      <c r="O929" s="32" t="s">
        <v>3665</v>
      </c>
      <c r="P929" s="33" t="s">
        <v>31</v>
      </c>
      <c r="Q929" s="32" t="s">
        <v>32</v>
      </c>
      <c r="R929" s="69">
        <v>44267.891157407408</v>
      </c>
      <c r="S929" s="71">
        <v>44318</v>
      </c>
      <c r="T929" s="32" t="str">
        <f t="shared" si="57"/>
        <v>+0832-80568***</v>
      </c>
      <c r="U929" s="32" t="str">
        <f t="shared" ca="1" si="58"/>
        <v>amir***@yuhuumail.com</v>
      </c>
      <c r="V929" s="32">
        <f t="shared" si="59"/>
        <v>23</v>
      </c>
      <c r="W929" s="36">
        <f t="shared" si="60"/>
        <v>0.05</v>
      </c>
    </row>
    <row r="930" spans="4:23" ht="27" customHeight="1" x14ac:dyDescent="0.25">
      <c r="D930" s="14" t="s">
        <v>3666</v>
      </c>
      <c r="E930" s="14" t="s">
        <v>3494</v>
      </c>
      <c r="F930" s="84" t="s">
        <v>566</v>
      </c>
      <c r="G930" s="15" t="s">
        <v>68</v>
      </c>
      <c r="H930" s="16" t="s">
        <v>3667</v>
      </c>
      <c r="I930" s="17"/>
      <c r="J930" s="17"/>
      <c r="K930" s="17"/>
      <c r="L930" s="17"/>
      <c r="N930" s="31">
        <v>928</v>
      </c>
      <c r="O930" s="32" t="s">
        <v>3668</v>
      </c>
      <c r="P930" s="33" t="s">
        <v>57</v>
      </c>
      <c r="Q930" s="32" t="s">
        <v>40</v>
      </c>
      <c r="R930" s="69">
        <v>44267.917303240742</v>
      </c>
      <c r="S930" s="71">
        <v>44320</v>
      </c>
      <c r="T930" s="32" t="str">
        <f t="shared" si="57"/>
        <v>+0832-61827***</v>
      </c>
      <c r="U930" s="32" t="str">
        <f t="shared" ca="1" si="58"/>
        <v>nels***@jossmail.com</v>
      </c>
      <c r="V930" s="32">
        <f t="shared" si="59"/>
        <v>23</v>
      </c>
      <c r="W930" s="36">
        <f t="shared" si="60"/>
        <v>0.05</v>
      </c>
    </row>
    <row r="931" spans="4:23" ht="27" customHeight="1" x14ac:dyDescent="0.25">
      <c r="D931" s="14" t="s">
        <v>3669</v>
      </c>
      <c r="E931" s="14" t="s">
        <v>3670</v>
      </c>
      <c r="F931" s="84" t="s">
        <v>38</v>
      </c>
      <c r="G931" s="15" t="s">
        <v>27</v>
      </c>
      <c r="H931" s="16" t="s">
        <v>3671</v>
      </c>
      <c r="I931" s="17"/>
      <c r="J931" s="17"/>
      <c r="K931" s="17"/>
      <c r="L931" s="17"/>
      <c r="N931" s="31">
        <v>929</v>
      </c>
      <c r="O931" s="32" t="s">
        <v>3672</v>
      </c>
      <c r="P931" s="33" t="s">
        <v>42</v>
      </c>
      <c r="Q931" s="32" t="s">
        <v>32</v>
      </c>
      <c r="R931" s="69">
        <v>44267.916296296295</v>
      </c>
      <c r="S931" s="71">
        <v>44361</v>
      </c>
      <c r="T931" s="32" t="str">
        <f t="shared" si="57"/>
        <v>+85250155***</v>
      </c>
      <c r="U931" s="32" t="str">
        <f t="shared" ca="1" si="58"/>
        <v>harm***@yuhuumail.com</v>
      </c>
      <c r="V931" s="32">
        <f t="shared" si="59"/>
        <v>23</v>
      </c>
      <c r="W931" s="36">
        <f t="shared" si="60"/>
        <v>0.05</v>
      </c>
    </row>
    <row r="932" spans="4:23" ht="27" customHeight="1" x14ac:dyDescent="0.25">
      <c r="D932" s="14" t="s">
        <v>3673</v>
      </c>
      <c r="E932" s="14" t="s">
        <v>3674</v>
      </c>
      <c r="F932" s="84" t="s">
        <v>805</v>
      </c>
      <c r="G932" s="15" t="s">
        <v>27</v>
      </c>
      <c r="H932" s="16" t="s">
        <v>3675</v>
      </c>
      <c r="I932" s="17"/>
      <c r="J932" s="17"/>
      <c r="K932" s="17"/>
      <c r="L932" s="17"/>
      <c r="N932" s="31">
        <v>930</v>
      </c>
      <c r="O932" s="32" t="s">
        <v>3676</v>
      </c>
      <c r="P932" s="33" t="s">
        <v>57</v>
      </c>
      <c r="Q932" s="32" t="s">
        <v>40</v>
      </c>
      <c r="R932" s="69">
        <v>44267.921354166669</v>
      </c>
      <c r="S932" s="71">
        <v>44320</v>
      </c>
      <c r="T932" s="32" t="str">
        <f t="shared" si="57"/>
        <v>+0812 15801***</v>
      </c>
      <c r="U932" s="32" t="str">
        <f t="shared" ca="1" si="58"/>
        <v>core***@jossmail.com</v>
      </c>
      <c r="V932" s="32">
        <f t="shared" si="59"/>
        <v>23</v>
      </c>
      <c r="W932" s="36">
        <f t="shared" si="60"/>
        <v>0.05</v>
      </c>
    </row>
    <row r="933" spans="4:23" ht="27" customHeight="1" x14ac:dyDescent="0.25">
      <c r="D933" s="14" t="s">
        <v>3677</v>
      </c>
      <c r="E933" s="14" t="s">
        <v>3678</v>
      </c>
      <c r="F933" s="84" t="s">
        <v>2773</v>
      </c>
      <c r="G933" s="15" t="s">
        <v>27</v>
      </c>
      <c r="H933" s="16" t="s">
        <v>3679</v>
      </c>
      <c r="I933" s="17"/>
      <c r="J933" s="17"/>
      <c r="K933" s="17"/>
      <c r="L933" s="17"/>
      <c r="N933" s="31">
        <v>931</v>
      </c>
      <c r="O933" s="32" t="s">
        <v>3680</v>
      </c>
      <c r="P933" s="33" t="s">
        <v>31</v>
      </c>
      <c r="Q933" s="32" t="s">
        <v>32</v>
      </c>
      <c r="R933" s="69">
        <v>44267.822523148148</v>
      </c>
      <c r="S933" s="35">
        <v>44354</v>
      </c>
      <c r="T933" s="32" t="str">
        <f t="shared" si="57"/>
        <v>+82266278***</v>
      </c>
      <c r="U933" s="32" t="str">
        <f t="shared" ca="1" si="58"/>
        <v>vanr***@jossmail.com</v>
      </c>
      <c r="V933" s="32">
        <f t="shared" si="59"/>
        <v>23</v>
      </c>
      <c r="W933" s="36">
        <f t="shared" si="60"/>
        <v>0.05</v>
      </c>
    </row>
    <row r="934" spans="4:23" ht="27" customHeight="1" x14ac:dyDescent="0.25">
      <c r="D934" s="14" t="s">
        <v>3681</v>
      </c>
      <c r="E934" s="14" t="s">
        <v>1031</v>
      </c>
      <c r="F934" s="84" t="s">
        <v>587</v>
      </c>
      <c r="G934" s="15" t="s">
        <v>27</v>
      </c>
      <c r="H934" s="16" t="s">
        <v>3682</v>
      </c>
      <c r="I934" s="17"/>
      <c r="J934" s="17"/>
      <c r="K934" s="17"/>
      <c r="L934" s="17"/>
      <c r="N934" s="31">
        <v>932</v>
      </c>
      <c r="O934" s="32" t="s">
        <v>3309</v>
      </c>
      <c r="P934" s="33" t="s">
        <v>57</v>
      </c>
      <c r="Q934" s="32" t="s">
        <v>40</v>
      </c>
      <c r="R934" s="69">
        <v>44267.94321759259</v>
      </c>
      <c r="S934" s="35">
        <v>44359</v>
      </c>
      <c r="T934" s="32" t="str">
        <f t="shared" si="57"/>
        <v>+852 83554***</v>
      </c>
      <c r="U934" s="32" t="str">
        <f t="shared" ca="1" si="58"/>
        <v>jere***@jossmail.com</v>
      </c>
      <c r="V934" s="32">
        <f t="shared" si="59"/>
        <v>23</v>
      </c>
      <c r="W934" s="36">
        <f t="shared" si="60"/>
        <v>0.05</v>
      </c>
    </row>
    <row r="935" spans="4:23" ht="27" customHeight="1" x14ac:dyDescent="0.25">
      <c r="D935" s="14" t="s">
        <v>3683</v>
      </c>
      <c r="E935" s="14" t="s">
        <v>3684</v>
      </c>
      <c r="F935" s="84" t="s">
        <v>359</v>
      </c>
      <c r="G935" s="15" t="s">
        <v>27</v>
      </c>
      <c r="H935" s="16" t="s">
        <v>3685</v>
      </c>
      <c r="I935" s="17"/>
      <c r="J935" s="17"/>
      <c r="K935" s="17"/>
      <c r="L935" s="17"/>
      <c r="N935" s="31">
        <v>933</v>
      </c>
      <c r="O935" s="32" t="s">
        <v>3686</v>
      </c>
      <c r="P935" s="33" t="s">
        <v>31</v>
      </c>
      <c r="Q935" s="32" t="s">
        <v>32</v>
      </c>
      <c r="R935" s="69">
        <v>44267.95107638889</v>
      </c>
      <c r="S935" s="35">
        <v>44354</v>
      </c>
      <c r="T935" s="32" t="str">
        <f t="shared" si="57"/>
        <v>+85227651***</v>
      </c>
      <c r="U935" s="32" t="str">
        <f t="shared" ca="1" si="58"/>
        <v>emil***@jossmail.com</v>
      </c>
      <c r="V935" s="32">
        <f t="shared" si="59"/>
        <v>23</v>
      </c>
      <c r="W935" s="36">
        <f t="shared" si="60"/>
        <v>0.05</v>
      </c>
    </row>
    <row r="936" spans="4:23" ht="27" customHeight="1" x14ac:dyDescent="0.25">
      <c r="D936" s="14" t="s">
        <v>3687</v>
      </c>
      <c r="E936" s="14" t="s">
        <v>1007</v>
      </c>
      <c r="F936" s="84" t="s">
        <v>1169</v>
      </c>
      <c r="G936" s="15" t="s">
        <v>68</v>
      </c>
      <c r="H936" s="16" t="s">
        <v>3688</v>
      </c>
      <c r="I936" s="17"/>
      <c r="J936" s="17"/>
      <c r="K936" s="17"/>
      <c r="L936" s="17"/>
      <c r="N936" s="31">
        <v>934</v>
      </c>
      <c r="O936" s="32" t="s">
        <v>3689</v>
      </c>
      <c r="P936" s="33" t="s">
        <v>31</v>
      </c>
      <c r="Q936" s="32" t="s">
        <v>40</v>
      </c>
      <c r="R936" s="69">
        <v>44267.962800925925</v>
      </c>
      <c r="S936" s="35">
        <v>44352</v>
      </c>
      <c r="T936" s="32" t="str">
        <f t="shared" si="57"/>
        <v>+6284213937***</v>
      </c>
      <c r="U936" s="32" t="str">
        <f t="shared" ca="1" si="58"/>
        <v>coli***@jossmail.com</v>
      </c>
      <c r="V936" s="32">
        <f t="shared" si="59"/>
        <v>23</v>
      </c>
      <c r="W936" s="36">
        <f t="shared" si="60"/>
        <v>0.05</v>
      </c>
    </row>
    <row r="937" spans="4:23" ht="27" customHeight="1" x14ac:dyDescent="0.25">
      <c r="D937" s="14" t="s">
        <v>3690</v>
      </c>
      <c r="E937" s="14" t="s">
        <v>3691</v>
      </c>
      <c r="F937" s="84" t="s">
        <v>887</v>
      </c>
      <c r="G937" s="15" t="s">
        <v>27</v>
      </c>
      <c r="H937" s="16" t="s">
        <v>3692</v>
      </c>
      <c r="I937" s="17"/>
      <c r="J937" s="17"/>
      <c r="K937" s="17"/>
      <c r="L937" s="17"/>
      <c r="N937" s="31">
        <v>935</v>
      </c>
      <c r="O937" s="32" t="s">
        <v>3693</v>
      </c>
      <c r="P937" s="33" t="s">
        <v>57</v>
      </c>
      <c r="Q937" s="32" t="s">
        <v>32</v>
      </c>
      <c r="R937" s="69">
        <v>44267.9612037037</v>
      </c>
      <c r="S937" s="35">
        <v>44320</v>
      </c>
      <c r="T937" s="32" t="str">
        <f t="shared" si="57"/>
        <v>+84236060***</v>
      </c>
      <c r="U937" s="32" t="str">
        <f t="shared" ca="1" si="58"/>
        <v>cier***@yuhuumail.com</v>
      </c>
      <c r="V937" s="32">
        <f t="shared" si="59"/>
        <v>23</v>
      </c>
      <c r="W937" s="36">
        <f t="shared" si="60"/>
        <v>0.05</v>
      </c>
    </row>
    <row r="938" spans="4:23" ht="27" customHeight="1" x14ac:dyDescent="0.25">
      <c r="D938" s="14" t="s">
        <v>3694</v>
      </c>
      <c r="E938" s="14" t="s">
        <v>3615</v>
      </c>
      <c r="F938" s="84" t="s">
        <v>1201</v>
      </c>
      <c r="G938" s="15" t="s">
        <v>27</v>
      </c>
      <c r="H938" s="16" t="s">
        <v>3695</v>
      </c>
      <c r="I938" s="17"/>
      <c r="J938" s="17"/>
      <c r="K938" s="17"/>
      <c r="L938" s="17"/>
      <c r="N938" s="31">
        <v>936</v>
      </c>
      <c r="O938" s="32" t="s">
        <v>3696</v>
      </c>
      <c r="P938" s="33" t="s">
        <v>57</v>
      </c>
      <c r="Q938" s="32" t="s">
        <v>40</v>
      </c>
      <c r="R938" s="69">
        <v>43682.873599537037</v>
      </c>
      <c r="S938" s="35">
        <v>44320</v>
      </c>
      <c r="T938" s="32" t="str">
        <f t="shared" si="57"/>
        <v>+812 43897***</v>
      </c>
      <c r="U938" s="32" t="str">
        <f t="shared" ca="1" si="58"/>
        <v>jona***@yuhuumail.com</v>
      </c>
      <c r="V938" s="32">
        <f t="shared" si="59"/>
        <v>21</v>
      </c>
      <c r="W938" s="36">
        <f t="shared" si="60"/>
        <v>6.5000000000000002E-2</v>
      </c>
    </row>
    <row r="939" spans="4:23" ht="27" customHeight="1" x14ac:dyDescent="0.25">
      <c r="D939" s="14" t="s">
        <v>3697</v>
      </c>
      <c r="E939" s="14" t="s">
        <v>3698</v>
      </c>
      <c r="F939" s="84" t="s">
        <v>614</v>
      </c>
      <c r="G939" s="15" t="s">
        <v>27</v>
      </c>
      <c r="H939" s="16" t="s">
        <v>3699</v>
      </c>
      <c r="I939" s="17"/>
      <c r="J939" s="17"/>
      <c r="K939" s="17"/>
      <c r="L939" s="17"/>
      <c r="N939" s="31">
        <v>937</v>
      </c>
      <c r="O939" s="32" t="s">
        <v>3700</v>
      </c>
      <c r="P939" s="33" t="s">
        <v>57</v>
      </c>
      <c r="Q939" s="32" t="s">
        <v>32</v>
      </c>
      <c r="R939" s="69">
        <v>44268.015347222223</v>
      </c>
      <c r="S939" s="35">
        <v>44320</v>
      </c>
      <c r="T939" s="32" t="str">
        <f t="shared" si="57"/>
        <v>+83223857***</v>
      </c>
      <c r="U939" s="32" t="str">
        <f t="shared" ca="1" si="58"/>
        <v>gene***@yuhuumail.com</v>
      </c>
      <c r="V939" s="32">
        <f t="shared" si="59"/>
        <v>23</v>
      </c>
      <c r="W939" s="36">
        <f t="shared" si="60"/>
        <v>0.05</v>
      </c>
    </row>
    <row r="940" spans="4:23" ht="27" customHeight="1" x14ac:dyDescent="0.25">
      <c r="D940" s="14" t="s">
        <v>3701</v>
      </c>
      <c r="E940" s="14" t="s">
        <v>3702</v>
      </c>
      <c r="F940" s="84" t="s">
        <v>533</v>
      </c>
      <c r="G940" s="15" t="s">
        <v>68</v>
      </c>
      <c r="H940" s="16" t="s">
        <v>3703</v>
      </c>
      <c r="I940" s="17"/>
      <c r="J940" s="17"/>
      <c r="K940" s="17"/>
      <c r="L940" s="17"/>
      <c r="N940" s="31">
        <v>938</v>
      </c>
      <c r="O940" s="32" t="s">
        <v>3704</v>
      </c>
      <c r="P940" s="33" t="s">
        <v>31</v>
      </c>
      <c r="Q940" s="32" t="s">
        <v>40</v>
      </c>
      <c r="R940" s="69">
        <v>43928.807175925926</v>
      </c>
      <c r="S940" s="35">
        <v>44320</v>
      </c>
      <c r="T940" s="32" t="str">
        <f t="shared" si="57"/>
        <v>+0822 88030***</v>
      </c>
      <c r="U940" s="32" t="str">
        <f t="shared" ca="1" si="58"/>
        <v>kamo***@yuhuumail.com</v>
      </c>
      <c r="V940" s="32">
        <f t="shared" si="59"/>
        <v>22</v>
      </c>
      <c r="W940" s="36">
        <f t="shared" si="60"/>
        <v>6.5000000000000002E-2</v>
      </c>
    </row>
    <row r="941" spans="4:23" ht="27" customHeight="1" x14ac:dyDescent="0.25">
      <c r="D941" s="14" t="s">
        <v>3705</v>
      </c>
      <c r="E941" s="14" t="s">
        <v>1709</v>
      </c>
      <c r="F941" s="84" t="s">
        <v>211</v>
      </c>
      <c r="G941" s="15" t="s">
        <v>68</v>
      </c>
      <c r="H941" s="16" t="s">
        <v>3706</v>
      </c>
      <c r="I941" s="17"/>
      <c r="J941" s="17"/>
      <c r="K941" s="17"/>
      <c r="L941" s="17"/>
      <c r="N941" s="31">
        <v>939</v>
      </c>
      <c r="O941" s="32" t="s">
        <v>3707</v>
      </c>
      <c r="P941" s="33" t="s">
        <v>31</v>
      </c>
      <c r="Q941" s="32" t="s">
        <v>32</v>
      </c>
      <c r="R941" s="69">
        <v>44268.018090277779</v>
      </c>
      <c r="S941" s="35">
        <v>44362</v>
      </c>
      <c r="T941" s="32" t="str">
        <f t="shared" si="57"/>
        <v>+822 71546***</v>
      </c>
      <c r="U941" s="32" t="str">
        <f t="shared" ca="1" si="58"/>
        <v>rach***@jossmail.com</v>
      </c>
      <c r="V941" s="32">
        <f t="shared" si="59"/>
        <v>23</v>
      </c>
      <c r="W941" s="36">
        <f t="shared" si="60"/>
        <v>0.05</v>
      </c>
    </row>
    <row r="942" spans="4:23" ht="27" customHeight="1" x14ac:dyDescent="0.25">
      <c r="D942" s="14" t="s">
        <v>3708</v>
      </c>
      <c r="E942" s="14" t="s">
        <v>185</v>
      </c>
      <c r="F942" s="84" t="s">
        <v>3709</v>
      </c>
      <c r="G942" s="15" t="s">
        <v>27</v>
      </c>
      <c r="H942" s="16" t="s">
        <v>3710</v>
      </c>
      <c r="I942" s="17"/>
      <c r="J942" s="17"/>
      <c r="K942" s="17"/>
      <c r="L942" s="17"/>
      <c r="N942" s="31">
        <v>940</v>
      </c>
      <c r="O942" s="32" t="s">
        <v>3711</v>
      </c>
      <c r="P942" s="33" t="s">
        <v>57</v>
      </c>
      <c r="Q942" s="32" t="s">
        <v>40</v>
      </c>
      <c r="R942" s="69">
        <v>44268.031238425923</v>
      </c>
      <c r="S942" s="35">
        <v>44318</v>
      </c>
      <c r="T942" s="32" t="str">
        <f t="shared" si="57"/>
        <v>+0852-60907***</v>
      </c>
      <c r="U942" s="32" t="str">
        <f t="shared" ca="1" si="58"/>
        <v>mika***@jossmail.com</v>
      </c>
      <c r="V942" s="32">
        <f t="shared" si="59"/>
        <v>23</v>
      </c>
      <c r="W942" s="36">
        <f t="shared" si="60"/>
        <v>0.05</v>
      </c>
    </row>
    <row r="943" spans="4:23" ht="27" customHeight="1" x14ac:dyDescent="0.25">
      <c r="D943" s="14" t="s">
        <v>3712</v>
      </c>
      <c r="E943" s="14" t="s">
        <v>3713</v>
      </c>
      <c r="F943" s="84" t="s">
        <v>1169</v>
      </c>
      <c r="G943" s="15" t="s">
        <v>68</v>
      </c>
      <c r="H943" s="16" t="s">
        <v>3714</v>
      </c>
      <c r="I943" s="17"/>
      <c r="J943" s="17"/>
      <c r="K943" s="17"/>
      <c r="L943" s="17"/>
      <c r="N943" s="31">
        <v>941</v>
      </c>
      <c r="O943" s="32" t="s">
        <v>1946</v>
      </c>
      <c r="P943" s="33" t="s">
        <v>31</v>
      </c>
      <c r="Q943" s="32" t="s">
        <v>32</v>
      </c>
      <c r="R943" s="69">
        <v>44268.055902777778</v>
      </c>
      <c r="S943" s="35">
        <v>44320</v>
      </c>
      <c r="T943" s="32" t="str">
        <f t="shared" si="57"/>
        <v>+0812-51460***</v>
      </c>
      <c r="U943" s="32" t="str">
        <f t="shared" ca="1" si="58"/>
        <v>kale***@yuhuumail.com</v>
      </c>
      <c r="V943" s="32">
        <f t="shared" si="59"/>
        <v>23</v>
      </c>
      <c r="W943" s="36">
        <f t="shared" si="60"/>
        <v>0.05</v>
      </c>
    </row>
    <row r="944" spans="4:23" ht="27" customHeight="1" x14ac:dyDescent="0.25">
      <c r="D944" s="14" t="s">
        <v>3715</v>
      </c>
      <c r="E944" s="14" t="s">
        <v>815</v>
      </c>
      <c r="F944" s="84" t="s">
        <v>251</v>
      </c>
      <c r="G944" s="15" t="s">
        <v>68</v>
      </c>
      <c r="H944" s="16" t="s">
        <v>3716</v>
      </c>
      <c r="I944" s="17"/>
      <c r="J944" s="17"/>
      <c r="K944" s="17"/>
      <c r="L944" s="17"/>
      <c r="N944" s="31">
        <v>942</v>
      </c>
      <c r="O944" s="32" t="s">
        <v>3717</v>
      </c>
      <c r="P944" s="33" t="s">
        <v>31</v>
      </c>
      <c r="Q944" s="32" t="s">
        <v>40</v>
      </c>
      <c r="R944" s="69">
        <v>44268.057500000003</v>
      </c>
      <c r="S944" s="35">
        <v>44359</v>
      </c>
      <c r="T944" s="32" t="str">
        <f t="shared" si="57"/>
        <v>+084253319***</v>
      </c>
      <c r="U944" s="32" t="str">
        <f t="shared" ca="1" si="58"/>
        <v>lila***@yuhuumail.com</v>
      </c>
      <c r="V944" s="32">
        <f t="shared" si="59"/>
        <v>23</v>
      </c>
      <c r="W944" s="36">
        <f t="shared" si="60"/>
        <v>0.05</v>
      </c>
    </row>
    <row r="945" spans="4:23" ht="27" customHeight="1" x14ac:dyDescent="0.25">
      <c r="D945" s="14" t="s">
        <v>3718</v>
      </c>
      <c r="E945" s="14" t="s">
        <v>3719</v>
      </c>
      <c r="F945" s="84" t="s">
        <v>407</v>
      </c>
      <c r="G945" s="15" t="s">
        <v>27</v>
      </c>
      <c r="H945" s="16" t="s">
        <v>3720</v>
      </c>
      <c r="I945" s="17"/>
      <c r="J945" s="17"/>
      <c r="K945" s="17"/>
      <c r="L945" s="17"/>
      <c r="N945" s="31">
        <v>943</v>
      </c>
      <c r="O945" s="32" t="s">
        <v>3721</v>
      </c>
      <c r="P945" s="33" t="s">
        <v>57</v>
      </c>
      <c r="Q945" s="32" t="s">
        <v>32</v>
      </c>
      <c r="R945" s="69">
        <v>44268.07240740741</v>
      </c>
      <c r="S945" s="35">
        <v>44354</v>
      </c>
      <c r="T945" s="32" t="str">
        <f t="shared" si="57"/>
        <v>+85234514***</v>
      </c>
      <c r="U945" s="32" t="str">
        <f t="shared" ca="1" si="58"/>
        <v>acec***@yuhuumail.com</v>
      </c>
      <c r="V945" s="32">
        <f t="shared" si="59"/>
        <v>23</v>
      </c>
      <c r="W945" s="36">
        <f t="shared" si="60"/>
        <v>0.05</v>
      </c>
    </row>
    <row r="946" spans="4:23" ht="27" customHeight="1" x14ac:dyDescent="0.25">
      <c r="D946" s="14" t="s">
        <v>3722</v>
      </c>
      <c r="E946" s="14" t="s">
        <v>3152</v>
      </c>
      <c r="F946" s="84" t="s">
        <v>453</v>
      </c>
      <c r="G946" s="15" t="s">
        <v>27</v>
      </c>
      <c r="H946" s="16" t="s">
        <v>3723</v>
      </c>
      <c r="I946" s="17"/>
      <c r="J946" s="17"/>
      <c r="K946" s="17"/>
      <c r="L946" s="17"/>
      <c r="N946" s="31">
        <v>944</v>
      </c>
      <c r="O946" s="32" t="s">
        <v>3724</v>
      </c>
      <c r="P946" s="33" t="s">
        <v>57</v>
      </c>
      <c r="Q946" s="32" t="s">
        <v>40</v>
      </c>
      <c r="R946" s="69">
        <v>44266.569988425923</v>
      </c>
      <c r="S946" s="35">
        <v>44361</v>
      </c>
      <c r="T946" s="32" t="str">
        <f t="shared" si="57"/>
        <v>+0842-24527***</v>
      </c>
      <c r="U946" s="32" t="str">
        <f t="shared" ca="1" si="58"/>
        <v>alde***@jossmail.com</v>
      </c>
      <c r="V946" s="32">
        <f t="shared" si="59"/>
        <v>23</v>
      </c>
      <c r="W946" s="36">
        <f t="shared" si="60"/>
        <v>0.05</v>
      </c>
    </row>
    <row r="947" spans="4:23" ht="27" customHeight="1" x14ac:dyDescent="0.25">
      <c r="D947" s="14" t="s">
        <v>3725</v>
      </c>
      <c r="E947" s="14" t="s">
        <v>3726</v>
      </c>
      <c r="F947" s="84" t="s">
        <v>80</v>
      </c>
      <c r="G947" s="15" t="s">
        <v>27</v>
      </c>
      <c r="H947" s="16" t="s">
        <v>3727</v>
      </c>
      <c r="I947" s="17"/>
      <c r="J947" s="17"/>
      <c r="K947" s="17"/>
      <c r="L947" s="17"/>
      <c r="N947" s="31">
        <v>945</v>
      </c>
      <c r="O947" s="32" t="s">
        <v>2680</v>
      </c>
      <c r="P947" s="33" t="s">
        <v>42</v>
      </c>
      <c r="Q947" s="32" t="s">
        <v>32</v>
      </c>
      <c r="R947" s="69">
        <v>44268.337916666664</v>
      </c>
      <c r="S947" s="71">
        <v>44356</v>
      </c>
      <c r="T947" s="32" t="str">
        <f t="shared" si="57"/>
        <v>+0812 53460***</v>
      </c>
      <c r="U947" s="32" t="str">
        <f t="shared" ca="1" si="58"/>
        <v>lind***@jossmail.com</v>
      </c>
      <c r="V947" s="32">
        <f t="shared" si="59"/>
        <v>23</v>
      </c>
      <c r="W947" s="36">
        <f t="shared" si="60"/>
        <v>0.05</v>
      </c>
    </row>
    <row r="948" spans="4:23" ht="27" customHeight="1" x14ac:dyDescent="0.25">
      <c r="D948" s="14" t="s">
        <v>3728</v>
      </c>
      <c r="E948" s="14" t="s">
        <v>3729</v>
      </c>
      <c r="F948" s="84" t="s">
        <v>407</v>
      </c>
      <c r="G948" s="15" t="s">
        <v>27</v>
      </c>
      <c r="H948" s="16" t="s">
        <v>3730</v>
      </c>
      <c r="I948" s="17"/>
      <c r="J948" s="17"/>
      <c r="K948" s="17"/>
      <c r="L948" s="17"/>
      <c r="N948" s="31">
        <v>946</v>
      </c>
      <c r="O948" s="32" t="s">
        <v>3503</v>
      </c>
      <c r="P948" s="33" t="s">
        <v>42</v>
      </c>
      <c r="Q948" s="32" t="s">
        <v>40</v>
      </c>
      <c r="R948" s="69">
        <v>44259.43545138889</v>
      </c>
      <c r="S948" s="71">
        <v>44352</v>
      </c>
      <c r="T948" s="32" t="str">
        <f t="shared" si="57"/>
        <v>+81265907***</v>
      </c>
      <c r="U948" s="32" t="str">
        <f t="shared" ca="1" si="58"/>
        <v>kait***@jossmail.com</v>
      </c>
      <c r="V948" s="32">
        <f t="shared" si="59"/>
        <v>23</v>
      </c>
      <c r="W948" s="36">
        <f t="shared" si="60"/>
        <v>0.05</v>
      </c>
    </row>
    <row r="949" spans="4:23" ht="27" customHeight="1" x14ac:dyDescent="0.25">
      <c r="D949" s="14" t="s">
        <v>3731</v>
      </c>
      <c r="E949" s="14" t="s">
        <v>3732</v>
      </c>
      <c r="F949" s="84" t="s">
        <v>266</v>
      </c>
      <c r="G949" s="15" t="s">
        <v>27</v>
      </c>
      <c r="H949" s="16" t="s">
        <v>3733</v>
      </c>
      <c r="I949" s="17"/>
      <c r="J949" s="17"/>
      <c r="K949" s="17"/>
      <c r="L949" s="17"/>
      <c r="N949" s="31">
        <v>947</v>
      </c>
      <c r="O949" s="32" t="s">
        <v>3734</v>
      </c>
      <c r="P949" s="33" t="s">
        <v>31</v>
      </c>
      <c r="Q949" s="32" t="s">
        <v>32</v>
      </c>
      <c r="R949" s="69">
        <v>43906.454317129632</v>
      </c>
      <c r="S949" s="71">
        <v>44352</v>
      </c>
      <c r="T949" s="32" t="str">
        <f t="shared" si="57"/>
        <v>+0832 50245***</v>
      </c>
      <c r="U949" s="32" t="str">
        <f t="shared" ca="1" si="58"/>
        <v>alia***@jossmail.com</v>
      </c>
      <c r="V949" s="32">
        <f t="shared" si="59"/>
        <v>22</v>
      </c>
      <c r="W949" s="36">
        <f t="shared" si="60"/>
        <v>6.5000000000000002E-2</v>
      </c>
    </row>
    <row r="950" spans="4:23" ht="27" customHeight="1" x14ac:dyDescent="0.25">
      <c r="D950" s="14" t="s">
        <v>3735</v>
      </c>
      <c r="E950" s="14" t="s">
        <v>3736</v>
      </c>
      <c r="F950" s="84" t="s">
        <v>781</v>
      </c>
      <c r="G950" s="15" t="s">
        <v>27</v>
      </c>
      <c r="H950" s="16" t="s">
        <v>3737</v>
      </c>
      <c r="I950" s="17"/>
      <c r="J950" s="17"/>
      <c r="K950" s="17"/>
      <c r="L950" s="17"/>
      <c r="N950" s="31">
        <v>948</v>
      </c>
      <c r="O950" s="32" t="s">
        <v>470</v>
      </c>
      <c r="P950" s="33" t="s">
        <v>31</v>
      </c>
      <c r="Q950" s="32" t="s">
        <v>40</v>
      </c>
      <c r="R950" s="69">
        <v>44267.901967592596</v>
      </c>
      <c r="S950" s="71">
        <v>44352</v>
      </c>
      <c r="T950" s="32" t="str">
        <f t="shared" si="57"/>
        <v>+083291489***</v>
      </c>
      <c r="U950" s="32" t="str">
        <f t="shared" ca="1" si="58"/>
        <v>javi***@yuhuumail.com</v>
      </c>
      <c r="V950" s="32">
        <f t="shared" si="59"/>
        <v>23</v>
      </c>
      <c r="W950" s="36">
        <f t="shared" si="60"/>
        <v>0.05</v>
      </c>
    </row>
    <row r="951" spans="4:23" ht="27" customHeight="1" x14ac:dyDescent="0.25">
      <c r="D951" s="14" t="s">
        <v>3738</v>
      </c>
      <c r="E951" s="14" t="s">
        <v>3739</v>
      </c>
      <c r="F951" s="84" t="s">
        <v>1535</v>
      </c>
      <c r="G951" s="15" t="s">
        <v>27</v>
      </c>
      <c r="H951" s="16" t="s">
        <v>3740</v>
      </c>
      <c r="I951" s="17"/>
      <c r="J951" s="17"/>
      <c r="K951" s="17"/>
      <c r="L951" s="17"/>
      <c r="N951" s="31">
        <v>949</v>
      </c>
      <c r="O951" s="32" t="s">
        <v>3741</v>
      </c>
      <c r="P951" s="33" t="s">
        <v>57</v>
      </c>
      <c r="Q951" s="32" t="s">
        <v>32</v>
      </c>
      <c r="R951" s="69">
        <v>44268.399375000001</v>
      </c>
      <c r="S951" s="71">
        <v>44318</v>
      </c>
      <c r="T951" s="32" t="str">
        <f t="shared" si="57"/>
        <v>+0822-60830***</v>
      </c>
      <c r="U951" s="32" t="str">
        <f t="shared" ca="1" si="58"/>
        <v>kell***@jossmail.com</v>
      </c>
      <c r="V951" s="32">
        <f t="shared" si="59"/>
        <v>23</v>
      </c>
      <c r="W951" s="36">
        <f t="shared" si="60"/>
        <v>0.05</v>
      </c>
    </row>
    <row r="952" spans="4:23" ht="27" customHeight="1" x14ac:dyDescent="0.25">
      <c r="D952" s="14" t="s">
        <v>3742</v>
      </c>
      <c r="E952" s="14" t="s">
        <v>3743</v>
      </c>
      <c r="F952" s="84" t="s">
        <v>61</v>
      </c>
      <c r="G952" s="15" t="s">
        <v>27</v>
      </c>
      <c r="H952" s="16" t="s">
        <v>3744</v>
      </c>
      <c r="I952" s="17"/>
      <c r="J952" s="17"/>
      <c r="K952" s="17"/>
      <c r="L952" s="17"/>
      <c r="N952" s="31">
        <v>950</v>
      </c>
      <c r="O952" s="32" t="s">
        <v>2426</v>
      </c>
      <c r="P952" s="33" t="s">
        <v>57</v>
      </c>
      <c r="Q952" s="32" t="s">
        <v>40</v>
      </c>
      <c r="R952" s="69">
        <v>44267.802291666667</v>
      </c>
      <c r="S952" s="71">
        <v>44351</v>
      </c>
      <c r="T952" s="32" t="str">
        <f t="shared" si="57"/>
        <v>+842 36993***</v>
      </c>
      <c r="U952" s="32" t="str">
        <f t="shared" ca="1" si="58"/>
        <v>jali***@jossmail.com</v>
      </c>
      <c r="V952" s="32">
        <f t="shared" si="59"/>
        <v>23</v>
      </c>
      <c r="W952" s="36">
        <f t="shared" si="60"/>
        <v>0.05</v>
      </c>
    </row>
    <row r="953" spans="4:23" ht="27" customHeight="1" x14ac:dyDescent="0.25">
      <c r="D953" s="14" t="s">
        <v>3745</v>
      </c>
      <c r="E953" s="14" t="s">
        <v>3746</v>
      </c>
      <c r="F953" s="84" t="s">
        <v>251</v>
      </c>
      <c r="G953" s="15" t="s">
        <v>68</v>
      </c>
      <c r="H953" s="16" t="s">
        <v>3747</v>
      </c>
      <c r="I953" s="17"/>
      <c r="J953" s="17"/>
      <c r="K953" s="17"/>
      <c r="L953" s="17"/>
      <c r="N953" s="31">
        <v>951</v>
      </c>
      <c r="O953" s="32" t="s">
        <v>3748</v>
      </c>
      <c r="P953" s="33" t="s">
        <v>31</v>
      </c>
      <c r="Q953" s="32" t="s">
        <v>32</v>
      </c>
      <c r="R953" s="69">
        <v>44268.411666666667</v>
      </c>
      <c r="S953" s="71">
        <v>44356</v>
      </c>
      <c r="T953" s="32" t="str">
        <f t="shared" si="57"/>
        <v>+6282263757***</v>
      </c>
      <c r="U953" s="32" t="str">
        <f t="shared" ca="1" si="58"/>
        <v>karl***@yuhuumail.com</v>
      </c>
      <c r="V953" s="32">
        <f t="shared" si="59"/>
        <v>23</v>
      </c>
      <c r="W953" s="36">
        <f t="shared" si="60"/>
        <v>0.05</v>
      </c>
    </row>
    <row r="954" spans="4:23" ht="27" customHeight="1" x14ac:dyDescent="0.25">
      <c r="D954" s="14" t="s">
        <v>3749</v>
      </c>
      <c r="E954" s="14" t="s">
        <v>3750</v>
      </c>
      <c r="F954" s="84" t="s">
        <v>183</v>
      </c>
      <c r="G954" s="15" t="s">
        <v>27</v>
      </c>
      <c r="H954" s="16" t="s">
        <v>3751</v>
      </c>
      <c r="I954" s="17"/>
      <c r="J954" s="17"/>
      <c r="K954" s="17"/>
      <c r="L954" s="17"/>
      <c r="N954" s="31">
        <v>952</v>
      </c>
      <c r="O954" s="32" t="s">
        <v>3752</v>
      </c>
      <c r="P954" s="33" t="s">
        <v>31</v>
      </c>
      <c r="Q954" s="32" t="s">
        <v>40</v>
      </c>
      <c r="R954" s="69">
        <v>44268.424780092595</v>
      </c>
      <c r="S954" s="71">
        <v>44361</v>
      </c>
      <c r="T954" s="32" t="str">
        <f t="shared" si="57"/>
        <v>+082258916***</v>
      </c>
      <c r="U954" s="32" t="str">
        <f t="shared" ca="1" si="58"/>
        <v>hayl***@yuhuumail.com</v>
      </c>
      <c r="V954" s="32">
        <f t="shared" si="59"/>
        <v>23</v>
      </c>
      <c r="W954" s="36">
        <f t="shared" si="60"/>
        <v>0.05</v>
      </c>
    </row>
    <row r="955" spans="4:23" ht="27" customHeight="1" x14ac:dyDescent="0.25">
      <c r="D955" s="14" t="s">
        <v>3753</v>
      </c>
      <c r="E955" s="14" t="s">
        <v>3754</v>
      </c>
      <c r="F955" s="84" t="s">
        <v>159</v>
      </c>
      <c r="G955" s="15" t="s">
        <v>27</v>
      </c>
      <c r="H955" s="16" t="s">
        <v>3755</v>
      </c>
      <c r="I955" s="17"/>
      <c r="J955" s="17"/>
      <c r="K955" s="17"/>
      <c r="L955" s="17"/>
      <c r="N955" s="31">
        <v>953</v>
      </c>
      <c r="O955" s="32" t="s">
        <v>3756</v>
      </c>
      <c r="P955" s="33" t="s">
        <v>31</v>
      </c>
      <c r="Q955" s="32" t="s">
        <v>32</v>
      </c>
      <c r="R955" s="69">
        <v>44268.429062499999</v>
      </c>
      <c r="S955" s="71">
        <v>44354</v>
      </c>
      <c r="T955" s="32" t="str">
        <f t="shared" si="57"/>
        <v>+6282292870***</v>
      </c>
      <c r="U955" s="32" t="str">
        <f t="shared" ca="1" si="58"/>
        <v>jase***@jossmail.com</v>
      </c>
      <c r="V955" s="32">
        <f t="shared" si="59"/>
        <v>23</v>
      </c>
      <c r="W955" s="36">
        <f t="shared" si="60"/>
        <v>0.05</v>
      </c>
    </row>
    <row r="956" spans="4:23" ht="27" customHeight="1" x14ac:dyDescent="0.25">
      <c r="D956" s="14" t="s">
        <v>3757</v>
      </c>
      <c r="E956" s="14" t="s">
        <v>1455</v>
      </c>
      <c r="F956" s="84" t="s">
        <v>417</v>
      </c>
      <c r="G956" s="15" t="s">
        <v>27</v>
      </c>
      <c r="H956" s="16" t="s">
        <v>3758</v>
      </c>
      <c r="I956" s="17"/>
      <c r="J956" s="17"/>
      <c r="K956" s="17"/>
      <c r="L956" s="17"/>
      <c r="N956" s="31">
        <v>954</v>
      </c>
      <c r="O956" s="32" t="s">
        <v>3759</v>
      </c>
      <c r="P956" s="33" t="s">
        <v>31</v>
      </c>
      <c r="Q956" s="32" t="s">
        <v>40</v>
      </c>
      <c r="R956" s="69">
        <v>44268.432592592595</v>
      </c>
      <c r="S956" s="71">
        <v>44362</v>
      </c>
      <c r="T956" s="32" t="str">
        <f t="shared" si="57"/>
        <v>+084235609***</v>
      </c>
      <c r="U956" s="32" t="str">
        <f t="shared" ca="1" si="58"/>
        <v>cars***@yuhuumail.com</v>
      </c>
      <c r="V956" s="32">
        <f t="shared" si="59"/>
        <v>23</v>
      </c>
      <c r="W956" s="36">
        <f t="shared" si="60"/>
        <v>0.05</v>
      </c>
    </row>
    <row r="957" spans="4:23" ht="27" customHeight="1" x14ac:dyDescent="0.25">
      <c r="D957" s="14" t="s">
        <v>3760</v>
      </c>
      <c r="E957" s="14" t="s">
        <v>3761</v>
      </c>
      <c r="F957" s="84" t="s">
        <v>114</v>
      </c>
      <c r="G957" s="15" t="s">
        <v>68</v>
      </c>
      <c r="H957" s="16" t="s">
        <v>3762</v>
      </c>
      <c r="I957" s="17"/>
      <c r="J957" s="17"/>
      <c r="K957" s="17"/>
      <c r="L957" s="17"/>
      <c r="N957" s="31">
        <v>955</v>
      </c>
      <c r="O957" s="32" t="s">
        <v>3763</v>
      </c>
      <c r="P957" s="33" t="s">
        <v>31</v>
      </c>
      <c r="Q957" s="32" t="s">
        <v>32</v>
      </c>
      <c r="R957" s="69">
        <v>44268.440300925926</v>
      </c>
      <c r="S957" s="71">
        <v>44354</v>
      </c>
      <c r="T957" s="32" t="str">
        <f t="shared" si="57"/>
        <v>+85242849***</v>
      </c>
      <c r="U957" s="32" t="str">
        <f t="shared" ca="1" si="58"/>
        <v>wins***@jossmail.com</v>
      </c>
      <c r="V957" s="32">
        <f t="shared" si="59"/>
        <v>23</v>
      </c>
      <c r="W957" s="36">
        <f t="shared" si="60"/>
        <v>0.05</v>
      </c>
    </row>
    <row r="958" spans="4:23" ht="27" customHeight="1" x14ac:dyDescent="0.25">
      <c r="D958" s="14" t="s">
        <v>3764</v>
      </c>
      <c r="E958" s="14" t="s">
        <v>3765</v>
      </c>
      <c r="F958" s="84" t="s">
        <v>233</v>
      </c>
      <c r="G958" s="15" t="s">
        <v>68</v>
      </c>
      <c r="H958" s="16" t="s">
        <v>3766</v>
      </c>
      <c r="I958" s="17"/>
      <c r="J958" s="17"/>
      <c r="K958" s="17"/>
      <c r="L958" s="17"/>
      <c r="N958" s="31">
        <v>956</v>
      </c>
      <c r="O958" s="32" t="s">
        <v>3767</v>
      </c>
      <c r="P958" s="33" t="s">
        <v>57</v>
      </c>
      <c r="Q958" s="32" t="s">
        <v>40</v>
      </c>
      <c r="R958" s="69">
        <v>44268.457187499997</v>
      </c>
      <c r="S958" s="71">
        <v>44359</v>
      </c>
      <c r="T958" s="32" t="str">
        <f t="shared" si="57"/>
        <v>+82297042***</v>
      </c>
      <c r="U958" s="32" t="str">
        <f t="shared" ca="1" si="58"/>
        <v>bian***@jossmail.com</v>
      </c>
      <c r="V958" s="32">
        <f t="shared" si="59"/>
        <v>23</v>
      </c>
      <c r="W958" s="36">
        <f t="shared" si="60"/>
        <v>0.05</v>
      </c>
    </row>
    <row r="959" spans="4:23" ht="27" customHeight="1" x14ac:dyDescent="0.25">
      <c r="D959" s="14" t="s">
        <v>3768</v>
      </c>
      <c r="E959" s="14" t="s">
        <v>906</v>
      </c>
      <c r="F959" s="84" t="s">
        <v>742</v>
      </c>
      <c r="G959" s="15" t="s">
        <v>68</v>
      </c>
      <c r="H959" s="16" t="s">
        <v>3769</v>
      </c>
      <c r="I959" s="17"/>
      <c r="J959" s="17"/>
      <c r="K959" s="17"/>
      <c r="L959" s="17"/>
      <c r="N959" s="31">
        <v>957</v>
      </c>
      <c r="O959" s="32" t="s">
        <v>3770</v>
      </c>
      <c r="P959" s="33" t="s">
        <v>31</v>
      </c>
      <c r="Q959" s="32" t="s">
        <v>32</v>
      </c>
      <c r="R959" s="69">
        <v>44268.487407407411</v>
      </c>
      <c r="S959" s="71">
        <v>44318</v>
      </c>
      <c r="T959" s="32" t="str">
        <f t="shared" si="57"/>
        <v>+6285246186***</v>
      </c>
      <c r="U959" s="32" t="str">
        <f t="shared" ca="1" si="58"/>
        <v>reec***@yuhuumail.com</v>
      </c>
      <c r="V959" s="32">
        <f t="shared" si="59"/>
        <v>23</v>
      </c>
      <c r="W959" s="36">
        <f t="shared" si="60"/>
        <v>0.05</v>
      </c>
    </row>
    <row r="960" spans="4:23" ht="27" customHeight="1" x14ac:dyDescent="0.25">
      <c r="D960" s="14" t="s">
        <v>3771</v>
      </c>
      <c r="E960" s="14" t="s">
        <v>589</v>
      </c>
      <c r="F960" s="84" t="s">
        <v>2488</v>
      </c>
      <c r="G960" s="15" t="s">
        <v>68</v>
      </c>
      <c r="H960" s="16" t="s">
        <v>3772</v>
      </c>
      <c r="I960" s="17"/>
      <c r="J960" s="17"/>
      <c r="K960" s="17"/>
      <c r="L960" s="17"/>
      <c r="N960" s="31">
        <v>958</v>
      </c>
      <c r="O960" s="32" t="s">
        <v>3773</v>
      </c>
      <c r="P960" s="33" t="s">
        <v>31</v>
      </c>
      <c r="Q960" s="32" t="s">
        <v>40</v>
      </c>
      <c r="R960" s="69">
        <v>44268.468611111108</v>
      </c>
      <c r="S960" s="71">
        <v>44359</v>
      </c>
      <c r="T960" s="32" t="str">
        <f t="shared" si="57"/>
        <v>+6281260789***</v>
      </c>
      <c r="U960" s="32" t="str">
        <f t="shared" ca="1" si="58"/>
        <v>shay***@jossmail.com</v>
      </c>
      <c r="V960" s="32">
        <f t="shared" si="59"/>
        <v>23</v>
      </c>
      <c r="W960" s="36">
        <f t="shared" si="60"/>
        <v>0.05</v>
      </c>
    </row>
    <row r="961" spans="4:23" ht="27" customHeight="1" x14ac:dyDescent="0.25">
      <c r="D961" s="14" t="s">
        <v>3774</v>
      </c>
      <c r="E961" s="14" t="s">
        <v>3775</v>
      </c>
      <c r="F961" s="84" t="s">
        <v>359</v>
      </c>
      <c r="G961" s="15" t="s">
        <v>68</v>
      </c>
      <c r="H961" s="16" t="s">
        <v>3776</v>
      </c>
      <c r="I961" s="17"/>
      <c r="J961" s="17"/>
      <c r="K961" s="17"/>
      <c r="L961" s="17"/>
      <c r="N961" s="31">
        <v>959</v>
      </c>
      <c r="O961" s="32" t="s">
        <v>3777</v>
      </c>
      <c r="P961" s="33" t="s">
        <v>57</v>
      </c>
      <c r="Q961" s="32" t="s">
        <v>32</v>
      </c>
      <c r="R961" s="69">
        <v>44268.53396990741</v>
      </c>
      <c r="S961" s="71">
        <v>44359</v>
      </c>
      <c r="T961" s="32" t="str">
        <f t="shared" si="57"/>
        <v>+0812 95668***</v>
      </c>
      <c r="U961" s="32" t="str">
        <f t="shared" ca="1" si="58"/>
        <v>kaya***@yuhuumail.com</v>
      </c>
      <c r="V961" s="32">
        <f t="shared" si="59"/>
        <v>23</v>
      </c>
      <c r="W961" s="36">
        <f t="shared" si="60"/>
        <v>0.05</v>
      </c>
    </row>
    <row r="962" spans="4:23" ht="27" customHeight="1" x14ac:dyDescent="0.25">
      <c r="D962" s="14" t="s">
        <v>3778</v>
      </c>
      <c r="E962" s="14" t="s">
        <v>3779</v>
      </c>
      <c r="F962" s="84" t="s">
        <v>587</v>
      </c>
      <c r="G962" s="15" t="s">
        <v>27</v>
      </c>
      <c r="H962" s="16" t="s">
        <v>3780</v>
      </c>
      <c r="I962" s="17"/>
      <c r="J962" s="17"/>
      <c r="K962" s="17"/>
      <c r="L962" s="17"/>
      <c r="N962" s="31">
        <v>960</v>
      </c>
      <c r="O962" s="32" t="s">
        <v>3781</v>
      </c>
      <c r="P962" s="33" t="s">
        <v>31</v>
      </c>
      <c r="Q962" s="32" t="s">
        <v>40</v>
      </c>
      <c r="R962" s="69">
        <v>44268.570983796293</v>
      </c>
      <c r="S962" s="71">
        <v>44356</v>
      </c>
      <c r="T962" s="32" t="str">
        <f t="shared" si="57"/>
        <v>+85257812***</v>
      </c>
      <c r="U962" s="32" t="str">
        <f t="shared" ca="1" si="58"/>
        <v>adri***@jossmail.com</v>
      </c>
      <c r="V962" s="32">
        <f t="shared" si="59"/>
        <v>23</v>
      </c>
      <c r="W962" s="36">
        <f t="shared" si="60"/>
        <v>0.05</v>
      </c>
    </row>
    <row r="963" spans="4:23" ht="27" customHeight="1" x14ac:dyDescent="0.25">
      <c r="D963" s="14" t="s">
        <v>3782</v>
      </c>
      <c r="E963" s="14" t="s">
        <v>378</v>
      </c>
      <c r="F963" s="84" t="s">
        <v>2718</v>
      </c>
      <c r="G963" s="15" t="s">
        <v>27</v>
      </c>
      <c r="H963" s="16" t="s">
        <v>3783</v>
      </c>
      <c r="I963" s="17"/>
      <c r="J963" s="17"/>
      <c r="K963" s="17"/>
      <c r="L963" s="17"/>
      <c r="N963" s="31">
        <v>961</v>
      </c>
      <c r="O963" s="32" t="s">
        <v>3784</v>
      </c>
      <c r="P963" s="33" t="s">
        <v>31</v>
      </c>
      <c r="Q963" s="32" t="s">
        <v>32</v>
      </c>
      <c r="R963" s="69">
        <v>44268.565428240741</v>
      </c>
      <c r="S963" s="71">
        <v>44356</v>
      </c>
      <c r="T963" s="32" t="str">
        <f t="shared" si="57"/>
        <v>+085238244***</v>
      </c>
      <c r="U963" s="32" t="str">
        <f t="shared" ca="1" si="58"/>
        <v>abra***@jossmail.com</v>
      </c>
      <c r="V963" s="32">
        <f t="shared" si="59"/>
        <v>23</v>
      </c>
      <c r="W963" s="36">
        <f t="shared" si="60"/>
        <v>0.05</v>
      </c>
    </row>
    <row r="964" spans="4:23" ht="27" customHeight="1" x14ac:dyDescent="0.25">
      <c r="D964" s="14" t="s">
        <v>3785</v>
      </c>
      <c r="E964" s="14" t="s">
        <v>3786</v>
      </c>
      <c r="F964" s="84" t="s">
        <v>597</v>
      </c>
      <c r="G964" s="15" t="s">
        <v>27</v>
      </c>
      <c r="H964" s="16" t="s">
        <v>3787</v>
      </c>
      <c r="I964" s="17"/>
      <c r="J964" s="17"/>
      <c r="K964" s="17"/>
      <c r="L964" s="17"/>
      <c r="N964" s="31">
        <v>962</v>
      </c>
      <c r="O964" s="32" t="s">
        <v>3788</v>
      </c>
      <c r="P964" s="33" t="s">
        <v>42</v>
      </c>
      <c r="Q964" s="32" t="s">
        <v>40</v>
      </c>
      <c r="R964" s="69">
        <v>44268.589571759258</v>
      </c>
      <c r="S964" s="71">
        <v>44352</v>
      </c>
      <c r="T964" s="32" t="str">
        <f t="shared" si="57"/>
        <v>+0832 31206***</v>
      </c>
      <c r="U964" s="32" t="str">
        <f t="shared" ca="1" si="58"/>
        <v>indi***@yuhuumail.com</v>
      </c>
      <c r="V964" s="32">
        <f t="shared" si="59"/>
        <v>23</v>
      </c>
      <c r="W964" s="36">
        <f t="shared" si="60"/>
        <v>0.05</v>
      </c>
    </row>
    <row r="965" spans="4:23" ht="27" customHeight="1" x14ac:dyDescent="0.25">
      <c r="D965" s="14" t="s">
        <v>3789</v>
      </c>
      <c r="E965" s="14" t="s">
        <v>1839</v>
      </c>
      <c r="F965" s="84" t="s">
        <v>149</v>
      </c>
      <c r="G965" s="15" t="s">
        <v>27</v>
      </c>
      <c r="H965" s="16" t="s">
        <v>3790</v>
      </c>
      <c r="I965" s="17"/>
      <c r="J965" s="17"/>
      <c r="K965" s="17"/>
      <c r="L965" s="17"/>
      <c r="N965" s="31">
        <v>963</v>
      </c>
      <c r="O965" s="32" t="s">
        <v>3791</v>
      </c>
      <c r="P965" s="33" t="s">
        <v>31</v>
      </c>
      <c r="Q965" s="32" t="s">
        <v>32</v>
      </c>
      <c r="R965" s="69">
        <v>43981.312893518516</v>
      </c>
      <c r="S965" s="71">
        <v>44326</v>
      </c>
      <c r="T965" s="32" t="str">
        <f t="shared" ref="T965:T1028" si="61">"+"&amp;_xlfn.XLOOKUP($O965, $E$2:$E$3002, $H$2:$H$3002, "Not Found")</f>
        <v>+83256524***</v>
      </c>
      <c r="U965" s="32" t="str">
        <f t="shared" ref="U965:U1028" ca="1" si="62" xml:space="preserve"> LOWER(LEFT(_xlfn.XLOOKUP($O965, $E$2:$E$3002, $D$2:$D$3002), 4))
  &amp; "***@"
  &amp; IF(RAND()&gt;0.5, "jossmail.com", "yuhuumail.com")</f>
        <v>andr***@jossmail.com</v>
      </c>
      <c r="V965" s="32">
        <f t="shared" ref="V965:V1028" si="63">DATEDIF(_xlfn.XLOOKUP($O965, $E$2:$E$3002, $F$2:$F$3002), $R965, "Y")</f>
        <v>22</v>
      </c>
      <c r="W965" s="36">
        <f t="shared" ref="W965:W1028" si="64">IF(DATEDIF($R965, $S965, "Y") &gt;= 3, 0.025,
   IF(DATEDIF($R965, $S965, "Y") &gt;= 1, 0.015, 0)) +
 IF($V965 &gt;= 50, 0.04,
   IF($V965 &gt;= 40, 0.03,
     IF($V965 &gt;= 30, 0.02,
       IF($V965 &gt;= 20, 0.05, 0))))</f>
        <v>0.05</v>
      </c>
    </row>
    <row r="966" spans="4:23" ht="27" customHeight="1" x14ac:dyDescent="0.25">
      <c r="D966" s="14" t="s">
        <v>3792</v>
      </c>
      <c r="E966" s="14" t="s">
        <v>3793</v>
      </c>
      <c r="F966" s="84" t="s">
        <v>285</v>
      </c>
      <c r="G966" s="15" t="s">
        <v>27</v>
      </c>
      <c r="H966" s="16" t="s">
        <v>3794</v>
      </c>
      <c r="I966" s="17"/>
      <c r="J966" s="17"/>
      <c r="K966" s="17"/>
      <c r="L966" s="17"/>
      <c r="N966" s="31">
        <v>964</v>
      </c>
      <c r="O966" s="32" t="s">
        <v>3795</v>
      </c>
      <c r="P966" s="33" t="s">
        <v>57</v>
      </c>
      <c r="Q966" s="32" t="s">
        <v>40</v>
      </c>
      <c r="R966" s="69">
        <v>44268.72246527778</v>
      </c>
      <c r="S966" s="71">
        <v>44322</v>
      </c>
      <c r="T966" s="32" t="str">
        <f t="shared" si="61"/>
        <v>+0842 61331***</v>
      </c>
      <c r="U966" s="32" t="str">
        <f t="shared" ca="1" si="62"/>
        <v>grah***@jossmail.com</v>
      </c>
      <c r="V966" s="32">
        <f t="shared" si="63"/>
        <v>23</v>
      </c>
      <c r="W966" s="36">
        <f t="shared" si="64"/>
        <v>0.05</v>
      </c>
    </row>
    <row r="967" spans="4:23" ht="27" customHeight="1" x14ac:dyDescent="0.25">
      <c r="D967" s="14" t="s">
        <v>3796</v>
      </c>
      <c r="E967" s="14" t="s">
        <v>3797</v>
      </c>
      <c r="F967" s="84" t="s">
        <v>233</v>
      </c>
      <c r="G967" s="15" t="s">
        <v>68</v>
      </c>
      <c r="H967" s="16" t="s">
        <v>3798</v>
      </c>
      <c r="I967" s="17"/>
      <c r="J967" s="17"/>
      <c r="K967" s="17"/>
      <c r="L967" s="17"/>
      <c r="N967" s="31">
        <v>965</v>
      </c>
      <c r="O967" s="32" t="s">
        <v>3799</v>
      </c>
      <c r="P967" s="33" t="s">
        <v>42</v>
      </c>
      <c r="Q967" s="32" t="s">
        <v>32</v>
      </c>
      <c r="R967" s="69">
        <v>44268.729571759257</v>
      </c>
      <c r="S967" s="35">
        <v>44320</v>
      </c>
      <c r="T967" s="32" t="str">
        <f t="shared" si="61"/>
        <v>+084237486***</v>
      </c>
      <c r="U967" s="32" t="str">
        <f t="shared" ca="1" si="62"/>
        <v>brod***@jossmail.com</v>
      </c>
      <c r="V967" s="32">
        <f t="shared" si="63"/>
        <v>23</v>
      </c>
      <c r="W967" s="36">
        <f t="shared" si="64"/>
        <v>0.05</v>
      </c>
    </row>
    <row r="968" spans="4:23" ht="27" customHeight="1" x14ac:dyDescent="0.25">
      <c r="D968" s="14" t="s">
        <v>3800</v>
      </c>
      <c r="E968" s="14" t="s">
        <v>3801</v>
      </c>
      <c r="F968" s="84" t="s">
        <v>239</v>
      </c>
      <c r="G968" s="15" t="s">
        <v>27</v>
      </c>
      <c r="H968" s="16" t="s">
        <v>3802</v>
      </c>
      <c r="I968" s="17"/>
      <c r="J968" s="17"/>
      <c r="K968" s="17"/>
      <c r="L968" s="17"/>
      <c r="N968" s="31">
        <v>966</v>
      </c>
      <c r="O968" s="32" t="s">
        <v>3803</v>
      </c>
      <c r="P968" s="33" t="s">
        <v>31</v>
      </c>
      <c r="Q968" s="32" t="s">
        <v>40</v>
      </c>
      <c r="R968" s="69">
        <v>43997.998703703706</v>
      </c>
      <c r="S968" s="35">
        <v>44354</v>
      </c>
      <c r="T968" s="32" t="str">
        <f t="shared" si="61"/>
        <v>+0832 95339***</v>
      </c>
      <c r="U968" s="32" t="str">
        <f t="shared" ca="1" si="62"/>
        <v>kamr***@yuhuumail.com</v>
      </c>
      <c r="V968" s="32">
        <f t="shared" si="63"/>
        <v>22</v>
      </c>
      <c r="W968" s="36">
        <f t="shared" si="64"/>
        <v>0.05</v>
      </c>
    </row>
    <row r="969" spans="4:23" ht="27" customHeight="1" x14ac:dyDescent="0.25">
      <c r="D969" s="14" t="s">
        <v>3804</v>
      </c>
      <c r="E969" s="14" t="s">
        <v>3805</v>
      </c>
      <c r="F969" s="84" t="s">
        <v>302</v>
      </c>
      <c r="G969" s="15" t="s">
        <v>27</v>
      </c>
      <c r="H969" s="16" t="s">
        <v>3806</v>
      </c>
      <c r="I969" s="17"/>
      <c r="J969" s="17"/>
      <c r="K969" s="17"/>
      <c r="L969" s="17"/>
      <c r="N969" s="31">
        <v>967</v>
      </c>
      <c r="O969" s="32" t="s">
        <v>3807</v>
      </c>
      <c r="P969" s="33" t="s">
        <v>57</v>
      </c>
      <c r="Q969" s="32" t="s">
        <v>32</v>
      </c>
      <c r="R969" s="69">
        <v>44268.789317129631</v>
      </c>
      <c r="S969" s="35">
        <v>44361</v>
      </c>
      <c r="T969" s="32" t="str">
        <f t="shared" si="61"/>
        <v>+85264808***</v>
      </c>
      <c r="U969" s="32" t="str">
        <f t="shared" ca="1" si="62"/>
        <v>rile***@jossmail.com</v>
      </c>
      <c r="V969" s="32">
        <f t="shared" si="63"/>
        <v>23</v>
      </c>
      <c r="W969" s="36">
        <f t="shared" si="64"/>
        <v>0.05</v>
      </c>
    </row>
    <row r="970" spans="4:23" ht="27" customHeight="1" x14ac:dyDescent="0.25">
      <c r="D970" s="14" t="s">
        <v>3808</v>
      </c>
      <c r="E970" s="14" t="s">
        <v>3809</v>
      </c>
      <c r="F970" s="84" t="s">
        <v>92</v>
      </c>
      <c r="G970" s="15" t="s">
        <v>27</v>
      </c>
      <c r="H970" s="16" t="s">
        <v>3810</v>
      </c>
      <c r="I970" s="17"/>
      <c r="J970" s="17"/>
      <c r="K970" s="17"/>
      <c r="L970" s="17"/>
      <c r="N970" s="31">
        <v>968</v>
      </c>
      <c r="O970" s="32" t="s">
        <v>3811</v>
      </c>
      <c r="P970" s="33" t="s">
        <v>31</v>
      </c>
      <c r="Q970" s="32" t="s">
        <v>40</v>
      </c>
      <c r="R970" s="69">
        <v>44268.558854166666</v>
      </c>
      <c r="S970" s="35">
        <v>44362</v>
      </c>
      <c r="T970" s="32" t="str">
        <f t="shared" si="61"/>
        <v>+0832 40268***</v>
      </c>
      <c r="U970" s="32" t="str">
        <f t="shared" ca="1" si="62"/>
        <v>abbi***@yuhuumail.com</v>
      </c>
      <c r="V970" s="32">
        <f t="shared" si="63"/>
        <v>23</v>
      </c>
      <c r="W970" s="36">
        <f t="shared" si="64"/>
        <v>0.05</v>
      </c>
    </row>
    <row r="971" spans="4:23" ht="27" customHeight="1" x14ac:dyDescent="0.25">
      <c r="D971" s="14" t="s">
        <v>3812</v>
      </c>
      <c r="E971" s="14" t="s">
        <v>3813</v>
      </c>
      <c r="F971" s="84" t="s">
        <v>381</v>
      </c>
      <c r="G971" s="15" t="s">
        <v>27</v>
      </c>
      <c r="H971" s="16" t="s">
        <v>3814</v>
      </c>
      <c r="I971" s="17"/>
      <c r="J971" s="17"/>
      <c r="K971" s="17"/>
      <c r="L971" s="17"/>
      <c r="N971" s="31">
        <v>969</v>
      </c>
      <c r="O971" s="32" t="s">
        <v>3815</v>
      </c>
      <c r="P971" s="33" t="s">
        <v>57</v>
      </c>
      <c r="Q971" s="32" t="s">
        <v>32</v>
      </c>
      <c r="R971" s="69">
        <v>44268.920578703706</v>
      </c>
      <c r="S971" s="35">
        <v>44356</v>
      </c>
      <c r="T971" s="32" t="str">
        <f t="shared" si="61"/>
        <v>+0842 47340***</v>
      </c>
      <c r="U971" s="32" t="str">
        <f t="shared" ca="1" si="62"/>
        <v>chas***@jossmail.com</v>
      </c>
      <c r="V971" s="32">
        <f t="shared" si="63"/>
        <v>23</v>
      </c>
      <c r="W971" s="36">
        <f t="shared" si="64"/>
        <v>0.05</v>
      </c>
    </row>
    <row r="972" spans="4:23" ht="27" customHeight="1" x14ac:dyDescent="0.25">
      <c r="D972" s="14" t="s">
        <v>3816</v>
      </c>
      <c r="E972" s="14" t="s">
        <v>3817</v>
      </c>
      <c r="F972" s="84" t="s">
        <v>206</v>
      </c>
      <c r="G972" s="15" t="s">
        <v>27</v>
      </c>
      <c r="H972" s="16" t="s">
        <v>3818</v>
      </c>
      <c r="I972" s="17"/>
      <c r="J972" s="17"/>
      <c r="K972" s="17"/>
      <c r="L972" s="17"/>
      <c r="N972" s="31">
        <v>970</v>
      </c>
      <c r="O972" s="32" t="s">
        <v>2612</v>
      </c>
      <c r="P972" s="33" t="s">
        <v>31</v>
      </c>
      <c r="Q972" s="32" t="s">
        <v>40</v>
      </c>
      <c r="R972" s="69">
        <v>44268.930104166669</v>
      </c>
      <c r="S972" s="35">
        <v>44352</v>
      </c>
      <c r="T972" s="32" t="str">
        <f t="shared" si="61"/>
        <v>+852 18259***</v>
      </c>
      <c r="U972" s="32" t="str">
        <f t="shared" ca="1" si="62"/>
        <v>antw***@yuhuumail.com</v>
      </c>
      <c r="V972" s="32">
        <f t="shared" si="63"/>
        <v>23</v>
      </c>
      <c r="W972" s="36">
        <f t="shared" si="64"/>
        <v>0.05</v>
      </c>
    </row>
    <row r="973" spans="4:23" ht="27" customHeight="1" x14ac:dyDescent="0.25">
      <c r="D973" s="14" t="s">
        <v>3819</v>
      </c>
      <c r="E973" s="14" t="s">
        <v>3820</v>
      </c>
      <c r="F973" s="84" t="s">
        <v>386</v>
      </c>
      <c r="G973" s="15" t="s">
        <v>27</v>
      </c>
      <c r="H973" s="16" t="s">
        <v>3821</v>
      </c>
      <c r="I973" s="17"/>
      <c r="J973" s="17"/>
      <c r="K973" s="17"/>
      <c r="L973" s="17"/>
      <c r="N973" s="31">
        <v>971</v>
      </c>
      <c r="O973" s="32" t="s">
        <v>3822</v>
      </c>
      <c r="P973" s="33" t="s">
        <v>31</v>
      </c>
      <c r="Q973" s="32" t="s">
        <v>32</v>
      </c>
      <c r="R973" s="69">
        <v>44268.933935185189</v>
      </c>
      <c r="S973" s="35">
        <v>44320</v>
      </c>
      <c r="T973" s="32" t="str">
        <f t="shared" si="61"/>
        <v>+085268834***</v>
      </c>
      <c r="U973" s="32" t="str">
        <f t="shared" ca="1" si="62"/>
        <v>leon***@yuhuumail.com</v>
      </c>
      <c r="V973" s="32">
        <f t="shared" si="63"/>
        <v>23</v>
      </c>
      <c r="W973" s="36">
        <f t="shared" si="64"/>
        <v>0.05</v>
      </c>
    </row>
    <row r="974" spans="4:23" ht="27" customHeight="1" x14ac:dyDescent="0.25">
      <c r="D974" s="14" t="s">
        <v>3823</v>
      </c>
      <c r="E974" s="14" t="s">
        <v>3824</v>
      </c>
      <c r="F974" s="84" t="s">
        <v>261</v>
      </c>
      <c r="G974" s="15" t="s">
        <v>27</v>
      </c>
      <c r="H974" s="16" t="s">
        <v>3825</v>
      </c>
      <c r="I974" s="17"/>
      <c r="J974" s="17"/>
      <c r="K974" s="17"/>
      <c r="L974" s="17"/>
      <c r="N974" s="31">
        <v>972</v>
      </c>
      <c r="O974" s="32" t="s">
        <v>3377</v>
      </c>
      <c r="P974" s="33" t="s">
        <v>57</v>
      </c>
      <c r="Q974" s="32" t="s">
        <v>40</v>
      </c>
      <c r="R974" s="69">
        <v>44268.931712962964</v>
      </c>
      <c r="S974" s="35">
        <v>44359</v>
      </c>
      <c r="T974" s="32" t="str">
        <f t="shared" si="61"/>
        <v>+0842 89555***</v>
      </c>
      <c r="U974" s="32" t="str">
        <f t="shared" ca="1" si="62"/>
        <v>isra***@yuhuumail.com</v>
      </c>
      <c r="V974" s="32">
        <f t="shared" si="63"/>
        <v>23</v>
      </c>
      <c r="W974" s="36">
        <f t="shared" si="64"/>
        <v>0.05</v>
      </c>
    </row>
    <row r="975" spans="4:23" ht="27" customHeight="1" x14ac:dyDescent="0.25">
      <c r="D975" s="14" t="s">
        <v>3826</v>
      </c>
      <c r="E975" s="14" t="s">
        <v>3827</v>
      </c>
      <c r="F975" s="84" t="s">
        <v>969</v>
      </c>
      <c r="G975" s="15" t="s">
        <v>27</v>
      </c>
      <c r="H975" s="16" t="s">
        <v>3828</v>
      </c>
      <c r="I975" s="17"/>
      <c r="J975" s="17"/>
      <c r="K975" s="17"/>
      <c r="L975" s="17"/>
      <c r="N975" s="31">
        <v>973</v>
      </c>
      <c r="O975" s="32" t="s">
        <v>3829</v>
      </c>
      <c r="P975" s="33" t="s">
        <v>31</v>
      </c>
      <c r="Q975" s="32" t="s">
        <v>32</v>
      </c>
      <c r="R975" s="69">
        <v>44268.882881944446</v>
      </c>
      <c r="S975" s="35">
        <v>44354</v>
      </c>
      <c r="T975" s="32" t="str">
        <f t="shared" si="61"/>
        <v>+812 51280***</v>
      </c>
      <c r="U975" s="32" t="str">
        <f t="shared" ca="1" si="62"/>
        <v>kayl***@yuhuumail.com</v>
      </c>
      <c r="V975" s="32">
        <f t="shared" si="63"/>
        <v>23</v>
      </c>
      <c r="W975" s="36">
        <f t="shared" si="64"/>
        <v>0.05</v>
      </c>
    </row>
    <row r="976" spans="4:23" ht="27" customHeight="1" x14ac:dyDescent="0.25">
      <c r="D976" s="14" t="s">
        <v>3830</v>
      </c>
      <c r="E976" s="14" t="s">
        <v>3831</v>
      </c>
      <c r="F976" s="84" t="s">
        <v>1525</v>
      </c>
      <c r="G976" s="15" t="s">
        <v>27</v>
      </c>
      <c r="H976" s="16" t="s">
        <v>3832</v>
      </c>
      <c r="I976" s="17"/>
      <c r="J976" s="17"/>
      <c r="K976" s="17"/>
      <c r="L976" s="17"/>
      <c r="N976" s="31">
        <v>974</v>
      </c>
      <c r="O976" s="32" t="s">
        <v>793</v>
      </c>
      <c r="P976" s="33" t="s">
        <v>31</v>
      </c>
      <c r="Q976" s="32" t="s">
        <v>40</v>
      </c>
      <c r="R976" s="69">
        <v>44268.996180555558</v>
      </c>
      <c r="S976" s="35">
        <v>44320</v>
      </c>
      <c r="T976" s="32" t="str">
        <f t="shared" si="61"/>
        <v>+082238359***</v>
      </c>
      <c r="U976" s="32" t="str">
        <f t="shared" ca="1" si="62"/>
        <v>kesh***@jossmail.com</v>
      </c>
      <c r="V976" s="32">
        <f t="shared" si="63"/>
        <v>23</v>
      </c>
      <c r="W976" s="36">
        <f t="shared" si="64"/>
        <v>0.05</v>
      </c>
    </row>
    <row r="977" spans="4:23" ht="27" customHeight="1" x14ac:dyDescent="0.25">
      <c r="D977" s="14" t="s">
        <v>3833</v>
      </c>
      <c r="E977" s="14" t="s">
        <v>3834</v>
      </c>
      <c r="F977" s="84" t="s">
        <v>175</v>
      </c>
      <c r="G977" s="15" t="s">
        <v>27</v>
      </c>
      <c r="H977" s="16" t="s">
        <v>3835</v>
      </c>
      <c r="I977" s="17"/>
      <c r="J977" s="17"/>
      <c r="K977" s="17"/>
      <c r="L977" s="17"/>
      <c r="N977" s="31">
        <v>975</v>
      </c>
      <c r="O977" s="32" t="s">
        <v>3743</v>
      </c>
      <c r="P977" s="33" t="s">
        <v>57</v>
      </c>
      <c r="Q977" s="32" t="s">
        <v>32</v>
      </c>
      <c r="R977" s="69">
        <v>44269.032465277778</v>
      </c>
      <c r="S977" s="35">
        <v>44320</v>
      </c>
      <c r="T977" s="32" t="str">
        <f t="shared" si="61"/>
        <v>+812 79820***</v>
      </c>
      <c r="U977" s="32" t="str">
        <f t="shared" ca="1" si="62"/>
        <v>mary***@yuhuumail.com</v>
      </c>
      <c r="V977" s="32">
        <f t="shared" si="63"/>
        <v>23</v>
      </c>
      <c r="W977" s="36">
        <f t="shared" si="64"/>
        <v>0.05</v>
      </c>
    </row>
    <row r="978" spans="4:23" ht="27" customHeight="1" x14ac:dyDescent="0.25">
      <c r="D978" s="14" t="s">
        <v>3836</v>
      </c>
      <c r="E978" s="14" t="s">
        <v>1297</v>
      </c>
      <c r="F978" s="84" t="s">
        <v>359</v>
      </c>
      <c r="G978" s="15" t="s">
        <v>68</v>
      </c>
      <c r="H978" s="16" t="s">
        <v>3837</v>
      </c>
      <c r="I978" s="17"/>
      <c r="J978" s="17"/>
      <c r="K978" s="17"/>
      <c r="L978" s="17"/>
      <c r="N978" s="31">
        <v>976</v>
      </c>
      <c r="O978" s="32" t="s">
        <v>3838</v>
      </c>
      <c r="P978" s="33" t="s">
        <v>31</v>
      </c>
      <c r="Q978" s="32" t="s">
        <v>40</v>
      </c>
      <c r="R978" s="69">
        <v>44269.056192129632</v>
      </c>
      <c r="S978" s="35">
        <v>44320</v>
      </c>
      <c r="T978" s="32" t="str">
        <f t="shared" si="61"/>
        <v>+85254554***</v>
      </c>
      <c r="U978" s="32" t="str">
        <f t="shared" ca="1" si="62"/>
        <v>jama***@jossmail.com</v>
      </c>
      <c r="V978" s="32">
        <f t="shared" si="63"/>
        <v>23</v>
      </c>
      <c r="W978" s="36">
        <f t="shared" si="64"/>
        <v>0.05</v>
      </c>
    </row>
    <row r="979" spans="4:23" ht="27" customHeight="1" x14ac:dyDescent="0.25">
      <c r="D979" s="14" t="s">
        <v>3839</v>
      </c>
      <c r="E979" s="14" t="s">
        <v>3840</v>
      </c>
      <c r="F979" s="84" t="s">
        <v>92</v>
      </c>
      <c r="G979" s="15" t="s">
        <v>27</v>
      </c>
      <c r="H979" s="16" t="s">
        <v>3841</v>
      </c>
      <c r="I979" s="17"/>
      <c r="J979" s="17"/>
      <c r="K979" s="17"/>
      <c r="L979" s="17"/>
      <c r="N979" s="31">
        <v>977</v>
      </c>
      <c r="O979" s="32" t="s">
        <v>3842</v>
      </c>
      <c r="P979" s="33" t="s">
        <v>31</v>
      </c>
      <c r="Q979" s="32" t="s">
        <v>32</v>
      </c>
      <c r="R979" s="69">
        <v>44269.166354166664</v>
      </c>
      <c r="S979" s="35">
        <v>44356</v>
      </c>
      <c r="T979" s="32" t="str">
        <f t="shared" si="61"/>
        <v>+822 57039***</v>
      </c>
      <c r="U979" s="32" t="str">
        <f t="shared" ca="1" si="62"/>
        <v>rory***@yuhuumail.com</v>
      </c>
      <c r="V979" s="32">
        <f t="shared" si="63"/>
        <v>23</v>
      </c>
      <c r="W979" s="36">
        <f t="shared" si="64"/>
        <v>0.05</v>
      </c>
    </row>
    <row r="980" spans="4:23" ht="27" customHeight="1" x14ac:dyDescent="0.25">
      <c r="D980" s="14" t="s">
        <v>3843</v>
      </c>
      <c r="E980" s="14" t="s">
        <v>3844</v>
      </c>
      <c r="F980" s="84" t="s">
        <v>909</v>
      </c>
      <c r="G980" s="15" t="s">
        <v>27</v>
      </c>
      <c r="H980" s="16" t="s">
        <v>3845</v>
      </c>
      <c r="I980" s="17"/>
      <c r="J980" s="17"/>
      <c r="K980" s="17"/>
      <c r="L980" s="17"/>
      <c r="N980" s="31">
        <v>978</v>
      </c>
      <c r="O980" s="32" t="s">
        <v>3846</v>
      </c>
      <c r="P980" s="33" t="s">
        <v>42</v>
      </c>
      <c r="Q980" s="32" t="s">
        <v>40</v>
      </c>
      <c r="R980" s="69">
        <v>43949.326226851852</v>
      </c>
      <c r="S980" s="35">
        <v>44362</v>
      </c>
      <c r="T980" s="32" t="str">
        <f t="shared" si="61"/>
        <v>+0842-48010***</v>
      </c>
      <c r="U980" s="32" t="str">
        <f t="shared" ca="1" si="62"/>
        <v>cars***@jossmail.com</v>
      </c>
      <c r="V980" s="32">
        <f t="shared" si="63"/>
        <v>22</v>
      </c>
      <c r="W980" s="36">
        <f t="shared" si="64"/>
        <v>6.5000000000000002E-2</v>
      </c>
    </row>
    <row r="981" spans="4:23" ht="27" customHeight="1" x14ac:dyDescent="0.25">
      <c r="D981" s="14" t="s">
        <v>3847</v>
      </c>
      <c r="E981" s="14" t="s">
        <v>1527</v>
      </c>
      <c r="F981" s="84" t="s">
        <v>256</v>
      </c>
      <c r="G981" s="15" t="s">
        <v>27</v>
      </c>
      <c r="H981" s="16" t="s">
        <v>3848</v>
      </c>
      <c r="I981" s="17"/>
      <c r="J981" s="17"/>
      <c r="K981" s="17"/>
      <c r="L981" s="17"/>
      <c r="N981" s="31">
        <v>979</v>
      </c>
      <c r="O981" s="32" t="s">
        <v>3849</v>
      </c>
      <c r="P981" s="33" t="s">
        <v>31</v>
      </c>
      <c r="Q981" s="32" t="s">
        <v>32</v>
      </c>
      <c r="R981" s="69">
        <v>42967.864421296297</v>
      </c>
      <c r="S981" s="71">
        <v>44352</v>
      </c>
      <c r="T981" s="32" t="str">
        <f t="shared" si="61"/>
        <v>+0812 28855***</v>
      </c>
      <c r="U981" s="32" t="str">
        <f t="shared" ca="1" si="62"/>
        <v>bran***@yuhuumail.com</v>
      </c>
      <c r="V981" s="32">
        <f t="shared" si="63"/>
        <v>19</v>
      </c>
      <c r="W981" s="36">
        <f t="shared" si="64"/>
        <v>2.5000000000000001E-2</v>
      </c>
    </row>
    <row r="982" spans="4:23" ht="27" customHeight="1" x14ac:dyDescent="0.25">
      <c r="D982" s="14" t="s">
        <v>3850</v>
      </c>
      <c r="E982" s="14" t="s">
        <v>3851</v>
      </c>
      <c r="F982" s="84" t="s">
        <v>2744</v>
      </c>
      <c r="G982" s="15" t="s">
        <v>68</v>
      </c>
      <c r="H982" s="16" t="s">
        <v>3852</v>
      </c>
      <c r="I982" s="17"/>
      <c r="J982" s="17"/>
      <c r="K982" s="17"/>
      <c r="L982" s="17"/>
      <c r="N982" s="31">
        <v>980</v>
      </c>
      <c r="O982" s="32" t="s">
        <v>376</v>
      </c>
      <c r="P982" s="33" t="s">
        <v>57</v>
      </c>
      <c r="Q982" s="32" t="s">
        <v>40</v>
      </c>
      <c r="R982" s="69">
        <v>44265.979560185187</v>
      </c>
      <c r="S982" s="71">
        <v>44362</v>
      </c>
      <c r="T982" s="32" t="str">
        <f t="shared" si="61"/>
        <v>+6282298266***</v>
      </c>
      <c r="U982" s="32" t="str">
        <f t="shared" ca="1" si="62"/>
        <v>niko***@yuhuumail.com</v>
      </c>
      <c r="V982" s="32">
        <f t="shared" si="63"/>
        <v>23</v>
      </c>
      <c r="W982" s="36">
        <f t="shared" si="64"/>
        <v>0.05</v>
      </c>
    </row>
    <row r="983" spans="4:23" ht="27" customHeight="1" x14ac:dyDescent="0.25">
      <c r="D983" s="14" t="s">
        <v>3853</v>
      </c>
      <c r="E983" s="14" t="s">
        <v>3854</v>
      </c>
      <c r="F983" s="84" t="s">
        <v>194</v>
      </c>
      <c r="G983" s="15" t="s">
        <v>27</v>
      </c>
      <c r="H983" s="16" t="s">
        <v>3855</v>
      </c>
      <c r="I983" s="17"/>
      <c r="J983" s="17"/>
      <c r="K983" s="17"/>
      <c r="L983" s="17"/>
      <c r="N983" s="31">
        <v>981</v>
      </c>
      <c r="O983" s="32" t="s">
        <v>3856</v>
      </c>
      <c r="P983" s="33" t="s">
        <v>42</v>
      </c>
      <c r="Q983" s="32" t="s">
        <v>32</v>
      </c>
      <c r="R983" s="69">
        <v>44269.348252314812</v>
      </c>
      <c r="S983" s="71">
        <v>44362</v>
      </c>
      <c r="T983" s="32" t="str">
        <f t="shared" si="61"/>
        <v>+84255349***</v>
      </c>
      <c r="U983" s="32" t="str">
        <f t="shared" ca="1" si="62"/>
        <v>adel***@yuhuumail.com</v>
      </c>
      <c r="V983" s="32">
        <f t="shared" si="63"/>
        <v>23</v>
      </c>
      <c r="W983" s="36">
        <f t="shared" si="64"/>
        <v>0.05</v>
      </c>
    </row>
    <row r="984" spans="4:23" ht="27" customHeight="1" x14ac:dyDescent="0.25">
      <c r="D984" s="14" t="s">
        <v>3857</v>
      </c>
      <c r="E984" s="14" t="s">
        <v>3858</v>
      </c>
      <c r="F984" s="84" t="s">
        <v>266</v>
      </c>
      <c r="G984" s="15" t="s">
        <v>27</v>
      </c>
      <c r="H984" s="16" t="s">
        <v>3859</v>
      </c>
      <c r="I984" s="17"/>
      <c r="J984" s="17"/>
      <c r="K984" s="17"/>
      <c r="L984" s="17"/>
      <c r="N984" s="31">
        <v>982</v>
      </c>
      <c r="O984" s="32" t="s">
        <v>2958</v>
      </c>
      <c r="P984" s="33" t="s">
        <v>42</v>
      </c>
      <c r="Q984" s="32" t="s">
        <v>40</v>
      </c>
      <c r="R984" s="69">
        <v>44269.475185185183</v>
      </c>
      <c r="S984" s="71">
        <v>44318</v>
      </c>
      <c r="T984" s="32" t="str">
        <f t="shared" si="61"/>
        <v>+0822-26389***</v>
      </c>
      <c r="U984" s="32" t="str">
        <f t="shared" ca="1" si="62"/>
        <v>yair***@jossmail.com</v>
      </c>
      <c r="V984" s="32">
        <f t="shared" si="63"/>
        <v>23</v>
      </c>
      <c r="W984" s="36">
        <f t="shared" si="64"/>
        <v>0.05</v>
      </c>
    </row>
    <row r="985" spans="4:23" ht="27" customHeight="1" x14ac:dyDescent="0.25">
      <c r="D985" s="14" t="s">
        <v>3860</v>
      </c>
      <c r="E985" s="14" t="s">
        <v>2854</v>
      </c>
      <c r="F985" s="84" t="s">
        <v>422</v>
      </c>
      <c r="G985" s="15" t="s">
        <v>27</v>
      </c>
      <c r="H985" s="16" t="s">
        <v>3861</v>
      </c>
      <c r="I985" s="17"/>
      <c r="J985" s="17"/>
      <c r="K985" s="17"/>
      <c r="L985" s="17"/>
      <c r="N985" s="31">
        <v>983</v>
      </c>
      <c r="O985" s="32" t="s">
        <v>3862</v>
      </c>
      <c r="P985" s="33" t="s">
        <v>57</v>
      </c>
      <c r="Q985" s="32" t="s">
        <v>32</v>
      </c>
      <c r="R985" s="69">
        <v>44269.014363425929</v>
      </c>
      <c r="S985" s="71">
        <v>44352</v>
      </c>
      <c r="T985" s="32" t="str">
        <f t="shared" si="61"/>
        <v>+0852-55651***</v>
      </c>
      <c r="U985" s="32" t="str">
        <f t="shared" ca="1" si="62"/>
        <v>terr***@jossmail.com</v>
      </c>
      <c r="V985" s="32">
        <f t="shared" si="63"/>
        <v>23</v>
      </c>
      <c r="W985" s="36">
        <f t="shared" si="64"/>
        <v>0.05</v>
      </c>
    </row>
    <row r="986" spans="4:23" ht="27" customHeight="1" x14ac:dyDescent="0.25">
      <c r="D986" s="14" t="s">
        <v>3863</v>
      </c>
      <c r="E986" s="14" t="s">
        <v>3770</v>
      </c>
      <c r="F986" s="84" t="s">
        <v>471</v>
      </c>
      <c r="G986" s="15" t="s">
        <v>27</v>
      </c>
      <c r="H986" s="16" t="s">
        <v>3864</v>
      </c>
      <c r="I986" s="17"/>
      <c r="J986" s="17"/>
      <c r="K986" s="17"/>
      <c r="L986" s="17"/>
      <c r="N986" s="31">
        <v>984</v>
      </c>
      <c r="O986" s="32" t="s">
        <v>2174</v>
      </c>
      <c r="P986" s="33" t="s">
        <v>42</v>
      </c>
      <c r="Q986" s="32" t="s">
        <v>40</v>
      </c>
      <c r="R986" s="69">
        <v>44269.557013888887</v>
      </c>
      <c r="S986" s="71">
        <v>44359</v>
      </c>
      <c r="T986" s="32" t="str">
        <f t="shared" si="61"/>
        <v>+82283282***</v>
      </c>
      <c r="U986" s="32" t="str">
        <f t="shared" ca="1" si="62"/>
        <v>make***@yuhuumail.com</v>
      </c>
      <c r="V986" s="32">
        <f t="shared" si="63"/>
        <v>23</v>
      </c>
      <c r="W986" s="36">
        <f t="shared" si="64"/>
        <v>0.05</v>
      </c>
    </row>
    <row r="987" spans="4:23" ht="27" customHeight="1" x14ac:dyDescent="0.25">
      <c r="D987" s="14" t="s">
        <v>3865</v>
      </c>
      <c r="E987" s="14" t="s">
        <v>3781</v>
      </c>
      <c r="F987" s="84" t="s">
        <v>471</v>
      </c>
      <c r="G987" s="15" t="s">
        <v>68</v>
      </c>
      <c r="H987" s="16" t="s">
        <v>3866</v>
      </c>
      <c r="I987" s="17"/>
      <c r="J987" s="17"/>
      <c r="K987" s="17"/>
      <c r="L987" s="17"/>
      <c r="N987" s="31">
        <v>985</v>
      </c>
      <c r="O987" s="32" t="s">
        <v>3867</v>
      </c>
      <c r="P987" s="33" t="s">
        <v>31</v>
      </c>
      <c r="Q987" s="32" t="s">
        <v>32</v>
      </c>
      <c r="R987" s="69">
        <v>44266.721805555557</v>
      </c>
      <c r="S987" s="71">
        <v>44359</v>
      </c>
      <c r="T987" s="32" t="str">
        <f t="shared" si="61"/>
        <v>+832 88644***</v>
      </c>
      <c r="U987" s="32" t="str">
        <f t="shared" ca="1" si="62"/>
        <v>alex***@yuhuumail.com</v>
      </c>
      <c r="V987" s="32">
        <f t="shared" si="63"/>
        <v>23</v>
      </c>
      <c r="W987" s="36">
        <f t="shared" si="64"/>
        <v>0.05</v>
      </c>
    </row>
    <row r="988" spans="4:23" ht="27" customHeight="1" x14ac:dyDescent="0.25">
      <c r="D988" s="14" t="s">
        <v>3868</v>
      </c>
      <c r="E988" s="14" t="s">
        <v>323</v>
      </c>
      <c r="F988" s="84" t="s">
        <v>3869</v>
      </c>
      <c r="G988" s="15" t="s">
        <v>27</v>
      </c>
      <c r="H988" s="16" t="s">
        <v>3870</v>
      </c>
      <c r="I988" s="17"/>
      <c r="J988" s="17"/>
      <c r="K988" s="17"/>
      <c r="L988" s="17"/>
      <c r="N988" s="31">
        <v>986</v>
      </c>
      <c r="O988" s="32" t="s">
        <v>3871</v>
      </c>
      <c r="P988" s="33" t="s">
        <v>42</v>
      </c>
      <c r="Q988" s="32" t="s">
        <v>40</v>
      </c>
      <c r="R988" s="69">
        <v>44269.570960648147</v>
      </c>
      <c r="S988" s="71">
        <v>44320</v>
      </c>
      <c r="T988" s="32" t="str">
        <f t="shared" si="61"/>
        <v>+081251671***</v>
      </c>
      <c r="U988" s="32" t="str">
        <f t="shared" ca="1" si="62"/>
        <v>mich***@yuhuumail.com</v>
      </c>
      <c r="V988" s="32">
        <f t="shared" si="63"/>
        <v>23</v>
      </c>
      <c r="W988" s="36">
        <f t="shared" si="64"/>
        <v>0.05</v>
      </c>
    </row>
    <row r="989" spans="4:23" ht="27" customHeight="1" x14ac:dyDescent="0.25">
      <c r="D989" s="14" t="s">
        <v>3872</v>
      </c>
      <c r="E989" s="14" t="s">
        <v>2212</v>
      </c>
      <c r="F989" s="84" t="s">
        <v>466</v>
      </c>
      <c r="G989" s="15" t="s">
        <v>27</v>
      </c>
      <c r="H989" s="16" t="s">
        <v>3873</v>
      </c>
      <c r="I989" s="17"/>
      <c r="J989" s="17"/>
      <c r="K989" s="17"/>
      <c r="L989" s="17"/>
      <c r="N989" s="31">
        <v>987</v>
      </c>
      <c r="O989" s="32" t="s">
        <v>2104</v>
      </c>
      <c r="P989" s="33" t="s">
        <v>31</v>
      </c>
      <c r="Q989" s="32" t="s">
        <v>32</v>
      </c>
      <c r="R989" s="69">
        <v>43986.417048611111</v>
      </c>
      <c r="S989" s="71">
        <v>44322</v>
      </c>
      <c r="T989" s="32" t="str">
        <f t="shared" si="61"/>
        <v>+6284251267***</v>
      </c>
      <c r="U989" s="32" t="str">
        <f t="shared" ca="1" si="62"/>
        <v>lari***@yuhuumail.com</v>
      </c>
      <c r="V989" s="32">
        <f t="shared" si="63"/>
        <v>22</v>
      </c>
      <c r="W989" s="36">
        <f t="shared" si="64"/>
        <v>0.05</v>
      </c>
    </row>
    <row r="990" spans="4:23" ht="27" customHeight="1" x14ac:dyDescent="0.25">
      <c r="D990" s="14" t="s">
        <v>3874</v>
      </c>
      <c r="E990" s="14" t="s">
        <v>3875</v>
      </c>
      <c r="F990" s="84" t="s">
        <v>524</v>
      </c>
      <c r="G990" s="15" t="s">
        <v>27</v>
      </c>
      <c r="H990" s="16" t="s">
        <v>3876</v>
      </c>
      <c r="I990" s="17"/>
      <c r="J990" s="17"/>
      <c r="K990" s="17"/>
      <c r="L990" s="17"/>
      <c r="N990" s="31">
        <v>988</v>
      </c>
      <c r="O990" s="32" t="s">
        <v>3877</v>
      </c>
      <c r="P990" s="33" t="s">
        <v>42</v>
      </c>
      <c r="Q990" s="32" t="s">
        <v>40</v>
      </c>
      <c r="R990" s="69">
        <v>44269.603865740741</v>
      </c>
      <c r="S990" s="71">
        <v>44356</v>
      </c>
      <c r="T990" s="32" t="str">
        <f t="shared" si="61"/>
        <v>+6284267514***</v>
      </c>
      <c r="U990" s="32" t="str">
        <f t="shared" ca="1" si="62"/>
        <v>brit***@jossmail.com</v>
      </c>
      <c r="V990" s="32">
        <f t="shared" si="63"/>
        <v>23</v>
      </c>
      <c r="W990" s="36">
        <f t="shared" si="64"/>
        <v>0.05</v>
      </c>
    </row>
    <row r="991" spans="4:23" ht="27" customHeight="1" x14ac:dyDescent="0.25">
      <c r="D991" s="14" t="s">
        <v>3878</v>
      </c>
      <c r="E991" s="14" t="s">
        <v>3879</v>
      </c>
      <c r="F991" s="84" t="s">
        <v>321</v>
      </c>
      <c r="G991" s="15" t="s">
        <v>27</v>
      </c>
      <c r="H991" s="16" t="s">
        <v>3880</v>
      </c>
      <c r="I991" s="17"/>
      <c r="J991" s="17"/>
      <c r="K991" s="17"/>
      <c r="L991" s="17"/>
      <c r="N991" s="31">
        <v>989</v>
      </c>
      <c r="O991" s="32" t="s">
        <v>1547</v>
      </c>
      <c r="P991" s="33" t="s">
        <v>42</v>
      </c>
      <c r="Q991" s="32" t="s">
        <v>32</v>
      </c>
      <c r="R991" s="69">
        <v>44268.802187499998</v>
      </c>
      <c r="S991" s="71">
        <v>44354</v>
      </c>
      <c r="T991" s="32" t="str">
        <f t="shared" si="61"/>
        <v>+0822 36497***</v>
      </c>
      <c r="U991" s="32" t="str">
        <f t="shared" ca="1" si="62"/>
        <v>quen***@jossmail.com</v>
      </c>
      <c r="V991" s="32">
        <f t="shared" si="63"/>
        <v>23</v>
      </c>
      <c r="W991" s="36">
        <f t="shared" si="64"/>
        <v>0.05</v>
      </c>
    </row>
    <row r="992" spans="4:23" ht="27" customHeight="1" x14ac:dyDescent="0.25">
      <c r="D992" s="14" t="s">
        <v>3881</v>
      </c>
      <c r="E992" s="14" t="s">
        <v>3882</v>
      </c>
      <c r="F992" s="84" t="s">
        <v>302</v>
      </c>
      <c r="G992" s="15" t="s">
        <v>27</v>
      </c>
      <c r="H992" s="16" t="s">
        <v>3883</v>
      </c>
      <c r="I992" s="17"/>
      <c r="J992" s="17"/>
      <c r="K992" s="17"/>
      <c r="L992" s="17"/>
      <c r="N992" s="31">
        <v>990</v>
      </c>
      <c r="O992" s="32" t="s">
        <v>3884</v>
      </c>
      <c r="P992" s="33" t="s">
        <v>42</v>
      </c>
      <c r="Q992" s="32" t="s">
        <v>40</v>
      </c>
      <c r="R992" s="69">
        <v>44269.64502314815</v>
      </c>
      <c r="S992" s="71">
        <v>44352</v>
      </c>
      <c r="T992" s="32" t="str">
        <f t="shared" si="61"/>
        <v>+0842-80245***</v>
      </c>
      <c r="U992" s="32" t="str">
        <f t="shared" ca="1" si="62"/>
        <v>nata***@yuhuumail.com</v>
      </c>
      <c r="V992" s="32">
        <f t="shared" si="63"/>
        <v>23</v>
      </c>
      <c r="W992" s="36">
        <f t="shared" si="64"/>
        <v>0.05</v>
      </c>
    </row>
    <row r="993" spans="4:23" ht="27" customHeight="1" x14ac:dyDescent="0.25">
      <c r="D993" s="14" t="s">
        <v>3885</v>
      </c>
      <c r="E993" s="14" t="s">
        <v>3886</v>
      </c>
      <c r="F993" s="84" t="s">
        <v>1535</v>
      </c>
      <c r="G993" s="15" t="s">
        <v>27</v>
      </c>
      <c r="H993" s="16" t="s">
        <v>3887</v>
      </c>
      <c r="I993" s="17"/>
      <c r="J993" s="17"/>
      <c r="K993" s="17"/>
      <c r="L993" s="17"/>
      <c r="N993" s="31">
        <v>991</v>
      </c>
      <c r="O993" s="32" t="s">
        <v>3888</v>
      </c>
      <c r="P993" s="33" t="s">
        <v>31</v>
      </c>
      <c r="Q993" s="32" t="s">
        <v>32</v>
      </c>
      <c r="R993" s="69">
        <v>44269.71534722222</v>
      </c>
      <c r="S993" s="71">
        <v>44362</v>
      </c>
      <c r="T993" s="32" t="str">
        <f t="shared" si="61"/>
        <v>+0852-20778***</v>
      </c>
      <c r="U993" s="32" t="str">
        <f t="shared" ca="1" si="62"/>
        <v>luci***@jossmail.com</v>
      </c>
      <c r="V993" s="32">
        <f t="shared" si="63"/>
        <v>23</v>
      </c>
      <c r="W993" s="36">
        <f t="shared" si="64"/>
        <v>0.05</v>
      </c>
    </row>
    <row r="994" spans="4:23" ht="27" customHeight="1" x14ac:dyDescent="0.25">
      <c r="D994" s="14" t="s">
        <v>3889</v>
      </c>
      <c r="E994" s="14" t="s">
        <v>3890</v>
      </c>
      <c r="F994" s="84" t="s">
        <v>3891</v>
      </c>
      <c r="G994" s="15" t="s">
        <v>68</v>
      </c>
      <c r="H994" s="16" t="s">
        <v>3892</v>
      </c>
      <c r="I994" s="17"/>
      <c r="J994" s="17"/>
      <c r="K994" s="17"/>
      <c r="L994" s="17"/>
      <c r="N994" s="31">
        <v>992</v>
      </c>
      <c r="O994" s="32" t="s">
        <v>1724</v>
      </c>
      <c r="P994" s="33" t="s">
        <v>31</v>
      </c>
      <c r="Q994" s="32" t="s">
        <v>40</v>
      </c>
      <c r="R994" s="69">
        <v>44259.576215277775</v>
      </c>
      <c r="S994" s="71">
        <v>44354</v>
      </c>
      <c r="T994" s="32" t="str">
        <f t="shared" si="61"/>
        <v>+6282248673***</v>
      </c>
      <c r="U994" s="32" t="str">
        <f t="shared" ca="1" si="62"/>
        <v>lili***@jossmail.com</v>
      </c>
      <c r="V994" s="32">
        <f t="shared" si="63"/>
        <v>23</v>
      </c>
      <c r="W994" s="36">
        <f t="shared" si="64"/>
        <v>0.05</v>
      </c>
    </row>
    <row r="995" spans="4:23" ht="27" customHeight="1" x14ac:dyDescent="0.25">
      <c r="D995" s="14" t="s">
        <v>3893</v>
      </c>
      <c r="E995" s="14" t="s">
        <v>3894</v>
      </c>
      <c r="F995" s="84" t="s">
        <v>781</v>
      </c>
      <c r="G995" s="15" t="s">
        <v>68</v>
      </c>
      <c r="H995" s="16" t="s">
        <v>3895</v>
      </c>
      <c r="I995" s="17"/>
      <c r="J995" s="17"/>
      <c r="K995" s="17"/>
      <c r="L995" s="17"/>
      <c r="N995" s="31">
        <v>993</v>
      </c>
      <c r="O995" s="32" t="s">
        <v>3896</v>
      </c>
      <c r="P995" s="33" t="s">
        <v>31</v>
      </c>
      <c r="Q995" s="32" t="s">
        <v>32</v>
      </c>
      <c r="R995" s="69">
        <v>44269.839282407411</v>
      </c>
      <c r="S995" s="71">
        <v>44352</v>
      </c>
      <c r="T995" s="32" t="str">
        <f t="shared" si="61"/>
        <v>+85283036***</v>
      </c>
      <c r="U995" s="32" t="str">
        <f t="shared" ca="1" si="62"/>
        <v>lill***@jossmail.com</v>
      </c>
      <c r="V995" s="32">
        <f t="shared" si="63"/>
        <v>23</v>
      </c>
      <c r="W995" s="36">
        <f t="shared" si="64"/>
        <v>0.05</v>
      </c>
    </row>
    <row r="996" spans="4:23" ht="27" customHeight="1" x14ac:dyDescent="0.25">
      <c r="D996" s="14" t="s">
        <v>3897</v>
      </c>
      <c r="E996" s="14" t="s">
        <v>3898</v>
      </c>
      <c r="F996" s="84" t="s">
        <v>969</v>
      </c>
      <c r="G996" s="15" t="s">
        <v>27</v>
      </c>
      <c r="H996" s="16" t="s">
        <v>3899</v>
      </c>
      <c r="I996" s="17"/>
      <c r="J996" s="17"/>
      <c r="K996" s="17"/>
      <c r="L996" s="17"/>
      <c r="N996" s="31">
        <v>994</v>
      </c>
      <c r="O996" s="32" t="s">
        <v>3900</v>
      </c>
      <c r="P996" s="33" t="s">
        <v>31</v>
      </c>
      <c r="Q996" s="32" t="s">
        <v>40</v>
      </c>
      <c r="R996" s="69">
        <v>44267.942060185182</v>
      </c>
      <c r="S996" s="71">
        <v>44354</v>
      </c>
      <c r="T996" s="32" t="str">
        <f t="shared" si="61"/>
        <v>+84296276***</v>
      </c>
      <c r="U996" s="32" t="str">
        <f t="shared" ca="1" si="62"/>
        <v>kamr***@jossmail.com</v>
      </c>
      <c r="V996" s="32">
        <f t="shared" si="63"/>
        <v>23</v>
      </c>
      <c r="W996" s="36">
        <f t="shared" si="64"/>
        <v>0.05</v>
      </c>
    </row>
    <row r="997" spans="4:23" ht="27" customHeight="1" x14ac:dyDescent="0.25">
      <c r="D997" s="14" t="s">
        <v>3901</v>
      </c>
      <c r="E997" s="14" t="s">
        <v>3902</v>
      </c>
      <c r="F997" s="84" t="s">
        <v>508</v>
      </c>
      <c r="G997" s="15" t="s">
        <v>27</v>
      </c>
      <c r="H997" s="16" t="s">
        <v>3903</v>
      </c>
      <c r="I997" s="17"/>
      <c r="J997" s="17"/>
      <c r="K997" s="17"/>
      <c r="L997" s="17"/>
      <c r="N997" s="31">
        <v>995</v>
      </c>
      <c r="O997" s="32" t="s">
        <v>3904</v>
      </c>
      <c r="P997" s="33" t="s">
        <v>57</v>
      </c>
      <c r="Q997" s="32" t="s">
        <v>32</v>
      </c>
      <c r="R997" s="69">
        <v>44269.873865740738</v>
      </c>
      <c r="S997" s="71">
        <v>44352</v>
      </c>
      <c r="T997" s="32" t="str">
        <f t="shared" si="61"/>
        <v>+82268319***</v>
      </c>
      <c r="U997" s="32" t="str">
        <f t="shared" ca="1" si="62"/>
        <v>jett***@jossmail.com</v>
      </c>
      <c r="V997" s="32">
        <f t="shared" si="63"/>
        <v>23</v>
      </c>
      <c r="W997" s="36">
        <f t="shared" si="64"/>
        <v>0.05</v>
      </c>
    </row>
    <row r="998" spans="4:23" ht="27" customHeight="1" x14ac:dyDescent="0.25">
      <c r="D998" s="14" t="s">
        <v>3905</v>
      </c>
      <c r="E998" s="14" t="s">
        <v>3906</v>
      </c>
      <c r="F998" s="84" t="s">
        <v>402</v>
      </c>
      <c r="G998" s="15" t="s">
        <v>27</v>
      </c>
      <c r="H998" s="16" t="s">
        <v>3907</v>
      </c>
      <c r="I998" s="17"/>
      <c r="J998" s="17"/>
      <c r="K998" s="17"/>
      <c r="L998" s="17"/>
      <c r="N998" s="31">
        <v>996</v>
      </c>
      <c r="O998" s="32" t="s">
        <v>223</v>
      </c>
      <c r="P998" s="33" t="s">
        <v>42</v>
      </c>
      <c r="Q998" s="32" t="s">
        <v>40</v>
      </c>
      <c r="R998" s="69">
        <v>43907.231388888889</v>
      </c>
      <c r="S998" s="71">
        <v>44322</v>
      </c>
      <c r="T998" s="32" t="str">
        <f t="shared" si="61"/>
        <v>+81296068***</v>
      </c>
      <c r="U998" s="32" t="str">
        <f t="shared" ca="1" si="62"/>
        <v>devo***@yuhuumail.com</v>
      </c>
      <c r="V998" s="32">
        <f t="shared" si="63"/>
        <v>22</v>
      </c>
      <c r="W998" s="36">
        <f t="shared" si="64"/>
        <v>6.5000000000000002E-2</v>
      </c>
    </row>
    <row r="999" spans="4:23" ht="27" customHeight="1" x14ac:dyDescent="0.25">
      <c r="D999" s="14" t="s">
        <v>3908</v>
      </c>
      <c r="E999" s="14" t="s">
        <v>3909</v>
      </c>
      <c r="F999" s="84" t="s">
        <v>1535</v>
      </c>
      <c r="G999" s="15" t="s">
        <v>27</v>
      </c>
      <c r="H999" s="16" t="s">
        <v>3910</v>
      </c>
      <c r="I999" s="17"/>
      <c r="J999" s="17"/>
      <c r="K999" s="17"/>
      <c r="L999" s="17"/>
      <c r="N999" s="31">
        <v>997</v>
      </c>
      <c r="O999" s="32" t="s">
        <v>3911</v>
      </c>
      <c r="P999" s="33" t="s">
        <v>42</v>
      </c>
      <c r="Q999" s="32" t="s">
        <v>32</v>
      </c>
      <c r="R999" s="69">
        <v>44089.840150462966</v>
      </c>
      <c r="S999" s="71">
        <v>44323</v>
      </c>
      <c r="T999" s="32" t="str">
        <f t="shared" si="61"/>
        <v>+6283261166***</v>
      </c>
      <c r="U999" s="32" t="str">
        <f t="shared" ca="1" si="62"/>
        <v>marq***@yuhuumail.com</v>
      </c>
      <c r="V999" s="32">
        <f t="shared" si="63"/>
        <v>22</v>
      </c>
      <c r="W999" s="36">
        <f t="shared" si="64"/>
        <v>0.05</v>
      </c>
    </row>
    <row r="1000" spans="4:23" ht="27" customHeight="1" x14ac:dyDescent="0.25">
      <c r="D1000" s="14" t="s">
        <v>3912</v>
      </c>
      <c r="E1000" s="14" t="s">
        <v>3913</v>
      </c>
      <c r="F1000" s="84" t="s">
        <v>332</v>
      </c>
      <c r="G1000" s="15" t="s">
        <v>27</v>
      </c>
      <c r="H1000" s="16" t="s">
        <v>3914</v>
      </c>
      <c r="I1000" s="17"/>
      <c r="J1000" s="17"/>
      <c r="K1000" s="17"/>
      <c r="L1000" s="17"/>
      <c r="N1000" s="31">
        <v>998</v>
      </c>
      <c r="O1000" s="32" t="s">
        <v>3915</v>
      </c>
      <c r="P1000" s="33" t="s">
        <v>31</v>
      </c>
      <c r="Q1000" s="32" t="s">
        <v>40</v>
      </c>
      <c r="R1000" s="69">
        <v>44269.895775462966</v>
      </c>
      <c r="S1000" s="71">
        <v>44354</v>
      </c>
      <c r="T1000" s="32" t="str">
        <f t="shared" si="61"/>
        <v>+81266652***</v>
      </c>
      <c r="U1000" s="32" t="str">
        <f t="shared" ca="1" si="62"/>
        <v>amel***@jossmail.com</v>
      </c>
      <c r="V1000" s="32">
        <f t="shared" si="63"/>
        <v>23</v>
      </c>
      <c r="W1000" s="36">
        <f t="shared" si="64"/>
        <v>0.05</v>
      </c>
    </row>
    <row r="1001" spans="4:23" ht="27" customHeight="1" x14ac:dyDescent="0.25">
      <c r="D1001" s="14" t="s">
        <v>3916</v>
      </c>
      <c r="E1001" s="14" t="s">
        <v>1941</v>
      </c>
      <c r="F1001" s="84" t="s">
        <v>143</v>
      </c>
      <c r="G1001" s="15" t="s">
        <v>27</v>
      </c>
      <c r="H1001" s="16" t="s">
        <v>3917</v>
      </c>
      <c r="I1001" s="17"/>
      <c r="J1001" s="17"/>
      <c r="K1001" s="17"/>
      <c r="L1001" s="17"/>
      <c r="N1001" s="31">
        <v>999</v>
      </c>
      <c r="O1001" s="32" t="s">
        <v>3342</v>
      </c>
      <c r="P1001" s="33" t="s">
        <v>31</v>
      </c>
      <c r="Q1001" s="32" t="s">
        <v>32</v>
      </c>
      <c r="R1001" s="69">
        <v>44269.942094907405</v>
      </c>
      <c r="S1001" s="35">
        <v>44356</v>
      </c>
      <c r="T1001" s="32" t="str">
        <f t="shared" si="61"/>
        <v>+6281224919***</v>
      </c>
      <c r="U1001" s="32" t="str">
        <f t="shared" ca="1" si="62"/>
        <v>niko***@jossmail.com</v>
      </c>
      <c r="V1001" s="32">
        <f t="shared" si="63"/>
        <v>23</v>
      </c>
      <c r="W1001" s="36">
        <f t="shared" si="64"/>
        <v>0.05</v>
      </c>
    </row>
    <row r="1002" spans="4:23" ht="27" customHeight="1" x14ac:dyDescent="0.25">
      <c r="D1002" s="14" t="s">
        <v>3918</v>
      </c>
      <c r="E1002" s="14" t="s">
        <v>3919</v>
      </c>
      <c r="F1002" s="84" t="s">
        <v>632</v>
      </c>
      <c r="G1002" s="15" t="s">
        <v>27</v>
      </c>
      <c r="H1002" s="16" t="s">
        <v>3920</v>
      </c>
      <c r="I1002" s="17"/>
      <c r="J1002" s="17"/>
      <c r="K1002" s="17"/>
      <c r="L1002" s="17"/>
      <c r="N1002" s="31">
        <v>1000</v>
      </c>
      <c r="O1002" s="32" t="s">
        <v>3043</v>
      </c>
      <c r="P1002" s="33" t="s">
        <v>42</v>
      </c>
      <c r="Q1002" s="32" t="s">
        <v>40</v>
      </c>
      <c r="R1002" s="69">
        <v>44269.959247685183</v>
      </c>
      <c r="S1002" s="35">
        <v>44352</v>
      </c>
      <c r="T1002" s="32" t="str">
        <f t="shared" si="61"/>
        <v>+0822-16977***</v>
      </c>
      <c r="U1002" s="32" t="str">
        <f t="shared" ca="1" si="62"/>
        <v>meli***@jossmail.com</v>
      </c>
      <c r="V1002" s="32">
        <f t="shared" si="63"/>
        <v>23</v>
      </c>
      <c r="W1002" s="36">
        <f t="shared" si="64"/>
        <v>0.05</v>
      </c>
    </row>
    <row r="1003" spans="4:23" ht="27" customHeight="1" x14ac:dyDescent="0.25">
      <c r="D1003" s="14" t="s">
        <v>3921</v>
      </c>
      <c r="E1003" s="14" t="s">
        <v>3045</v>
      </c>
      <c r="F1003" s="84" t="s">
        <v>485</v>
      </c>
      <c r="G1003" s="15" t="s">
        <v>27</v>
      </c>
      <c r="H1003" s="16" t="s">
        <v>3922</v>
      </c>
      <c r="I1003" s="17"/>
      <c r="J1003" s="17"/>
      <c r="K1003" s="17"/>
      <c r="L1003" s="17"/>
      <c r="N1003" s="31">
        <v>1001</v>
      </c>
      <c r="O1003" s="32" t="s">
        <v>3923</v>
      </c>
      <c r="P1003" s="33" t="s">
        <v>57</v>
      </c>
      <c r="Q1003" s="32" t="s">
        <v>32</v>
      </c>
      <c r="R1003" s="69">
        <v>44173.586562500001</v>
      </c>
      <c r="S1003" s="35">
        <v>44318</v>
      </c>
      <c r="T1003" s="32" t="str">
        <f t="shared" si="61"/>
        <v>+0852-93808***</v>
      </c>
      <c r="U1003" s="32" t="str">
        <f t="shared" ca="1" si="62"/>
        <v>ryle***@yuhuumail.com</v>
      </c>
      <c r="V1003" s="32">
        <f t="shared" si="63"/>
        <v>23</v>
      </c>
      <c r="W1003" s="36">
        <f t="shared" si="64"/>
        <v>0.05</v>
      </c>
    </row>
    <row r="1004" spans="4:23" ht="27" customHeight="1" x14ac:dyDescent="0.25">
      <c r="D1004" s="14" t="s">
        <v>3924</v>
      </c>
      <c r="E1004" s="14" t="s">
        <v>3925</v>
      </c>
      <c r="F1004" s="84" t="s">
        <v>343</v>
      </c>
      <c r="G1004" s="15" t="s">
        <v>27</v>
      </c>
      <c r="H1004" s="16" t="s">
        <v>3926</v>
      </c>
      <c r="I1004" s="17"/>
      <c r="J1004" s="17"/>
      <c r="K1004" s="17"/>
      <c r="L1004" s="17"/>
      <c r="N1004" s="31">
        <v>1002</v>
      </c>
      <c r="O1004" s="32" t="s">
        <v>3927</v>
      </c>
      <c r="P1004" s="33" t="s">
        <v>42</v>
      </c>
      <c r="Q1004" s="32" t="s">
        <v>40</v>
      </c>
      <c r="R1004" s="69">
        <v>44269.802268518521</v>
      </c>
      <c r="S1004" s="35">
        <v>44320</v>
      </c>
      <c r="T1004" s="32" t="str">
        <f t="shared" si="61"/>
        <v>+0812 63726***</v>
      </c>
      <c r="U1004" s="32" t="str">
        <f t="shared" ca="1" si="62"/>
        <v>mary***@yuhuumail.com</v>
      </c>
      <c r="V1004" s="32">
        <f t="shared" si="63"/>
        <v>23</v>
      </c>
      <c r="W1004" s="36">
        <f t="shared" si="64"/>
        <v>0.05</v>
      </c>
    </row>
    <row r="1005" spans="4:23" ht="27" customHeight="1" x14ac:dyDescent="0.25">
      <c r="D1005" s="14" t="s">
        <v>3928</v>
      </c>
      <c r="E1005" s="14" t="s">
        <v>3929</v>
      </c>
      <c r="F1005" s="84" t="s">
        <v>302</v>
      </c>
      <c r="G1005" s="15" t="s">
        <v>68</v>
      </c>
      <c r="H1005" s="16" t="s">
        <v>3930</v>
      </c>
      <c r="I1005" s="17"/>
      <c r="J1005" s="17"/>
      <c r="K1005" s="17"/>
      <c r="L1005" s="17"/>
      <c r="N1005" s="31">
        <v>1003</v>
      </c>
      <c r="O1005" s="32" t="s">
        <v>3931</v>
      </c>
      <c r="P1005" s="33" t="s">
        <v>42</v>
      </c>
      <c r="Q1005" s="32" t="s">
        <v>32</v>
      </c>
      <c r="R1005" s="69">
        <v>44270.124837962961</v>
      </c>
      <c r="S1005" s="35">
        <v>44352</v>
      </c>
      <c r="T1005" s="32" t="str">
        <f t="shared" si="61"/>
        <v>+82238931***</v>
      </c>
      <c r="U1005" s="32" t="str">
        <f t="shared" ca="1" si="62"/>
        <v>evan***@yuhuumail.com</v>
      </c>
      <c r="V1005" s="32">
        <f t="shared" si="63"/>
        <v>23</v>
      </c>
      <c r="W1005" s="36">
        <f t="shared" si="64"/>
        <v>0.05</v>
      </c>
    </row>
    <row r="1006" spans="4:23" ht="27" customHeight="1" x14ac:dyDescent="0.25">
      <c r="D1006" s="14" t="s">
        <v>3932</v>
      </c>
      <c r="E1006" s="14" t="s">
        <v>3933</v>
      </c>
      <c r="F1006" s="84" t="s">
        <v>1535</v>
      </c>
      <c r="G1006" s="15" t="s">
        <v>68</v>
      </c>
      <c r="H1006" s="16" t="s">
        <v>3934</v>
      </c>
      <c r="I1006" s="17"/>
      <c r="J1006" s="17"/>
      <c r="K1006" s="17"/>
      <c r="L1006" s="17"/>
      <c r="N1006" s="31">
        <v>1004</v>
      </c>
      <c r="O1006" s="32" t="s">
        <v>3935</v>
      </c>
      <c r="P1006" s="33" t="s">
        <v>31</v>
      </c>
      <c r="Q1006" s="32" t="s">
        <v>40</v>
      </c>
      <c r="R1006" s="69">
        <v>43762.066087962965</v>
      </c>
      <c r="S1006" s="35">
        <v>44361</v>
      </c>
      <c r="T1006" s="32" t="str">
        <f t="shared" si="61"/>
        <v>+0842 79458***</v>
      </c>
      <c r="U1006" s="32" t="str">
        <f t="shared" ca="1" si="62"/>
        <v>eliz***@jossmail.com</v>
      </c>
      <c r="V1006" s="32">
        <f t="shared" si="63"/>
        <v>22</v>
      </c>
      <c r="W1006" s="36">
        <f t="shared" si="64"/>
        <v>6.5000000000000002E-2</v>
      </c>
    </row>
    <row r="1007" spans="4:23" ht="27" customHeight="1" x14ac:dyDescent="0.25">
      <c r="D1007" s="14" t="s">
        <v>3936</v>
      </c>
      <c r="E1007" s="14" t="s">
        <v>729</v>
      </c>
      <c r="F1007" s="84" t="s">
        <v>188</v>
      </c>
      <c r="G1007" s="15" t="s">
        <v>27</v>
      </c>
      <c r="H1007" s="16" t="s">
        <v>3937</v>
      </c>
      <c r="I1007" s="17"/>
      <c r="J1007" s="17"/>
      <c r="K1007" s="17"/>
      <c r="L1007" s="17"/>
      <c r="N1007" s="31">
        <v>1005</v>
      </c>
      <c r="O1007" s="32" t="s">
        <v>3088</v>
      </c>
      <c r="P1007" s="33" t="s">
        <v>57</v>
      </c>
      <c r="Q1007" s="32" t="s">
        <v>32</v>
      </c>
      <c r="R1007" s="69">
        <v>44270.36451388889</v>
      </c>
      <c r="S1007" s="35">
        <v>44354</v>
      </c>
      <c r="T1007" s="32" t="str">
        <f t="shared" si="61"/>
        <v>+84235645***</v>
      </c>
      <c r="U1007" s="32" t="str">
        <f t="shared" ca="1" si="62"/>
        <v>mari***@yuhuumail.com</v>
      </c>
      <c r="V1007" s="32">
        <f t="shared" si="63"/>
        <v>23</v>
      </c>
      <c r="W1007" s="36">
        <f t="shared" si="64"/>
        <v>0.05</v>
      </c>
    </row>
    <row r="1008" spans="4:23" ht="27" customHeight="1" x14ac:dyDescent="0.25">
      <c r="D1008" s="14" t="s">
        <v>3938</v>
      </c>
      <c r="E1008" s="14" t="s">
        <v>2280</v>
      </c>
      <c r="F1008" s="84" t="s">
        <v>627</v>
      </c>
      <c r="G1008" s="15" t="s">
        <v>27</v>
      </c>
      <c r="H1008" s="16" t="s">
        <v>3939</v>
      </c>
      <c r="I1008" s="17"/>
      <c r="J1008" s="17"/>
      <c r="K1008" s="17"/>
      <c r="L1008" s="17"/>
      <c r="N1008" s="31">
        <v>1006</v>
      </c>
      <c r="O1008" s="32" t="s">
        <v>2166</v>
      </c>
      <c r="P1008" s="33" t="s">
        <v>57</v>
      </c>
      <c r="Q1008" s="32" t="s">
        <v>40</v>
      </c>
      <c r="R1008" s="69">
        <v>44262.349594907406</v>
      </c>
      <c r="S1008" s="35">
        <v>44317</v>
      </c>
      <c r="T1008" s="32" t="str">
        <f t="shared" si="61"/>
        <v>+85266657***</v>
      </c>
      <c r="U1008" s="32" t="str">
        <f t="shared" ca="1" si="62"/>
        <v>park***@yuhuumail.com</v>
      </c>
      <c r="V1008" s="32">
        <f t="shared" si="63"/>
        <v>23</v>
      </c>
      <c r="W1008" s="36">
        <f t="shared" si="64"/>
        <v>0.05</v>
      </c>
    </row>
    <row r="1009" spans="4:23" ht="27" customHeight="1" x14ac:dyDescent="0.25">
      <c r="D1009" s="14" t="s">
        <v>3940</v>
      </c>
      <c r="E1009" s="14" t="s">
        <v>3941</v>
      </c>
      <c r="F1009" s="84" t="s">
        <v>233</v>
      </c>
      <c r="G1009" s="15" t="s">
        <v>27</v>
      </c>
      <c r="H1009" s="16" t="s">
        <v>3942</v>
      </c>
      <c r="I1009" s="17"/>
      <c r="J1009" s="17"/>
      <c r="K1009" s="17"/>
      <c r="L1009" s="17"/>
      <c r="N1009" s="31">
        <v>1007</v>
      </c>
      <c r="O1009" s="32" t="s">
        <v>60</v>
      </c>
      <c r="P1009" s="33" t="s">
        <v>42</v>
      </c>
      <c r="Q1009" s="32" t="s">
        <v>32</v>
      </c>
      <c r="R1009" s="69">
        <v>44270.40115740741</v>
      </c>
      <c r="S1009" s="35">
        <v>44354</v>
      </c>
      <c r="T1009" s="32" t="str">
        <f t="shared" si="61"/>
        <v>+84228484***</v>
      </c>
      <c r="U1009" s="32" t="str">
        <f t="shared" ca="1" si="62"/>
        <v>isha***@jossmail.com</v>
      </c>
      <c r="V1009" s="32">
        <f t="shared" si="63"/>
        <v>23</v>
      </c>
      <c r="W1009" s="36">
        <f t="shared" si="64"/>
        <v>0.05</v>
      </c>
    </row>
    <row r="1010" spans="4:23" ht="27" customHeight="1" x14ac:dyDescent="0.25">
      <c r="D1010" s="14" t="s">
        <v>3943</v>
      </c>
      <c r="E1010" s="14" t="s">
        <v>3748</v>
      </c>
      <c r="F1010" s="84" t="s">
        <v>471</v>
      </c>
      <c r="G1010" s="15" t="s">
        <v>68</v>
      </c>
      <c r="H1010" s="16" t="s">
        <v>3944</v>
      </c>
      <c r="I1010" s="17"/>
      <c r="J1010" s="17"/>
      <c r="K1010" s="17"/>
      <c r="L1010" s="17"/>
      <c r="N1010" s="31">
        <v>1008</v>
      </c>
      <c r="O1010" s="32" t="s">
        <v>434</v>
      </c>
      <c r="P1010" s="33" t="s">
        <v>31</v>
      </c>
      <c r="Q1010" s="32" t="s">
        <v>40</v>
      </c>
      <c r="R1010" s="69">
        <v>44263.650601851848</v>
      </c>
      <c r="S1010" s="35">
        <v>44353</v>
      </c>
      <c r="T1010" s="32" t="str">
        <f t="shared" si="61"/>
        <v>+0852 40491***</v>
      </c>
      <c r="U1010" s="32" t="str">
        <f t="shared" ca="1" si="62"/>
        <v>moll***@yuhuumail.com</v>
      </c>
      <c r="V1010" s="32">
        <f t="shared" si="63"/>
        <v>23</v>
      </c>
      <c r="W1010" s="36">
        <f t="shared" si="64"/>
        <v>0.05</v>
      </c>
    </row>
    <row r="1011" spans="4:23" ht="27" customHeight="1" x14ac:dyDescent="0.25">
      <c r="D1011" s="14" t="s">
        <v>3945</v>
      </c>
      <c r="E1011" s="14" t="s">
        <v>3946</v>
      </c>
      <c r="F1011" s="84" t="s">
        <v>46</v>
      </c>
      <c r="G1011" s="15" t="s">
        <v>68</v>
      </c>
      <c r="H1011" s="16" t="s">
        <v>3947</v>
      </c>
      <c r="I1011" s="17"/>
      <c r="J1011" s="17"/>
      <c r="K1011" s="17"/>
      <c r="L1011" s="17"/>
      <c r="N1011" s="31">
        <v>1009</v>
      </c>
      <c r="O1011" s="32" t="s">
        <v>2045</v>
      </c>
      <c r="P1011" s="33" t="s">
        <v>42</v>
      </c>
      <c r="Q1011" s="32" t="s">
        <v>32</v>
      </c>
      <c r="R1011" s="69">
        <v>44270.442361111112</v>
      </c>
      <c r="S1011" s="35">
        <v>44318</v>
      </c>
      <c r="T1011" s="32" t="str">
        <f t="shared" si="61"/>
        <v>+0842-42042***</v>
      </c>
      <c r="U1011" s="32" t="str">
        <f t="shared" ca="1" si="62"/>
        <v>tess***@jossmail.com</v>
      </c>
      <c r="V1011" s="32">
        <f t="shared" si="63"/>
        <v>23</v>
      </c>
      <c r="W1011" s="36">
        <f t="shared" si="64"/>
        <v>0.05</v>
      </c>
    </row>
    <row r="1012" spans="4:23" ht="27" customHeight="1" x14ac:dyDescent="0.25">
      <c r="D1012" s="14" t="s">
        <v>3948</v>
      </c>
      <c r="E1012" s="14" t="s">
        <v>3505</v>
      </c>
      <c r="F1012" s="84" t="s">
        <v>566</v>
      </c>
      <c r="G1012" s="15" t="s">
        <v>68</v>
      </c>
      <c r="H1012" s="16" t="s">
        <v>3949</v>
      </c>
      <c r="I1012" s="17"/>
      <c r="J1012" s="17"/>
      <c r="K1012" s="17"/>
      <c r="L1012" s="17"/>
      <c r="N1012" s="31">
        <v>1010</v>
      </c>
      <c r="O1012" s="32" t="s">
        <v>3950</v>
      </c>
      <c r="P1012" s="33" t="s">
        <v>42</v>
      </c>
      <c r="Q1012" s="32" t="s">
        <v>40</v>
      </c>
      <c r="R1012" s="69">
        <v>44270.500104166669</v>
      </c>
      <c r="S1012" s="35">
        <v>44359</v>
      </c>
      <c r="T1012" s="32" t="str">
        <f t="shared" si="61"/>
        <v>+83218722***</v>
      </c>
      <c r="U1012" s="32" t="str">
        <f t="shared" ca="1" si="62"/>
        <v>feli***@jossmail.com</v>
      </c>
      <c r="V1012" s="32">
        <f t="shared" si="63"/>
        <v>23</v>
      </c>
      <c r="W1012" s="36">
        <f t="shared" si="64"/>
        <v>0.05</v>
      </c>
    </row>
    <row r="1013" spans="4:23" ht="27" customHeight="1" x14ac:dyDescent="0.25">
      <c r="D1013" s="14" t="s">
        <v>3951</v>
      </c>
      <c r="E1013" s="14" t="s">
        <v>3952</v>
      </c>
      <c r="F1013" s="84" t="s">
        <v>321</v>
      </c>
      <c r="G1013" s="15" t="s">
        <v>27</v>
      </c>
      <c r="H1013" s="16" t="s">
        <v>3953</v>
      </c>
      <c r="I1013" s="17"/>
      <c r="J1013" s="17"/>
      <c r="K1013" s="17"/>
      <c r="L1013" s="17"/>
      <c r="N1013" s="31">
        <v>1011</v>
      </c>
      <c r="O1013" s="32" t="s">
        <v>3954</v>
      </c>
      <c r="P1013" s="33" t="s">
        <v>57</v>
      </c>
      <c r="Q1013" s="32" t="s">
        <v>32</v>
      </c>
      <c r="R1013" s="69">
        <v>44270.506574074076</v>
      </c>
      <c r="S1013" s="35">
        <v>44320</v>
      </c>
      <c r="T1013" s="32" t="str">
        <f t="shared" si="61"/>
        <v>+83299198***</v>
      </c>
      <c r="U1013" s="32" t="str">
        <f t="shared" ca="1" si="62"/>
        <v>brea***@yuhuumail.com</v>
      </c>
      <c r="V1013" s="32">
        <f t="shared" si="63"/>
        <v>23</v>
      </c>
      <c r="W1013" s="36">
        <f t="shared" si="64"/>
        <v>0.05</v>
      </c>
    </row>
    <row r="1014" spans="4:23" ht="27" customHeight="1" x14ac:dyDescent="0.25">
      <c r="D1014" s="14" t="s">
        <v>3955</v>
      </c>
      <c r="E1014" s="14" t="s">
        <v>3165</v>
      </c>
      <c r="F1014" s="84" t="s">
        <v>453</v>
      </c>
      <c r="G1014" s="15" t="s">
        <v>68</v>
      </c>
      <c r="H1014" s="16" t="s">
        <v>3956</v>
      </c>
      <c r="I1014" s="17"/>
      <c r="J1014" s="17"/>
      <c r="K1014" s="17"/>
      <c r="L1014" s="17"/>
      <c r="N1014" s="31">
        <v>1012</v>
      </c>
      <c r="O1014" s="32" t="s">
        <v>3957</v>
      </c>
      <c r="P1014" s="33" t="s">
        <v>42</v>
      </c>
      <c r="Q1014" s="32" t="s">
        <v>40</v>
      </c>
      <c r="R1014" s="69">
        <v>44270.422222222223</v>
      </c>
      <c r="S1014" s="35">
        <v>44354</v>
      </c>
      <c r="T1014" s="32" t="str">
        <f t="shared" si="61"/>
        <v>+84262891***</v>
      </c>
      <c r="U1014" s="32" t="str">
        <f t="shared" ca="1" si="62"/>
        <v>adri***@yuhuumail.com</v>
      </c>
      <c r="V1014" s="32">
        <f t="shared" si="63"/>
        <v>23</v>
      </c>
      <c r="W1014" s="36">
        <f t="shared" si="64"/>
        <v>0.05</v>
      </c>
    </row>
    <row r="1015" spans="4:23" ht="27" customHeight="1" x14ac:dyDescent="0.25">
      <c r="D1015" s="14" t="s">
        <v>3958</v>
      </c>
      <c r="E1015" s="14" t="s">
        <v>3959</v>
      </c>
      <c r="F1015" s="84" t="s">
        <v>266</v>
      </c>
      <c r="G1015" s="15" t="s">
        <v>27</v>
      </c>
      <c r="H1015" s="16" t="s">
        <v>3960</v>
      </c>
      <c r="I1015" s="17"/>
      <c r="J1015" s="17"/>
      <c r="K1015" s="17"/>
      <c r="L1015" s="17"/>
      <c r="N1015" s="31">
        <v>1013</v>
      </c>
      <c r="O1015" s="32" t="s">
        <v>863</v>
      </c>
      <c r="P1015" s="33" t="s">
        <v>57</v>
      </c>
      <c r="Q1015" s="32" t="s">
        <v>32</v>
      </c>
      <c r="R1015" s="69">
        <v>44270.506550925929</v>
      </c>
      <c r="S1015" s="71">
        <v>44362</v>
      </c>
      <c r="T1015" s="32" t="str">
        <f t="shared" si="61"/>
        <v>+0832 83659***</v>
      </c>
      <c r="U1015" s="32" t="str">
        <f t="shared" ca="1" si="62"/>
        <v>kayl***@yuhuumail.com</v>
      </c>
      <c r="V1015" s="32">
        <f t="shared" si="63"/>
        <v>22</v>
      </c>
      <c r="W1015" s="36">
        <f t="shared" si="64"/>
        <v>0.05</v>
      </c>
    </row>
    <row r="1016" spans="4:23" ht="27" customHeight="1" x14ac:dyDescent="0.25">
      <c r="D1016" s="14" t="s">
        <v>3961</v>
      </c>
      <c r="E1016" s="14" t="s">
        <v>2731</v>
      </c>
      <c r="F1016" s="84" t="s">
        <v>592</v>
      </c>
      <c r="G1016" s="15" t="s">
        <v>27</v>
      </c>
      <c r="H1016" s="16" t="s">
        <v>3962</v>
      </c>
      <c r="I1016" s="17"/>
      <c r="J1016" s="17"/>
      <c r="K1016" s="17"/>
      <c r="L1016" s="17"/>
      <c r="N1016" s="31">
        <v>1014</v>
      </c>
      <c r="O1016" s="32" t="s">
        <v>3963</v>
      </c>
      <c r="P1016" s="33" t="s">
        <v>31</v>
      </c>
      <c r="Q1016" s="32" t="s">
        <v>40</v>
      </c>
      <c r="R1016" s="69">
        <v>44270.547210648147</v>
      </c>
      <c r="S1016" s="71">
        <v>44356</v>
      </c>
      <c r="T1016" s="32" t="str">
        <f t="shared" si="61"/>
        <v>+81223608***</v>
      </c>
      <c r="U1016" s="32" t="str">
        <f t="shared" ca="1" si="62"/>
        <v>aeda***@yuhuumail.com</v>
      </c>
      <c r="V1016" s="32">
        <f t="shared" si="63"/>
        <v>22</v>
      </c>
      <c r="W1016" s="36">
        <f t="shared" si="64"/>
        <v>0.05</v>
      </c>
    </row>
    <row r="1017" spans="4:23" ht="27" customHeight="1" x14ac:dyDescent="0.25">
      <c r="D1017" s="14" t="s">
        <v>3964</v>
      </c>
      <c r="E1017" s="14" t="s">
        <v>3888</v>
      </c>
      <c r="F1017" s="84" t="s">
        <v>61</v>
      </c>
      <c r="G1017" s="15" t="s">
        <v>27</v>
      </c>
      <c r="H1017" s="16" t="s">
        <v>3965</v>
      </c>
      <c r="I1017" s="17"/>
      <c r="J1017" s="17"/>
      <c r="K1017" s="17"/>
      <c r="L1017" s="17"/>
      <c r="N1017" s="31">
        <v>1015</v>
      </c>
      <c r="O1017" s="32" t="s">
        <v>3966</v>
      </c>
      <c r="P1017" s="33" t="s">
        <v>57</v>
      </c>
      <c r="Q1017" s="32" t="s">
        <v>32</v>
      </c>
      <c r="R1017" s="69">
        <v>44270.555625000001</v>
      </c>
      <c r="S1017" s="71">
        <v>44362</v>
      </c>
      <c r="T1017" s="32" t="str">
        <f t="shared" si="61"/>
        <v>+83237112***</v>
      </c>
      <c r="U1017" s="32" t="str">
        <f t="shared" ca="1" si="62"/>
        <v>jess***@jossmail.com</v>
      </c>
      <c r="V1017" s="32">
        <f t="shared" si="63"/>
        <v>22</v>
      </c>
      <c r="W1017" s="36">
        <f t="shared" si="64"/>
        <v>0.05</v>
      </c>
    </row>
    <row r="1018" spans="4:23" ht="27" customHeight="1" x14ac:dyDescent="0.25">
      <c r="D1018" s="14" t="s">
        <v>3967</v>
      </c>
      <c r="E1018" s="14" t="s">
        <v>3968</v>
      </c>
      <c r="F1018" s="84" t="s">
        <v>149</v>
      </c>
      <c r="G1018" s="15" t="s">
        <v>27</v>
      </c>
      <c r="H1018" s="16" t="s">
        <v>3969</v>
      </c>
      <c r="I1018" s="17"/>
      <c r="J1018" s="17"/>
      <c r="K1018" s="17"/>
      <c r="L1018" s="17"/>
      <c r="N1018" s="31">
        <v>1016</v>
      </c>
      <c r="O1018" s="32" t="s">
        <v>3970</v>
      </c>
      <c r="P1018" s="33" t="s">
        <v>57</v>
      </c>
      <c r="Q1018" s="32" t="s">
        <v>40</v>
      </c>
      <c r="R1018" s="69">
        <v>44270.560937499999</v>
      </c>
      <c r="S1018" s="71">
        <v>44359</v>
      </c>
      <c r="T1018" s="32" t="str">
        <f t="shared" si="61"/>
        <v>+6284267521***</v>
      </c>
      <c r="U1018" s="32" t="str">
        <f t="shared" ca="1" si="62"/>
        <v>rick***@yuhuumail.com</v>
      </c>
      <c r="V1018" s="32">
        <f t="shared" si="63"/>
        <v>22</v>
      </c>
      <c r="W1018" s="36">
        <f t="shared" si="64"/>
        <v>0.05</v>
      </c>
    </row>
    <row r="1019" spans="4:23" ht="27" customHeight="1" x14ac:dyDescent="0.25">
      <c r="D1019" s="14" t="s">
        <v>3971</v>
      </c>
      <c r="E1019" s="14" t="s">
        <v>3972</v>
      </c>
      <c r="F1019" s="84" t="s">
        <v>266</v>
      </c>
      <c r="G1019" s="15" t="s">
        <v>68</v>
      </c>
      <c r="H1019" s="16" t="s">
        <v>3973</v>
      </c>
      <c r="I1019" s="17"/>
      <c r="J1019" s="17"/>
      <c r="K1019" s="17"/>
      <c r="L1019" s="17"/>
      <c r="N1019" s="31">
        <v>1017</v>
      </c>
      <c r="O1019" s="32" t="s">
        <v>3974</v>
      </c>
      <c r="P1019" s="33" t="s">
        <v>42</v>
      </c>
      <c r="Q1019" s="32" t="s">
        <v>32</v>
      </c>
      <c r="R1019" s="69">
        <v>43704.583136574074</v>
      </c>
      <c r="S1019" s="71">
        <v>44359</v>
      </c>
      <c r="T1019" s="32" t="str">
        <f t="shared" si="61"/>
        <v>+6284219214***</v>
      </c>
      <c r="U1019" s="32" t="str">
        <f t="shared" ca="1" si="62"/>
        <v>jamy***@yuhuumail.com</v>
      </c>
      <c r="V1019" s="32">
        <f t="shared" si="63"/>
        <v>20</v>
      </c>
      <c r="W1019" s="36">
        <f t="shared" si="64"/>
        <v>6.5000000000000002E-2</v>
      </c>
    </row>
    <row r="1020" spans="4:23" ht="27" customHeight="1" x14ac:dyDescent="0.25">
      <c r="D1020" s="14" t="s">
        <v>3975</v>
      </c>
      <c r="E1020" s="14" t="s">
        <v>3976</v>
      </c>
      <c r="F1020" s="84" t="s">
        <v>887</v>
      </c>
      <c r="G1020" s="15" t="s">
        <v>27</v>
      </c>
      <c r="H1020" s="16" t="s">
        <v>3977</v>
      </c>
      <c r="I1020" s="17"/>
      <c r="J1020" s="17"/>
      <c r="K1020" s="17"/>
      <c r="L1020" s="17"/>
      <c r="N1020" s="31">
        <v>1018</v>
      </c>
      <c r="O1020" s="32" t="s">
        <v>3978</v>
      </c>
      <c r="P1020" s="33" t="s">
        <v>42</v>
      </c>
      <c r="Q1020" s="32" t="s">
        <v>40</v>
      </c>
      <c r="R1020" s="69">
        <v>44270.588287037041</v>
      </c>
      <c r="S1020" s="71">
        <v>44317</v>
      </c>
      <c r="T1020" s="32" t="str">
        <f t="shared" si="61"/>
        <v>+0852 34754***</v>
      </c>
      <c r="U1020" s="32" t="str">
        <f t="shared" ca="1" si="62"/>
        <v>maur***@yuhuumail.com</v>
      </c>
      <c r="V1020" s="32">
        <f t="shared" si="63"/>
        <v>22</v>
      </c>
      <c r="W1020" s="36">
        <f t="shared" si="64"/>
        <v>0.05</v>
      </c>
    </row>
    <row r="1021" spans="4:23" ht="27" customHeight="1" x14ac:dyDescent="0.25">
      <c r="D1021" s="14" t="s">
        <v>3979</v>
      </c>
      <c r="E1021" s="14" t="s">
        <v>3980</v>
      </c>
      <c r="F1021" s="84" t="s">
        <v>386</v>
      </c>
      <c r="G1021" s="15" t="s">
        <v>68</v>
      </c>
      <c r="H1021" s="16" t="s">
        <v>3981</v>
      </c>
      <c r="I1021" s="17"/>
      <c r="J1021" s="17"/>
      <c r="K1021" s="17"/>
      <c r="L1021" s="17"/>
      <c r="N1021" s="31">
        <v>1019</v>
      </c>
      <c r="O1021" s="32" t="s">
        <v>3854</v>
      </c>
      <c r="P1021" s="33" t="s">
        <v>31</v>
      </c>
      <c r="Q1021" s="32" t="s">
        <v>32</v>
      </c>
      <c r="R1021" s="69">
        <v>44071.915358796294</v>
      </c>
      <c r="S1021" s="71">
        <v>44319</v>
      </c>
      <c r="T1021" s="32" t="str">
        <f t="shared" si="61"/>
        <v>+83251443***</v>
      </c>
      <c r="U1021" s="32" t="str">
        <f t="shared" ca="1" si="62"/>
        <v>aliy***@yuhuumail.com</v>
      </c>
      <c r="V1021" s="32">
        <f t="shared" si="63"/>
        <v>21</v>
      </c>
      <c r="W1021" s="36">
        <f t="shared" si="64"/>
        <v>0.05</v>
      </c>
    </row>
    <row r="1022" spans="4:23" ht="27" customHeight="1" x14ac:dyDescent="0.25">
      <c r="D1022" s="14" t="s">
        <v>3982</v>
      </c>
      <c r="E1022" s="14" t="s">
        <v>2435</v>
      </c>
      <c r="F1022" s="84" t="s">
        <v>114</v>
      </c>
      <c r="G1022" s="15" t="s">
        <v>27</v>
      </c>
      <c r="H1022" s="16" t="s">
        <v>3983</v>
      </c>
      <c r="I1022" s="17"/>
      <c r="J1022" s="17"/>
      <c r="K1022" s="17"/>
      <c r="L1022" s="17"/>
      <c r="N1022" s="31">
        <v>1020</v>
      </c>
      <c r="O1022" s="32" t="s">
        <v>3984</v>
      </c>
      <c r="P1022" s="33" t="s">
        <v>57</v>
      </c>
      <c r="Q1022" s="32" t="s">
        <v>40</v>
      </c>
      <c r="R1022" s="69">
        <v>44268.665833333333</v>
      </c>
      <c r="S1022" s="71">
        <v>44356</v>
      </c>
      <c r="T1022" s="32" t="str">
        <f t="shared" si="61"/>
        <v>+0812-85504***</v>
      </c>
      <c r="U1022" s="32" t="str">
        <f t="shared" ca="1" si="62"/>
        <v>keeg***@yuhuumail.com</v>
      </c>
      <c r="V1022" s="32">
        <f t="shared" si="63"/>
        <v>22</v>
      </c>
      <c r="W1022" s="36">
        <f t="shared" si="64"/>
        <v>0.05</v>
      </c>
    </row>
    <row r="1023" spans="4:23" ht="27" customHeight="1" x14ac:dyDescent="0.25">
      <c r="D1023" s="14" t="s">
        <v>3985</v>
      </c>
      <c r="E1023" s="14" t="s">
        <v>2939</v>
      </c>
      <c r="F1023" s="84" t="s">
        <v>92</v>
      </c>
      <c r="G1023" s="15" t="s">
        <v>27</v>
      </c>
      <c r="H1023" s="16" t="s">
        <v>3986</v>
      </c>
      <c r="I1023" s="17"/>
      <c r="J1023" s="17"/>
      <c r="K1023" s="17"/>
      <c r="L1023" s="17"/>
      <c r="N1023" s="31">
        <v>1021</v>
      </c>
      <c r="O1023" s="32" t="s">
        <v>3987</v>
      </c>
      <c r="P1023" s="33" t="s">
        <v>57</v>
      </c>
      <c r="Q1023" s="32" t="s">
        <v>32</v>
      </c>
      <c r="R1023" s="69">
        <v>44270.652372685188</v>
      </c>
      <c r="S1023" s="71">
        <v>44362</v>
      </c>
      <c r="T1023" s="32" t="str">
        <f t="shared" si="61"/>
        <v>+0852-67537***</v>
      </c>
      <c r="U1023" s="32" t="str">
        <f t="shared" ca="1" si="62"/>
        <v>fran***@jossmail.com</v>
      </c>
      <c r="V1023" s="32">
        <f t="shared" si="63"/>
        <v>22</v>
      </c>
      <c r="W1023" s="36">
        <f t="shared" si="64"/>
        <v>0.05</v>
      </c>
    </row>
    <row r="1024" spans="4:23" ht="27" customHeight="1" x14ac:dyDescent="0.25">
      <c r="D1024" s="14" t="s">
        <v>3988</v>
      </c>
      <c r="E1024" s="14" t="s">
        <v>2671</v>
      </c>
      <c r="F1024" s="84" t="s">
        <v>183</v>
      </c>
      <c r="G1024" s="15" t="s">
        <v>27</v>
      </c>
      <c r="H1024" s="16" t="s">
        <v>3989</v>
      </c>
      <c r="I1024" s="17"/>
      <c r="J1024" s="17"/>
      <c r="K1024" s="17"/>
      <c r="L1024" s="17"/>
      <c r="N1024" s="31">
        <v>1022</v>
      </c>
      <c r="O1024" s="32" t="s">
        <v>3990</v>
      </c>
      <c r="P1024" s="33" t="s">
        <v>31</v>
      </c>
      <c r="Q1024" s="32" t="s">
        <v>40</v>
      </c>
      <c r="R1024" s="69">
        <v>44270.684733796297</v>
      </c>
      <c r="S1024" s="71">
        <v>44352</v>
      </c>
      <c r="T1024" s="32" t="str">
        <f t="shared" si="61"/>
        <v>+0812-86247***</v>
      </c>
      <c r="U1024" s="32" t="str">
        <f t="shared" ca="1" si="62"/>
        <v>tann***@yuhuumail.com</v>
      </c>
      <c r="V1024" s="32">
        <f t="shared" si="63"/>
        <v>22</v>
      </c>
      <c r="W1024" s="36">
        <f t="shared" si="64"/>
        <v>0.05</v>
      </c>
    </row>
    <row r="1025" spans="4:23" ht="27" customHeight="1" x14ac:dyDescent="0.25">
      <c r="D1025" s="14" t="s">
        <v>3991</v>
      </c>
      <c r="E1025" s="14" t="s">
        <v>3992</v>
      </c>
      <c r="F1025" s="84" t="s">
        <v>290</v>
      </c>
      <c r="G1025" s="15" t="s">
        <v>68</v>
      </c>
      <c r="H1025" s="16" t="s">
        <v>3993</v>
      </c>
      <c r="I1025" s="17"/>
      <c r="J1025" s="17"/>
      <c r="K1025" s="17"/>
      <c r="L1025" s="17"/>
      <c r="N1025" s="31">
        <v>1023</v>
      </c>
      <c r="O1025" s="32" t="s">
        <v>246</v>
      </c>
      <c r="P1025" s="33" t="s">
        <v>42</v>
      </c>
      <c r="Q1025" s="32" t="s">
        <v>32</v>
      </c>
      <c r="R1025" s="69">
        <v>44267.515081018515</v>
      </c>
      <c r="S1025" s="71">
        <v>44320</v>
      </c>
      <c r="T1025" s="32" t="str">
        <f t="shared" si="61"/>
        <v>+81216538***</v>
      </c>
      <c r="U1025" s="32" t="str">
        <f t="shared" ca="1" si="62"/>
        <v>mada***@jossmail.com</v>
      </c>
      <c r="V1025" s="32">
        <f t="shared" si="63"/>
        <v>22</v>
      </c>
      <c r="W1025" s="36">
        <f t="shared" si="64"/>
        <v>0.05</v>
      </c>
    </row>
    <row r="1026" spans="4:23" ht="27" customHeight="1" x14ac:dyDescent="0.25">
      <c r="D1026" s="14" t="s">
        <v>3994</v>
      </c>
      <c r="E1026" s="14" t="s">
        <v>3995</v>
      </c>
      <c r="F1026" s="84" t="s">
        <v>381</v>
      </c>
      <c r="G1026" s="15" t="s">
        <v>27</v>
      </c>
      <c r="H1026" s="16" t="s">
        <v>3996</v>
      </c>
      <c r="I1026" s="17"/>
      <c r="J1026" s="17"/>
      <c r="K1026" s="17"/>
      <c r="L1026" s="17"/>
      <c r="N1026" s="31">
        <v>1024</v>
      </c>
      <c r="O1026" s="32" t="s">
        <v>1829</v>
      </c>
      <c r="P1026" s="33" t="s">
        <v>31</v>
      </c>
      <c r="Q1026" s="32" t="s">
        <v>40</v>
      </c>
      <c r="R1026" s="69">
        <v>44270.687094907407</v>
      </c>
      <c r="S1026" s="71">
        <v>44318</v>
      </c>
      <c r="T1026" s="32" t="str">
        <f t="shared" si="61"/>
        <v>+0832-65823***</v>
      </c>
      <c r="U1026" s="32" t="str">
        <f t="shared" ca="1" si="62"/>
        <v>beck***@yuhuumail.com</v>
      </c>
      <c r="V1026" s="32">
        <f t="shared" si="63"/>
        <v>22</v>
      </c>
      <c r="W1026" s="36">
        <f t="shared" si="64"/>
        <v>0.05</v>
      </c>
    </row>
    <row r="1027" spans="4:23" ht="27" customHeight="1" x14ac:dyDescent="0.25">
      <c r="D1027" s="14" t="s">
        <v>3997</v>
      </c>
      <c r="E1027" s="14" t="s">
        <v>3998</v>
      </c>
      <c r="F1027" s="84" t="s">
        <v>261</v>
      </c>
      <c r="G1027" s="15" t="s">
        <v>27</v>
      </c>
      <c r="H1027" s="16" t="s">
        <v>3999</v>
      </c>
      <c r="I1027" s="17"/>
      <c r="J1027" s="17"/>
      <c r="K1027" s="17"/>
      <c r="L1027" s="17"/>
      <c r="N1027" s="31">
        <v>1025</v>
      </c>
      <c r="O1027" s="32" t="s">
        <v>4000</v>
      </c>
      <c r="P1027" s="33" t="s">
        <v>57</v>
      </c>
      <c r="Q1027" s="32" t="s">
        <v>32</v>
      </c>
      <c r="R1027" s="69">
        <v>44270.692395833335</v>
      </c>
      <c r="S1027" s="71">
        <v>44356</v>
      </c>
      <c r="T1027" s="32" t="str">
        <f t="shared" si="61"/>
        <v>+81217209***</v>
      </c>
      <c r="U1027" s="32" t="str">
        <f t="shared" ca="1" si="62"/>
        <v>domi***@jossmail.com</v>
      </c>
      <c r="V1027" s="32">
        <f t="shared" si="63"/>
        <v>22</v>
      </c>
      <c r="W1027" s="36">
        <f t="shared" si="64"/>
        <v>0.05</v>
      </c>
    </row>
    <row r="1028" spans="4:23" ht="27" customHeight="1" x14ac:dyDescent="0.25">
      <c r="D1028" s="14" t="s">
        <v>4001</v>
      </c>
      <c r="E1028" s="14" t="s">
        <v>2269</v>
      </c>
      <c r="F1028" s="84" t="s">
        <v>627</v>
      </c>
      <c r="G1028" s="15" t="s">
        <v>27</v>
      </c>
      <c r="H1028" s="16" t="s">
        <v>4002</v>
      </c>
      <c r="I1028" s="17"/>
      <c r="J1028" s="17"/>
      <c r="K1028" s="17"/>
      <c r="L1028" s="17"/>
      <c r="N1028" s="31">
        <v>1026</v>
      </c>
      <c r="O1028" s="32" t="s">
        <v>4003</v>
      </c>
      <c r="P1028" s="33" t="s">
        <v>31</v>
      </c>
      <c r="Q1028" s="32" t="s">
        <v>40</v>
      </c>
      <c r="R1028" s="69">
        <v>44270.70921296296</v>
      </c>
      <c r="S1028" s="71">
        <v>44356</v>
      </c>
      <c r="T1028" s="32" t="str">
        <f t="shared" si="61"/>
        <v>+852 62377***</v>
      </c>
      <c r="U1028" s="32" t="str">
        <f t="shared" ca="1" si="62"/>
        <v>elle***@jossmail.com</v>
      </c>
      <c r="V1028" s="32">
        <f t="shared" si="63"/>
        <v>22</v>
      </c>
      <c r="W1028" s="36">
        <f t="shared" si="64"/>
        <v>0.05</v>
      </c>
    </row>
    <row r="1029" spans="4:23" ht="27" customHeight="1" x14ac:dyDescent="0.25">
      <c r="D1029" s="14" t="s">
        <v>4004</v>
      </c>
      <c r="E1029" s="14" t="s">
        <v>2352</v>
      </c>
      <c r="F1029" s="84" t="s">
        <v>597</v>
      </c>
      <c r="G1029" s="15" t="s">
        <v>68</v>
      </c>
      <c r="H1029" s="16" t="s">
        <v>4005</v>
      </c>
      <c r="I1029" s="17"/>
      <c r="J1029" s="17"/>
      <c r="K1029" s="17"/>
      <c r="L1029" s="17"/>
      <c r="N1029" s="31">
        <v>1027</v>
      </c>
      <c r="O1029" s="32" t="s">
        <v>4006</v>
      </c>
      <c r="P1029" s="33" t="s">
        <v>42</v>
      </c>
      <c r="Q1029" s="32" t="s">
        <v>32</v>
      </c>
      <c r="R1029" s="69">
        <v>44270.585046296299</v>
      </c>
      <c r="S1029" s="71">
        <v>44356</v>
      </c>
      <c r="T1029" s="32" t="str">
        <f t="shared" ref="T1029:T1092" si="65">"+"&amp;_xlfn.XLOOKUP($O1029, $E$2:$E$3002, $H$2:$H$3002, "Not Found")</f>
        <v>+6284211389***</v>
      </c>
      <c r="U1029" s="32" t="str">
        <f t="shared" ref="U1029:U1092" ca="1" si="66" xml:space="preserve"> LOWER(LEFT(_xlfn.XLOOKUP($O1029, $E$2:$E$3002, $D$2:$D$3002), 4))
  &amp; "***@"
  &amp; IF(RAND()&gt;0.5, "jossmail.com", "yuhuumail.com")</f>
        <v>isis***@jossmail.com</v>
      </c>
      <c r="V1029" s="32">
        <f t="shared" ref="V1029:V1092" si="67">DATEDIF(_xlfn.XLOOKUP($O1029, $E$2:$E$3002, $F$2:$F$3002), $R1029, "Y")</f>
        <v>22</v>
      </c>
      <c r="W1029" s="36">
        <f t="shared" ref="W1029:W1092" si="68">IF(DATEDIF($R1029, $S1029, "Y") &gt;= 3, 0.025,
   IF(DATEDIF($R1029, $S1029, "Y") &gt;= 1, 0.015, 0)) +
 IF($V1029 &gt;= 50, 0.04,
   IF($V1029 &gt;= 40, 0.03,
     IF($V1029 &gt;= 30, 0.02,
       IF($V1029 &gt;= 20, 0.05, 0))))</f>
        <v>0.05</v>
      </c>
    </row>
    <row r="1030" spans="4:23" ht="27" customHeight="1" x14ac:dyDescent="0.25">
      <c r="D1030" s="14" t="s">
        <v>4007</v>
      </c>
      <c r="E1030" s="14" t="s">
        <v>4008</v>
      </c>
      <c r="F1030" s="84" t="s">
        <v>372</v>
      </c>
      <c r="G1030" s="15" t="s">
        <v>27</v>
      </c>
      <c r="H1030" s="16" t="s">
        <v>4009</v>
      </c>
      <c r="I1030" s="17"/>
      <c r="J1030" s="17"/>
      <c r="K1030" s="17"/>
      <c r="L1030" s="17"/>
      <c r="N1030" s="31">
        <v>1028</v>
      </c>
      <c r="O1030" s="32" t="s">
        <v>867</v>
      </c>
      <c r="P1030" s="33" t="s">
        <v>57</v>
      </c>
      <c r="Q1030" s="32" t="s">
        <v>40</v>
      </c>
      <c r="R1030" s="69">
        <v>44270.749942129631</v>
      </c>
      <c r="S1030" s="71">
        <v>44359</v>
      </c>
      <c r="T1030" s="32" t="str">
        <f t="shared" si="65"/>
        <v>+0842-96285***</v>
      </c>
      <c r="U1030" s="32" t="str">
        <f t="shared" ca="1" si="66"/>
        <v>arac***@jossmail.com</v>
      </c>
      <c r="V1030" s="32">
        <f t="shared" si="67"/>
        <v>22</v>
      </c>
      <c r="W1030" s="36">
        <f t="shared" si="68"/>
        <v>0.05</v>
      </c>
    </row>
    <row r="1031" spans="4:23" ht="27" customHeight="1" x14ac:dyDescent="0.25">
      <c r="D1031" s="14" t="s">
        <v>4010</v>
      </c>
      <c r="E1031" s="14" t="s">
        <v>4011</v>
      </c>
      <c r="F1031" s="84" t="s">
        <v>51</v>
      </c>
      <c r="G1031" s="15" t="s">
        <v>27</v>
      </c>
      <c r="H1031" s="16" t="s">
        <v>4012</v>
      </c>
      <c r="I1031" s="17"/>
      <c r="J1031" s="17"/>
      <c r="K1031" s="17"/>
      <c r="L1031" s="17"/>
      <c r="N1031" s="31">
        <v>1029</v>
      </c>
      <c r="O1031" s="32" t="s">
        <v>4013</v>
      </c>
      <c r="P1031" s="33" t="s">
        <v>42</v>
      </c>
      <c r="Q1031" s="32" t="s">
        <v>32</v>
      </c>
      <c r="R1031" s="69">
        <v>44270.801365740743</v>
      </c>
      <c r="S1031" s="71">
        <v>44359</v>
      </c>
      <c r="T1031" s="32" t="str">
        <f t="shared" si="65"/>
        <v>+0812 59388***</v>
      </c>
      <c r="U1031" s="32" t="str">
        <f t="shared" ca="1" si="66"/>
        <v>keel***@yuhuumail.com</v>
      </c>
      <c r="V1031" s="32">
        <f t="shared" si="67"/>
        <v>22</v>
      </c>
      <c r="W1031" s="36">
        <f t="shared" si="68"/>
        <v>0.05</v>
      </c>
    </row>
    <row r="1032" spans="4:23" ht="27" customHeight="1" x14ac:dyDescent="0.25">
      <c r="D1032" s="14" t="s">
        <v>4014</v>
      </c>
      <c r="E1032" s="14" t="s">
        <v>3388</v>
      </c>
      <c r="F1032" s="84" t="s">
        <v>316</v>
      </c>
      <c r="G1032" s="15" t="s">
        <v>27</v>
      </c>
      <c r="H1032" s="16" t="s">
        <v>4015</v>
      </c>
      <c r="I1032" s="17"/>
      <c r="J1032" s="17"/>
      <c r="K1032" s="17"/>
      <c r="L1032" s="17"/>
      <c r="N1032" s="31">
        <v>1030</v>
      </c>
      <c r="O1032" s="32" t="s">
        <v>2278</v>
      </c>
      <c r="P1032" s="33" t="s">
        <v>57</v>
      </c>
      <c r="Q1032" s="32" t="s">
        <v>40</v>
      </c>
      <c r="R1032" s="69">
        <v>44270.770601851851</v>
      </c>
      <c r="S1032" s="71">
        <v>44354</v>
      </c>
      <c r="T1032" s="32" t="str">
        <f t="shared" si="65"/>
        <v>+82284366***</v>
      </c>
      <c r="U1032" s="32" t="str">
        <f t="shared" ca="1" si="66"/>
        <v>erik***@jossmail.com</v>
      </c>
      <c r="V1032" s="32">
        <f t="shared" si="67"/>
        <v>22</v>
      </c>
      <c r="W1032" s="36">
        <f t="shared" si="68"/>
        <v>0.05</v>
      </c>
    </row>
    <row r="1033" spans="4:23" ht="27" customHeight="1" x14ac:dyDescent="0.25">
      <c r="D1033" s="14" t="s">
        <v>4016</v>
      </c>
      <c r="E1033" s="14" t="s">
        <v>3630</v>
      </c>
      <c r="F1033" s="84" t="s">
        <v>1201</v>
      </c>
      <c r="G1033" s="15" t="s">
        <v>27</v>
      </c>
      <c r="H1033" s="16" t="s">
        <v>4017</v>
      </c>
      <c r="I1033" s="17"/>
      <c r="J1033" s="17"/>
      <c r="K1033" s="17"/>
      <c r="L1033" s="17"/>
      <c r="N1033" s="31">
        <v>1031</v>
      </c>
      <c r="O1033" s="32" t="s">
        <v>4018</v>
      </c>
      <c r="P1033" s="33" t="s">
        <v>42</v>
      </c>
      <c r="Q1033" s="32" t="s">
        <v>32</v>
      </c>
      <c r="R1033" s="69">
        <v>44270.812199074076</v>
      </c>
      <c r="S1033" s="71">
        <v>44318</v>
      </c>
      <c r="T1033" s="32" t="str">
        <f t="shared" si="65"/>
        <v>+0832-73031***</v>
      </c>
      <c r="U1033" s="32" t="str">
        <f t="shared" ca="1" si="66"/>
        <v>dali***@jossmail.com</v>
      </c>
      <c r="V1033" s="32">
        <f t="shared" si="67"/>
        <v>22</v>
      </c>
      <c r="W1033" s="36">
        <f t="shared" si="68"/>
        <v>0.05</v>
      </c>
    </row>
    <row r="1034" spans="4:23" ht="27" customHeight="1" x14ac:dyDescent="0.25">
      <c r="D1034" s="14" t="s">
        <v>4019</v>
      </c>
      <c r="E1034" s="14" t="s">
        <v>1269</v>
      </c>
      <c r="F1034" s="84" t="s">
        <v>332</v>
      </c>
      <c r="G1034" s="15" t="s">
        <v>68</v>
      </c>
      <c r="H1034" s="16" t="s">
        <v>4020</v>
      </c>
      <c r="I1034" s="17"/>
      <c r="J1034" s="17"/>
      <c r="K1034" s="17"/>
      <c r="L1034" s="17"/>
      <c r="N1034" s="31">
        <v>1032</v>
      </c>
      <c r="O1034" s="32" t="s">
        <v>1354</v>
      </c>
      <c r="P1034" s="33" t="s">
        <v>57</v>
      </c>
      <c r="Q1034" s="32" t="s">
        <v>40</v>
      </c>
      <c r="R1034" s="69">
        <v>43770.53429398148</v>
      </c>
      <c r="S1034" s="71">
        <v>44362</v>
      </c>
      <c r="T1034" s="32" t="str">
        <f t="shared" si="65"/>
        <v>+0822-73126***</v>
      </c>
      <c r="U1034" s="32" t="str">
        <f t="shared" ca="1" si="66"/>
        <v>kath***@jossmail.com</v>
      </c>
      <c r="V1034" s="32">
        <f t="shared" si="67"/>
        <v>21</v>
      </c>
      <c r="W1034" s="36">
        <f t="shared" si="68"/>
        <v>6.5000000000000002E-2</v>
      </c>
    </row>
    <row r="1035" spans="4:23" ht="27" customHeight="1" x14ac:dyDescent="0.25">
      <c r="D1035" s="14" t="s">
        <v>4021</v>
      </c>
      <c r="E1035" s="14" t="s">
        <v>4022</v>
      </c>
      <c r="F1035" s="84" t="s">
        <v>674</v>
      </c>
      <c r="G1035" s="15" t="s">
        <v>68</v>
      </c>
      <c r="H1035" s="16" t="s">
        <v>4023</v>
      </c>
      <c r="I1035" s="17"/>
      <c r="J1035" s="17"/>
      <c r="K1035" s="17"/>
      <c r="L1035" s="17"/>
      <c r="N1035" s="31">
        <v>1033</v>
      </c>
      <c r="O1035" s="32" t="s">
        <v>4024</v>
      </c>
      <c r="P1035" s="33" t="s">
        <v>31</v>
      </c>
      <c r="Q1035" s="32" t="s">
        <v>32</v>
      </c>
      <c r="R1035" s="69">
        <v>44270.509085648147</v>
      </c>
      <c r="S1035" s="35">
        <v>44362</v>
      </c>
      <c r="T1035" s="32" t="str">
        <f t="shared" si="65"/>
        <v>+0812-97334***</v>
      </c>
      <c r="U1035" s="32" t="str">
        <f t="shared" ca="1" si="66"/>
        <v>tias***@yuhuumail.com</v>
      </c>
      <c r="V1035" s="32">
        <f t="shared" si="67"/>
        <v>22</v>
      </c>
      <c r="W1035" s="36">
        <f t="shared" si="68"/>
        <v>0.05</v>
      </c>
    </row>
    <row r="1036" spans="4:23" ht="27" customHeight="1" x14ac:dyDescent="0.25">
      <c r="D1036" s="14" t="s">
        <v>4025</v>
      </c>
      <c r="E1036" s="14" t="s">
        <v>4026</v>
      </c>
      <c r="F1036" s="84" t="s">
        <v>343</v>
      </c>
      <c r="G1036" s="15" t="s">
        <v>68</v>
      </c>
      <c r="H1036" s="16" t="s">
        <v>4027</v>
      </c>
      <c r="I1036" s="17"/>
      <c r="J1036" s="17"/>
      <c r="K1036" s="17"/>
      <c r="L1036" s="17"/>
      <c r="N1036" s="31">
        <v>1034</v>
      </c>
      <c r="O1036" s="32" t="s">
        <v>1652</v>
      </c>
      <c r="P1036" s="33" t="s">
        <v>31</v>
      </c>
      <c r="Q1036" s="32" t="s">
        <v>40</v>
      </c>
      <c r="R1036" s="69">
        <v>44270.848564814813</v>
      </c>
      <c r="S1036" s="35">
        <v>44356</v>
      </c>
      <c r="T1036" s="32" t="str">
        <f t="shared" si="65"/>
        <v>+0832 19690***</v>
      </c>
      <c r="U1036" s="32" t="str">
        <f t="shared" ca="1" si="66"/>
        <v>mich***@jossmail.com</v>
      </c>
      <c r="V1036" s="32">
        <f t="shared" si="67"/>
        <v>22</v>
      </c>
      <c r="W1036" s="36">
        <f t="shared" si="68"/>
        <v>0.05</v>
      </c>
    </row>
    <row r="1037" spans="4:23" ht="27" customHeight="1" x14ac:dyDescent="0.25">
      <c r="D1037" s="14" t="s">
        <v>4028</v>
      </c>
      <c r="E1037" s="14" t="s">
        <v>4029</v>
      </c>
      <c r="F1037" s="84" t="s">
        <v>280</v>
      </c>
      <c r="G1037" s="15" t="s">
        <v>27</v>
      </c>
      <c r="H1037" s="16" t="s">
        <v>4030</v>
      </c>
      <c r="I1037" s="17"/>
      <c r="J1037" s="17"/>
      <c r="K1037" s="17"/>
      <c r="L1037" s="17"/>
      <c r="N1037" s="31">
        <v>1035</v>
      </c>
      <c r="O1037" s="32" t="s">
        <v>1882</v>
      </c>
      <c r="P1037" s="33" t="s">
        <v>57</v>
      </c>
      <c r="Q1037" s="32" t="s">
        <v>32</v>
      </c>
      <c r="R1037" s="69">
        <v>44268.665578703702</v>
      </c>
      <c r="S1037" s="35">
        <v>44362</v>
      </c>
      <c r="T1037" s="32" t="str">
        <f t="shared" si="65"/>
        <v>+84282135***</v>
      </c>
      <c r="U1037" s="32" t="str">
        <f t="shared" ca="1" si="66"/>
        <v>have***@jossmail.com</v>
      </c>
      <c r="V1037" s="32">
        <f t="shared" si="67"/>
        <v>22</v>
      </c>
      <c r="W1037" s="36">
        <f t="shared" si="68"/>
        <v>0.05</v>
      </c>
    </row>
    <row r="1038" spans="4:23" ht="27" customHeight="1" x14ac:dyDescent="0.25">
      <c r="D1038" s="14" t="s">
        <v>4031</v>
      </c>
      <c r="E1038" s="14" t="s">
        <v>2355</v>
      </c>
      <c r="F1038" s="84" t="s">
        <v>597</v>
      </c>
      <c r="G1038" s="15" t="s">
        <v>68</v>
      </c>
      <c r="H1038" s="16" t="s">
        <v>4032</v>
      </c>
      <c r="I1038" s="17"/>
      <c r="J1038" s="17"/>
      <c r="K1038" s="17"/>
      <c r="L1038" s="17"/>
      <c r="N1038" s="31">
        <v>1036</v>
      </c>
      <c r="O1038" s="32" t="s">
        <v>2924</v>
      </c>
      <c r="P1038" s="33" t="s">
        <v>42</v>
      </c>
      <c r="Q1038" s="32" t="s">
        <v>40</v>
      </c>
      <c r="R1038" s="69">
        <v>44270.864085648151</v>
      </c>
      <c r="S1038" s="35">
        <v>44362</v>
      </c>
      <c r="T1038" s="32" t="str">
        <f t="shared" si="65"/>
        <v>+85259108***</v>
      </c>
      <c r="U1038" s="32" t="str">
        <f t="shared" ca="1" si="66"/>
        <v>enzo***@jossmail.com</v>
      </c>
      <c r="V1038" s="32">
        <f t="shared" si="67"/>
        <v>22</v>
      </c>
      <c r="W1038" s="36">
        <f t="shared" si="68"/>
        <v>0.05</v>
      </c>
    </row>
    <row r="1039" spans="4:23" ht="27" customHeight="1" x14ac:dyDescent="0.25">
      <c r="D1039" s="14" t="s">
        <v>4033</v>
      </c>
      <c r="E1039" s="14" t="s">
        <v>3184</v>
      </c>
      <c r="F1039" s="84" t="s">
        <v>453</v>
      </c>
      <c r="G1039" s="15" t="s">
        <v>27</v>
      </c>
      <c r="H1039" s="16" t="s">
        <v>4034</v>
      </c>
      <c r="I1039" s="17"/>
      <c r="J1039" s="17"/>
      <c r="K1039" s="17"/>
      <c r="L1039" s="17"/>
      <c r="N1039" s="31">
        <v>1037</v>
      </c>
      <c r="O1039" s="32" t="s">
        <v>4035</v>
      </c>
      <c r="P1039" s="33" t="s">
        <v>42</v>
      </c>
      <c r="Q1039" s="32" t="s">
        <v>32</v>
      </c>
      <c r="R1039" s="69">
        <v>44269.829675925925</v>
      </c>
      <c r="S1039" s="35">
        <v>44320</v>
      </c>
      <c r="T1039" s="32" t="str">
        <f t="shared" si="65"/>
        <v>+0822-85202***</v>
      </c>
      <c r="U1039" s="32" t="str">
        <f t="shared" ca="1" si="66"/>
        <v>maia***@jossmail.com</v>
      </c>
      <c r="V1039" s="32">
        <f t="shared" si="67"/>
        <v>22</v>
      </c>
      <c r="W1039" s="36">
        <f t="shared" si="68"/>
        <v>0.05</v>
      </c>
    </row>
    <row r="1040" spans="4:23" ht="27" customHeight="1" x14ac:dyDescent="0.25">
      <c r="D1040" s="14" t="s">
        <v>4036</v>
      </c>
      <c r="E1040" s="14" t="s">
        <v>4037</v>
      </c>
      <c r="F1040" s="84" t="s">
        <v>407</v>
      </c>
      <c r="G1040" s="15" t="s">
        <v>27</v>
      </c>
      <c r="H1040" s="16" t="s">
        <v>4038</v>
      </c>
      <c r="I1040" s="17"/>
      <c r="J1040" s="17"/>
      <c r="K1040" s="17"/>
      <c r="L1040" s="17"/>
      <c r="N1040" s="31">
        <v>1038</v>
      </c>
      <c r="O1040" s="32" t="s">
        <v>4039</v>
      </c>
      <c r="P1040" s="33" t="s">
        <v>31</v>
      </c>
      <c r="Q1040" s="32" t="s">
        <v>40</v>
      </c>
      <c r="R1040" s="69">
        <v>44066.625543981485</v>
      </c>
      <c r="S1040" s="35">
        <v>44319</v>
      </c>
      <c r="T1040" s="32" t="str">
        <f t="shared" si="65"/>
        <v>+6282214267***</v>
      </c>
      <c r="U1040" s="32" t="str">
        <f t="shared" ca="1" si="66"/>
        <v>kelv***@yuhuumail.com</v>
      </c>
      <c r="V1040" s="32">
        <f t="shared" si="67"/>
        <v>21</v>
      </c>
      <c r="W1040" s="36">
        <f t="shared" si="68"/>
        <v>0.05</v>
      </c>
    </row>
    <row r="1041" spans="4:23" ht="27" customHeight="1" x14ac:dyDescent="0.25">
      <c r="D1041" s="14" t="s">
        <v>4040</v>
      </c>
      <c r="E1041" s="14" t="s">
        <v>4041</v>
      </c>
      <c r="F1041" s="84" t="s">
        <v>46</v>
      </c>
      <c r="G1041" s="15" t="s">
        <v>27</v>
      </c>
      <c r="H1041" s="16" t="s">
        <v>4042</v>
      </c>
      <c r="I1041" s="17"/>
      <c r="J1041" s="17"/>
      <c r="K1041" s="17"/>
      <c r="L1041" s="17"/>
      <c r="N1041" s="31">
        <v>1039</v>
      </c>
      <c r="O1041" s="32" t="s">
        <v>4043</v>
      </c>
      <c r="P1041" s="33" t="s">
        <v>42</v>
      </c>
      <c r="Q1041" s="32" t="s">
        <v>32</v>
      </c>
      <c r="R1041" s="69">
        <v>44270.91138888889</v>
      </c>
      <c r="S1041" s="35">
        <v>44361</v>
      </c>
      <c r="T1041" s="32" t="str">
        <f t="shared" si="65"/>
        <v>+081270349***</v>
      </c>
      <c r="U1041" s="32" t="str">
        <f t="shared" ca="1" si="66"/>
        <v>fred***@yuhuumail.com</v>
      </c>
      <c r="V1041" s="32">
        <f t="shared" si="67"/>
        <v>22</v>
      </c>
      <c r="W1041" s="36">
        <f t="shared" si="68"/>
        <v>0.05</v>
      </c>
    </row>
    <row r="1042" spans="4:23" ht="27" customHeight="1" x14ac:dyDescent="0.25">
      <c r="D1042" s="14" t="s">
        <v>4044</v>
      </c>
      <c r="E1042" s="14" t="s">
        <v>2532</v>
      </c>
      <c r="F1042" s="84" t="s">
        <v>159</v>
      </c>
      <c r="G1042" s="15" t="s">
        <v>68</v>
      </c>
      <c r="H1042" s="16" t="s">
        <v>4045</v>
      </c>
      <c r="I1042" s="17"/>
      <c r="J1042" s="17"/>
      <c r="K1042" s="17"/>
      <c r="L1042" s="17"/>
      <c r="N1042" s="31">
        <v>1040</v>
      </c>
      <c r="O1042" s="32" t="s">
        <v>4046</v>
      </c>
      <c r="P1042" s="33" t="s">
        <v>31</v>
      </c>
      <c r="Q1042" s="32" t="s">
        <v>40</v>
      </c>
      <c r="R1042" s="69">
        <v>44270.912326388891</v>
      </c>
      <c r="S1042" s="35">
        <v>44358</v>
      </c>
      <c r="T1042" s="32" t="str">
        <f t="shared" si="65"/>
        <v>+6282213037***</v>
      </c>
      <c r="U1042" s="32" t="str">
        <f t="shared" ca="1" si="66"/>
        <v>mcke***@jossmail.com</v>
      </c>
      <c r="V1042" s="32">
        <f t="shared" si="67"/>
        <v>22</v>
      </c>
      <c r="W1042" s="36">
        <f t="shared" si="68"/>
        <v>0.05</v>
      </c>
    </row>
    <row r="1043" spans="4:23" ht="27" customHeight="1" x14ac:dyDescent="0.25">
      <c r="D1043" s="14" t="s">
        <v>4047</v>
      </c>
      <c r="E1043" s="14" t="s">
        <v>4048</v>
      </c>
      <c r="F1043" s="84" t="s">
        <v>969</v>
      </c>
      <c r="G1043" s="15" t="s">
        <v>27</v>
      </c>
      <c r="H1043" s="16" t="s">
        <v>4049</v>
      </c>
      <c r="I1043" s="17"/>
      <c r="J1043" s="17"/>
      <c r="K1043" s="17"/>
      <c r="L1043" s="17"/>
      <c r="N1043" s="31">
        <v>1041</v>
      </c>
      <c r="O1043" s="32" t="s">
        <v>4050</v>
      </c>
      <c r="P1043" s="33" t="s">
        <v>42</v>
      </c>
      <c r="Q1043" s="32" t="s">
        <v>32</v>
      </c>
      <c r="R1043" s="69">
        <v>43899.695162037038</v>
      </c>
      <c r="S1043" s="35">
        <v>44362</v>
      </c>
      <c r="T1043" s="32" t="str">
        <f t="shared" si="65"/>
        <v>+81293116***</v>
      </c>
      <c r="U1043" s="32" t="str">
        <f t="shared" ca="1" si="66"/>
        <v>lili***@jossmail.com</v>
      </c>
      <c r="V1043" s="32">
        <f t="shared" si="67"/>
        <v>21</v>
      </c>
      <c r="W1043" s="36">
        <f t="shared" si="68"/>
        <v>6.5000000000000002E-2</v>
      </c>
    </row>
    <row r="1044" spans="4:23" ht="27" customHeight="1" x14ac:dyDescent="0.25">
      <c r="D1044" s="14" t="s">
        <v>4051</v>
      </c>
      <c r="E1044" s="14" t="s">
        <v>2035</v>
      </c>
      <c r="F1044" s="84" t="s">
        <v>412</v>
      </c>
      <c r="G1044" s="15" t="s">
        <v>27</v>
      </c>
      <c r="H1044" s="16" t="s">
        <v>4052</v>
      </c>
      <c r="I1044" s="17"/>
      <c r="J1044" s="17"/>
      <c r="K1044" s="17"/>
      <c r="L1044" s="17"/>
      <c r="N1044" s="31">
        <v>1042</v>
      </c>
      <c r="O1044" s="32" t="s">
        <v>193</v>
      </c>
      <c r="P1044" s="33" t="s">
        <v>42</v>
      </c>
      <c r="Q1044" s="32" t="s">
        <v>40</v>
      </c>
      <c r="R1044" s="69">
        <v>44051.648379629631</v>
      </c>
      <c r="S1044" s="35">
        <v>44354</v>
      </c>
      <c r="T1044" s="32" t="str">
        <f t="shared" si="65"/>
        <v>+852 34870***</v>
      </c>
      <c r="U1044" s="32" t="str">
        <f t="shared" ca="1" si="66"/>
        <v>trac***@jossmail.com</v>
      </c>
      <c r="V1044" s="32">
        <f t="shared" si="67"/>
        <v>21</v>
      </c>
      <c r="W1044" s="36">
        <f t="shared" si="68"/>
        <v>0.05</v>
      </c>
    </row>
    <row r="1045" spans="4:23" ht="27" customHeight="1" x14ac:dyDescent="0.25">
      <c r="D1045" s="14" t="s">
        <v>4053</v>
      </c>
      <c r="E1045" s="14" t="s">
        <v>4054</v>
      </c>
      <c r="F1045" s="84" t="s">
        <v>969</v>
      </c>
      <c r="G1045" s="15" t="s">
        <v>68</v>
      </c>
      <c r="H1045" s="16" t="s">
        <v>4055</v>
      </c>
      <c r="I1045" s="17"/>
      <c r="J1045" s="17"/>
      <c r="K1045" s="17"/>
      <c r="L1045" s="17"/>
      <c r="N1045" s="31">
        <v>1043</v>
      </c>
      <c r="O1045" s="32" t="s">
        <v>4056</v>
      </c>
      <c r="P1045" s="33" t="s">
        <v>31</v>
      </c>
      <c r="Q1045" s="32" t="s">
        <v>32</v>
      </c>
      <c r="R1045" s="69">
        <v>44271.018217592595</v>
      </c>
      <c r="S1045" s="35">
        <v>44352</v>
      </c>
      <c r="T1045" s="32" t="str">
        <f t="shared" si="65"/>
        <v>+0822-57047***</v>
      </c>
      <c r="U1045" s="32" t="str">
        <f t="shared" ca="1" si="66"/>
        <v>prec***@jossmail.com</v>
      </c>
      <c r="V1045" s="32">
        <f t="shared" si="67"/>
        <v>22</v>
      </c>
      <c r="W1045" s="36">
        <f t="shared" si="68"/>
        <v>0.05</v>
      </c>
    </row>
    <row r="1046" spans="4:23" ht="27" customHeight="1" x14ac:dyDescent="0.25">
      <c r="D1046" s="14" t="s">
        <v>4057</v>
      </c>
      <c r="E1046" s="14" t="s">
        <v>4058</v>
      </c>
      <c r="F1046" s="84" t="s">
        <v>211</v>
      </c>
      <c r="G1046" s="15" t="s">
        <v>68</v>
      </c>
      <c r="H1046" s="16" t="s">
        <v>4059</v>
      </c>
      <c r="I1046" s="17"/>
      <c r="J1046" s="17"/>
      <c r="K1046" s="17"/>
      <c r="L1046" s="17"/>
      <c r="N1046" s="31">
        <v>1044</v>
      </c>
      <c r="O1046" s="32" t="s">
        <v>4060</v>
      </c>
      <c r="P1046" s="33" t="s">
        <v>42</v>
      </c>
      <c r="Q1046" s="32" t="s">
        <v>40</v>
      </c>
      <c r="R1046" s="69">
        <v>44271.121157407404</v>
      </c>
      <c r="S1046" s="35">
        <v>44359</v>
      </c>
      <c r="T1046" s="32" t="str">
        <f t="shared" si="65"/>
        <v>+6281259470***</v>
      </c>
      <c r="U1046" s="32" t="str">
        <f t="shared" ca="1" si="66"/>
        <v>aade***@jossmail.com</v>
      </c>
      <c r="V1046" s="32">
        <f t="shared" si="67"/>
        <v>22</v>
      </c>
      <c r="W1046" s="36">
        <f t="shared" si="68"/>
        <v>0.05</v>
      </c>
    </row>
    <row r="1047" spans="4:23" ht="27" customHeight="1" x14ac:dyDescent="0.25">
      <c r="D1047" s="14" t="s">
        <v>4061</v>
      </c>
      <c r="E1047" s="14" t="s">
        <v>4062</v>
      </c>
      <c r="F1047" s="84" t="s">
        <v>710</v>
      </c>
      <c r="G1047" s="15" t="s">
        <v>68</v>
      </c>
      <c r="H1047" s="16" t="s">
        <v>4063</v>
      </c>
      <c r="I1047" s="17"/>
      <c r="J1047" s="17"/>
      <c r="K1047" s="17"/>
      <c r="L1047" s="17"/>
      <c r="N1047" s="31">
        <v>1045</v>
      </c>
      <c r="O1047" s="32" t="s">
        <v>1009</v>
      </c>
      <c r="P1047" s="33" t="s">
        <v>31</v>
      </c>
      <c r="Q1047" s="32" t="s">
        <v>32</v>
      </c>
      <c r="R1047" s="69">
        <v>44023.079155092593</v>
      </c>
      <c r="S1047" s="35">
        <v>44359</v>
      </c>
      <c r="T1047" s="32" t="str">
        <f t="shared" si="65"/>
        <v>+83281329***</v>
      </c>
      <c r="U1047" s="32" t="str">
        <f t="shared" ca="1" si="66"/>
        <v>reid***@jossmail.com</v>
      </c>
      <c r="V1047" s="32">
        <f t="shared" si="67"/>
        <v>21</v>
      </c>
      <c r="W1047" s="36">
        <f t="shared" si="68"/>
        <v>0.05</v>
      </c>
    </row>
    <row r="1048" spans="4:23" ht="27" customHeight="1" x14ac:dyDescent="0.25">
      <c r="D1048" s="14" t="s">
        <v>4064</v>
      </c>
      <c r="E1048" s="14" t="s">
        <v>1671</v>
      </c>
      <c r="F1048" s="84" t="s">
        <v>781</v>
      </c>
      <c r="G1048" s="15" t="s">
        <v>27</v>
      </c>
      <c r="H1048" s="16" t="s">
        <v>4065</v>
      </c>
      <c r="I1048" s="17"/>
      <c r="J1048" s="17"/>
      <c r="K1048" s="17"/>
      <c r="L1048" s="17"/>
      <c r="N1048" s="31">
        <v>1046</v>
      </c>
      <c r="O1048" s="32" t="s">
        <v>4066</v>
      </c>
      <c r="P1048" s="33" t="s">
        <v>42</v>
      </c>
      <c r="Q1048" s="32" t="s">
        <v>40</v>
      </c>
      <c r="R1048" s="69">
        <v>44271.160729166666</v>
      </c>
      <c r="S1048" s="35">
        <v>44356</v>
      </c>
      <c r="T1048" s="32" t="str">
        <f t="shared" si="65"/>
        <v>+0832 37474***</v>
      </c>
      <c r="U1048" s="32" t="str">
        <f t="shared" ca="1" si="66"/>
        <v>yand***@yuhuumail.com</v>
      </c>
      <c r="V1048" s="32">
        <f t="shared" si="67"/>
        <v>22</v>
      </c>
      <c r="W1048" s="36">
        <f t="shared" si="68"/>
        <v>0.05</v>
      </c>
    </row>
    <row r="1049" spans="4:23" ht="27" customHeight="1" x14ac:dyDescent="0.25">
      <c r="D1049" s="14" t="s">
        <v>4067</v>
      </c>
      <c r="E1049" s="14" t="s">
        <v>4068</v>
      </c>
      <c r="F1049" s="84" t="s">
        <v>92</v>
      </c>
      <c r="G1049" s="15" t="s">
        <v>27</v>
      </c>
      <c r="H1049" s="16" t="s">
        <v>4069</v>
      </c>
      <c r="I1049" s="17"/>
      <c r="J1049" s="17"/>
      <c r="K1049" s="17"/>
      <c r="L1049" s="17"/>
      <c r="N1049" s="31">
        <v>1047</v>
      </c>
      <c r="O1049" s="32" t="s">
        <v>4070</v>
      </c>
      <c r="P1049" s="33" t="s">
        <v>31</v>
      </c>
      <c r="Q1049" s="32" t="s">
        <v>32</v>
      </c>
      <c r="R1049" s="69">
        <v>44271.374259259261</v>
      </c>
      <c r="S1049" s="71">
        <v>44320</v>
      </c>
      <c r="T1049" s="32" t="str">
        <f t="shared" si="65"/>
        <v>+0842-43714***</v>
      </c>
      <c r="U1049" s="32" t="str">
        <f t="shared" ca="1" si="66"/>
        <v>ashl***@jossmail.com</v>
      </c>
      <c r="V1049" s="32">
        <f t="shared" si="67"/>
        <v>22</v>
      </c>
      <c r="W1049" s="36">
        <f t="shared" si="68"/>
        <v>0.05</v>
      </c>
    </row>
    <row r="1050" spans="4:23" ht="27" customHeight="1" x14ac:dyDescent="0.25">
      <c r="D1050" s="14" t="s">
        <v>4071</v>
      </c>
      <c r="E1050" s="14" t="s">
        <v>4070</v>
      </c>
      <c r="F1050" s="84" t="s">
        <v>239</v>
      </c>
      <c r="G1050" s="15" t="s">
        <v>27</v>
      </c>
      <c r="H1050" s="16" t="s">
        <v>4072</v>
      </c>
      <c r="I1050" s="17"/>
      <c r="J1050" s="17"/>
      <c r="K1050" s="17"/>
      <c r="L1050" s="17"/>
      <c r="N1050" s="31">
        <v>1048</v>
      </c>
      <c r="O1050" s="32" t="s">
        <v>4073</v>
      </c>
      <c r="P1050" s="33" t="s">
        <v>57</v>
      </c>
      <c r="Q1050" s="32" t="s">
        <v>40</v>
      </c>
      <c r="R1050" s="69">
        <v>44104.409305555557</v>
      </c>
      <c r="S1050" s="71">
        <v>44352</v>
      </c>
      <c r="T1050" s="32" t="str">
        <f t="shared" si="65"/>
        <v>+0842 42241***</v>
      </c>
      <c r="U1050" s="32" t="str">
        <f t="shared" ca="1" si="66"/>
        <v>dami***@jossmail.com</v>
      </c>
      <c r="V1050" s="32">
        <f t="shared" si="67"/>
        <v>21</v>
      </c>
      <c r="W1050" s="36">
        <f t="shared" si="68"/>
        <v>0.05</v>
      </c>
    </row>
    <row r="1051" spans="4:23" ht="27" customHeight="1" x14ac:dyDescent="0.25">
      <c r="D1051" s="14" t="s">
        <v>4074</v>
      </c>
      <c r="E1051" s="14" t="s">
        <v>3443</v>
      </c>
      <c r="F1051" s="84" t="s">
        <v>566</v>
      </c>
      <c r="G1051" s="15" t="s">
        <v>68</v>
      </c>
      <c r="H1051" s="16" t="s">
        <v>4075</v>
      </c>
      <c r="I1051" s="17"/>
      <c r="J1051" s="17"/>
      <c r="K1051" s="17"/>
      <c r="L1051" s="17"/>
      <c r="N1051" s="31">
        <v>1049</v>
      </c>
      <c r="O1051" s="32" t="s">
        <v>4076</v>
      </c>
      <c r="P1051" s="33" t="s">
        <v>31</v>
      </c>
      <c r="Q1051" s="32" t="s">
        <v>32</v>
      </c>
      <c r="R1051" s="69">
        <v>44261.30327546296</v>
      </c>
      <c r="S1051" s="71">
        <v>44318</v>
      </c>
      <c r="T1051" s="32" t="str">
        <f t="shared" si="65"/>
        <v>+6281260493***</v>
      </c>
      <c r="U1051" s="32" t="str">
        <f t="shared" ca="1" si="66"/>
        <v>cars***@jossmail.com</v>
      </c>
      <c r="V1051" s="32">
        <f t="shared" si="67"/>
        <v>22</v>
      </c>
      <c r="W1051" s="36">
        <f t="shared" si="68"/>
        <v>0.05</v>
      </c>
    </row>
    <row r="1052" spans="4:23" ht="27" customHeight="1" x14ac:dyDescent="0.25">
      <c r="D1052" s="14" t="s">
        <v>4077</v>
      </c>
      <c r="E1052" s="14" t="s">
        <v>4078</v>
      </c>
      <c r="F1052" s="84" t="s">
        <v>407</v>
      </c>
      <c r="G1052" s="15" t="s">
        <v>68</v>
      </c>
      <c r="H1052" s="16" t="s">
        <v>4079</v>
      </c>
      <c r="I1052" s="17"/>
      <c r="J1052" s="17"/>
      <c r="K1052" s="17"/>
      <c r="L1052" s="17"/>
      <c r="N1052" s="31">
        <v>1050</v>
      </c>
      <c r="O1052" s="32" t="s">
        <v>4080</v>
      </c>
      <c r="P1052" s="33" t="s">
        <v>42</v>
      </c>
      <c r="Q1052" s="32" t="s">
        <v>40</v>
      </c>
      <c r="R1052" s="69">
        <v>44271.434918981482</v>
      </c>
      <c r="S1052" s="71">
        <v>44354</v>
      </c>
      <c r="T1052" s="32" t="str">
        <f t="shared" si="65"/>
        <v>+0852-45169***</v>
      </c>
      <c r="U1052" s="32" t="str">
        <f t="shared" ca="1" si="66"/>
        <v>levi***@yuhuumail.com</v>
      </c>
      <c r="V1052" s="32">
        <f t="shared" si="67"/>
        <v>22</v>
      </c>
      <c r="W1052" s="36">
        <f t="shared" si="68"/>
        <v>0.05</v>
      </c>
    </row>
    <row r="1053" spans="4:23" ht="27" customHeight="1" x14ac:dyDescent="0.25">
      <c r="D1053" s="14" t="s">
        <v>4081</v>
      </c>
      <c r="E1053" s="14" t="s">
        <v>4082</v>
      </c>
      <c r="F1053" s="84" t="s">
        <v>592</v>
      </c>
      <c r="G1053" s="15" t="s">
        <v>27</v>
      </c>
      <c r="H1053" s="16" t="s">
        <v>4083</v>
      </c>
      <c r="I1053" s="17"/>
      <c r="J1053" s="17"/>
      <c r="K1053" s="17"/>
      <c r="L1053" s="17"/>
      <c r="N1053" s="31">
        <v>1051</v>
      </c>
      <c r="O1053" s="32" t="s">
        <v>4084</v>
      </c>
      <c r="P1053" s="33" t="s">
        <v>57</v>
      </c>
      <c r="Q1053" s="32" t="s">
        <v>32</v>
      </c>
      <c r="R1053" s="69">
        <v>44271.432280092595</v>
      </c>
      <c r="S1053" s="71">
        <v>44356</v>
      </c>
      <c r="T1053" s="32" t="str">
        <f t="shared" si="65"/>
        <v>+81274676***</v>
      </c>
      <c r="U1053" s="32" t="str">
        <f t="shared" ca="1" si="66"/>
        <v>edit***@yuhuumail.com</v>
      </c>
      <c r="V1053" s="32">
        <f t="shared" si="67"/>
        <v>22</v>
      </c>
      <c r="W1053" s="36">
        <f t="shared" si="68"/>
        <v>0.05</v>
      </c>
    </row>
    <row r="1054" spans="4:23" ht="27" customHeight="1" x14ac:dyDescent="0.25">
      <c r="D1054" s="14" t="s">
        <v>4085</v>
      </c>
      <c r="E1054" s="14" t="s">
        <v>4086</v>
      </c>
      <c r="F1054" s="84" t="s">
        <v>1525</v>
      </c>
      <c r="G1054" s="15" t="s">
        <v>68</v>
      </c>
      <c r="H1054" s="16" t="s">
        <v>4087</v>
      </c>
      <c r="I1054" s="17"/>
      <c r="J1054" s="17"/>
      <c r="K1054" s="17"/>
      <c r="L1054" s="17"/>
      <c r="N1054" s="31">
        <v>1052</v>
      </c>
      <c r="O1054" s="32" t="s">
        <v>4088</v>
      </c>
      <c r="P1054" s="33" t="s">
        <v>31</v>
      </c>
      <c r="Q1054" s="32" t="s">
        <v>40</v>
      </c>
      <c r="R1054" s="69">
        <v>44271.479062500002</v>
      </c>
      <c r="S1054" s="71">
        <v>44362</v>
      </c>
      <c r="T1054" s="32" t="str">
        <f t="shared" si="65"/>
        <v>+6282228133***</v>
      </c>
      <c r="U1054" s="32" t="str">
        <f t="shared" ca="1" si="66"/>
        <v>sara***@yuhuumail.com</v>
      </c>
      <c r="V1054" s="32">
        <f t="shared" si="67"/>
        <v>22</v>
      </c>
      <c r="W1054" s="36">
        <f t="shared" si="68"/>
        <v>0.05</v>
      </c>
    </row>
    <row r="1055" spans="4:23" ht="27" customHeight="1" x14ac:dyDescent="0.25">
      <c r="D1055" s="14" t="s">
        <v>4089</v>
      </c>
      <c r="E1055" s="14" t="s">
        <v>1892</v>
      </c>
      <c r="F1055" s="84" t="s">
        <v>381</v>
      </c>
      <c r="G1055" s="15" t="s">
        <v>68</v>
      </c>
      <c r="H1055" s="16" t="s">
        <v>4090</v>
      </c>
      <c r="I1055" s="17"/>
      <c r="J1055" s="17"/>
      <c r="K1055" s="17"/>
      <c r="L1055" s="17"/>
      <c r="N1055" s="31">
        <v>1053</v>
      </c>
      <c r="O1055" s="32" t="s">
        <v>1083</v>
      </c>
      <c r="P1055" s="33" t="s">
        <v>31</v>
      </c>
      <c r="Q1055" s="32" t="s">
        <v>32</v>
      </c>
      <c r="R1055" s="69">
        <v>44271.518564814818</v>
      </c>
      <c r="S1055" s="71">
        <v>44356</v>
      </c>
      <c r="T1055" s="32" t="str">
        <f t="shared" si="65"/>
        <v>+812 82589***</v>
      </c>
      <c r="U1055" s="32" t="str">
        <f t="shared" ca="1" si="66"/>
        <v>trip***@yuhuumail.com</v>
      </c>
      <c r="V1055" s="32">
        <f t="shared" si="67"/>
        <v>22</v>
      </c>
      <c r="W1055" s="36">
        <f t="shared" si="68"/>
        <v>0.05</v>
      </c>
    </row>
    <row r="1056" spans="4:23" ht="27" customHeight="1" x14ac:dyDescent="0.25">
      <c r="D1056" s="14" t="s">
        <v>4091</v>
      </c>
      <c r="E1056" s="14" t="s">
        <v>4092</v>
      </c>
      <c r="F1056" s="84" t="s">
        <v>290</v>
      </c>
      <c r="G1056" s="15" t="s">
        <v>27</v>
      </c>
      <c r="H1056" s="16" t="s">
        <v>4093</v>
      </c>
      <c r="I1056" s="17"/>
      <c r="J1056" s="17"/>
      <c r="K1056" s="17"/>
      <c r="L1056" s="17"/>
      <c r="N1056" s="31">
        <v>1054</v>
      </c>
      <c r="O1056" s="32" t="s">
        <v>4094</v>
      </c>
      <c r="P1056" s="33" t="s">
        <v>42</v>
      </c>
      <c r="Q1056" s="32" t="s">
        <v>40</v>
      </c>
      <c r="R1056" s="69">
        <v>44271.539699074077</v>
      </c>
      <c r="S1056" s="71">
        <v>44351</v>
      </c>
      <c r="T1056" s="32" t="str">
        <f t="shared" si="65"/>
        <v>+84265186***</v>
      </c>
      <c r="U1056" s="32" t="str">
        <f t="shared" ca="1" si="66"/>
        <v>liam***@yuhuumail.com</v>
      </c>
      <c r="V1056" s="32">
        <f t="shared" si="67"/>
        <v>22</v>
      </c>
      <c r="W1056" s="36">
        <f t="shared" si="68"/>
        <v>0.05</v>
      </c>
    </row>
    <row r="1057" spans="4:23" ht="27" customHeight="1" x14ac:dyDescent="0.25">
      <c r="D1057" s="14" t="s">
        <v>4095</v>
      </c>
      <c r="E1057" s="14" t="s">
        <v>450</v>
      </c>
      <c r="F1057" s="84" t="s">
        <v>494</v>
      </c>
      <c r="G1057" s="15" t="s">
        <v>27</v>
      </c>
      <c r="H1057" s="16" t="s">
        <v>4096</v>
      </c>
      <c r="I1057" s="17"/>
      <c r="J1057" s="17"/>
      <c r="K1057" s="17"/>
      <c r="L1057" s="17"/>
      <c r="N1057" s="31">
        <v>1055</v>
      </c>
      <c r="O1057" s="32" t="s">
        <v>4097</v>
      </c>
      <c r="P1057" s="33" t="s">
        <v>57</v>
      </c>
      <c r="Q1057" s="32" t="s">
        <v>32</v>
      </c>
      <c r="R1057" s="69">
        <v>44271.584085648145</v>
      </c>
      <c r="S1057" s="71">
        <v>44356</v>
      </c>
      <c r="T1057" s="32" t="str">
        <f t="shared" si="65"/>
        <v>+0832 31748***</v>
      </c>
      <c r="U1057" s="32" t="str">
        <f t="shared" ca="1" si="66"/>
        <v>cind***@yuhuumail.com</v>
      </c>
      <c r="V1057" s="32">
        <f t="shared" si="67"/>
        <v>22</v>
      </c>
      <c r="W1057" s="36">
        <f t="shared" si="68"/>
        <v>0.05</v>
      </c>
    </row>
    <row r="1058" spans="4:23" ht="27" customHeight="1" x14ac:dyDescent="0.25">
      <c r="D1058" s="14" t="s">
        <v>4098</v>
      </c>
      <c r="E1058" s="14" t="s">
        <v>4099</v>
      </c>
      <c r="F1058" s="84" t="s">
        <v>444</v>
      </c>
      <c r="G1058" s="15" t="s">
        <v>68</v>
      </c>
      <c r="H1058" s="16" t="s">
        <v>4100</v>
      </c>
      <c r="I1058" s="17"/>
      <c r="J1058" s="17"/>
      <c r="K1058" s="17"/>
      <c r="L1058" s="17"/>
      <c r="N1058" s="31">
        <v>1056</v>
      </c>
      <c r="O1058" s="32" t="s">
        <v>3801</v>
      </c>
      <c r="P1058" s="33" t="s">
        <v>42</v>
      </c>
      <c r="Q1058" s="32" t="s">
        <v>40</v>
      </c>
      <c r="R1058" s="69">
        <v>44267.747129629628</v>
      </c>
      <c r="S1058" s="71">
        <v>44359</v>
      </c>
      <c r="T1058" s="32" t="str">
        <f t="shared" si="65"/>
        <v>+0852-24827***</v>
      </c>
      <c r="U1058" s="32" t="str">
        <f t="shared" ca="1" si="66"/>
        <v>bria***@yuhuumail.com</v>
      </c>
      <c r="V1058" s="32">
        <f t="shared" si="67"/>
        <v>22</v>
      </c>
      <c r="W1058" s="36">
        <f t="shared" si="68"/>
        <v>0.05</v>
      </c>
    </row>
    <row r="1059" spans="4:23" ht="27" customHeight="1" x14ac:dyDescent="0.25">
      <c r="D1059" s="14" t="s">
        <v>4101</v>
      </c>
      <c r="E1059" s="14" t="s">
        <v>2866</v>
      </c>
      <c r="F1059" s="84" t="s">
        <v>422</v>
      </c>
      <c r="G1059" s="15" t="s">
        <v>27</v>
      </c>
      <c r="H1059" s="16" t="s">
        <v>4102</v>
      </c>
      <c r="I1059" s="17"/>
      <c r="J1059" s="17"/>
      <c r="K1059" s="17"/>
      <c r="L1059" s="17"/>
      <c r="N1059" s="31">
        <v>1057</v>
      </c>
      <c r="O1059" s="32" t="s">
        <v>1516</v>
      </c>
      <c r="P1059" s="33" t="s">
        <v>57</v>
      </c>
      <c r="Q1059" s="32" t="s">
        <v>32</v>
      </c>
      <c r="R1059" s="69">
        <v>44271.613958333335</v>
      </c>
      <c r="S1059" s="71">
        <v>44354</v>
      </c>
      <c r="T1059" s="32" t="str">
        <f t="shared" si="65"/>
        <v>+84256128***</v>
      </c>
      <c r="U1059" s="32" t="str">
        <f t="shared" ca="1" si="66"/>
        <v>nath***@yuhuumail.com</v>
      </c>
      <c r="V1059" s="32">
        <f t="shared" si="67"/>
        <v>22</v>
      </c>
      <c r="W1059" s="36">
        <f t="shared" si="68"/>
        <v>0.05</v>
      </c>
    </row>
    <row r="1060" spans="4:23" ht="27" customHeight="1" x14ac:dyDescent="0.25">
      <c r="D1060" s="14" t="s">
        <v>4103</v>
      </c>
      <c r="E1060" s="14" t="s">
        <v>4104</v>
      </c>
      <c r="F1060" s="84" t="s">
        <v>302</v>
      </c>
      <c r="G1060" s="15" t="s">
        <v>68</v>
      </c>
      <c r="H1060" s="16" t="s">
        <v>4105</v>
      </c>
      <c r="I1060" s="17"/>
      <c r="J1060" s="17"/>
      <c r="K1060" s="17"/>
      <c r="L1060" s="17"/>
      <c r="N1060" s="31">
        <v>1058</v>
      </c>
      <c r="O1060" s="32" t="s">
        <v>4106</v>
      </c>
      <c r="P1060" s="33" t="s">
        <v>42</v>
      </c>
      <c r="Q1060" s="32" t="s">
        <v>40</v>
      </c>
      <c r="R1060" s="69">
        <v>43912.781365740739</v>
      </c>
      <c r="S1060" s="71">
        <v>44318</v>
      </c>
      <c r="T1060" s="32" t="str">
        <f t="shared" si="65"/>
        <v>+832 81327***</v>
      </c>
      <c r="U1060" s="32" t="str">
        <f t="shared" ca="1" si="66"/>
        <v>caro***@jossmail.com</v>
      </c>
      <c r="V1060" s="32">
        <f t="shared" si="67"/>
        <v>21</v>
      </c>
      <c r="W1060" s="36">
        <f t="shared" si="68"/>
        <v>6.5000000000000002E-2</v>
      </c>
    </row>
    <row r="1061" spans="4:23" ht="27" customHeight="1" x14ac:dyDescent="0.25">
      <c r="D1061" s="14" t="s">
        <v>4107</v>
      </c>
      <c r="E1061" s="14" t="s">
        <v>4108</v>
      </c>
      <c r="F1061" s="84" t="s">
        <v>46</v>
      </c>
      <c r="G1061" s="15" t="s">
        <v>27</v>
      </c>
      <c r="H1061" s="16" t="s">
        <v>4109</v>
      </c>
      <c r="I1061" s="17"/>
      <c r="J1061" s="17"/>
      <c r="K1061" s="17"/>
      <c r="L1061" s="17"/>
      <c r="N1061" s="31">
        <v>1059</v>
      </c>
      <c r="O1061" s="32" t="s">
        <v>4110</v>
      </c>
      <c r="P1061" s="33" t="s">
        <v>31</v>
      </c>
      <c r="Q1061" s="32" t="s">
        <v>32</v>
      </c>
      <c r="R1061" s="69">
        <v>44271.651782407411</v>
      </c>
      <c r="S1061" s="71">
        <v>44352</v>
      </c>
      <c r="T1061" s="32" t="str">
        <f t="shared" si="65"/>
        <v>+842 57663***</v>
      </c>
      <c r="U1061" s="32" t="str">
        <f t="shared" ca="1" si="66"/>
        <v>lily***@jossmail.com</v>
      </c>
      <c r="V1061" s="32">
        <f t="shared" si="67"/>
        <v>22</v>
      </c>
      <c r="W1061" s="36">
        <f t="shared" si="68"/>
        <v>0.05</v>
      </c>
    </row>
    <row r="1062" spans="4:23" ht="27" customHeight="1" x14ac:dyDescent="0.25">
      <c r="D1062" s="14" t="s">
        <v>4111</v>
      </c>
      <c r="E1062" s="14" t="s">
        <v>3538</v>
      </c>
      <c r="F1062" s="84" t="s">
        <v>566</v>
      </c>
      <c r="G1062" s="15" t="s">
        <v>68</v>
      </c>
      <c r="H1062" s="16" t="s">
        <v>4112</v>
      </c>
      <c r="I1062" s="17"/>
      <c r="J1062" s="17"/>
      <c r="K1062" s="17"/>
      <c r="L1062" s="17"/>
      <c r="N1062" s="31">
        <v>1060</v>
      </c>
      <c r="O1062" s="32" t="s">
        <v>4113</v>
      </c>
      <c r="P1062" s="33" t="s">
        <v>42</v>
      </c>
      <c r="Q1062" s="32" t="s">
        <v>40</v>
      </c>
      <c r="R1062" s="69">
        <v>44271.644768518519</v>
      </c>
      <c r="S1062" s="71">
        <v>44356</v>
      </c>
      <c r="T1062" s="32" t="str">
        <f t="shared" si="65"/>
        <v>+0852 94808***</v>
      </c>
      <c r="U1062" s="32" t="str">
        <f t="shared" ca="1" si="66"/>
        <v>sime***@yuhuumail.com</v>
      </c>
      <c r="V1062" s="32">
        <f t="shared" si="67"/>
        <v>22</v>
      </c>
      <c r="W1062" s="36">
        <f t="shared" si="68"/>
        <v>0.05</v>
      </c>
    </row>
    <row r="1063" spans="4:23" ht="27" customHeight="1" x14ac:dyDescent="0.25">
      <c r="D1063" s="14" t="s">
        <v>4114</v>
      </c>
      <c r="E1063" s="14" t="s">
        <v>1646</v>
      </c>
      <c r="F1063" s="84" t="s">
        <v>952</v>
      </c>
      <c r="G1063" s="15" t="s">
        <v>27</v>
      </c>
      <c r="H1063" s="16" t="s">
        <v>4115</v>
      </c>
      <c r="I1063" s="17"/>
      <c r="J1063" s="17"/>
      <c r="K1063" s="17"/>
      <c r="L1063" s="17"/>
      <c r="N1063" s="31">
        <v>1061</v>
      </c>
      <c r="O1063" s="32" t="s">
        <v>4116</v>
      </c>
      <c r="P1063" s="33" t="s">
        <v>57</v>
      </c>
      <c r="Q1063" s="32" t="s">
        <v>32</v>
      </c>
      <c r="R1063" s="69">
        <v>44270.843553240738</v>
      </c>
      <c r="S1063" s="71">
        <v>44352</v>
      </c>
      <c r="T1063" s="32" t="str">
        <f t="shared" si="65"/>
        <v>+81225227***</v>
      </c>
      <c r="U1063" s="32" t="str">
        <f t="shared" ca="1" si="66"/>
        <v>cedr***@yuhuumail.com</v>
      </c>
      <c r="V1063" s="32">
        <f t="shared" si="67"/>
        <v>22</v>
      </c>
      <c r="W1063" s="36">
        <f t="shared" si="68"/>
        <v>0.05</v>
      </c>
    </row>
    <row r="1064" spans="4:23" ht="27" customHeight="1" x14ac:dyDescent="0.25">
      <c r="D1064" s="14" t="s">
        <v>4117</v>
      </c>
      <c r="E1064" s="14" t="s">
        <v>4118</v>
      </c>
      <c r="F1064" s="84" t="s">
        <v>239</v>
      </c>
      <c r="G1064" s="15" t="s">
        <v>27</v>
      </c>
      <c r="H1064" s="16" t="s">
        <v>4119</v>
      </c>
      <c r="I1064" s="17"/>
      <c r="J1064" s="17"/>
      <c r="K1064" s="17"/>
      <c r="L1064" s="17"/>
      <c r="N1064" s="31">
        <v>1062</v>
      </c>
      <c r="O1064" s="32" t="s">
        <v>4120</v>
      </c>
      <c r="P1064" s="33" t="s">
        <v>31</v>
      </c>
      <c r="Q1064" s="32" t="s">
        <v>40</v>
      </c>
      <c r="R1064" s="69">
        <v>44271.747349537036</v>
      </c>
      <c r="S1064" s="71">
        <v>44318</v>
      </c>
      <c r="T1064" s="32" t="str">
        <f t="shared" si="65"/>
        <v>+0812-16503***</v>
      </c>
      <c r="U1064" s="32" t="str">
        <f t="shared" ca="1" si="66"/>
        <v>ryle***@jossmail.com</v>
      </c>
      <c r="V1064" s="32">
        <f t="shared" si="67"/>
        <v>22</v>
      </c>
      <c r="W1064" s="36">
        <f t="shared" si="68"/>
        <v>0.05</v>
      </c>
    </row>
    <row r="1065" spans="4:23" ht="27" customHeight="1" x14ac:dyDescent="0.25">
      <c r="D1065" s="14" t="s">
        <v>4121</v>
      </c>
      <c r="E1065" s="14" t="s">
        <v>4122</v>
      </c>
      <c r="F1065" s="84" t="s">
        <v>508</v>
      </c>
      <c r="G1065" s="15" t="s">
        <v>27</v>
      </c>
      <c r="H1065" s="16" t="s">
        <v>4123</v>
      </c>
      <c r="I1065" s="17"/>
      <c r="J1065" s="17"/>
      <c r="K1065" s="17"/>
      <c r="L1065" s="17"/>
      <c r="N1065" s="31">
        <v>1063</v>
      </c>
      <c r="O1065" s="32" t="s">
        <v>4124</v>
      </c>
      <c r="P1065" s="33" t="s">
        <v>42</v>
      </c>
      <c r="Q1065" s="32" t="s">
        <v>32</v>
      </c>
      <c r="R1065" s="69">
        <v>44271.731226851851</v>
      </c>
      <c r="S1065" s="71">
        <v>44362</v>
      </c>
      <c r="T1065" s="32" t="str">
        <f t="shared" si="65"/>
        <v>+0812 60013***</v>
      </c>
      <c r="U1065" s="32" t="str">
        <f t="shared" ca="1" si="66"/>
        <v>abra***@yuhuumail.com</v>
      </c>
      <c r="V1065" s="32">
        <f t="shared" si="67"/>
        <v>22</v>
      </c>
      <c r="W1065" s="36">
        <f t="shared" si="68"/>
        <v>0.05</v>
      </c>
    </row>
    <row r="1066" spans="4:23" ht="27" customHeight="1" x14ac:dyDescent="0.25">
      <c r="D1066" s="14" t="s">
        <v>4125</v>
      </c>
      <c r="E1066" s="14" t="s">
        <v>4126</v>
      </c>
      <c r="F1066" s="84" t="s">
        <v>1716</v>
      </c>
      <c r="G1066" s="15" t="s">
        <v>27</v>
      </c>
      <c r="H1066" s="16" t="s">
        <v>4127</v>
      </c>
      <c r="I1066" s="17"/>
      <c r="J1066" s="17"/>
      <c r="K1066" s="17"/>
      <c r="L1066" s="17"/>
      <c r="N1066" s="31">
        <v>1064</v>
      </c>
      <c r="O1066" s="32" t="s">
        <v>2572</v>
      </c>
      <c r="P1066" s="33" t="s">
        <v>42</v>
      </c>
      <c r="Q1066" s="32" t="s">
        <v>40</v>
      </c>
      <c r="R1066" s="69">
        <v>44271.748969907407</v>
      </c>
      <c r="S1066" s="71">
        <v>44359</v>
      </c>
      <c r="T1066" s="32" t="str">
        <f t="shared" si="65"/>
        <v>+6282290319***</v>
      </c>
      <c r="U1066" s="32" t="str">
        <f t="shared" ca="1" si="66"/>
        <v>tris***@yuhuumail.com</v>
      </c>
      <c r="V1066" s="32">
        <f t="shared" si="67"/>
        <v>22</v>
      </c>
      <c r="W1066" s="36">
        <f t="shared" si="68"/>
        <v>0.05</v>
      </c>
    </row>
    <row r="1067" spans="4:23" ht="27" customHeight="1" x14ac:dyDescent="0.25">
      <c r="D1067" s="14" t="s">
        <v>4128</v>
      </c>
      <c r="E1067" s="14" t="s">
        <v>4129</v>
      </c>
      <c r="F1067" s="84" t="s">
        <v>1716</v>
      </c>
      <c r="G1067" s="15" t="s">
        <v>27</v>
      </c>
      <c r="H1067" s="16" t="s">
        <v>4130</v>
      </c>
      <c r="I1067" s="17"/>
      <c r="J1067" s="17"/>
      <c r="K1067" s="17"/>
      <c r="L1067" s="17"/>
      <c r="N1067" s="31">
        <v>1065</v>
      </c>
      <c r="O1067" s="32" t="s">
        <v>4131</v>
      </c>
      <c r="P1067" s="33" t="s">
        <v>31</v>
      </c>
      <c r="Q1067" s="32" t="s">
        <v>32</v>
      </c>
      <c r="R1067" s="69">
        <v>44269.726388888892</v>
      </c>
      <c r="S1067" s="71">
        <v>44354</v>
      </c>
      <c r="T1067" s="32" t="str">
        <f t="shared" si="65"/>
        <v>+0832-32018***</v>
      </c>
      <c r="U1067" s="32" t="str">
        <f t="shared" ca="1" si="66"/>
        <v>tomm***@yuhuumail.com</v>
      </c>
      <c r="V1067" s="32">
        <f t="shared" si="67"/>
        <v>22</v>
      </c>
      <c r="W1067" s="36">
        <f t="shared" si="68"/>
        <v>0.05</v>
      </c>
    </row>
    <row r="1068" spans="4:23" ht="27" customHeight="1" x14ac:dyDescent="0.25">
      <c r="D1068" s="14" t="s">
        <v>4132</v>
      </c>
      <c r="E1068" s="14" t="s">
        <v>4133</v>
      </c>
      <c r="F1068" s="84" t="s">
        <v>348</v>
      </c>
      <c r="G1068" s="15" t="s">
        <v>68</v>
      </c>
      <c r="H1068" s="16" t="s">
        <v>4134</v>
      </c>
      <c r="I1068" s="17"/>
      <c r="J1068" s="17"/>
      <c r="K1068" s="17"/>
      <c r="L1068" s="17"/>
      <c r="N1068" s="31">
        <v>1066</v>
      </c>
      <c r="O1068" s="32" t="s">
        <v>2823</v>
      </c>
      <c r="P1068" s="33" t="s">
        <v>57</v>
      </c>
      <c r="Q1068" s="32" t="s">
        <v>40</v>
      </c>
      <c r="R1068" s="69">
        <v>44271.750810185185</v>
      </c>
      <c r="S1068" s="71">
        <v>44352</v>
      </c>
      <c r="T1068" s="32" t="str">
        <f t="shared" si="65"/>
        <v>+6285294558***</v>
      </c>
      <c r="U1068" s="32" t="str">
        <f t="shared" ca="1" si="66"/>
        <v>hele***@yuhuumail.com</v>
      </c>
      <c r="V1068" s="32">
        <f t="shared" si="67"/>
        <v>22</v>
      </c>
      <c r="W1068" s="36">
        <f t="shared" si="68"/>
        <v>0.05</v>
      </c>
    </row>
    <row r="1069" spans="4:23" ht="27" customHeight="1" x14ac:dyDescent="0.25">
      <c r="D1069" s="14" t="s">
        <v>4135</v>
      </c>
      <c r="E1069" s="14" t="s">
        <v>4136</v>
      </c>
      <c r="F1069" s="84" t="s">
        <v>627</v>
      </c>
      <c r="G1069" s="15" t="s">
        <v>27</v>
      </c>
      <c r="H1069" s="16" t="s">
        <v>4137</v>
      </c>
      <c r="I1069" s="17"/>
      <c r="J1069" s="17"/>
      <c r="K1069" s="17"/>
      <c r="L1069" s="17"/>
      <c r="N1069" s="31">
        <v>1067</v>
      </c>
      <c r="O1069" s="32" t="s">
        <v>4138</v>
      </c>
      <c r="P1069" s="33" t="s">
        <v>31</v>
      </c>
      <c r="Q1069" s="32" t="s">
        <v>32</v>
      </c>
      <c r="R1069" s="69">
        <v>44271.815694444442</v>
      </c>
      <c r="S1069" s="35">
        <v>44320</v>
      </c>
      <c r="T1069" s="32" t="str">
        <f t="shared" si="65"/>
        <v>+83214872***</v>
      </c>
      <c r="U1069" s="32" t="str">
        <f t="shared" ca="1" si="66"/>
        <v>katr***@yuhuumail.com</v>
      </c>
      <c r="V1069" s="32">
        <f t="shared" si="67"/>
        <v>22</v>
      </c>
      <c r="W1069" s="36">
        <f t="shared" si="68"/>
        <v>0.05</v>
      </c>
    </row>
    <row r="1070" spans="4:23" ht="27" customHeight="1" x14ac:dyDescent="0.25">
      <c r="D1070" s="14" t="s">
        <v>4139</v>
      </c>
      <c r="E1070" s="14" t="s">
        <v>369</v>
      </c>
      <c r="F1070" s="84" t="s">
        <v>2744</v>
      </c>
      <c r="G1070" s="15" t="s">
        <v>27</v>
      </c>
      <c r="H1070" s="16" t="s">
        <v>4140</v>
      </c>
      <c r="I1070" s="17"/>
      <c r="J1070" s="17"/>
      <c r="K1070" s="17"/>
      <c r="L1070" s="17"/>
      <c r="N1070" s="31">
        <v>1068</v>
      </c>
      <c r="O1070" s="32" t="s">
        <v>238</v>
      </c>
      <c r="P1070" s="33" t="s">
        <v>42</v>
      </c>
      <c r="Q1070" s="32" t="s">
        <v>40</v>
      </c>
      <c r="R1070" s="69">
        <v>44271.816678240742</v>
      </c>
      <c r="S1070" s="35">
        <v>44359</v>
      </c>
      <c r="T1070" s="32" t="str">
        <f t="shared" si="65"/>
        <v>+6284292622***</v>
      </c>
      <c r="U1070" s="32" t="str">
        <f t="shared" ca="1" si="66"/>
        <v>jame***@jossmail.com</v>
      </c>
      <c r="V1070" s="32">
        <f t="shared" si="67"/>
        <v>22</v>
      </c>
      <c r="W1070" s="36">
        <f t="shared" si="68"/>
        <v>0.05</v>
      </c>
    </row>
    <row r="1071" spans="4:23" ht="27" customHeight="1" x14ac:dyDescent="0.25">
      <c r="D1071" s="14" t="s">
        <v>4141</v>
      </c>
      <c r="E1071" s="14" t="s">
        <v>4142</v>
      </c>
      <c r="F1071" s="84" t="s">
        <v>372</v>
      </c>
      <c r="G1071" s="15" t="s">
        <v>27</v>
      </c>
      <c r="H1071" s="16" t="s">
        <v>4143</v>
      </c>
      <c r="I1071" s="17"/>
      <c r="J1071" s="17"/>
      <c r="K1071" s="17"/>
      <c r="L1071" s="17"/>
      <c r="N1071" s="31">
        <v>1069</v>
      </c>
      <c r="O1071" s="32" t="s">
        <v>4144</v>
      </c>
      <c r="P1071" s="33" t="s">
        <v>57</v>
      </c>
      <c r="Q1071" s="32" t="s">
        <v>32</v>
      </c>
      <c r="R1071" s="69">
        <v>44271.817881944444</v>
      </c>
      <c r="S1071" s="35">
        <v>44356</v>
      </c>
      <c r="T1071" s="32" t="str">
        <f t="shared" si="65"/>
        <v>+082279707***</v>
      </c>
      <c r="U1071" s="32" t="str">
        <f t="shared" ca="1" si="66"/>
        <v>ryla***@yuhuumail.com</v>
      </c>
      <c r="V1071" s="32">
        <f t="shared" si="67"/>
        <v>22</v>
      </c>
      <c r="W1071" s="36">
        <f t="shared" si="68"/>
        <v>0.05</v>
      </c>
    </row>
    <row r="1072" spans="4:23" ht="27" customHeight="1" x14ac:dyDescent="0.25">
      <c r="D1072" s="14" t="s">
        <v>4145</v>
      </c>
      <c r="E1072" s="14" t="s">
        <v>4146</v>
      </c>
      <c r="F1072" s="84" t="s">
        <v>417</v>
      </c>
      <c r="G1072" s="15" t="s">
        <v>68</v>
      </c>
      <c r="H1072" s="16" t="s">
        <v>4147</v>
      </c>
      <c r="I1072" s="17"/>
      <c r="J1072" s="17"/>
      <c r="K1072" s="17"/>
      <c r="L1072" s="17"/>
      <c r="N1072" s="31">
        <v>1070</v>
      </c>
      <c r="O1072" s="32" t="s">
        <v>4118</v>
      </c>
      <c r="P1072" s="33" t="s">
        <v>42</v>
      </c>
      <c r="Q1072" s="32" t="s">
        <v>40</v>
      </c>
      <c r="R1072" s="69">
        <v>43863.23710648148</v>
      </c>
      <c r="S1072" s="35">
        <v>44352</v>
      </c>
      <c r="T1072" s="32" t="str">
        <f t="shared" si="65"/>
        <v>+82216749***</v>
      </c>
      <c r="U1072" s="32" t="str">
        <f t="shared" ca="1" si="66"/>
        <v>mari***@yuhuumail.com</v>
      </c>
      <c r="V1072" s="32">
        <f t="shared" si="67"/>
        <v>21</v>
      </c>
      <c r="W1072" s="36">
        <f t="shared" si="68"/>
        <v>6.5000000000000002E-2</v>
      </c>
    </row>
    <row r="1073" spans="4:23" ht="27" customHeight="1" x14ac:dyDescent="0.25">
      <c r="D1073" s="14" t="s">
        <v>4148</v>
      </c>
      <c r="E1073" s="14" t="s">
        <v>4149</v>
      </c>
      <c r="F1073" s="84" t="s">
        <v>402</v>
      </c>
      <c r="G1073" s="15" t="s">
        <v>27</v>
      </c>
      <c r="H1073" s="16" t="s">
        <v>4150</v>
      </c>
      <c r="I1073" s="17"/>
      <c r="J1073" s="17"/>
      <c r="K1073" s="17"/>
      <c r="L1073" s="17"/>
      <c r="N1073" s="31">
        <v>1071</v>
      </c>
      <c r="O1073" s="32" t="s">
        <v>4151</v>
      </c>
      <c r="P1073" s="33" t="s">
        <v>31</v>
      </c>
      <c r="Q1073" s="32" t="s">
        <v>32</v>
      </c>
      <c r="R1073" s="69">
        <v>44271.873576388891</v>
      </c>
      <c r="S1073" s="35">
        <v>44356</v>
      </c>
      <c r="T1073" s="32" t="str">
        <f t="shared" si="65"/>
        <v>+0822-20878***</v>
      </c>
      <c r="U1073" s="32" t="str">
        <f t="shared" ca="1" si="66"/>
        <v>apri***@yuhuumail.com</v>
      </c>
      <c r="V1073" s="32">
        <f t="shared" si="67"/>
        <v>22</v>
      </c>
      <c r="W1073" s="36">
        <f t="shared" si="68"/>
        <v>0.05</v>
      </c>
    </row>
    <row r="1074" spans="4:23" ht="27" customHeight="1" x14ac:dyDescent="0.25">
      <c r="D1074" s="14" t="s">
        <v>4152</v>
      </c>
      <c r="E1074" s="14" t="s">
        <v>4153</v>
      </c>
      <c r="F1074" s="84" t="s">
        <v>2773</v>
      </c>
      <c r="G1074" s="15" t="s">
        <v>68</v>
      </c>
      <c r="H1074" s="16" t="s">
        <v>4154</v>
      </c>
      <c r="I1074" s="17"/>
      <c r="J1074" s="17"/>
      <c r="K1074" s="17"/>
      <c r="L1074" s="17"/>
      <c r="N1074" s="31">
        <v>1072</v>
      </c>
      <c r="O1074" s="32" t="s">
        <v>4155</v>
      </c>
      <c r="P1074" s="33" t="s">
        <v>31</v>
      </c>
      <c r="Q1074" s="32" t="s">
        <v>40</v>
      </c>
      <c r="R1074" s="69">
        <v>44271.894618055558</v>
      </c>
      <c r="S1074" s="35">
        <v>44318</v>
      </c>
      <c r="T1074" s="32" t="str">
        <f t="shared" si="65"/>
        <v>+6281240284***</v>
      </c>
      <c r="U1074" s="32" t="str">
        <f t="shared" ca="1" si="66"/>
        <v>blak***@yuhuumail.com</v>
      </c>
      <c r="V1074" s="32">
        <f t="shared" si="67"/>
        <v>22</v>
      </c>
      <c r="W1074" s="36">
        <f t="shared" si="68"/>
        <v>0.05</v>
      </c>
    </row>
    <row r="1075" spans="4:23" ht="27" customHeight="1" x14ac:dyDescent="0.25">
      <c r="D1075" s="14" t="s">
        <v>4156</v>
      </c>
      <c r="E1075" s="14" t="s">
        <v>4157</v>
      </c>
      <c r="F1075" s="84" t="s">
        <v>719</v>
      </c>
      <c r="G1075" s="15" t="s">
        <v>68</v>
      </c>
      <c r="H1075" s="16" t="s">
        <v>4158</v>
      </c>
      <c r="I1075" s="17"/>
      <c r="J1075" s="17"/>
      <c r="K1075" s="17"/>
      <c r="L1075" s="17"/>
      <c r="N1075" s="31">
        <v>1073</v>
      </c>
      <c r="O1075" s="32" t="s">
        <v>4159</v>
      </c>
      <c r="P1075" s="33" t="s">
        <v>42</v>
      </c>
      <c r="Q1075" s="32" t="s">
        <v>32</v>
      </c>
      <c r="R1075" s="69">
        <v>44270.957638888889</v>
      </c>
      <c r="S1075" s="35">
        <v>44318</v>
      </c>
      <c r="T1075" s="32" t="str">
        <f t="shared" si="65"/>
        <v>+0812-94829***</v>
      </c>
      <c r="U1075" s="32" t="str">
        <f t="shared" ca="1" si="66"/>
        <v>rayn***@jossmail.com</v>
      </c>
      <c r="V1075" s="32">
        <f t="shared" si="67"/>
        <v>22</v>
      </c>
      <c r="W1075" s="36">
        <f t="shared" si="68"/>
        <v>0.05</v>
      </c>
    </row>
    <row r="1076" spans="4:23" ht="27" customHeight="1" x14ac:dyDescent="0.25">
      <c r="D1076" s="14" t="s">
        <v>4160</v>
      </c>
      <c r="E1076" s="14" t="s">
        <v>4161</v>
      </c>
      <c r="F1076" s="84" t="s">
        <v>159</v>
      </c>
      <c r="G1076" s="15" t="s">
        <v>27</v>
      </c>
      <c r="H1076" s="16" t="s">
        <v>4162</v>
      </c>
      <c r="I1076" s="17"/>
      <c r="J1076" s="17"/>
      <c r="K1076" s="17"/>
      <c r="L1076" s="17"/>
      <c r="N1076" s="31">
        <v>1074</v>
      </c>
      <c r="O1076" s="32" t="s">
        <v>4163</v>
      </c>
      <c r="P1076" s="33" t="s">
        <v>42</v>
      </c>
      <c r="Q1076" s="32" t="s">
        <v>40</v>
      </c>
      <c r="R1076" s="69">
        <v>43745.361967592595</v>
      </c>
      <c r="S1076" s="35">
        <v>44318</v>
      </c>
      <c r="T1076" s="32" t="str">
        <f t="shared" si="65"/>
        <v>+6282233267***</v>
      </c>
      <c r="U1076" s="32" t="str">
        <f t="shared" ca="1" si="66"/>
        <v>keag***@jossmail.com</v>
      </c>
      <c r="V1076" s="32">
        <f t="shared" si="67"/>
        <v>21</v>
      </c>
      <c r="W1076" s="36">
        <f t="shared" si="68"/>
        <v>6.5000000000000002E-2</v>
      </c>
    </row>
    <row r="1077" spans="4:23" ht="27" customHeight="1" x14ac:dyDescent="0.25">
      <c r="D1077" s="14" t="s">
        <v>4164</v>
      </c>
      <c r="E1077" s="14" t="s">
        <v>4165</v>
      </c>
      <c r="F1077" s="84" t="s">
        <v>321</v>
      </c>
      <c r="G1077" s="15" t="s">
        <v>68</v>
      </c>
      <c r="H1077" s="16" t="s">
        <v>4166</v>
      </c>
      <c r="I1077" s="17"/>
      <c r="J1077" s="17"/>
      <c r="K1077" s="17"/>
      <c r="L1077" s="17"/>
      <c r="N1077" s="31">
        <v>1075</v>
      </c>
      <c r="O1077" s="32" t="s">
        <v>3564</v>
      </c>
      <c r="P1077" s="33" t="s">
        <v>57</v>
      </c>
      <c r="Q1077" s="32" t="s">
        <v>32</v>
      </c>
      <c r="R1077" s="69">
        <v>44271.943159722221</v>
      </c>
      <c r="S1077" s="35">
        <v>44356</v>
      </c>
      <c r="T1077" s="32" t="str">
        <f t="shared" si="65"/>
        <v>+832 19039***</v>
      </c>
      <c r="U1077" s="32" t="str">
        <f t="shared" ca="1" si="66"/>
        <v>davo***@jossmail.com</v>
      </c>
      <c r="V1077" s="32">
        <f t="shared" si="67"/>
        <v>22</v>
      </c>
      <c r="W1077" s="36">
        <f t="shared" si="68"/>
        <v>0.05</v>
      </c>
    </row>
    <row r="1078" spans="4:23" ht="27" customHeight="1" x14ac:dyDescent="0.25">
      <c r="D1078" s="14" t="s">
        <v>4167</v>
      </c>
      <c r="E1078" s="14" t="s">
        <v>1281</v>
      </c>
      <c r="F1078" s="84" t="s">
        <v>359</v>
      </c>
      <c r="G1078" s="15" t="s">
        <v>27</v>
      </c>
      <c r="H1078" s="16" t="s">
        <v>4168</v>
      </c>
      <c r="I1078" s="17"/>
      <c r="J1078" s="17"/>
      <c r="K1078" s="17"/>
      <c r="L1078" s="17"/>
      <c r="N1078" s="31">
        <v>1076</v>
      </c>
      <c r="O1078" s="32" t="s">
        <v>4169</v>
      </c>
      <c r="P1078" s="33" t="s">
        <v>31</v>
      </c>
      <c r="Q1078" s="32" t="s">
        <v>40</v>
      </c>
      <c r="R1078" s="69">
        <v>44271.971736111111</v>
      </c>
      <c r="S1078" s="35">
        <v>44356</v>
      </c>
      <c r="T1078" s="32" t="str">
        <f t="shared" si="65"/>
        <v>+812 85267***</v>
      </c>
      <c r="U1078" s="32" t="str">
        <f t="shared" ca="1" si="66"/>
        <v>reyc***@jossmail.com</v>
      </c>
      <c r="V1078" s="32">
        <f t="shared" si="67"/>
        <v>22</v>
      </c>
      <c r="W1078" s="36">
        <f t="shared" si="68"/>
        <v>0.05</v>
      </c>
    </row>
    <row r="1079" spans="4:23" ht="27" customHeight="1" x14ac:dyDescent="0.25">
      <c r="D1079" s="14" t="s">
        <v>4170</v>
      </c>
      <c r="E1079" s="14" t="s">
        <v>3073</v>
      </c>
      <c r="F1079" s="84" t="s">
        <v>485</v>
      </c>
      <c r="G1079" s="15" t="s">
        <v>68</v>
      </c>
      <c r="H1079" s="16" t="s">
        <v>4171</v>
      </c>
      <c r="I1079" s="17"/>
      <c r="J1079" s="17"/>
      <c r="K1079" s="17"/>
      <c r="L1079" s="17"/>
      <c r="N1079" s="31">
        <v>1077</v>
      </c>
      <c r="O1079" s="32" t="s">
        <v>4172</v>
      </c>
      <c r="P1079" s="33" t="s">
        <v>42</v>
      </c>
      <c r="Q1079" s="32" t="s">
        <v>32</v>
      </c>
      <c r="R1079" s="69">
        <v>44272.023657407408</v>
      </c>
      <c r="S1079" s="35">
        <v>44352</v>
      </c>
      <c r="T1079" s="32" t="str">
        <f t="shared" si="65"/>
        <v>+84216811***</v>
      </c>
      <c r="U1079" s="32" t="str">
        <f t="shared" ca="1" si="66"/>
        <v>cata***@yuhuumail.com</v>
      </c>
      <c r="V1079" s="32">
        <f t="shared" si="67"/>
        <v>22</v>
      </c>
      <c r="W1079" s="36">
        <f t="shared" si="68"/>
        <v>0.05</v>
      </c>
    </row>
    <row r="1080" spans="4:23" ht="27" customHeight="1" x14ac:dyDescent="0.25">
      <c r="D1080" s="14" t="s">
        <v>4173</v>
      </c>
      <c r="E1080" s="14" t="s">
        <v>4174</v>
      </c>
      <c r="F1080" s="84" t="s">
        <v>348</v>
      </c>
      <c r="G1080" s="15" t="s">
        <v>68</v>
      </c>
      <c r="H1080" s="16" t="s">
        <v>4175</v>
      </c>
      <c r="I1080" s="17"/>
      <c r="J1080" s="17"/>
      <c r="K1080" s="17"/>
      <c r="L1080" s="17"/>
      <c r="N1080" s="31">
        <v>1078</v>
      </c>
      <c r="O1080" s="32" t="s">
        <v>4176</v>
      </c>
      <c r="P1080" s="33" t="s">
        <v>31</v>
      </c>
      <c r="Q1080" s="32" t="s">
        <v>40</v>
      </c>
      <c r="R1080" s="69">
        <v>44271.776863425926</v>
      </c>
      <c r="S1080" s="35">
        <v>44356</v>
      </c>
      <c r="T1080" s="32" t="str">
        <f t="shared" si="65"/>
        <v>+852 58110***</v>
      </c>
      <c r="U1080" s="32" t="str">
        <f t="shared" ca="1" si="66"/>
        <v>alej***@yuhuumail.com</v>
      </c>
      <c r="V1080" s="32">
        <f t="shared" si="67"/>
        <v>22</v>
      </c>
      <c r="W1080" s="36">
        <f t="shared" si="68"/>
        <v>0.05</v>
      </c>
    </row>
    <row r="1081" spans="4:23" ht="27" customHeight="1" x14ac:dyDescent="0.25">
      <c r="D1081" s="14" t="s">
        <v>4177</v>
      </c>
      <c r="E1081" s="14" t="s">
        <v>230</v>
      </c>
      <c r="F1081" s="84" t="s">
        <v>80</v>
      </c>
      <c r="G1081" s="15" t="s">
        <v>27</v>
      </c>
      <c r="H1081" s="16" t="s">
        <v>4178</v>
      </c>
      <c r="I1081" s="17"/>
      <c r="J1081" s="17"/>
      <c r="K1081" s="17"/>
      <c r="L1081" s="17"/>
      <c r="N1081" s="31">
        <v>1079</v>
      </c>
      <c r="O1081" s="32" t="s">
        <v>4179</v>
      </c>
      <c r="P1081" s="33" t="s">
        <v>42</v>
      </c>
      <c r="Q1081" s="32" t="s">
        <v>32</v>
      </c>
      <c r="R1081" s="69">
        <v>44272.050300925926</v>
      </c>
      <c r="S1081" s="35">
        <v>44318</v>
      </c>
      <c r="T1081" s="32" t="str">
        <f t="shared" si="65"/>
        <v>+0832-96814***</v>
      </c>
      <c r="U1081" s="32" t="str">
        <f t="shared" ca="1" si="66"/>
        <v>kirs***@yuhuumail.com</v>
      </c>
      <c r="V1081" s="32">
        <f t="shared" si="67"/>
        <v>22</v>
      </c>
      <c r="W1081" s="36">
        <f t="shared" si="68"/>
        <v>0.05</v>
      </c>
    </row>
    <row r="1082" spans="4:23" ht="27" customHeight="1" x14ac:dyDescent="0.25">
      <c r="D1082" s="14" t="s">
        <v>4180</v>
      </c>
      <c r="E1082" s="14" t="s">
        <v>4181</v>
      </c>
      <c r="F1082" s="84" t="s">
        <v>92</v>
      </c>
      <c r="G1082" s="15" t="s">
        <v>68</v>
      </c>
      <c r="H1082" s="16" t="s">
        <v>4182</v>
      </c>
      <c r="I1082" s="17"/>
      <c r="J1082" s="17"/>
      <c r="K1082" s="17"/>
      <c r="L1082" s="17"/>
      <c r="N1082" s="31">
        <v>1080</v>
      </c>
      <c r="O1082" s="32" t="s">
        <v>1797</v>
      </c>
      <c r="P1082" s="33" t="s">
        <v>31</v>
      </c>
      <c r="Q1082" s="32" t="s">
        <v>40</v>
      </c>
      <c r="R1082" s="69">
        <v>44272.240856481483</v>
      </c>
      <c r="S1082" s="35">
        <v>44352</v>
      </c>
      <c r="T1082" s="32" t="str">
        <f t="shared" si="65"/>
        <v>+83297471***</v>
      </c>
      <c r="U1082" s="32" t="str">
        <f t="shared" ca="1" si="66"/>
        <v>darr***@jossmail.com</v>
      </c>
      <c r="V1082" s="32">
        <f t="shared" si="67"/>
        <v>22</v>
      </c>
      <c r="W1082" s="36">
        <f t="shared" si="68"/>
        <v>0.05</v>
      </c>
    </row>
    <row r="1083" spans="4:23" ht="27" customHeight="1" x14ac:dyDescent="0.25">
      <c r="D1083" s="14" t="s">
        <v>4183</v>
      </c>
      <c r="E1083" s="14" t="s">
        <v>4184</v>
      </c>
      <c r="F1083" s="84" t="s">
        <v>524</v>
      </c>
      <c r="G1083" s="15" t="s">
        <v>27</v>
      </c>
      <c r="H1083" s="16" t="s">
        <v>4185</v>
      </c>
      <c r="I1083" s="17"/>
      <c r="J1083" s="17"/>
      <c r="K1083" s="17"/>
      <c r="L1083" s="17"/>
      <c r="N1083" s="31">
        <v>1081</v>
      </c>
      <c r="O1083" s="32" t="s">
        <v>4186</v>
      </c>
      <c r="P1083" s="33" t="s">
        <v>31</v>
      </c>
      <c r="Q1083" s="32" t="s">
        <v>32</v>
      </c>
      <c r="R1083" s="69">
        <v>44272.302106481482</v>
      </c>
      <c r="S1083" s="71">
        <v>44354</v>
      </c>
      <c r="T1083" s="32" t="str">
        <f t="shared" si="65"/>
        <v>+6285295290***</v>
      </c>
      <c r="U1083" s="32" t="str">
        <f t="shared" ca="1" si="66"/>
        <v>nico***@jossmail.com</v>
      </c>
      <c r="V1083" s="32">
        <f t="shared" si="67"/>
        <v>22</v>
      </c>
      <c r="W1083" s="36">
        <f t="shared" si="68"/>
        <v>0.05</v>
      </c>
    </row>
    <row r="1084" spans="4:23" ht="27" customHeight="1" x14ac:dyDescent="0.25">
      <c r="D1084" s="14" t="s">
        <v>4187</v>
      </c>
      <c r="E1084" s="14" t="s">
        <v>1979</v>
      </c>
      <c r="F1084" s="84" t="s">
        <v>143</v>
      </c>
      <c r="G1084" s="15" t="s">
        <v>27</v>
      </c>
      <c r="H1084" s="16" t="s">
        <v>4188</v>
      </c>
      <c r="I1084" s="17"/>
      <c r="J1084" s="17"/>
      <c r="K1084" s="17"/>
      <c r="L1084" s="17"/>
      <c r="N1084" s="31">
        <v>1082</v>
      </c>
      <c r="O1084" s="32" t="s">
        <v>347</v>
      </c>
      <c r="P1084" s="33" t="s">
        <v>42</v>
      </c>
      <c r="Q1084" s="32" t="s">
        <v>40</v>
      </c>
      <c r="R1084" s="69">
        <v>44272.364918981482</v>
      </c>
      <c r="S1084" s="71">
        <v>44318</v>
      </c>
      <c r="T1084" s="32" t="str">
        <f t="shared" si="65"/>
        <v>+085270273***</v>
      </c>
      <c r="U1084" s="32" t="str">
        <f t="shared" ca="1" si="66"/>
        <v>ashl***@jossmail.com</v>
      </c>
      <c r="V1084" s="32">
        <f t="shared" si="67"/>
        <v>22</v>
      </c>
      <c r="W1084" s="36">
        <f t="shared" si="68"/>
        <v>0.05</v>
      </c>
    </row>
    <row r="1085" spans="4:23" ht="27" customHeight="1" x14ac:dyDescent="0.25">
      <c r="D1085" s="14" t="s">
        <v>4189</v>
      </c>
      <c r="E1085" s="14" t="s">
        <v>4190</v>
      </c>
      <c r="F1085" s="84" t="s">
        <v>969</v>
      </c>
      <c r="G1085" s="15" t="s">
        <v>27</v>
      </c>
      <c r="H1085" s="16" t="s">
        <v>4191</v>
      </c>
      <c r="I1085" s="17"/>
      <c r="J1085" s="17"/>
      <c r="K1085" s="17"/>
      <c r="L1085" s="17"/>
      <c r="N1085" s="31">
        <v>1083</v>
      </c>
      <c r="O1085" s="32" t="s">
        <v>4192</v>
      </c>
      <c r="P1085" s="33" t="s">
        <v>57</v>
      </c>
      <c r="Q1085" s="32" t="s">
        <v>32</v>
      </c>
      <c r="R1085" s="69">
        <v>43949.248981481483</v>
      </c>
      <c r="S1085" s="71">
        <v>44318</v>
      </c>
      <c r="T1085" s="32" t="str">
        <f t="shared" si="65"/>
        <v>+6282218957***</v>
      </c>
      <c r="U1085" s="32" t="str">
        <f t="shared" ca="1" si="66"/>
        <v>quin***@jossmail.com</v>
      </c>
      <c r="V1085" s="32">
        <f t="shared" si="67"/>
        <v>21</v>
      </c>
      <c r="W1085" s="36">
        <f t="shared" si="68"/>
        <v>6.5000000000000002E-2</v>
      </c>
    </row>
    <row r="1086" spans="4:23" ht="27" customHeight="1" x14ac:dyDescent="0.25">
      <c r="D1086" s="14" t="s">
        <v>4193</v>
      </c>
      <c r="E1086" s="14" t="s">
        <v>3970</v>
      </c>
      <c r="F1086" s="84" t="s">
        <v>194</v>
      </c>
      <c r="G1086" s="15" t="s">
        <v>27</v>
      </c>
      <c r="H1086" s="16" t="s">
        <v>4194</v>
      </c>
      <c r="I1086" s="17"/>
      <c r="J1086" s="17"/>
      <c r="K1086" s="17"/>
      <c r="L1086" s="17"/>
      <c r="N1086" s="31">
        <v>1084</v>
      </c>
      <c r="O1086" s="32" t="s">
        <v>4195</v>
      </c>
      <c r="P1086" s="33" t="s">
        <v>57</v>
      </c>
      <c r="Q1086" s="32" t="s">
        <v>40</v>
      </c>
      <c r="R1086" s="69">
        <v>44272.416666666664</v>
      </c>
      <c r="S1086" s="71">
        <v>44320</v>
      </c>
      <c r="T1086" s="32" t="str">
        <f t="shared" si="65"/>
        <v>+0842-59318***</v>
      </c>
      <c r="U1086" s="32" t="str">
        <f t="shared" ca="1" si="66"/>
        <v>jayl***@jossmail.com</v>
      </c>
      <c r="V1086" s="32">
        <f t="shared" si="67"/>
        <v>22</v>
      </c>
      <c r="W1086" s="36">
        <f t="shared" si="68"/>
        <v>0.05</v>
      </c>
    </row>
    <row r="1087" spans="4:23" ht="27" customHeight="1" x14ac:dyDescent="0.25">
      <c r="D1087" s="14" t="s">
        <v>4196</v>
      </c>
      <c r="E1087" s="14" t="s">
        <v>3090</v>
      </c>
      <c r="F1087" s="84" t="s">
        <v>485</v>
      </c>
      <c r="G1087" s="15" t="s">
        <v>27</v>
      </c>
      <c r="H1087" s="16" t="s">
        <v>4197</v>
      </c>
      <c r="I1087" s="17"/>
      <c r="J1087" s="17"/>
      <c r="K1087" s="17"/>
      <c r="L1087" s="17"/>
      <c r="N1087" s="31">
        <v>1085</v>
      </c>
      <c r="O1087" s="32" t="s">
        <v>4198</v>
      </c>
      <c r="P1087" s="33" t="s">
        <v>57</v>
      </c>
      <c r="Q1087" s="32" t="s">
        <v>32</v>
      </c>
      <c r="R1087" s="69">
        <v>44272.426435185182</v>
      </c>
      <c r="S1087" s="71">
        <v>44356</v>
      </c>
      <c r="T1087" s="32" t="str">
        <f t="shared" si="65"/>
        <v>+852 65337***</v>
      </c>
      <c r="U1087" s="32" t="str">
        <f t="shared" ca="1" si="66"/>
        <v>amia***@yuhuumail.com</v>
      </c>
      <c r="V1087" s="32">
        <f t="shared" si="67"/>
        <v>22</v>
      </c>
      <c r="W1087" s="36">
        <f t="shared" si="68"/>
        <v>0.05</v>
      </c>
    </row>
    <row r="1088" spans="4:23" ht="27" customHeight="1" x14ac:dyDescent="0.25">
      <c r="D1088" s="14" t="s">
        <v>4199</v>
      </c>
      <c r="E1088" s="14" t="s">
        <v>4200</v>
      </c>
      <c r="F1088" s="84" t="s">
        <v>233</v>
      </c>
      <c r="G1088" s="15" t="s">
        <v>27</v>
      </c>
      <c r="H1088" s="16" t="s">
        <v>4201</v>
      </c>
      <c r="I1088" s="17"/>
      <c r="J1088" s="17"/>
      <c r="K1088" s="17"/>
      <c r="L1088" s="17"/>
      <c r="N1088" s="31">
        <v>1086</v>
      </c>
      <c r="O1088" s="32" t="s">
        <v>4202</v>
      </c>
      <c r="P1088" s="33" t="s">
        <v>57</v>
      </c>
      <c r="Q1088" s="32" t="s">
        <v>40</v>
      </c>
      <c r="R1088" s="69">
        <v>44270.687696759262</v>
      </c>
      <c r="S1088" s="71">
        <v>44352</v>
      </c>
      <c r="T1088" s="32" t="str">
        <f t="shared" si="65"/>
        <v>+0832-70213***</v>
      </c>
      <c r="U1088" s="32" t="str">
        <f t="shared" ca="1" si="66"/>
        <v>lanc***@yuhuumail.com</v>
      </c>
      <c r="V1088" s="32">
        <f t="shared" si="67"/>
        <v>22</v>
      </c>
      <c r="W1088" s="36">
        <f t="shared" si="68"/>
        <v>0.05</v>
      </c>
    </row>
    <row r="1089" spans="4:23" ht="27" customHeight="1" x14ac:dyDescent="0.25">
      <c r="D1089" s="14" t="s">
        <v>4203</v>
      </c>
      <c r="E1089" s="14" t="s">
        <v>4204</v>
      </c>
      <c r="F1089" s="84" t="s">
        <v>1626</v>
      </c>
      <c r="G1089" s="15" t="s">
        <v>68</v>
      </c>
      <c r="H1089" s="16" t="s">
        <v>4205</v>
      </c>
      <c r="I1089" s="17"/>
      <c r="J1089" s="17"/>
      <c r="K1089" s="17"/>
      <c r="L1089" s="17"/>
      <c r="N1089" s="31">
        <v>1087</v>
      </c>
      <c r="O1089" s="32" t="s">
        <v>4206</v>
      </c>
      <c r="P1089" s="33" t="s">
        <v>31</v>
      </c>
      <c r="Q1089" s="32" t="s">
        <v>32</v>
      </c>
      <c r="R1089" s="69">
        <v>44272.439872685187</v>
      </c>
      <c r="S1089" s="71">
        <v>44362</v>
      </c>
      <c r="T1089" s="32" t="str">
        <f t="shared" si="65"/>
        <v>+85286485***</v>
      </c>
      <c r="U1089" s="32" t="str">
        <f t="shared" ca="1" si="66"/>
        <v>elis***@yuhuumail.com</v>
      </c>
      <c r="V1089" s="32">
        <f t="shared" si="67"/>
        <v>22</v>
      </c>
      <c r="W1089" s="36">
        <f t="shared" si="68"/>
        <v>0.05</v>
      </c>
    </row>
    <row r="1090" spans="4:23" ht="27" customHeight="1" x14ac:dyDescent="0.25">
      <c r="D1090" s="14" t="s">
        <v>4207</v>
      </c>
      <c r="E1090" s="14" t="s">
        <v>104</v>
      </c>
      <c r="F1090" s="84" t="s">
        <v>2461</v>
      </c>
      <c r="G1090" s="15" t="s">
        <v>27</v>
      </c>
      <c r="H1090" s="16" t="s">
        <v>4208</v>
      </c>
      <c r="I1090" s="17"/>
      <c r="J1090" s="17"/>
      <c r="K1090" s="17"/>
      <c r="L1090" s="17"/>
      <c r="N1090" s="31">
        <v>1088</v>
      </c>
      <c r="O1090" s="32" t="s">
        <v>3189</v>
      </c>
      <c r="P1090" s="33" t="s">
        <v>42</v>
      </c>
      <c r="Q1090" s="32" t="s">
        <v>40</v>
      </c>
      <c r="R1090" s="69">
        <v>42419.40289351852</v>
      </c>
      <c r="S1090" s="71">
        <v>44358</v>
      </c>
      <c r="T1090" s="32" t="str">
        <f t="shared" si="65"/>
        <v>+6283276299***</v>
      </c>
      <c r="U1090" s="32" t="str">
        <f t="shared" ca="1" si="66"/>
        <v>sani***@yuhuumail.com</v>
      </c>
      <c r="V1090" s="32">
        <f t="shared" si="67"/>
        <v>17</v>
      </c>
      <c r="W1090" s="36">
        <f t="shared" si="68"/>
        <v>2.5000000000000001E-2</v>
      </c>
    </row>
    <row r="1091" spans="4:23" ht="27" customHeight="1" x14ac:dyDescent="0.25">
      <c r="D1091" s="14" t="s">
        <v>4209</v>
      </c>
      <c r="E1091" s="14" t="s">
        <v>4210</v>
      </c>
      <c r="F1091" s="84" t="s">
        <v>402</v>
      </c>
      <c r="G1091" s="15" t="s">
        <v>27</v>
      </c>
      <c r="H1091" s="16" t="s">
        <v>4211</v>
      </c>
      <c r="I1091" s="17"/>
      <c r="J1091" s="17"/>
      <c r="K1091" s="17"/>
      <c r="L1091" s="17"/>
      <c r="N1091" s="31">
        <v>1089</v>
      </c>
      <c r="O1091" s="32" t="s">
        <v>4212</v>
      </c>
      <c r="P1091" s="33" t="s">
        <v>31</v>
      </c>
      <c r="Q1091" s="32" t="s">
        <v>32</v>
      </c>
      <c r="R1091" s="69">
        <v>44272.44809027778</v>
      </c>
      <c r="S1091" s="71">
        <v>44359</v>
      </c>
      <c r="T1091" s="32" t="str">
        <f t="shared" si="65"/>
        <v>+6282272535***</v>
      </c>
      <c r="U1091" s="32" t="str">
        <f t="shared" ca="1" si="66"/>
        <v>tris***@yuhuumail.com</v>
      </c>
      <c r="V1091" s="32">
        <f t="shared" si="67"/>
        <v>22</v>
      </c>
      <c r="W1091" s="36">
        <f t="shared" si="68"/>
        <v>0.05</v>
      </c>
    </row>
    <row r="1092" spans="4:23" ht="27" customHeight="1" x14ac:dyDescent="0.25">
      <c r="D1092" s="14" t="s">
        <v>4213</v>
      </c>
      <c r="E1092" s="14" t="s">
        <v>4214</v>
      </c>
      <c r="F1092" s="84" t="s">
        <v>597</v>
      </c>
      <c r="G1092" s="15" t="s">
        <v>27</v>
      </c>
      <c r="H1092" s="16" t="s">
        <v>4215</v>
      </c>
      <c r="I1092" s="17"/>
      <c r="J1092" s="17"/>
      <c r="K1092" s="17"/>
      <c r="L1092" s="17"/>
      <c r="N1092" s="31">
        <v>1090</v>
      </c>
      <c r="O1092" s="32" t="s">
        <v>4216</v>
      </c>
      <c r="P1092" s="33" t="s">
        <v>57</v>
      </c>
      <c r="Q1092" s="32" t="s">
        <v>40</v>
      </c>
      <c r="R1092" s="69">
        <v>44272.448229166665</v>
      </c>
      <c r="S1092" s="71">
        <v>44320</v>
      </c>
      <c r="T1092" s="32" t="str">
        <f t="shared" si="65"/>
        <v>+83215855***</v>
      </c>
      <c r="U1092" s="32" t="str">
        <f t="shared" ca="1" si="66"/>
        <v>aron***@yuhuumail.com</v>
      </c>
      <c r="V1092" s="32">
        <f t="shared" si="67"/>
        <v>22</v>
      </c>
      <c r="W1092" s="36">
        <f t="shared" si="68"/>
        <v>0.05</v>
      </c>
    </row>
    <row r="1093" spans="4:23" ht="27" customHeight="1" x14ac:dyDescent="0.25">
      <c r="D1093" s="14" t="s">
        <v>4217</v>
      </c>
      <c r="E1093" s="14" t="s">
        <v>4218</v>
      </c>
      <c r="F1093" s="84" t="s">
        <v>614</v>
      </c>
      <c r="G1093" s="15" t="s">
        <v>27</v>
      </c>
      <c r="H1093" s="16" t="s">
        <v>4219</v>
      </c>
      <c r="I1093" s="17"/>
      <c r="J1093" s="17"/>
      <c r="K1093" s="17"/>
      <c r="L1093" s="17"/>
      <c r="N1093" s="31">
        <v>1091</v>
      </c>
      <c r="O1093" s="32" t="s">
        <v>2737</v>
      </c>
      <c r="P1093" s="33" t="s">
        <v>31</v>
      </c>
      <c r="Q1093" s="32" t="s">
        <v>32</v>
      </c>
      <c r="R1093" s="69">
        <v>44272.469583333332</v>
      </c>
      <c r="S1093" s="71">
        <v>44362</v>
      </c>
      <c r="T1093" s="32" t="str">
        <f t="shared" ref="T1093:T1156" si="69">"+"&amp;_xlfn.XLOOKUP($O1093, $E$2:$E$3002, $H$2:$H$3002, "Not Found")</f>
        <v>+85211401***</v>
      </c>
      <c r="U1093" s="32" t="str">
        <f t="shared" ref="U1093:U1156" ca="1" si="70" xml:space="preserve"> LOWER(LEFT(_xlfn.XLOOKUP($O1093, $E$2:$E$3002, $D$2:$D$3002), 4))
  &amp; "***@"
  &amp; IF(RAND()&gt;0.5, "jossmail.com", "yuhuumail.com")</f>
        <v>barb***@jossmail.com</v>
      </c>
      <c r="V1093" s="32">
        <f t="shared" ref="V1093:V1156" si="71">DATEDIF(_xlfn.XLOOKUP($O1093, $E$2:$E$3002, $F$2:$F$3002), $R1093, "Y")</f>
        <v>22</v>
      </c>
      <c r="W1093" s="36">
        <f t="shared" ref="W1093:W1156" si="72">IF(DATEDIF($R1093, $S1093, "Y") &gt;= 3, 0.025,
   IF(DATEDIF($R1093, $S1093, "Y") &gt;= 1, 0.015, 0)) +
 IF($V1093 &gt;= 50, 0.04,
   IF($V1093 &gt;= 40, 0.03,
     IF($V1093 &gt;= 30, 0.02,
       IF($V1093 &gt;= 20, 0.05, 0))))</f>
        <v>0.05</v>
      </c>
    </row>
    <row r="1094" spans="4:23" ht="27" customHeight="1" x14ac:dyDescent="0.25">
      <c r="D1094" s="14" t="s">
        <v>4220</v>
      </c>
      <c r="E1094" s="14" t="s">
        <v>4221</v>
      </c>
      <c r="F1094" s="84" t="s">
        <v>614</v>
      </c>
      <c r="G1094" s="15" t="s">
        <v>27</v>
      </c>
      <c r="H1094" s="16" t="s">
        <v>4222</v>
      </c>
      <c r="I1094" s="17"/>
      <c r="J1094" s="17"/>
      <c r="K1094" s="17"/>
      <c r="L1094" s="17"/>
      <c r="N1094" s="31">
        <v>1092</v>
      </c>
      <c r="O1094" s="32" t="s">
        <v>4223</v>
      </c>
      <c r="P1094" s="33" t="s">
        <v>31</v>
      </c>
      <c r="Q1094" s="32" t="s">
        <v>40</v>
      </c>
      <c r="R1094" s="69">
        <v>44272.495532407411</v>
      </c>
      <c r="S1094" s="71">
        <v>44354</v>
      </c>
      <c r="T1094" s="32" t="str">
        <f t="shared" si="69"/>
        <v>+6284214069***</v>
      </c>
      <c r="U1094" s="32" t="str">
        <f t="shared" ca="1" si="70"/>
        <v>tani***@yuhuumail.com</v>
      </c>
      <c r="V1094" s="32">
        <f t="shared" si="71"/>
        <v>22</v>
      </c>
      <c r="W1094" s="36">
        <f t="shared" si="72"/>
        <v>0.05</v>
      </c>
    </row>
    <row r="1095" spans="4:23" ht="27" customHeight="1" x14ac:dyDescent="0.25">
      <c r="D1095" s="14" t="s">
        <v>4224</v>
      </c>
      <c r="E1095" s="14" t="s">
        <v>4225</v>
      </c>
      <c r="F1095" s="84" t="s">
        <v>556</v>
      </c>
      <c r="G1095" s="15" t="s">
        <v>27</v>
      </c>
      <c r="H1095" s="16" t="s">
        <v>4226</v>
      </c>
      <c r="I1095" s="17"/>
      <c r="J1095" s="17"/>
      <c r="K1095" s="17"/>
      <c r="L1095" s="17"/>
      <c r="N1095" s="31">
        <v>1093</v>
      </c>
      <c r="O1095" s="32" t="s">
        <v>4227</v>
      </c>
      <c r="P1095" s="33" t="s">
        <v>31</v>
      </c>
      <c r="Q1095" s="32" t="s">
        <v>32</v>
      </c>
      <c r="R1095" s="69">
        <v>44272.484606481485</v>
      </c>
      <c r="S1095" s="71">
        <v>44362</v>
      </c>
      <c r="T1095" s="32" t="str">
        <f t="shared" si="69"/>
        <v>+0812-19243***</v>
      </c>
      <c r="U1095" s="32" t="str">
        <f t="shared" ca="1" si="70"/>
        <v>rodo***@jossmail.com</v>
      </c>
      <c r="V1095" s="32">
        <f t="shared" si="71"/>
        <v>22</v>
      </c>
      <c r="W1095" s="36">
        <f t="shared" si="72"/>
        <v>0.05</v>
      </c>
    </row>
    <row r="1096" spans="4:23" ht="27" customHeight="1" x14ac:dyDescent="0.25">
      <c r="D1096" s="14" t="s">
        <v>4228</v>
      </c>
      <c r="E1096" s="14" t="s">
        <v>4229</v>
      </c>
      <c r="F1096" s="84" t="s">
        <v>321</v>
      </c>
      <c r="G1096" s="15" t="s">
        <v>27</v>
      </c>
      <c r="H1096" s="16" t="s">
        <v>4230</v>
      </c>
      <c r="I1096" s="17"/>
      <c r="J1096" s="17"/>
      <c r="K1096" s="17"/>
      <c r="L1096" s="17"/>
      <c r="N1096" s="31">
        <v>1094</v>
      </c>
      <c r="O1096" s="32" t="s">
        <v>4231</v>
      </c>
      <c r="P1096" s="33" t="s">
        <v>31</v>
      </c>
      <c r="Q1096" s="32" t="s">
        <v>40</v>
      </c>
      <c r="R1096" s="69">
        <v>44272.472673611112</v>
      </c>
      <c r="S1096" s="71">
        <v>44318</v>
      </c>
      <c r="T1096" s="32" t="str">
        <f t="shared" si="69"/>
        <v>+82242096***</v>
      </c>
      <c r="U1096" s="32" t="str">
        <f t="shared" ca="1" si="70"/>
        <v>brie***@yuhuumail.com</v>
      </c>
      <c r="V1096" s="32">
        <f t="shared" si="71"/>
        <v>22</v>
      </c>
      <c r="W1096" s="36">
        <f t="shared" si="72"/>
        <v>0.05</v>
      </c>
    </row>
    <row r="1097" spans="4:23" ht="27" customHeight="1" x14ac:dyDescent="0.25">
      <c r="D1097" s="14" t="s">
        <v>4232</v>
      </c>
      <c r="E1097" s="14" t="s">
        <v>4233</v>
      </c>
      <c r="F1097" s="84" t="s">
        <v>1392</v>
      </c>
      <c r="G1097" s="15" t="s">
        <v>27</v>
      </c>
      <c r="H1097" s="16" t="s">
        <v>4234</v>
      </c>
      <c r="I1097" s="17"/>
      <c r="J1097" s="17"/>
      <c r="K1097" s="17"/>
      <c r="L1097" s="17"/>
      <c r="N1097" s="31">
        <v>1095</v>
      </c>
      <c r="O1097" s="32" t="s">
        <v>4235</v>
      </c>
      <c r="P1097" s="33" t="s">
        <v>57</v>
      </c>
      <c r="Q1097" s="32" t="s">
        <v>32</v>
      </c>
      <c r="R1097" s="69">
        <v>44272.508645833332</v>
      </c>
      <c r="S1097" s="71">
        <v>44356</v>
      </c>
      <c r="T1097" s="32" t="str">
        <f t="shared" si="69"/>
        <v>+84292596***</v>
      </c>
      <c r="U1097" s="32" t="str">
        <f t="shared" ca="1" si="70"/>
        <v>sofi***@yuhuumail.com</v>
      </c>
      <c r="V1097" s="32">
        <f t="shared" si="71"/>
        <v>22</v>
      </c>
      <c r="W1097" s="36">
        <f t="shared" si="72"/>
        <v>0.05</v>
      </c>
    </row>
    <row r="1098" spans="4:23" ht="27" customHeight="1" x14ac:dyDescent="0.25">
      <c r="D1098" s="14" t="s">
        <v>4236</v>
      </c>
      <c r="E1098" s="14" t="s">
        <v>4237</v>
      </c>
      <c r="F1098" s="84" t="s">
        <v>969</v>
      </c>
      <c r="G1098" s="15" t="s">
        <v>27</v>
      </c>
      <c r="H1098" s="16" t="s">
        <v>4238</v>
      </c>
      <c r="I1098" s="17"/>
      <c r="J1098" s="17"/>
      <c r="K1098" s="17"/>
      <c r="L1098" s="17"/>
      <c r="N1098" s="31">
        <v>1096</v>
      </c>
      <c r="O1098" s="32" t="s">
        <v>4239</v>
      </c>
      <c r="P1098" s="33" t="s">
        <v>31</v>
      </c>
      <c r="Q1098" s="32" t="s">
        <v>40</v>
      </c>
      <c r="R1098" s="69">
        <v>44272.519942129627</v>
      </c>
      <c r="S1098" s="71">
        <v>44318</v>
      </c>
      <c r="T1098" s="32" t="str">
        <f t="shared" si="69"/>
        <v>+84296235***</v>
      </c>
      <c r="U1098" s="32" t="str">
        <f t="shared" ca="1" si="70"/>
        <v>anna***@yuhuumail.com</v>
      </c>
      <c r="V1098" s="32">
        <f t="shared" si="71"/>
        <v>22</v>
      </c>
      <c r="W1098" s="36">
        <f t="shared" si="72"/>
        <v>0.05</v>
      </c>
    </row>
    <row r="1099" spans="4:23" ht="27" customHeight="1" x14ac:dyDescent="0.25">
      <c r="D1099" s="14" t="s">
        <v>4240</v>
      </c>
      <c r="E1099" s="14" t="s">
        <v>4241</v>
      </c>
      <c r="F1099" s="84" t="s">
        <v>233</v>
      </c>
      <c r="G1099" s="15" t="s">
        <v>27</v>
      </c>
      <c r="H1099" s="16" t="s">
        <v>4242</v>
      </c>
      <c r="I1099" s="17"/>
      <c r="J1099" s="17"/>
      <c r="K1099" s="17"/>
      <c r="L1099" s="17"/>
      <c r="N1099" s="31">
        <v>1097</v>
      </c>
      <c r="O1099" s="32" t="s">
        <v>4243</v>
      </c>
      <c r="P1099" s="33" t="s">
        <v>42</v>
      </c>
      <c r="Q1099" s="32" t="s">
        <v>32</v>
      </c>
      <c r="R1099" s="69">
        <v>44272.521296296298</v>
      </c>
      <c r="S1099" s="71">
        <v>44359</v>
      </c>
      <c r="T1099" s="32" t="str">
        <f t="shared" si="69"/>
        <v>+0842-94173***</v>
      </c>
      <c r="U1099" s="32" t="str">
        <f t="shared" ca="1" si="70"/>
        <v>jour***@jossmail.com</v>
      </c>
      <c r="V1099" s="32">
        <f t="shared" si="71"/>
        <v>22</v>
      </c>
      <c r="W1099" s="36">
        <f t="shared" si="72"/>
        <v>0.05</v>
      </c>
    </row>
    <row r="1100" spans="4:23" ht="27" customHeight="1" x14ac:dyDescent="0.25">
      <c r="D1100" s="14" t="s">
        <v>4244</v>
      </c>
      <c r="E1100" s="14" t="s">
        <v>4245</v>
      </c>
      <c r="F1100" s="84" t="s">
        <v>1118</v>
      </c>
      <c r="G1100" s="15" t="s">
        <v>27</v>
      </c>
      <c r="H1100" s="16" t="s">
        <v>4246</v>
      </c>
      <c r="I1100" s="17"/>
      <c r="J1100" s="17"/>
      <c r="K1100" s="17"/>
      <c r="L1100" s="17"/>
      <c r="N1100" s="31">
        <v>1098</v>
      </c>
      <c r="O1100" s="32" t="s">
        <v>4247</v>
      </c>
      <c r="P1100" s="33" t="s">
        <v>31</v>
      </c>
      <c r="Q1100" s="32" t="s">
        <v>40</v>
      </c>
      <c r="R1100" s="69">
        <v>44272.526400462964</v>
      </c>
      <c r="S1100" s="71">
        <v>44320</v>
      </c>
      <c r="T1100" s="32" t="str">
        <f t="shared" si="69"/>
        <v>+81271026***</v>
      </c>
      <c r="U1100" s="32" t="str">
        <f t="shared" ca="1" si="70"/>
        <v>kend***@jossmail.com</v>
      </c>
      <c r="V1100" s="32">
        <f t="shared" si="71"/>
        <v>22</v>
      </c>
      <c r="W1100" s="36">
        <f t="shared" si="72"/>
        <v>0.05</v>
      </c>
    </row>
    <row r="1101" spans="4:23" ht="27" customHeight="1" x14ac:dyDescent="0.25">
      <c r="D1101" s="14" t="s">
        <v>4248</v>
      </c>
      <c r="E1101" s="14" t="s">
        <v>4249</v>
      </c>
      <c r="F1101" s="84" t="s">
        <v>614</v>
      </c>
      <c r="G1101" s="15" t="s">
        <v>68</v>
      </c>
      <c r="H1101" s="16" t="s">
        <v>4250</v>
      </c>
      <c r="I1101" s="17"/>
      <c r="J1101" s="17"/>
      <c r="K1101" s="17"/>
      <c r="L1101" s="17"/>
      <c r="N1101" s="31">
        <v>1099</v>
      </c>
      <c r="O1101" s="32" t="s">
        <v>4251</v>
      </c>
      <c r="P1101" s="33" t="s">
        <v>31</v>
      </c>
      <c r="Q1101" s="32" t="s">
        <v>32</v>
      </c>
      <c r="R1101" s="69">
        <v>44272.524907407409</v>
      </c>
      <c r="S1101" s="71">
        <v>44354</v>
      </c>
      <c r="T1101" s="32" t="str">
        <f t="shared" si="69"/>
        <v>+0852-78011***</v>
      </c>
      <c r="U1101" s="32" t="str">
        <f t="shared" ca="1" si="70"/>
        <v>dalt***@jossmail.com</v>
      </c>
      <c r="V1101" s="32">
        <f t="shared" si="71"/>
        <v>22</v>
      </c>
      <c r="W1101" s="36">
        <f t="shared" si="72"/>
        <v>0.05</v>
      </c>
    </row>
    <row r="1102" spans="4:23" ht="27" customHeight="1" x14ac:dyDescent="0.25">
      <c r="D1102" s="14" t="s">
        <v>4252</v>
      </c>
      <c r="E1102" s="14" t="s">
        <v>56</v>
      </c>
      <c r="F1102" s="84" t="s">
        <v>4253</v>
      </c>
      <c r="G1102" s="15" t="s">
        <v>27</v>
      </c>
      <c r="H1102" s="16" t="s">
        <v>4254</v>
      </c>
      <c r="I1102" s="17"/>
      <c r="J1102" s="17"/>
      <c r="K1102" s="17"/>
      <c r="L1102" s="17"/>
      <c r="N1102" s="31">
        <v>1100</v>
      </c>
      <c r="O1102" s="32" t="s">
        <v>2879</v>
      </c>
      <c r="P1102" s="33" t="s">
        <v>31</v>
      </c>
      <c r="Q1102" s="32" t="s">
        <v>40</v>
      </c>
      <c r="R1102" s="69">
        <v>44270.030995370369</v>
      </c>
      <c r="S1102" s="71">
        <v>44320</v>
      </c>
      <c r="T1102" s="32" t="str">
        <f t="shared" si="69"/>
        <v>+832 96317***</v>
      </c>
      <c r="U1102" s="32" t="str">
        <f t="shared" ca="1" si="70"/>
        <v>lore***@jossmail.com</v>
      </c>
      <c r="V1102" s="32">
        <f t="shared" si="71"/>
        <v>22</v>
      </c>
      <c r="W1102" s="36">
        <f t="shared" si="72"/>
        <v>0.05</v>
      </c>
    </row>
    <row r="1103" spans="4:23" ht="27" customHeight="1" x14ac:dyDescent="0.25">
      <c r="D1103" s="14" t="s">
        <v>4255</v>
      </c>
      <c r="E1103" s="14" t="s">
        <v>568</v>
      </c>
      <c r="F1103" s="84" t="s">
        <v>1166</v>
      </c>
      <c r="G1103" s="15" t="s">
        <v>27</v>
      </c>
      <c r="H1103" s="16" t="s">
        <v>4256</v>
      </c>
      <c r="I1103" s="17"/>
      <c r="J1103" s="17"/>
      <c r="K1103" s="17"/>
      <c r="L1103" s="17"/>
      <c r="N1103" s="31">
        <v>1101</v>
      </c>
      <c r="O1103" s="32" t="s">
        <v>4257</v>
      </c>
      <c r="P1103" s="33" t="s">
        <v>31</v>
      </c>
      <c r="Q1103" s="32" t="s">
        <v>32</v>
      </c>
      <c r="R1103" s="69">
        <v>44272.542337962965</v>
      </c>
      <c r="S1103" s="35">
        <v>44359</v>
      </c>
      <c r="T1103" s="32" t="str">
        <f t="shared" si="69"/>
        <v>+83274873***</v>
      </c>
      <c r="U1103" s="32" t="str">
        <f t="shared" ca="1" si="70"/>
        <v>omar***@jossmail.com</v>
      </c>
      <c r="V1103" s="32">
        <f t="shared" si="71"/>
        <v>22</v>
      </c>
      <c r="W1103" s="36">
        <f t="shared" si="72"/>
        <v>0.05</v>
      </c>
    </row>
    <row r="1104" spans="4:23" ht="27" customHeight="1" x14ac:dyDescent="0.25">
      <c r="D1104" s="14" t="s">
        <v>4258</v>
      </c>
      <c r="E1104" s="14" t="s">
        <v>4259</v>
      </c>
      <c r="F1104" s="84" t="s">
        <v>321</v>
      </c>
      <c r="G1104" s="15" t="s">
        <v>68</v>
      </c>
      <c r="H1104" s="16" t="s">
        <v>4260</v>
      </c>
      <c r="I1104" s="17"/>
      <c r="J1104" s="17"/>
      <c r="K1104" s="17"/>
      <c r="L1104" s="17"/>
      <c r="N1104" s="31">
        <v>1102</v>
      </c>
      <c r="O1104" s="32" t="s">
        <v>3428</v>
      </c>
      <c r="P1104" s="33" t="s">
        <v>42</v>
      </c>
      <c r="Q1104" s="32" t="s">
        <v>40</v>
      </c>
      <c r="R1104" s="69">
        <v>44270.520185185182</v>
      </c>
      <c r="S1104" s="35">
        <v>44352</v>
      </c>
      <c r="T1104" s="32" t="str">
        <f t="shared" si="69"/>
        <v>+82241885***</v>
      </c>
      <c r="U1104" s="32" t="str">
        <f t="shared" ca="1" si="70"/>
        <v>feli***@jossmail.com</v>
      </c>
      <c r="V1104" s="32">
        <f t="shared" si="71"/>
        <v>22</v>
      </c>
      <c r="W1104" s="36">
        <f t="shared" si="72"/>
        <v>0.05</v>
      </c>
    </row>
    <row r="1105" spans="4:23" ht="27" customHeight="1" x14ac:dyDescent="0.25">
      <c r="D1105" s="14" t="s">
        <v>4261</v>
      </c>
      <c r="E1105" s="14" t="s">
        <v>811</v>
      </c>
      <c r="F1105" s="84" t="s">
        <v>3891</v>
      </c>
      <c r="G1105" s="15" t="s">
        <v>27</v>
      </c>
      <c r="H1105" s="16" t="s">
        <v>4262</v>
      </c>
      <c r="I1105" s="17"/>
      <c r="J1105" s="17"/>
      <c r="K1105" s="17"/>
      <c r="L1105" s="17"/>
      <c r="N1105" s="31">
        <v>1103</v>
      </c>
      <c r="O1105" s="32" t="s">
        <v>4263</v>
      </c>
      <c r="P1105" s="33" t="s">
        <v>31</v>
      </c>
      <c r="Q1105" s="32" t="s">
        <v>32</v>
      </c>
      <c r="R1105" s="69">
        <v>44272.550949074073</v>
      </c>
      <c r="S1105" s="35">
        <v>44352</v>
      </c>
      <c r="T1105" s="32" t="str">
        <f t="shared" si="69"/>
        <v>+082220143***</v>
      </c>
      <c r="U1105" s="32" t="str">
        <f t="shared" ca="1" si="70"/>
        <v>isra***@jossmail.com</v>
      </c>
      <c r="V1105" s="32">
        <f t="shared" si="71"/>
        <v>22</v>
      </c>
      <c r="W1105" s="36">
        <f t="shared" si="72"/>
        <v>0.05</v>
      </c>
    </row>
    <row r="1106" spans="4:23" ht="27" customHeight="1" x14ac:dyDescent="0.25">
      <c r="D1106" s="14" t="s">
        <v>4264</v>
      </c>
      <c r="E1106" s="14" t="s">
        <v>4265</v>
      </c>
      <c r="F1106" s="84" t="s">
        <v>466</v>
      </c>
      <c r="G1106" s="15" t="s">
        <v>68</v>
      </c>
      <c r="H1106" s="16" t="s">
        <v>4266</v>
      </c>
      <c r="I1106" s="17"/>
      <c r="J1106" s="17"/>
      <c r="K1106" s="17"/>
      <c r="L1106" s="17"/>
      <c r="N1106" s="31">
        <v>1104</v>
      </c>
      <c r="O1106" s="32" t="s">
        <v>4267</v>
      </c>
      <c r="P1106" s="33" t="s">
        <v>31</v>
      </c>
      <c r="Q1106" s="32" t="s">
        <v>40</v>
      </c>
      <c r="R1106" s="69">
        <v>44272.424178240741</v>
      </c>
      <c r="S1106" s="35">
        <v>44354</v>
      </c>
      <c r="T1106" s="32" t="str">
        <f t="shared" si="69"/>
        <v>+85212131***</v>
      </c>
      <c r="U1106" s="32" t="str">
        <f t="shared" ca="1" si="70"/>
        <v>jayc***@jossmail.com</v>
      </c>
      <c r="V1106" s="32">
        <f t="shared" si="71"/>
        <v>22</v>
      </c>
      <c r="W1106" s="36">
        <f t="shared" si="72"/>
        <v>0.05</v>
      </c>
    </row>
    <row r="1107" spans="4:23" ht="27" customHeight="1" x14ac:dyDescent="0.25">
      <c r="D1107" s="14" t="s">
        <v>4268</v>
      </c>
      <c r="E1107" s="14" t="s">
        <v>1541</v>
      </c>
      <c r="F1107" s="84" t="s">
        <v>256</v>
      </c>
      <c r="G1107" s="15" t="s">
        <v>27</v>
      </c>
      <c r="H1107" s="16" t="s">
        <v>4269</v>
      </c>
      <c r="I1107" s="17"/>
      <c r="J1107" s="17"/>
      <c r="K1107" s="17"/>
      <c r="L1107" s="17"/>
      <c r="N1107" s="31">
        <v>1105</v>
      </c>
      <c r="O1107" s="32" t="s">
        <v>4270</v>
      </c>
      <c r="P1107" s="33" t="s">
        <v>42</v>
      </c>
      <c r="Q1107" s="32" t="s">
        <v>32</v>
      </c>
      <c r="R1107" s="69">
        <v>44272.561284722222</v>
      </c>
      <c r="S1107" s="35">
        <v>44320</v>
      </c>
      <c r="T1107" s="32" t="str">
        <f t="shared" si="69"/>
        <v>+0852 49445***</v>
      </c>
      <c r="U1107" s="32" t="str">
        <f t="shared" ca="1" si="70"/>
        <v>cloe***@jossmail.com</v>
      </c>
      <c r="V1107" s="32">
        <f t="shared" si="71"/>
        <v>22</v>
      </c>
      <c r="W1107" s="36">
        <f t="shared" si="72"/>
        <v>0.05</v>
      </c>
    </row>
    <row r="1108" spans="4:23" ht="27" customHeight="1" x14ac:dyDescent="0.25">
      <c r="D1108" s="14" t="s">
        <v>4271</v>
      </c>
      <c r="E1108" s="14" t="s">
        <v>171</v>
      </c>
      <c r="F1108" s="84" t="s">
        <v>4272</v>
      </c>
      <c r="G1108" s="15" t="s">
        <v>27</v>
      </c>
      <c r="H1108" s="16" t="s">
        <v>4273</v>
      </c>
      <c r="I1108" s="17"/>
      <c r="J1108" s="17"/>
      <c r="K1108" s="17"/>
      <c r="L1108" s="17"/>
      <c r="N1108" s="31">
        <v>1106</v>
      </c>
      <c r="O1108" s="32" t="s">
        <v>4274</v>
      </c>
      <c r="P1108" s="33" t="s">
        <v>31</v>
      </c>
      <c r="Q1108" s="32" t="s">
        <v>40</v>
      </c>
      <c r="R1108" s="69">
        <v>44272.564074074071</v>
      </c>
      <c r="S1108" s="35">
        <v>44359</v>
      </c>
      <c r="T1108" s="32" t="str">
        <f t="shared" si="69"/>
        <v>+812 50335***</v>
      </c>
      <c r="U1108" s="32" t="str">
        <f t="shared" ca="1" si="70"/>
        <v>sinc***@yuhuumail.com</v>
      </c>
      <c r="V1108" s="32">
        <f t="shared" si="71"/>
        <v>22</v>
      </c>
      <c r="W1108" s="36">
        <f t="shared" si="72"/>
        <v>0.05</v>
      </c>
    </row>
    <row r="1109" spans="4:23" ht="27" customHeight="1" x14ac:dyDescent="0.25">
      <c r="D1109" s="14" t="s">
        <v>4275</v>
      </c>
      <c r="E1109" s="14" t="s">
        <v>1328</v>
      </c>
      <c r="F1109" s="84" t="s">
        <v>751</v>
      </c>
      <c r="G1109" s="15" t="s">
        <v>68</v>
      </c>
      <c r="H1109" s="16" t="s">
        <v>4276</v>
      </c>
      <c r="I1109" s="17"/>
      <c r="J1109" s="17"/>
      <c r="K1109" s="17"/>
      <c r="L1109" s="17"/>
      <c r="N1109" s="31">
        <v>1107</v>
      </c>
      <c r="O1109" s="32" t="s">
        <v>4133</v>
      </c>
      <c r="P1109" s="33" t="s">
        <v>57</v>
      </c>
      <c r="Q1109" s="32" t="s">
        <v>32</v>
      </c>
      <c r="R1109" s="69">
        <v>44272.564803240741</v>
      </c>
      <c r="S1109" s="35">
        <v>44362</v>
      </c>
      <c r="T1109" s="32" t="str">
        <f t="shared" si="69"/>
        <v>+0822-95519***</v>
      </c>
      <c r="U1109" s="32" t="str">
        <f t="shared" ca="1" si="70"/>
        <v>kobe***@yuhuumail.com</v>
      </c>
      <c r="V1109" s="32">
        <f t="shared" si="71"/>
        <v>22</v>
      </c>
      <c r="W1109" s="36">
        <f t="shared" si="72"/>
        <v>0.05</v>
      </c>
    </row>
    <row r="1110" spans="4:23" ht="27" customHeight="1" x14ac:dyDescent="0.25">
      <c r="D1110" s="14" t="s">
        <v>4277</v>
      </c>
      <c r="E1110" s="14" t="s">
        <v>4278</v>
      </c>
      <c r="F1110" s="84" t="s">
        <v>412</v>
      </c>
      <c r="G1110" s="15" t="s">
        <v>27</v>
      </c>
      <c r="H1110" s="16" t="s">
        <v>4279</v>
      </c>
      <c r="I1110" s="17"/>
      <c r="J1110" s="17"/>
      <c r="K1110" s="17"/>
      <c r="L1110" s="17"/>
      <c r="N1110" s="31">
        <v>1108</v>
      </c>
      <c r="O1110" s="32" t="s">
        <v>4280</v>
      </c>
      <c r="P1110" s="33" t="s">
        <v>42</v>
      </c>
      <c r="Q1110" s="32" t="s">
        <v>40</v>
      </c>
      <c r="R1110" s="69">
        <v>43413.895185185182</v>
      </c>
      <c r="S1110" s="35">
        <v>44362</v>
      </c>
      <c r="T1110" s="32" t="str">
        <f t="shared" si="69"/>
        <v>+0842 27691***</v>
      </c>
      <c r="U1110" s="32" t="str">
        <f t="shared" ca="1" si="70"/>
        <v>emil***@yuhuumail.com</v>
      </c>
      <c r="V1110" s="32">
        <f t="shared" si="71"/>
        <v>20</v>
      </c>
      <c r="W1110" s="36">
        <f t="shared" si="72"/>
        <v>6.5000000000000002E-2</v>
      </c>
    </row>
    <row r="1111" spans="4:23" ht="27" customHeight="1" x14ac:dyDescent="0.25">
      <c r="D1111" s="14" t="s">
        <v>4281</v>
      </c>
      <c r="E1111" s="14" t="s">
        <v>4282</v>
      </c>
      <c r="F1111" s="84" t="s">
        <v>653</v>
      </c>
      <c r="G1111" s="15" t="s">
        <v>27</v>
      </c>
      <c r="H1111" s="16" t="s">
        <v>4283</v>
      </c>
      <c r="I1111" s="17"/>
      <c r="J1111" s="17"/>
      <c r="K1111" s="17"/>
      <c r="L1111" s="17"/>
      <c r="N1111" s="31">
        <v>1109</v>
      </c>
      <c r="O1111" s="32" t="s">
        <v>4284</v>
      </c>
      <c r="P1111" s="33" t="s">
        <v>31</v>
      </c>
      <c r="Q1111" s="32" t="s">
        <v>32</v>
      </c>
      <c r="R1111" s="69">
        <v>44272.575046296297</v>
      </c>
      <c r="S1111" s="35">
        <v>44318</v>
      </c>
      <c r="T1111" s="32" t="str">
        <f t="shared" si="69"/>
        <v>+82246548***</v>
      </c>
      <c r="U1111" s="32" t="str">
        <f t="shared" ca="1" si="70"/>
        <v>kian***@yuhuumail.com</v>
      </c>
      <c r="V1111" s="32">
        <f t="shared" si="71"/>
        <v>22</v>
      </c>
      <c r="W1111" s="36">
        <f t="shared" si="72"/>
        <v>0.05</v>
      </c>
    </row>
    <row r="1112" spans="4:23" ht="27" customHeight="1" x14ac:dyDescent="0.25">
      <c r="D1112" s="14" t="s">
        <v>4285</v>
      </c>
      <c r="E1112" s="14" t="s">
        <v>4286</v>
      </c>
      <c r="F1112" s="84" t="s">
        <v>251</v>
      </c>
      <c r="G1112" s="15" t="s">
        <v>68</v>
      </c>
      <c r="H1112" s="16" t="s">
        <v>4287</v>
      </c>
      <c r="I1112" s="17"/>
      <c r="J1112" s="17"/>
      <c r="K1112" s="17"/>
      <c r="L1112" s="17"/>
      <c r="N1112" s="31">
        <v>1110</v>
      </c>
      <c r="O1112" s="32" t="s">
        <v>4288</v>
      </c>
      <c r="P1112" s="33" t="s">
        <v>57</v>
      </c>
      <c r="Q1112" s="32" t="s">
        <v>40</v>
      </c>
      <c r="R1112" s="69">
        <v>44272.573680555557</v>
      </c>
      <c r="S1112" s="35">
        <v>44320</v>
      </c>
      <c r="T1112" s="32" t="str">
        <f t="shared" si="69"/>
        <v>+6281218620***</v>
      </c>
      <c r="U1112" s="32" t="str">
        <f t="shared" ca="1" si="70"/>
        <v>cami***@jossmail.com</v>
      </c>
      <c r="V1112" s="32">
        <f t="shared" si="71"/>
        <v>22</v>
      </c>
      <c r="W1112" s="36">
        <f t="shared" si="72"/>
        <v>0.05</v>
      </c>
    </row>
    <row r="1113" spans="4:23" ht="27" customHeight="1" x14ac:dyDescent="0.25">
      <c r="D1113" s="14" t="s">
        <v>4289</v>
      </c>
      <c r="E1113" s="14" t="s">
        <v>3686</v>
      </c>
      <c r="F1113" s="84" t="s">
        <v>1201</v>
      </c>
      <c r="G1113" s="15" t="s">
        <v>68</v>
      </c>
      <c r="H1113" s="16" t="s">
        <v>4290</v>
      </c>
      <c r="I1113" s="17"/>
      <c r="J1113" s="17"/>
      <c r="K1113" s="17"/>
      <c r="L1113" s="17"/>
      <c r="N1113" s="31">
        <v>1111</v>
      </c>
      <c r="O1113" s="32" t="s">
        <v>4291</v>
      </c>
      <c r="P1113" s="33" t="s">
        <v>57</v>
      </c>
      <c r="Q1113" s="32" t="s">
        <v>32</v>
      </c>
      <c r="R1113" s="69">
        <v>44272.578344907408</v>
      </c>
      <c r="S1113" s="35">
        <v>44356</v>
      </c>
      <c r="T1113" s="32" t="str">
        <f t="shared" si="69"/>
        <v>+085230888***</v>
      </c>
      <c r="U1113" s="32" t="str">
        <f t="shared" ca="1" si="70"/>
        <v>sant***@yuhuumail.com</v>
      </c>
      <c r="V1113" s="32">
        <f t="shared" si="71"/>
        <v>22</v>
      </c>
      <c r="W1113" s="36">
        <f t="shared" si="72"/>
        <v>0.05</v>
      </c>
    </row>
    <row r="1114" spans="4:23" ht="27" customHeight="1" x14ac:dyDescent="0.25">
      <c r="D1114" s="14" t="s">
        <v>4292</v>
      </c>
      <c r="E1114" s="14" t="s">
        <v>2798</v>
      </c>
      <c r="F1114" s="84" t="s">
        <v>296</v>
      </c>
      <c r="G1114" s="15" t="s">
        <v>27</v>
      </c>
      <c r="H1114" s="16" t="s">
        <v>4293</v>
      </c>
      <c r="I1114" s="17"/>
      <c r="J1114" s="17"/>
      <c r="K1114" s="17"/>
      <c r="L1114" s="17"/>
      <c r="N1114" s="31">
        <v>1112</v>
      </c>
      <c r="O1114" s="32" t="s">
        <v>4294</v>
      </c>
      <c r="P1114" s="33" t="s">
        <v>31</v>
      </c>
      <c r="Q1114" s="32" t="s">
        <v>40</v>
      </c>
      <c r="R1114" s="69">
        <v>44272.583067129628</v>
      </c>
      <c r="S1114" s="35">
        <v>44354</v>
      </c>
      <c r="T1114" s="32" t="str">
        <f t="shared" si="69"/>
        <v>+0852 36713***</v>
      </c>
      <c r="U1114" s="32" t="str">
        <f t="shared" ca="1" si="70"/>
        <v>enzo***@yuhuumail.com</v>
      </c>
      <c r="V1114" s="32">
        <f t="shared" si="71"/>
        <v>22</v>
      </c>
      <c r="W1114" s="36">
        <f t="shared" si="72"/>
        <v>0.05</v>
      </c>
    </row>
    <row r="1115" spans="4:23" ht="27" customHeight="1" x14ac:dyDescent="0.25">
      <c r="D1115" s="14" t="s">
        <v>4295</v>
      </c>
      <c r="E1115" s="14" t="s">
        <v>4296</v>
      </c>
      <c r="F1115" s="84" t="s">
        <v>302</v>
      </c>
      <c r="G1115" s="15" t="s">
        <v>68</v>
      </c>
      <c r="H1115" s="16" t="s">
        <v>4297</v>
      </c>
      <c r="I1115" s="17"/>
      <c r="J1115" s="17"/>
      <c r="K1115" s="17"/>
      <c r="L1115" s="17"/>
      <c r="N1115" s="31">
        <v>1113</v>
      </c>
      <c r="O1115" s="32" t="s">
        <v>4174</v>
      </c>
      <c r="P1115" s="33" t="s">
        <v>31</v>
      </c>
      <c r="Q1115" s="32" t="s">
        <v>32</v>
      </c>
      <c r="R1115" s="69">
        <v>44272.593634259261</v>
      </c>
      <c r="S1115" s="35">
        <v>44359</v>
      </c>
      <c r="T1115" s="32" t="str">
        <f t="shared" si="69"/>
        <v>+085225331***</v>
      </c>
      <c r="U1115" s="32" t="str">
        <f t="shared" ca="1" si="70"/>
        <v>broo***@yuhuumail.com</v>
      </c>
      <c r="V1115" s="32">
        <f t="shared" si="71"/>
        <v>22</v>
      </c>
      <c r="W1115" s="36">
        <f t="shared" si="72"/>
        <v>0.05</v>
      </c>
    </row>
    <row r="1116" spans="4:23" ht="27" customHeight="1" x14ac:dyDescent="0.25">
      <c r="D1116" s="14" t="s">
        <v>4298</v>
      </c>
      <c r="E1116" s="14" t="s">
        <v>4299</v>
      </c>
      <c r="F1116" s="84" t="s">
        <v>674</v>
      </c>
      <c r="G1116" s="15" t="s">
        <v>68</v>
      </c>
      <c r="H1116" s="16" t="s">
        <v>4300</v>
      </c>
      <c r="I1116" s="17"/>
      <c r="J1116" s="17"/>
      <c r="K1116" s="17"/>
      <c r="L1116" s="17"/>
      <c r="N1116" s="31">
        <v>1114</v>
      </c>
      <c r="O1116" s="32" t="s">
        <v>4301</v>
      </c>
      <c r="P1116" s="33" t="s">
        <v>57</v>
      </c>
      <c r="Q1116" s="32" t="s">
        <v>40</v>
      </c>
      <c r="R1116" s="69">
        <v>43912.855185185188</v>
      </c>
      <c r="S1116" s="35">
        <v>44360</v>
      </c>
      <c r="T1116" s="32" t="str">
        <f t="shared" si="69"/>
        <v>+6283293667***</v>
      </c>
      <c r="U1116" s="32" t="str">
        <f t="shared" ca="1" si="70"/>
        <v>cris***@jossmail.com</v>
      </c>
      <c r="V1116" s="32">
        <f t="shared" si="71"/>
        <v>21</v>
      </c>
      <c r="W1116" s="36">
        <f t="shared" si="72"/>
        <v>6.5000000000000002E-2</v>
      </c>
    </row>
    <row r="1117" spans="4:23" ht="27" customHeight="1" x14ac:dyDescent="0.25">
      <c r="D1117" s="14" t="s">
        <v>4302</v>
      </c>
      <c r="E1117" s="14" t="s">
        <v>4303</v>
      </c>
      <c r="F1117" s="84" t="s">
        <v>485</v>
      </c>
      <c r="G1117" s="15" t="s">
        <v>68</v>
      </c>
      <c r="H1117" s="16" t="s">
        <v>4304</v>
      </c>
      <c r="I1117" s="17"/>
      <c r="J1117" s="17"/>
      <c r="K1117" s="17"/>
      <c r="L1117" s="17"/>
      <c r="N1117" s="31">
        <v>1115</v>
      </c>
      <c r="O1117" s="32" t="s">
        <v>4305</v>
      </c>
      <c r="P1117" s="33" t="s">
        <v>42</v>
      </c>
      <c r="Q1117" s="32" t="s">
        <v>32</v>
      </c>
      <c r="R1117" s="69">
        <v>43845.397129629629</v>
      </c>
      <c r="S1117" s="71">
        <v>44359</v>
      </c>
      <c r="T1117" s="32" t="str">
        <f t="shared" si="69"/>
        <v>+6282268720***</v>
      </c>
      <c r="U1117" s="32" t="str">
        <f t="shared" ca="1" si="70"/>
        <v>mary***@yuhuumail.com</v>
      </c>
      <c r="V1117" s="32">
        <f t="shared" si="71"/>
        <v>21</v>
      </c>
      <c r="W1117" s="36">
        <f t="shared" si="72"/>
        <v>6.5000000000000002E-2</v>
      </c>
    </row>
    <row r="1118" spans="4:23" ht="27" customHeight="1" x14ac:dyDescent="0.25">
      <c r="D1118" s="14" t="s">
        <v>4306</v>
      </c>
      <c r="E1118" s="14" t="s">
        <v>4307</v>
      </c>
      <c r="F1118" s="84" t="s">
        <v>261</v>
      </c>
      <c r="G1118" s="15" t="s">
        <v>68</v>
      </c>
      <c r="H1118" s="16" t="s">
        <v>4308</v>
      </c>
      <c r="I1118" s="17"/>
      <c r="J1118" s="17"/>
      <c r="K1118" s="17"/>
      <c r="L1118" s="17"/>
      <c r="N1118" s="31">
        <v>1116</v>
      </c>
      <c r="O1118" s="32" t="s">
        <v>4309</v>
      </c>
      <c r="P1118" s="33" t="s">
        <v>42</v>
      </c>
      <c r="Q1118" s="32" t="s">
        <v>40</v>
      </c>
      <c r="R1118" s="69">
        <v>44266.686666666668</v>
      </c>
      <c r="S1118" s="71">
        <v>44351</v>
      </c>
      <c r="T1118" s="32" t="str">
        <f t="shared" si="69"/>
        <v>+81274645***</v>
      </c>
      <c r="U1118" s="32" t="str">
        <f t="shared" ca="1" si="70"/>
        <v>zack***@jossmail.com</v>
      </c>
      <c r="V1118" s="32">
        <f t="shared" si="71"/>
        <v>22</v>
      </c>
      <c r="W1118" s="36">
        <f t="shared" si="72"/>
        <v>0.05</v>
      </c>
    </row>
    <row r="1119" spans="4:23" ht="27" customHeight="1" x14ac:dyDescent="0.25">
      <c r="D1119" s="14" t="s">
        <v>4310</v>
      </c>
      <c r="E1119" s="14" t="s">
        <v>4311</v>
      </c>
      <c r="F1119" s="84" t="s">
        <v>2997</v>
      </c>
      <c r="G1119" s="15" t="s">
        <v>27</v>
      </c>
      <c r="H1119" s="16" t="s">
        <v>4312</v>
      </c>
      <c r="I1119" s="17"/>
      <c r="J1119" s="17"/>
      <c r="K1119" s="17"/>
      <c r="L1119" s="17"/>
      <c r="N1119" s="31">
        <v>1117</v>
      </c>
      <c r="O1119" s="32" t="s">
        <v>709</v>
      </c>
      <c r="P1119" s="33" t="s">
        <v>31</v>
      </c>
      <c r="Q1119" s="32" t="s">
        <v>32</v>
      </c>
      <c r="R1119" s="69">
        <v>44272.602476851855</v>
      </c>
      <c r="S1119" s="71">
        <v>44317</v>
      </c>
      <c r="T1119" s="32" t="str">
        <f t="shared" si="69"/>
        <v>+6281227112***</v>
      </c>
      <c r="U1119" s="32" t="str">
        <f t="shared" ca="1" si="70"/>
        <v>meli***@jossmail.com</v>
      </c>
      <c r="V1119" s="32">
        <f t="shared" si="71"/>
        <v>22</v>
      </c>
      <c r="W1119" s="36">
        <f t="shared" si="72"/>
        <v>0.05</v>
      </c>
    </row>
    <row r="1120" spans="4:23" ht="27" customHeight="1" x14ac:dyDescent="0.25">
      <c r="D1120" s="14" t="s">
        <v>4313</v>
      </c>
      <c r="E1120" s="14" t="s">
        <v>4314</v>
      </c>
      <c r="F1120" s="84" t="s">
        <v>92</v>
      </c>
      <c r="G1120" s="15" t="s">
        <v>27</v>
      </c>
      <c r="H1120" s="16" t="s">
        <v>4315</v>
      </c>
      <c r="I1120" s="17"/>
      <c r="J1120" s="17"/>
      <c r="K1120" s="17"/>
      <c r="L1120" s="17"/>
      <c r="N1120" s="31">
        <v>1118</v>
      </c>
      <c r="O1120" s="32" t="s">
        <v>997</v>
      </c>
      <c r="P1120" s="33" t="s">
        <v>57</v>
      </c>
      <c r="Q1120" s="32" t="s">
        <v>40</v>
      </c>
      <c r="R1120" s="69">
        <v>44272.600451388891</v>
      </c>
      <c r="S1120" s="71">
        <v>44322</v>
      </c>
      <c r="T1120" s="32" t="str">
        <f t="shared" si="69"/>
        <v>+085265628***</v>
      </c>
      <c r="U1120" s="32" t="str">
        <f t="shared" ca="1" si="70"/>
        <v>chay***@yuhuumail.com</v>
      </c>
      <c r="V1120" s="32">
        <f t="shared" si="71"/>
        <v>22</v>
      </c>
      <c r="W1120" s="36">
        <f t="shared" si="72"/>
        <v>0.05</v>
      </c>
    </row>
    <row r="1121" spans="4:23" ht="27" customHeight="1" x14ac:dyDescent="0.25">
      <c r="D1121" s="14" t="s">
        <v>4316</v>
      </c>
      <c r="E1121" s="14" t="s">
        <v>4317</v>
      </c>
      <c r="F1121" s="84" t="s">
        <v>969</v>
      </c>
      <c r="G1121" s="15" t="s">
        <v>27</v>
      </c>
      <c r="H1121" s="16" t="s">
        <v>4318</v>
      </c>
      <c r="I1121" s="17"/>
      <c r="J1121" s="17"/>
      <c r="K1121" s="17"/>
      <c r="L1121" s="17"/>
      <c r="N1121" s="31">
        <v>1119</v>
      </c>
      <c r="O1121" s="32" t="s">
        <v>2941</v>
      </c>
      <c r="P1121" s="33" t="s">
        <v>57</v>
      </c>
      <c r="Q1121" s="32" t="s">
        <v>32</v>
      </c>
      <c r="R1121" s="69">
        <v>44272.604490740741</v>
      </c>
      <c r="S1121" s="71">
        <v>44356</v>
      </c>
      <c r="T1121" s="32" t="str">
        <f t="shared" si="69"/>
        <v>+0852-91308***</v>
      </c>
      <c r="U1121" s="32" t="str">
        <f t="shared" ca="1" si="70"/>
        <v>kale***@jossmail.com</v>
      </c>
      <c r="V1121" s="32">
        <f t="shared" si="71"/>
        <v>22</v>
      </c>
      <c r="W1121" s="36">
        <f t="shared" si="72"/>
        <v>0.05</v>
      </c>
    </row>
    <row r="1122" spans="4:23" ht="27" customHeight="1" x14ac:dyDescent="0.25">
      <c r="D1122" s="14" t="s">
        <v>4319</v>
      </c>
      <c r="E1122" s="14" t="s">
        <v>4320</v>
      </c>
      <c r="F1122" s="84" t="s">
        <v>934</v>
      </c>
      <c r="G1122" s="15" t="s">
        <v>27</v>
      </c>
      <c r="H1122" s="16" t="s">
        <v>4321</v>
      </c>
      <c r="I1122" s="17"/>
      <c r="J1122" s="17"/>
      <c r="K1122" s="17"/>
      <c r="L1122" s="17"/>
      <c r="N1122" s="31">
        <v>1120</v>
      </c>
      <c r="O1122" s="32" t="s">
        <v>4322</v>
      </c>
      <c r="P1122" s="33" t="s">
        <v>42</v>
      </c>
      <c r="Q1122" s="32" t="s">
        <v>40</v>
      </c>
      <c r="R1122" s="69">
        <v>44272.571550925924</v>
      </c>
      <c r="S1122" s="71">
        <v>44358</v>
      </c>
      <c r="T1122" s="32" t="str">
        <f t="shared" si="69"/>
        <v>+6285257762***</v>
      </c>
      <c r="U1122" s="32" t="str">
        <f t="shared" ca="1" si="70"/>
        <v>talo***@yuhuumail.com</v>
      </c>
      <c r="V1122" s="32">
        <f t="shared" si="71"/>
        <v>22</v>
      </c>
      <c r="W1122" s="36">
        <f t="shared" si="72"/>
        <v>0.05</v>
      </c>
    </row>
    <row r="1123" spans="4:23" ht="27" customHeight="1" x14ac:dyDescent="0.25">
      <c r="D1123" s="14" t="s">
        <v>4323</v>
      </c>
      <c r="E1123" s="14" t="s">
        <v>2500</v>
      </c>
      <c r="F1123" s="84" t="s">
        <v>114</v>
      </c>
      <c r="G1123" s="15" t="s">
        <v>68</v>
      </c>
      <c r="H1123" s="16" t="s">
        <v>4324</v>
      </c>
      <c r="I1123" s="17"/>
      <c r="J1123" s="17"/>
      <c r="K1123" s="17"/>
      <c r="L1123" s="17"/>
      <c r="N1123" s="31">
        <v>1121</v>
      </c>
      <c r="O1123" s="32" t="s">
        <v>4325</v>
      </c>
      <c r="P1123" s="33" t="s">
        <v>31</v>
      </c>
      <c r="Q1123" s="32" t="s">
        <v>32</v>
      </c>
      <c r="R1123" s="69">
        <v>44272.597071759257</v>
      </c>
      <c r="S1123" s="71">
        <v>44354</v>
      </c>
      <c r="T1123" s="32" t="str">
        <f t="shared" si="69"/>
        <v>+082269645***</v>
      </c>
      <c r="U1123" s="32" t="str">
        <f t="shared" ca="1" si="70"/>
        <v>mari***@jossmail.com</v>
      </c>
      <c r="V1123" s="32">
        <f t="shared" si="71"/>
        <v>22</v>
      </c>
      <c r="W1123" s="36">
        <f t="shared" si="72"/>
        <v>0.05</v>
      </c>
    </row>
    <row r="1124" spans="4:23" ht="27" customHeight="1" x14ac:dyDescent="0.25">
      <c r="D1124" s="14" t="s">
        <v>4326</v>
      </c>
      <c r="E1124" s="14" t="s">
        <v>4327</v>
      </c>
      <c r="F1124" s="84" t="s">
        <v>614</v>
      </c>
      <c r="G1124" s="15" t="s">
        <v>27</v>
      </c>
      <c r="H1124" s="16" t="s">
        <v>4328</v>
      </c>
      <c r="I1124" s="17"/>
      <c r="J1124" s="17"/>
      <c r="K1124" s="17"/>
      <c r="L1124" s="17"/>
      <c r="N1124" s="31">
        <v>1122</v>
      </c>
      <c r="O1124" s="32" t="s">
        <v>4329</v>
      </c>
      <c r="P1124" s="33" t="s">
        <v>31</v>
      </c>
      <c r="Q1124" s="32" t="s">
        <v>40</v>
      </c>
      <c r="R1124" s="69">
        <v>44272.599189814813</v>
      </c>
      <c r="S1124" s="71">
        <v>44352</v>
      </c>
      <c r="T1124" s="32" t="str">
        <f t="shared" si="69"/>
        <v>+852 11324***</v>
      </c>
      <c r="U1124" s="32" t="str">
        <f t="shared" ca="1" si="70"/>
        <v>vale***@yuhuumail.com</v>
      </c>
      <c r="V1124" s="32">
        <f t="shared" si="71"/>
        <v>22</v>
      </c>
      <c r="W1124" s="36">
        <f t="shared" si="72"/>
        <v>0.05</v>
      </c>
    </row>
    <row r="1125" spans="4:23" ht="27" customHeight="1" x14ac:dyDescent="0.25">
      <c r="D1125" s="14" t="s">
        <v>4330</v>
      </c>
      <c r="E1125" s="14" t="s">
        <v>4151</v>
      </c>
      <c r="F1125" s="84" t="s">
        <v>239</v>
      </c>
      <c r="G1125" s="15" t="s">
        <v>68</v>
      </c>
      <c r="H1125" s="16" t="s">
        <v>4331</v>
      </c>
      <c r="I1125" s="17"/>
      <c r="J1125" s="17"/>
      <c r="K1125" s="17"/>
      <c r="L1125" s="17"/>
      <c r="N1125" s="31">
        <v>1123</v>
      </c>
      <c r="O1125" s="32" t="s">
        <v>4062</v>
      </c>
      <c r="P1125" s="33" t="s">
        <v>31</v>
      </c>
      <c r="Q1125" s="32" t="s">
        <v>32</v>
      </c>
      <c r="R1125" s="69">
        <v>44272.60328703704</v>
      </c>
      <c r="S1125" s="71">
        <v>44352</v>
      </c>
      <c r="T1125" s="32" t="str">
        <f t="shared" si="69"/>
        <v>+0822 87347***</v>
      </c>
      <c r="U1125" s="32" t="str">
        <f t="shared" ca="1" si="70"/>
        <v>titu***@jossmail.com</v>
      </c>
      <c r="V1125" s="32">
        <f t="shared" si="71"/>
        <v>22</v>
      </c>
      <c r="W1125" s="36">
        <f t="shared" si="72"/>
        <v>0.05</v>
      </c>
    </row>
    <row r="1126" spans="4:23" ht="27" customHeight="1" x14ac:dyDescent="0.25">
      <c r="D1126" s="14" t="s">
        <v>4332</v>
      </c>
      <c r="E1126" s="14" t="s">
        <v>1348</v>
      </c>
      <c r="F1126" s="84" t="s">
        <v>1093</v>
      </c>
      <c r="G1126" s="15" t="s">
        <v>27</v>
      </c>
      <c r="H1126" s="16" t="s">
        <v>4333</v>
      </c>
      <c r="I1126" s="17"/>
      <c r="J1126" s="17"/>
      <c r="K1126" s="17"/>
      <c r="L1126" s="17"/>
      <c r="N1126" s="31">
        <v>1124</v>
      </c>
      <c r="O1126" s="32" t="s">
        <v>4334</v>
      </c>
      <c r="P1126" s="33" t="s">
        <v>31</v>
      </c>
      <c r="Q1126" s="32" t="s">
        <v>40</v>
      </c>
      <c r="R1126" s="69">
        <v>44272.618634259263</v>
      </c>
      <c r="S1126" s="71">
        <v>44356</v>
      </c>
      <c r="T1126" s="32" t="str">
        <f t="shared" si="69"/>
        <v>+82224557***</v>
      </c>
      <c r="U1126" s="32" t="str">
        <f t="shared" ca="1" si="70"/>
        <v>dest***@jossmail.com</v>
      </c>
      <c r="V1126" s="32">
        <f t="shared" si="71"/>
        <v>22</v>
      </c>
      <c r="W1126" s="36">
        <f t="shared" si="72"/>
        <v>0.05</v>
      </c>
    </row>
    <row r="1127" spans="4:23" ht="27" customHeight="1" x14ac:dyDescent="0.25">
      <c r="D1127" s="14" t="s">
        <v>4335</v>
      </c>
      <c r="E1127" s="14" t="s">
        <v>1731</v>
      </c>
      <c r="F1127" s="84" t="s">
        <v>211</v>
      </c>
      <c r="G1127" s="15" t="s">
        <v>27</v>
      </c>
      <c r="H1127" s="16" t="s">
        <v>4336</v>
      </c>
      <c r="I1127" s="17"/>
      <c r="J1127" s="17"/>
      <c r="K1127" s="17"/>
      <c r="L1127" s="17"/>
      <c r="N1127" s="31">
        <v>1125</v>
      </c>
      <c r="O1127" s="32" t="s">
        <v>4337</v>
      </c>
      <c r="P1127" s="33" t="s">
        <v>42</v>
      </c>
      <c r="Q1127" s="32" t="s">
        <v>32</v>
      </c>
      <c r="R1127" s="69">
        <v>44272.60361111111</v>
      </c>
      <c r="S1127" s="71">
        <v>44362</v>
      </c>
      <c r="T1127" s="32" t="str">
        <f t="shared" si="69"/>
        <v>+84238758***</v>
      </c>
      <c r="U1127" s="32" t="str">
        <f t="shared" ca="1" si="70"/>
        <v>karl***@jossmail.com</v>
      </c>
      <c r="V1127" s="32">
        <f t="shared" si="71"/>
        <v>22</v>
      </c>
      <c r="W1127" s="36">
        <f t="shared" si="72"/>
        <v>0.05</v>
      </c>
    </row>
    <row r="1128" spans="4:23" ht="27" customHeight="1" x14ac:dyDescent="0.25">
      <c r="D1128" s="14" t="s">
        <v>4338</v>
      </c>
      <c r="E1128" s="14" t="s">
        <v>4144</v>
      </c>
      <c r="F1128" s="84" t="s">
        <v>239</v>
      </c>
      <c r="G1128" s="15" t="s">
        <v>68</v>
      </c>
      <c r="H1128" s="16" t="s">
        <v>4339</v>
      </c>
      <c r="I1128" s="17"/>
      <c r="J1128" s="17"/>
      <c r="K1128" s="17"/>
      <c r="L1128" s="17"/>
      <c r="N1128" s="31">
        <v>1126</v>
      </c>
      <c r="O1128" s="32" t="s">
        <v>4340</v>
      </c>
      <c r="P1128" s="33" t="s">
        <v>57</v>
      </c>
      <c r="Q1128" s="32" t="s">
        <v>40</v>
      </c>
      <c r="R1128" s="69">
        <v>44054.8516087963</v>
      </c>
      <c r="S1128" s="71">
        <v>44354</v>
      </c>
      <c r="T1128" s="32" t="str">
        <f t="shared" si="69"/>
        <v>+82230070***</v>
      </c>
      <c r="U1128" s="32" t="str">
        <f t="shared" ca="1" si="70"/>
        <v>dale***@yuhuumail.com</v>
      </c>
      <c r="V1128" s="32">
        <f t="shared" si="71"/>
        <v>21</v>
      </c>
      <c r="W1128" s="36">
        <f t="shared" si="72"/>
        <v>0.05</v>
      </c>
    </row>
    <row r="1129" spans="4:23" ht="27" customHeight="1" x14ac:dyDescent="0.25">
      <c r="D1129" s="14" t="s">
        <v>4341</v>
      </c>
      <c r="E1129" s="14" t="s">
        <v>1207</v>
      </c>
      <c r="F1129" s="84" t="s">
        <v>674</v>
      </c>
      <c r="G1129" s="15" t="s">
        <v>27</v>
      </c>
      <c r="H1129" s="16" t="s">
        <v>4342</v>
      </c>
      <c r="I1129" s="17"/>
      <c r="J1129" s="17"/>
      <c r="K1129" s="17"/>
      <c r="L1129" s="17"/>
      <c r="N1129" s="31">
        <v>1127</v>
      </c>
      <c r="O1129" s="32" t="s">
        <v>759</v>
      </c>
      <c r="P1129" s="33" t="s">
        <v>57</v>
      </c>
      <c r="Q1129" s="32" t="s">
        <v>32</v>
      </c>
      <c r="R1129" s="69">
        <v>44272.623229166667</v>
      </c>
      <c r="S1129" s="71">
        <v>44362</v>
      </c>
      <c r="T1129" s="32" t="str">
        <f t="shared" si="69"/>
        <v>+0812 16910***</v>
      </c>
      <c r="U1129" s="32" t="str">
        <f t="shared" ca="1" si="70"/>
        <v>cord***@jossmail.com</v>
      </c>
      <c r="V1129" s="32">
        <f t="shared" si="71"/>
        <v>22</v>
      </c>
      <c r="W1129" s="36">
        <f t="shared" si="72"/>
        <v>0.05</v>
      </c>
    </row>
    <row r="1130" spans="4:23" ht="27" customHeight="1" x14ac:dyDescent="0.25">
      <c r="D1130" s="14" t="s">
        <v>4343</v>
      </c>
      <c r="E1130" s="14" t="s">
        <v>3596</v>
      </c>
      <c r="F1130" s="84" t="s">
        <v>1201</v>
      </c>
      <c r="G1130" s="15" t="s">
        <v>27</v>
      </c>
      <c r="H1130" s="16" t="s">
        <v>4344</v>
      </c>
      <c r="I1130" s="17"/>
      <c r="J1130" s="17"/>
      <c r="K1130" s="17"/>
      <c r="L1130" s="17"/>
      <c r="N1130" s="31">
        <v>1128</v>
      </c>
      <c r="O1130" s="32" t="s">
        <v>4345</v>
      </c>
      <c r="P1130" s="33" t="s">
        <v>42</v>
      </c>
      <c r="Q1130" s="32" t="s">
        <v>40</v>
      </c>
      <c r="R1130" s="69">
        <v>44272.625520833331</v>
      </c>
      <c r="S1130" s="71">
        <v>44318</v>
      </c>
      <c r="T1130" s="32" t="str">
        <f t="shared" si="69"/>
        <v>+0812-67809***</v>
      </c>
      <c r="U1130" s="32" t="str">
        <f t="shared" ca="1" si="70"/>
        <v>remi***@jossmail.com</v>
      </c>
      <c r="V1130" s="32">
        <f t="shared" si="71"/>
        <v>22</v>
      </c>
      <c r="W1130" s="36">
        <f t="shared" si="72"/>
        <v>0.05</v>
      </c>
    </row>
    <row r="1131" spans="4:23" ht="27" customHeight="1" x14ac:dyDescent="0.25">
      <c r="D1131" s="14" t="s">
        <v>4346</v>
      </c>
      <c r="E1131" s="14" t="s">
        <v>1070</v>
      </c>
      <c r="F1131" s="84" t="s">
        <v>764</v>
      </c>
      <c r="G1131" s="15" t="s">
        <v>27</v>
      </c>
      <c r="H1131" s="16" t="s">
        <v>4347</v>
      </c>
      <c r="I1131" s="17"/>
      <c r="J1131" s="17"/>
      <c r="K1131" s="17"/>
      <c r="L1131" s="17"/>
      <c r="N1131" s="31">
        <v>1129</v>
      </c>
      <c r="O1131" s="32" t="s">
        <v>4348</v>
      </c>
      <c r="P1131" s="33" t="s">
        <v>31</v>
      </c>
      <c r="Q1131" s="32" t="s">
        <v>32</v>
      </c>
      <c r="R1131" s="69">
        <v>44272.629756944443</v>
      </c>
      <c r="S1131" s="71">
        <v>44320</v>
      </c>
      <c r="T1131" s="32" t="str">
        <f t="shared" si="69"/>
        <v>+85256570***</v>
      </c>
      <c r="U1131" s="32" t="str">
        <f t="shared" ca="1" si="70"/>
        <v>gray***@yuhuumail.com</v>
      </c>
      <c r="V1131" s="32">
        <f t="shared" si="71"/>
        <v>22</v>
      </c>
      <c r="W1131" s="36">
        <f t="shared" si="72"/>
        <v>0.05</v>
      </c>
    </row>
    <row r="1132" spans="4:23" ht="27" customHeight="1" x14ac:dyDescent="0.25">
      <c r="D1132" s="14" t="s">
        <v>4349</v>
      </c>
      <c r="E1132" s="14" t="s">
        <v>4350</v>
      </c>
      <c r="F1132" s="84" t="s">
        <v>169</v>
      </c>
      <c r="G1132" s="15" t="s">
        <v>27</v>
      </c>
      <c r="H1132" s="16" t="s">
        <v>4351</v>
      </c>
      <c r="I1132" s="17"/>
      <c r="J1132" s="17"/>
      <c r="K1132" s="17"/>
      <c r="L1132" s="17"/>
      <c r="N1132" s="31">
        <v>1130</v>
      </c>
      <c r="O1132" s="32" t="s">
        <v>2198</v>
      </c>
      <c r="P1132" s="33" t="s">
        <v>57</v>
      </c>
      <c r="Q1132" s="32" t="s">
        <v>40</v>
      </c>
      <c r="R1132" s="69">
        <v>44272.632511574076</v>
      </c>
      <c r="S1132" s="71">
        <v>44352</v>
      </c>
      <c r="T1132" s="32" t="str">
        <f t="shared" si="69"/>
        <v>+6284241511***</v>
      </c>
      <c r="U1132" s="32" t="str">
        <f t="shared" ca="1" si="70"/>
        <v>hall***@jossmail.com</v>
      </c>
      <c r="V1132" s="32">
        <f t="shared" si="71"/>
        <v>22</v>
      </c>
      <c r="W1132" s="36">
        <f t="shared" si="72"/>
        <v>0.05</v>
      </c>
    </row>
    <row r="1133" spans="4:23" ht="27" customHeight="1" x14ac:dyDescent="0.25">
      <c r="D1133" s="14" t="s">
        <v>4352</v>
      </c>
      <c r="E1133" s="14" t="s">
        <v>4239</v>
      </c>
      <c r="F1133" s="84" t="s">
        <v>348</v>
      </c>
      <c r="G1133" s="15" t="s">
        <v>68</v>
      </c>
      <c r="H1133" s="16" t="s">
        <v>4353</v>
      </c>
      <c r="I1133" s="17"/>
      <c r="J1133" s="17"/>
      <c r="K1133" s="17"/>
      <c r="L1133" s="17"/>
      <c r="N1133" s="31">
        <v>1131</v>
      </c>
      <c r="O1133" s="32" t="s">
        <v>4354</v>
      </c>
      <c r="P1133" s="33" t="s">
        <v>42</v>
      </c>
      <c r="Q1133" s="32" t="s">
        <v>32</v>
      </c>
      <c r="R1133" s="69">
        <v>44272.635011574072</v>
      </c>
      <c r="S1133" s="71">
        <v>44320</v>
      </c>
      <c r="T1133" s="32" t="str">
        <f t="shared" si="69"/>
        <v>+082212785***</v>
      </c>
      <c r="U1133" s="32" t="str">
        <f t="shared" ca="1" si="70"/>
        <v>mika***@yuhuumail.com</v>
      </c>
      <c r="V1133" s="32">
        <f t="shared" si="71"/>
        <v>22</v>
      </c>
      <c r="W1133" s="36">
        <f t="shared" si="72"/>
        <v>0.05</v>
      </c>
    </row>
    <row r="1134" spans="4:23" ht="27" customHeight="1" x14ac:dyDescent="0.25">
      <c r="D1134" s="14" t="s">
        <v>4355</v>
      </c>
      <c r="E1134" s="14" t="s">
        <v>2072</v>
      </c>
      <c r="F1134" s="84" t="s">
        <v>934</v>
      </c>
      <c r="G1134" s="15" t="s">
        <v>27</v>
      </c>
      <c r="H1134" s="16" t="s">
        <v>4356</v>
      </c>
      <c r="I1134" s="17"/>
      <c r="J1134" s="17"/>
      <c r="K1134" s="17"/>
      <c r="L1134" s="17"/>
      <c r="N1134" s="31">
        <v>1132</v>
      </c>
      <c r="O1134" s="32" t="s">
        <v>4357</v>
      </c>
      <c r="P1134" s="33" t="s">
        <v>31</v>
      </c>
      <c r="Q1134" s="32" t="s">
        <v>40</v>
      </c>
      <c r="R1134" s="69">
        <v>44272.634062500001</v>
      </c>
      <c r="S1134" s="71">
        <v>44359</v>
      </c>
      <c r="T1134" s="32" t="str">
        <f t="shared" si="69"/>
        <v>+6281294499***</v>
      </c>
      <c r="U1134" s="32" t="str">
        <f t="shared" ca="1" si="70"/>
        <v>kill***@jossmail.com</v>
      </c>
      <c r="V1134" s="32">
        <f t="shared" si="71"/>
        <v>22</v>
      </c>
      <c r="W1134" s="36">
        <f t="shared" si="72"/>
        <v>0.05</v>
      </c>
    </row>
    <row r="1135" spans="4:23" ht="27" customHeight="1" x14ac:dyDescent="0.25">
      <c r="D1135" s="14" t="s">
        <v>4358</v>
      </c>
      <c r="E1135" s="14" t="s">
        <v>4359</v>
      </c>
      <c r="F1135" s="84" t="s">
        <v>407</v>
      </c>
      <c r="G1135" s="15" t="s">
        <v>27</v>
      </c>
      <c r="H1135" s="16" t="s">
        <v>4360</v>
      </c>
      <c r="I1135" s="17"/>
      <c r="J1135" s="17"/>
      <c r="K1135" s="17"/>
      <c r="L1135" s="17"/>
      <c r="N1135" s="31">
        <v>1133</v>
      </c>
      <c r="O1135" s="32" t="s">
        <v>4361</v>
      </c>
      <c r="P1135" s="33" t="s">
        <v>57</v>
      </c>
      <c r="Q1135" s="32" t="s">
        <v>32</v>
      </c>
      <c r="R1135" s="69">
        <v>44272.639733796299</v>
      </c>
      <c r="S1135" s="71">
        <v>44318</v>
      </c>
      <c r="T1135" s="32" t="str">
        <f t="shared" si="69"/>
        <v>+082226891***</v>
      </c>
      <c r="U1135" s="32" t="str">
        <f t="shared" ca="1" si="70"/>
        <v>karl***@yuhuumail.com</v>
      </c>
      <c r="V1135" s="32">
        <f t="shared" si="71"/>
        <v>22</v>
      </c>
      <c r="W1135" s="36">
        <f t="shared" si="72"/>
        <v>0.05</v>
      </c>
    </row>
    <row r="1136" spans="4:23" ht="27" customHeight="1" x14ac:dyDescent="0.25">
      <c r="D1136" s="14" t="s">
        <v>4362</v>
      </c>
      <c r="E1136" s="14" t="s">
        <v>4363</v>
      </c>
      <c r="F1136" s="84" t="s">
        <v>1870</v>
      </c>
      <c r="G1136" s="15" t="s">
        <v>27</v>
      </c>
      <c r="H1136" s="16" t="s">
        <v>4364</v>
      </c>
      <c r="I1136" s="17"/>
      <c r="J1136" s="17"/>
      <c r="K1136" s="17"/>
      <c r="L1136" s="17"/>
      <c r="N1136" s="31">
        <v>1134</v>
      </c>
      <c r="O1136" s="32" t="s">
        <v>3111</v>
      </c>
      <c r="P1136" s="33" t="s">
        <v>31</v>
      </c>
      <c r="Q1136" s="32" t="s">
        <v>40</v>
      </c>
      <c r="R1136" s="69">
        <v>44272.637175925927</v>
      </c>
      <c r="S1136" s="71">
        <v>44318</v>
      </c>
      <c r="T1136" s="32" t="str">
        <f t="shared" si="69"/>
        <v>+0812-78155***</v>
      </c>
      <c r="U1136" s="32" t="str">
        <f t="shared" ca="1" si="70"/>
        <v>layt***@yuhuumail.com</v>
      </c>
      <c r="V1136" s="32">
        <f t="shared" si="71"/>
        <v>22</v>
      </c>
      <c r="W1136" s="36">
        <f t="shared" si="72"/>
        <v>0.05</v>
      </c>
    </row>
    <row r="1137" spans="4:23" ht="27" customHeight="1" x14ac:dyDescent="0.25">
      <c r="D1137" s="14" t="s">
        <v>4365</v>
      </c>
      <c r="E1137" s="14" t="s">
        <v>2385</v>
      </c>
      <c r="F1137" s="84" t="s">
        <v>372</v>
      </c>
      <c r="G1137" s="15" t="s">
        <v>68</v>
      </c>
      <c r="H1137" s="16" t="s">
        <v>4366</v>
      </c>
      <c r="I1137" s="17"/>
      <c r="J1137" s="17"/>
      <c r="K1137" s="17"/>
      <c r="L1137" s="17"/>
      <c r="N1137" s="31">
        <v>1135</v>
      </c>
      <c r="O1137" s="32" t="s">
        <v>4367</v>
      </c>
      <c r="P1137" s="33" t="s">
        <v>42</v>
      </c>
      <c r="Q1137" s="32" t="s">
        <v>32</v>
      </c>
      <c r="R1137" s="69">
        <v>44272.642314814817</v>
      </c>
      <c r="S1137" s="35">
        <v>44356</v>
      </c>
      <c r="T1137" s="32" t="str">
        <f t="shared" si="69"/>
        <v>+0822 90559***</v>
      </c>
      <c r="U1137" s="32" t="str">
        <f t="shared" ca="1" si="70"/>
        <v>shil***@jossmail.com</v>
      </c>
      <c r="V1137" s="32">
        <f t="shared" si="71"/>
        <v>22</v>
      </c>
      <c r="W1137" s="36">
        <f t="shared" si="72"/>
        <v>0.05</v>
      </c>
    </row>
    <row r="1138" spans="4:23" ht="27" customHeight="1" x14ac:dyDescent="0.25">
      <c r="D1138" s="14" t="s">
        <v>4368</v>
      </c>
      <c r="E1138" s="14" t="s">
        <v>3721</v>
      </c>
      <c r="F1138" s="84" t="s">
        <v>471</v>
      </c>
      <c r="G1138" s="15" t="s">
        <v>68</v>
      </c>
      <c r="H1138" s="16" t="s">
        <v>4369</v>
      </c>
      <c r="I1138" s="17"/>
      <c r="J1138" s="17"/>
      <c r="K1138" s="17"/>
      <c r="L1138" s="17"/>
      <c r="N1138" s="31">
        <v>1136</v>
      </c>
      <c r="O1138" s="32" t="s">
        <v>4370</v>
      </c>
      <c r="P1138" s="33" t="s">
        <v>31</v>
      </c>
      <c r="Q1138" s="32" t="s">
        <v>40</v>
      </c>
      <c r="R1138" s="69">
        <v>44272.640902777777</v>
      </c>
      <c r="S1138" s="35">
        <v>44352</v>
      </c>
      <c r="T1138" s="32" t="str">
        <f t="shared" si="69"/>
        <v>+0852-45973***</v>
      </c>
      <c r="U1138" s="32" t="str">
        <f t="shared" ca="1" si="70"/>
        <v>addi***@yuhuumail.com</v>
      </c>
      <c r="V1138" s="32">
        <f t="shared" si="71"/>
        <v>22</v>
      </c>
      <c r="W1138" s="36">
        <f t="shared" si="72"/>
        <v>0.05</v>
      </c>
    </row>
    <row r="1139" spans="4:23" ht="27" customHeight="1" x14ac:dyDescent="0.25">
      <c r="D1139" s="14" t="s">
        <v>4371</v>
      </c>
      <c r="E1139" s="14" t="s">
        <v>1795</v>
      </c>
      <c r="F1139" s="84" t="s">
        <v>847</v>
      </c>
      <c r="G1139" s="15" t="s">
        <v>27</v>
      </c>
      <c r="H1139" s="16" t="s">
        <v>4372</v>
      </c>
      <c r="I1139" s="17"/>
      <c r="J1139" s="17"/>
      <c r="K1139" s="17"/>
      <c r="L1139" s="17"/>
      <c r="N1139" s="31">
        <v>1137</v>
      </c>
      <c r="O1139" s="32" t="s">
        <v>3441</v>
      </c>
      <c r="P1139" s="33" t="s">
        <v>31</v>
      </c>
      <c r="Q1139" s="32" t="s">
        <v>32</v>
      </c>
      <c r="R1139" s="69">
        <v>44272.648101851853</v>
      </c>
      <c r="S1139" s="35">
        <v>44356</v>
      </c>
      <c r="T1139" s="32" t="str">
        <f t="shared" si="69"/>
        <v>+6283228828***</v>
      </c>
      <c r="U1139" s="32" t="str">
        <f t="shared" ca="1" si="70"/>
        <v>tobi***@jossmail.com</v>
      </c>
      <c r="V1139" s="32">
        <f t="shared" si="71"/>
        <v>22</v>
      </c>
      <c r="W1139" s="36">
        <f t="shared" si="72"/>
        <v>0.05</v>
      </c>
    </row>
    <row r="1140" spans="4:23" ht="27" customHeight="1" x14ac:dyDescent="0.25">
      <c r="D1140" s="14" t="s">
        <v>4373</v>
      </c>
      <c r="E1140" s="14" t="s">
        <v>4374</v>
      </c>
      <c r="F1140" s="84" t="s">
        <v>485</v>
      </c>
      <c r="G1140" s="15" t="s">
        <v>68</v>
      </c>
      <c r="H1140" s="16" t="s">
        <v>4375</v>
      </c>
      <c r="I1140" s="17"/>
      <c r="J1140" s="17"/>
      <c r="K1140" s="17"/>
      <c r="L1140" s="17"/>
      <c r="N1140" s="31">
        <v>1138</v>
      </c>
      <c r="O1140" s="32" t="s">
        <v>2143</v>
      </c>
      <c r="P1140" s="33" t="s">
        <v>42</v>
      </c>
      <c r="Q1140" s="32" t="s">
        <v>40</v>
      </c>
      <c r="R1140" s="69">
        <v>44272.652916666666</v>
      </c>
      <c r="S1140" s="35">
        <v>44318</v>
      </c>
      <c r="T1140" s="32" t="str">
        <f t="shared" si="69"/>
        <v>+852 39873***</v>
      </c>
      <c r="U1140" s="32" t="str">
        <f t="shared" ca="1" si="70"/>
        <v>yasm***@yuhuumail.com</v>
      </c>
      <c r="V1140" s="32">
        <f t="shared" si="71"/>
        <v>22</v>
      </c>
      <c r="W1140" s="36">
        <f t="shared" si="72"/>
        <v>0.05</v>
      </c>
    </row>
    <row r="1141" spans="4:23" ht="27" customHeight="1" x14ac:dyDescent="0.25">
      <c r="D1141" s="14" t="s">
        <v>4376</v>
      </c>
      <c r="E1141" s="14" t="s">
        <v>4377</v>
      </c>
      <c r="F1141" s="84" t="s">
        <v>92</v>
      </c>
      <c r="G1141" s="15" t="s">
        <v>27</v>
      </c>
      <c r="H1141" s="16" t="s">
        <v>4378</v>
      </c>
      <c r="I1141" s="17"/>
      <c r="J1141" s="17"/>
      <c r="K1141" s="17"/>
      <c r="L1141" s="17"/>
      <c r="N1141" s="31">
        <v>1139</v>
      </c>
      <c r="O1141" s="32" t="s">
        <v>1482</v>
      </c>
      <c r="P1141" s="33" t="s">
        <v>31</v>
      </c>
      <c r="Q1141" s="32" t="s">
        <v>32</v>
      </c>
      <c r="R1141" s="69">
        <v>44272.646909722222</v>
      </c>
      <c r="S1141" s="35">
        <v>44320</v>
      </c>
      <c r="T1141" s="32" t="str">
        <f t="shared" si="69"/>
        <v>+085278734***</v>
      </c>
      <c r="U1141" s="32" t="str">
        <f t="shared" ca="1" si="70"/>
        <v>libe***@jossmail.com</v>
      </c>
      <c r="V1141" s="32">
        <f t="shared" si="71"/>
        <v>22</v>
      </c>
      <c r="W1141" s="36">
        <f t="shared" si="72"/>
        <v>0.05</v>
      </c>
    </row>
    <row r="1142" spans="4:23" ht="27" customHeight="1" x14ac:dyDescent="0.25">
      <c r="D1142" s="14" t="s">
        <v>4379</v>
      </c>
      <c r="E1142" s="14" t="s">
        <v>4380</v>
      </c>
      <c r="F1142" s="84" t="s">
        <v>386</v>
      </c>
      <c r="G1142" s="15" t="s">
        <v>68</v>
      </c>
      <c r="H1142" s="16" t="s">
        <v>4381</v>
      </c>
      <c r="I1142" s="17"/>
      <c r="J1142" s="17"/>
      <c r="K1142" s="17"/>
      <c r="L1142" s="17"/>
      <c r="N1142" s="31">
        <v>1140</v>
      </c>
      <c r="O1142" s="32" t="s">
        <v>4382</v>
      </c>
      <c r="P1142" s="33" t="s">
        <v>31</v>
      </c>
      <c r="Q1142" s="32" t="s">
        <v>40</v>
      </c>
      <c r="R1142" s="69">
        <v>44101.897557870368</v>
      </c>
      <c r="S1142" s="35">
        <v>44352</v>
      </c>
      <c r="T1142" s="32" t="str">
        <f t="shared" si="69"/>
        <v>+84260179***</v>
      </c>
      <c r="U1142" s="32" t="str">
        <f t="shared" ca="1" si="70"/>
        <v>dalt***@jossmail.com</v>
      </c>
      <c r="V1142" s="32">
        <f t="shared" si="71"/>
        <v>21</v>
      </c>
      <c r="W1142" s="36">
        <f t="shared" si="72"/>
        <v>0.05</v>
      </c>
    </row>
    <row r="1143" spans="4:23" ht="27" customHeight="1" x14ac:dyDescent="0.25">
      <c r="D1143" s="14" t="s">
        <v>4383</v>
      </c>
      <c r="E1143" s="14" t="s">
        <v>4384</v>
      </c>
      <c r="F1143" s="84" t="s">
        <v>407</v>
      </c>
      <c r="G1143" s="15" t="s">
        <v>68</v>
      </c>
      <c r="H1143" s="16" t="s">
        <v>4385</v>
      </c>
      <c r="I1143" s="17"/>
      <c r="J1143" s="17"/>
      <c r="K1143" s="17"/>
      <c r="L1143" s="17"/>
      <c r="N1143" s="31">
        <v>1141</v>
      </c>
      <c r="O1143" s="32" t="s">
        <v>4386</v>
      </c>
      <c r="P1143" s="33" t="s">
        <v>57</v>
      </c>
      <c r="Q1143" s="32" t="s">
        <v>32</v>
      </c>
      <c r="R1143" s="69">
        <v>44272.655185185184</v>
      </c>
      <c r="S1143" s="35">
        <v>44355</v>
      </c>
      <c r="T1143" s="32" t="str">
        <f t="shared" si="69"/>
        <v>+0822-26488***</v>
      </c>
      <c r="U1143" s="32" t="str">
        <f t="shared" ca="1" si="70"/>
        <v>bill***@yuhuumail.com</v>
      </c>
      <c r="V1143" s="32">
        <f t="shared" si="71"/>
        <v>22</v>
      </c>
      <c r="W1143" s="36">
        <f t="shared" si="72"/>
        <v>0.05</v>
      </c>
    </row>
    <row r="1144" spans="4:23" ht="27" customHeight="1" x14ac:dyDescent="0.25">
      <c r="D1144" s="14" t="s">
        <v>4387</v>
      </c>
      <c r="E1144" s="14" t="s">
        <v>2566</v>
      </c>
      <c r="F1144" s="84" t="s">
        <v>159</v>
      </c>
      <c r="G1144" s="15" t="s">
        <v>68</v>
      </c>
      <c r="H1144" s="16" t="s">
        <v>4388</v>
      </c>
      <c r="I1144" s="17"/>
      <c r="J1144" s="17"/>
      <c r="K1144" s="17"/>
      <c r="L1144" s="17"/>
      <c r="N1144" s="31">
        <v>1142</v>
      </c>
      <c r="O1144" s="32" t="s">
        <v>4389</v>
      </c>
      <c r="P1144" s="33" t="s">
        <v>57</v>
      </c>
      <c r="Q1144" s="32" t="s">
        <v>40</v>
      </c>
      <c r="R1144" s="69">
        <v>44000.734293981484</v>
      </c>
      <c r="S1144" s="35">
        <v>44320</v>
      </c>
      <c r="T1144" s="32" t="str">
        <f t="shared" si="69"/>
        <v>+0852-55280***</v>
      </c>
      <c r="U1144" s="32" t="str">
        <f t="shared" ca="1" si="70"/>
        <v>gael***@yuhuumail.com</v>
      </c>
      <c r="V1144" s="32">
        <f t="shared" si="71"/>
        <v>21</v>
      </c>
      <c r="W1144" s="36">
        <f t="shared" si="72"/>
        <v>0.05</v>
      </c>
    </row>
    <row r="1145" spans="4:23" ht="27" customHeight="1" x14ac:dyDescent="0.25">
      <c r="D1145" s="14" t="s">
        <v>4390</v>
      </c>
      <c r="E1145" s="14" t="s">
        <v>3220</v>
      </c>
      <c r="F1145" s="84" t="s">
        <v>1473</v>
      </c>
      <c r="G1145" s="15" t="s">
        <v>68</v>
      </c>
      <c r="H1145" s="16" t="s">
        <v>4391</v>
      </c>
      <c r="I1145" s="17"/>
      <c r="J1145" s="17"/>
      <c r="K1145" s="17"/>
      <c r="L1145" s="17"/>
      <c r="N1145" s="31">
        <v>1143</v>
      </c>
      <c r="O1145" s="32" t="s">
        <v>4392</v>
      </c>
      <c r="P1145" s="33" t="s">
        <v>57</v>
      </c>
      <c r="Q1145" s="32" t="s">
        <v>32</v>
      </c>
      <c r="R1145" s="69">
        <v>44272.654537037037</v>
      </c>
      <c r="S1145" s="35">
        <v>44362</v>
      </c>
      <c r="T1145" s="32" t="str">
        <f t="shared" si="69"/>
        <v>+085294279***</v>
      </c>
      <c r="U1145" s="32" t="str">
        <f t="shared" ca="1" si="70"/>
        <v>jasi***@jossmail.com</v>
      </c>
      <c r="V1145" s="32">
        <f t="shared" si="71"/>
        <v>22</v>
      </c>
      <c r="W1145" s="36">
        <f t="shared" si="72"/>
        <v>0.05</v>
      </c>
    </row>
    <row r="1146" spans="4:23" ht="27" customHeight="1" x14ac:dyDescent="0.25">
      <c r="D1146" s="14" t="s">
        <v>4393</v>
      </c>
      <c r="E1146" s="14" t="s">
        <v>4394</v>
      </c>
      <c r="F1146" s="84" t="s">
        <v>302</v>
      </c>
      <c r="G1146" s="15" t="s">
        <v>27</v>
      </c>
      <c r="H1146" s="16" t="s">
        <v>4395</v>
      </c>
      <c r="I1146" s="17"/>
      <c r="J1146" s="17"/>
      <c r="K1146" s="17"/>
      <c r="L1146" s="17"/>
      <c r="N1146" s="31">
        <v>1144</v>
      </c>
      <c r="O1146" s="32" t="s">
        <v>4396</v>
      </c>
      <c r="P1146" s="33" t="s">
        <v>42</v>
      </c>
      <c r="Q1146" s="32" t="s">
        <v>40</v>
      </c>
      <c r="R1146" s="69">
        <v>44272.649016203701</v>
      </c>
      <c r="S1146" s="35">
        <v>44334</v>
      </c>
      <c r="T1146" s="32" t="str">
        <f t="shared" si="69"/>
        <v>+812 62606***</v>
      </c>
      <c r="U1146" s="32" t="str">
        <f t="shared" ca="1" si="70"/>
        <v>izab***@jossmail.com</v>
      </c>
      <c r="V1146" s="32">
        <f t="shared" si="71"/>
        <v>22</v>
      </c>
      <c r="W1146" s="36">
        <f t="shared" si="72"/>
        <v>0.05</v>
      </c>
    </row>
    <row r="1147" spans="4:23" ht="27" customHeight="1" x14ac:dyDescent="0.25">
      <c r="D1147" s="14" t="s">
        <v>4397</v>
      </c>
      <c r="E1147" s="14" t="s">
        <v>1394</v>
      </c>
      <c r="F1147" s="84" t="s">
        <v>480</v>
      </c>
      <c r="G1147" s="15" t="s">
        <v>27</v>
      </c>
      <c r="H1147" s="16" t="s">
        <v>4398</v>
      </c>
      <c r="I1147" s="17"/>
      <c r="J1147" s="17"/>
      <c r="K1147" s="17"/>
      <c r="L1147" s="17"/>
      <c r="N1147" s="31">
        <v>1145</v>
      </c>
      <c r="O1147" s="32" t="s">
        <v>4399</v>
      </c>
      <c r="P1147" s="33" t="s">
        <v>42</v>
      </c>
      <c r="Q1147" s="32" t="s">
        <v>32</v>
      </c>
      <c r="R1147" s="69">
        <v>43202.66920138889</v>
      </c>
      <c r="S1147" s="35">
        <v>44361</v>
      </c>
      <c r="T1147" s="32" t="str">
        <f t="shared" si="69"/>
        <v>+0842-98363***</v>
      </c>
      <c r="U1147" s="32" t="str">
        <f t="shared" ca="1" si="70"/>
        <v>jami***@jossmail.com</v>
      </c>
      <c r="V1147" s="32">
        <f t="shared" si="71"/>
        <v>19</v>
      </c>
      <c r="W1147" s="36">
        <f t="shared" si="72"/>
        <v>2.5000000000000001E-2</v>
      </c>
    </row>
    <row r="1148" spans="4:23" ht="27" customHeight="1" x14ac:dyDescent="0.25">
      <c r="D1148" s="14" t="s">
        <v>4400</v>
      </c>
      <c r="E1148" s="14" t="s">
        <v>399</v>
      </c>
      <c r="F1148" s="84" t="s">
        <v>1288</v>
      </c>
      <c r="G1148" s="15" t="s">
        <v>68</v>
      </c>
      <c r="H1148" s="16" t="s">
        <v>4401</v>
      </c>
      <c r="I1148" s="17"/>
      <c r="J1148" s="17"/>
      <c r="K1148" s="17"/>
      <c r="L1148" s="17"/>
      <c r="N1148" s="31">
        <v>1146</v>
      </c>
      <c r="O1148" s="32" t="s">
        <v>4402</v>
      </c>
      <c r="P1148" s="33" t="s">
        <v>42</v>
      </c>
      <c r="Q1148" s="32" t="s">
        <v>40</v>
      </c>
      <c r="R1148" s="69">
        <v>44272.667951388888</v>
      </c>
      <c r="S1148" s="35">
        <v>44359</v>
      </c>
      <c r="T1148" s="32" t="str">
        <f t="shared" si="69"/>
        <v>+0812 71268***</v>
      </c>
      <c r="U1148" s="32" t="str">
        <f t="shared" ca="1" si="70"/>
        <v>cars***@jossmail.com</v>
      </c>
      <c r="V1148" s="32">
        <f t="shared" si="71"/>
        <v>22</v>
      </c>
      <c r="W1148" s="36">
        <f t="shared" si="72"/>
        <v>0.05</v>
      </c>
    </row>
    <row r="1149" spans="4:23" ht="27" customHeight="1" x14ac:dyDescent="0.25">
      <c r="D1149" s="14" t="s">
        <v>4403</v>
      </c>
      <c r="E1149" s="14" t="s">
        <v>4179</v>
      </c>
      <c r="F1149" s="84" t="s">
        <v>239</v>
      </c>
      <c r="G1149" s="15" t="s">
        <v>27</v>
      </c>
      <c r="H1149" s="16" t="s">
        <v>4404</v>
      </c>
      <c r="I1149" s="17"/>
      <c r="J1149" s="17"/>
      <c r="K1149" s="17"/>
      <c r="L1149" s="17"/>
      <c r="N1149" s="31">
        <v>1147</v>
      </c>
      <c r="O1149" s="32" t="s">
        <v>3526</v>
      </c>
      <c r="P1149" s="33" t="s">
        <v>31</v>
      </c>
      <c r="Q1149" s="32" t="s">
        <v>32</v>
      </c>
      <c r="R1149" s="69">
        <v>44272.665821759256</v>
      </c>
      <c r="S1149" s="35">
        <v>44354</v>
      </c>
      <c r="T1149" s="32" t="str">
        <f t="shared" si="69"/>
        <v>+6285261259***</v>
      </c>
      <c r="U1149" s="32" t="str">
        <f t="shared" ca="1" si="70"/>
        <v>zoey***@yuhuumail.com</v>
      </c>
      <c r="V1149" s="32">
        <f t="shared" si="71"/>
        <v>22</v>
      </c>
      <c r="W1149" s="36">
        <f t="shared" si="72"/>
        <v>0.05</v>
      </c>
    </row>
    <row r="1150" spans="4:23" ht="27" customHeight="1" x14ac:dyDescent="0.25">
      <c r="D1150" s="14" t="s">
        <v>4405</v>
      </c>
      <c r="E1150" s="14" t="s">
        <v>424</v>
      </c>
      <c r="F1150" s="84" t="s">
        <v>1318</v>
      </c>
      <c r="G1150" s="15" t="s">
        <v>27</v>
      </c>
      <c r="H1150" s="16" t="s">
        <v>4406</v>
      </c>
      <c r="I1150" s="17"/>
      <c r="J1150" s="17"/>
      <c r="K1150" s="17"/>
      <c r="L1150" s="17"/>
      <c r="N1150" s="31">
        <v>1148</v>
      </c>
      <c r="O1150" s="32" t="s">
        <v>3886</v>
      </c>
      <c r="P1150" s="33" t="s">
        <v>31</v>
      </c>
      <c r="Q1150" s="32" t="s">
        <v>40</v>
      </c>
      <c r="R1150" s="69">
        <v>44272.659548611111</v>
      </c>
      <c r="S1150" s="35">
        <v>44356</v>
      </c>
      <c r="T1150" s="32" t="str">
        <f t="shared" si="69"/>
        <v>+0812-92624***</v>
      </c>
      <c r="U1150" s="32" t="str">
        <f t="shared" ca="1" si="70"/>
        <v>lean***@yuhuumail.com</v>
      </c>
      <c r="V1150" s="32">
        <f t="shared" si="71"/>
        <v>22</v>
      </c>
      <c r="W1150" s="36">
        <f t="shared" si="72"/>
        <v>0.05</v>
      </c>
    </row>
    <row r="1151" spans="4:23" ht="27" customHeight="1" x14ac:dyDescent="0.25">
      <c r="D1151" s="14" t="s">
        <v>4407</v>
      </c>
      <c r="E1151" s="14" t="s">
        <v>4408</v>
      </c>
      <c r="F1151" s="84" t="s">
        <v>407</v>
      </c>
      <c r="G1151" s="15" t="s">
        <v>68</v>
      </c>
      <c r="H1151" s="16" t="s">
        <v>4409</v>
      </c>
      <c r="I1151" s="17"/>
      <c r="J1151" s="17"/>
      <c r="K1151" s="17"/>
      <c r="L1151" s="17"/>
      <c r="N1151" s="31">
        <v>1149</v>
      </c>
      <c r="O1151" s="32" t="s">
        <v>2317</v>
      </c>
      <c r="P1151" s="33" t="s">
        <v>57</v>
      </c>
      <c r="Q1151" s="32" t="s">
        <v>32</v>
      </c>
      <c r="R1151" s="69">
        <v>44272.657812500001</v>
      </c>
      <c r="S1151" s="71">
        <v>44359</v>
      </c>
      <c r="T1151" s="32" t="str">
        <f t="shared" si="69"/>
        <v>+0812 67484***</v>
      </c>
      <c r="U1151" s="32" t="str">
        <f t="shared" ca="1" si="70"/>
        <v>irel***@yuhuumail.com</v>
      </c>
      <c r="V1151" s="32">
        <f t="shared" si="71"/>
        <v>22</v>
      </c>
      <c r="W1151" s="36">
        <f t="shared" si="72"/>
        <v>0.05</v>
      </c>
    </row>
    <row r="1152" spans="4:23" ht="27" customHeight="1" x14ac:dyDescent="0.25">
      <c r="D1152" s="14" t="s">
        <v>4410</v>
      </c>
      <c r="E1152" s="14" t="s">
        <v>4411</v>
      </c>
      <c r="F1152" s="84" t="s">
        <v>121</v>
      </c>
      <c r="G1152" s="15" t="s">
        <v>27</v>
      </c>
      <c r="H1152" s="16" t="s">
        <v>4412</v>
      </c>
      <c r="I1152" s="17"/>
      <c r="J1152" s="17"/>
      <c r="K1152" s="17"/>
      <c r="L1152" s="17"/>
      <c r="N1152" s="31">
        <v>1150</v>
      </c>
      <c r="O1152" s="32" t="s">
        <v>4413</v>
      </c>
      <c r="P1152" s="33" t="s">
        <v>57</v>
      </c>
      <c r="Q1152" s="32" t="s">
        <v>40</v>
      </c>
      <c r="R1152" s="69">
        <v>44272.673379629632</v>
      </c>
      <c r="S1152" s="71">
        <v>44362</v>
      </c>
      <c r="T1152" s="32" t="str">
        <f t="shared" si="69"/>
        <v>+084215383***</v>
      </c>
      <c r="U1152" s="32" t="str">
        <f t="shared" ca="1" si="70"/>
        <v>karl***@jossmail.com</v>
      </c>
      <c r="V1152" s="32">
        <f t="shared" si="71"/>
        <v>22</v>
      </c>
      <c r="W1152" s="36">
        <f t="shared" si="72"/>
        <v>0.05</v>
      </c>
    </row>
    <row r="1153" spans="4:23" ht="27" customHeight="1" x14ac:dyDescent="0.25">
      <c r="D1153" s="14" t="s">
        <v>4414</v>
      </c>
      <c r="E1153" s="14" t="s">
        <v>1880</v>
      </c>
      <c r="F1153" s="84" t="s">
        <v>149</v>
      </c>
      <c r="G1153" s="15" t="s">
        <v>68</v>
      </c>
      <c r="H1153" s="16" t="s">
        <v>4415</v>
      </c>
      <c r="I1153" s="17"/>
      <c r="J1153" s="17"/>
      <c r="K1153" s="17"/>
      <c r="L1153" s="17"/>
      <c r="N1153" s="31">
        <v>1151</v>
      </c>
      <c r="O1153" s="32" t="s">
        <v>2441</v>
      </c>
      <c r="P1153" s="33" t="s">
        <v>42</v>
      </c>
      <c r="Q1153" s="32" t="s">
        <v>32</v>
      </c>
      <c r="R1153" s="69">
        <v>44272.672511574077</v>
      </c>
      <c r="S1153" s="71">
        <v>44318</v>
      </c>
      <c r="T1153" s="32" t="str">
        <f t="shared" si="69"/>
        <v>+081258569***</v>
      </c>
      <c r="U1153" s="32" t="str">
        <f t="shared" ca="1" si="70"/>
        <v>tiff***@jossmail.com</v>
      </c>
      <c r="V1153" s="32">
        <f t="shared" si="71"/>
        <v>22</v>
      </c>
      <c r="W1153" s="36">
        <f t="shared" si="72"/>
        <v>0.05</v>
      </c>
    </row>
    <row r="1154" spans="4:23" ht="27" customHeight="1" x14ac:dyDescent="0.25">
      <c r="D1154" s="14" t="s">
        <v>4416</v>
      </c>
      <c r="E1154" s="14" t="s">
        <v>2869</v>
      </c>
      <c r="F1154" s="84" t="s">
        <v>422</v>
      </c>
      <c r="G1154" s="15" t="s">
        <v>27</v>
      </c>
      <c r="H1154" s="16" t="s">
        <v>4417</v>
      </c>
      <c r="I1154" s="17"/>
      <c r="J1154" s="17"/>
      <c r="K1154" s="17"/>
      <c r="L1154" s="17"/>
      <c r="N1154" s="31">
        <v>1152</v>
      </c>
      <c r="O1154" s="32" t="s">
        <v>4418</v>
      </c>
      <c r="P1154" s="33" t="s">
        <v>31</v>
      </c>
      <c r="Q1154" s="32" t="s">
        <v>40</v>
      </c>
      <c r="R1154" s="69">
        <v>44272.681435185186</v>
      </c>
      <c r="S1154" s="71">
        <v>44356</v>
      </c>
      <c r="T1154" s="32" t="str">
        <f t="shared" si="69"/>
        <v>+0822 60276***</v>
      </c>
      <c r="U1154" s="32" t="str">
        <f t="shared" ca="1" si="70"/>
        <v>denn***@yuhuumail.com</v>
      </c>
      <c r="V1154" s="32">
        <f t="shared" si="71"/>
        <v>22</v>
      </c>
      <c r="W1154" s="36">
        <f t="shared" si="72"/>
        <v>0.05</v>
      </c>
    </row>
    <row r="1155" spans="4:23" ht="27" customHeight="1" x14ac:dyDescent="0.25">
      <c r="D1155" s="14" t="s">
        <v>4419</v>
      </c>
      <c r="E1155" s="14" t="s">
        <v>4420</v>
      </c>
      <c r="F1155" s="84" t="s">
        <v>674</v>
      </c>
      <c r="G1155" s="15" t="s">
        <v>27</v>
      </c>
      <c r="H1155" s="16" t="s">
        <v>4421</v>
      </c>
      <c r="I1155" s="17"/>
      <c r="J1155" s="17"/>
      <c r="K1155" s="17"/>
      <c r="L1155" s="17"/>
      <c r="N1155" s="31">
        <v>1153</v>
      </c>
      <c r="O1155" s="32" t="s">
        <v>4422</v>
      </c>
      <c r="P1155" s="33" t="s">
        <v>57</v>
      </c>
      <c r="Q1155" s="32" t="s">
        <v>32</v>
      </c>
      <c r="R1155" s="69">
        <v>44272.68340277778</v>
      </c>
      <c r="S1155" s="71">
        <v>44356</v>
      </c>
      <c r="T1155" s="32" t="str">
        <f t="shared" si="69"/>
        <v>+852 12231***</v>
      </c>
      <c r="U1155" s="32" t="str">
        <f t="shared" ca="1" si="70"/>
        <v>mari***@jossmail.com</v>
      </c>
      <c r="V1155" s="32">
        <f t="shared" si="71"/>
        <v>22</v>
      </c>
      <c r="W1155" s="36">
        <f t="shared" si="72"/>
        <v>0.05</v>
      </c>
    </row>
    <row r="1156" spans="4:23" ht="27" customHeight="1" x14ac:dyDescent="0.25">
      <c r="D1156" s="14" t="s">
        <v>4423</v>
      </c>
      <c r="E1156" s="14" t="s">
        <v>1803</v>
      </c>
      <c r="F1156" s="84" t="s">
        <v>847</v>
      </c>
      <c r="G1156" s="15" t="s">
        <v>27</v>
      </c>
      <c r="H1156" s="16" t="s">
        <v>4424</v>
      </c>
      <c r="I1156" s="17"/>
      <c r="J1156" s="17"/>
      <c r="K1156" s="17"/>
      <c r="L1156" s="17"/>
      <c r="N1156" s="31">
        <v>1154</v>
      </c>
      <c r="O1156" s="32" t="s">
        <v>4425</v>
      </c>
      <c r="P1156" s="33" t="s">
        <v>57</v>
      </c>
      <c r="Q1156" s="32" t="s">
        <v>40</v>
      </c>
      <c r="R1156" s="69">
        <v>44272.678356481483</v>
      </c>
      <c r="S1156" s="71">
        <v>44352</v>
      </c>
      <c r="T1156" s="32" t="str">
        <f t="shared" si="69"/>
        <v>+0842 49957***</v>
      </c>
      <c r="U1156" s="32" t="str">
        <f t="shared" ca="1" si="70"/>
        <v>jayl***@yuhuumail.com</v>
      </c>
      <c r="V1156" s="32">
        <f t="shared" si="71"/>
        <v>22</v>
      </c>
      <c r="W1156" s="36">
        <f t="shared" si="72"/>
        <v>0.05</v>
      </c>
    </row>
    <row r="1157" spans="4:23" ht="27" customHeight="1" x14ac:dyDescent="0.25">
      <c r="D1157" s="14" t="s">
        <v>4426</v>
      </c>
      <c r="E1157" s="14" t="s">
        <v>3604</v>
      </c>
      <c r="F1157" s="84" t="s">
        <v>1201</v>
      </c>
      <c r="G1157" s="15" t="s">
        <v>27</v>
      </c>
      <c r="H1157" s="16" t="s">
        <v>4427</v>
      </c>
      <c r="I1157" s="17"/>
      <c r="J1157" s="17"/>
      <c r="K1157" s="17"/>
      <c r="L1157" s="17"/>
      <c r="N1157" s="31">
        <v>1155</v>
      </c>
      <c r="O1157" s="32" t="s">
        <v>4428</v>
      </c>
      <c r="P1157" s="33" t="s">
        <v>42</v>
      </c>
      <c r="Q1157" s="32" t="s">
        <v>32</v>
      </c>
      <c r="R1157" s="69">
        <v>44272.674340277779</v>
      </c>
      <c r="S1157" s="71">
        <v>44356</v>
      </c>
      <c r="T1157" s="32" t="str">
        <f t="shared" ref="T1157:T1220" si="73">"+"&amp;_xlfn.XLOOKUP($O1157, $E$2:$E$3002, $H$2:$H$3002, "Not Found")</f>
        <v>+82236263***</v>
      </c>
      <c r="U1157" s="32" t="str">
        <f t="shared" ref="U1157:U1220" ca="1" si="74" xml:space="preserve"> LOWER(LEFT(_xlfn.XLOOKUP($O1157, $E$2:$E$3002, $D$2:$D$3002), 4))
  &amp; "***@"
  &amp; IF(RAND()&gt;0.5, "jossmail.com", "yuhuumail.com")</f>
        <v>mcka***@jossmail.com</v>
      </c>
      <c r="V1157" s="32">
        <f t="shared" ref="V1157:V1220" si="75">DATEDIF(_xlfn.XLOOKUP($O1157, $E$2:$E$3002, $F$2:$F$3002), $R1157, "Y")</f>
        <v>22</v>
      </c>
      <c r="W1157" s="36">
        <f t="shared" ref="W1157:W1220" si="76">IF(DATEDIF($R1157, $S1157, "Y") &gt;= 3, 0.025,
   IF(DATEDIF($R1157, $S1157, "Y") &gt;= 1, 0.015, 0)) +
 IF($V1157 &gt;= 50, 0.04,
   IF($V1157 &gt;= 40, 0.03,
     IF($V1157 &gt;= 30, 0.02,
       IF($V1157 &gt;= 20, 0.05, 0))))</f>
        <v>0.05</v>
      </c>
    </row>
    <row r="1158" spans="4:23" ht="27" customHeight="1" x14ac:dyDescent="0.25">
      <c r="D1158" s="14" t="s">
        <v>4429</v>
      </c>
      <c r="E1158" s="14" t="s">
        <v>4430</v>
      </c>
      <c r="F1158" s="84" t="s">
        <v>627</v>
      </c>
      <c r="G1158" s="15" t="s">
        <v>68</v>
      </c>
      <c r="H1158" s="16" t="s">
        <v>4431</v>
      </c>
      <c r="I1158" s="17"/>
      <c r="J1158" s="17"/>
      <c r="K1158" s="17"/>
      <c r="L1158" s="17"/>
      <c r="N1158" s="31">
        <v>1156</v>
      </c>
      <c r="O1158" s="32" t="s">
        <v>4432</v>
      </c>
      <c r="P1158" s="33" t="s">
        <v>42</v>
      </c>
      <c r="Q1158" s="32" t="s">
        <v>40</v>
      </c>
      <c r="R1158" s="69">
        <v>42773.539918981478</v>
      </c>
      <c r="S1158" s="71">
        <v>44359</v>
      </c>
      <c r="T1158" s="32" t="str">
        <f t="shared" si="73"/>
        <v>+0832 87702***</v>
      </c>
      <c r="U1158" s="32" t="str">
        <f t="shared" ca="1" si="74"/>
        <v>javi***@yuhuumail.com</v>
      </c>
      <c r="V1158" s="32">
        <f t="shared" si="75"/>
        <v>18</v>
      </c>
      <c r="W1158" s="36">
        <f t="shared" si="76"/>
        <v>2.5000000000000001E-2</v>
      </c>
    </row>
    <row r="1159" spans="4:23" ht="27" customHeight="1" x14ac:dyDescent="0.25">
      <c r="D1159" s="14" t="s">
        <v>4433</v>
      </c>
      <c r="E1159" s="14" t="s">
        <v>4434</v>
      </c>
      <c r="F1159" s="84" t="s">
        <v>499</v>
      </c>
      <c r="G1159" s="15" t="s">
        <v>27</v>
      </c>
      <c r="H1159" s="16" t="s">
        <v>4435</v>
      </c>
      <c r="I1159" s="17"/>
      <c r="J1159" s="17"/>
      <c r="K1159" s="17"/>
      <c r="L1159" s="17"/>
      <c r="N1159" s="31">
        <v>1157</v>
      </c>
      <c r="O1159" s="32" t="s">
        <v>4436</v>
      </c>
      <c r="P1159" s="33" t="s">
        <v>31</v>
      </c>
      <c r="Q1159" s="32" t="s">
        <v>32</v>
      </c>
      <c r="R1159" s="69">
        <v>44272.676793981482</v>
      </c>
      <c r="S1159" s="71">
        <v>44320</v>
      </c>
      <c r="T1159" s="32" t="str">
        <f t="shared" si="73"/>
        <v>+083278698***</v>
      </c>
      <c r="U1159" s="32" t="str">
        <f t="shared" ca="1" si="74"/>
        <v>sana***@jossmail.com</v>
      </c>
      <c r="V1159" s="32">
        <f t="shared" si="75"/>
        <v>22</v>
      </c>
      <c r="W1159" s="36">
        <f t="shared" si="76"/>
        <v>0.05</v>
      </c>
    </row>
    <row r="1160" spans="4:23" ht="27" customHeight="1" x14ac:dyDescent="0.25">
      <c r="D1160" s="14" t="s">
        <v>4437</v>
      </c>
      <c r="E1160" s="14" t="s">
        <v>4438</v>
      </c>
      <c r="F1160" s="84" t="s">
        <v>412</v>
      </c>
      <c r="G1160" s="15" t="s">
        <v>68</v>
      </c>
      <c r="H1160" s="16" t="s">
        <v>4439</v>
      </c>
      <c r="I1160" s="17"/>
      <c r="J1160" s="17"/>
      <c r="K1160" s="17"/>
      <c r="L1160" s="17"/>
      <c r="N1160" s="31">
        <v>1158</v>
      </c>
      <c r="O1160" s="32" t="s">
        <v>3933</v>
      </c>
      <c r="P1160" s="33" t="s">
        <v>57</v>
      </c>
      <c r="Q1160" s="32" t="s">
        <v>40</v>
      </c>
      <c r="R1160" s="69">
        <v>44272.686331018522</v>
      </c>
      <c r="S1160" s="71">
        <v>44356</v>
      </c>
      <c r="T1160" s="32" t="str">
        <f t="shared" si="73"/>
        <v>+081266801***</v>
      </c>
      <c r="U1160" s="32" t="str">
        <f t="shared" ca="1" si="74"/>
        <v>luci***@yuhuumail.com</v>
      </c>
      <c r="V1160" s="32">
        <f t="shared" si="75"/>
        <v>22</v>
      </c>
      <c r="W1160" s="36">
        <f t="shared" si="76"/>
        <v>0.05</v>
      </c>
    </row>
    <row r="1161" spans="4:23" ht="27" customHeight="1" x14ac:dyDescent="0.25">
      <c r="D1161" s="14" t="s">
        <v>4440</v>
      </c>
      <c r="E1161" s="14" t="s">
        <v>4441</v>
      </c>
      <c r="F1161" s="84" t="s">
        <v>909</v>
      </c>
      <c r="G1161" s="15" t="s">
        <v>27</v>
      </c>
      <c r="H1161" s="16" t="s">
        <v>4442</v>
      </c>
      <c r="I1161" s="17"/>
      <c r="J1161" s="17"/>
      <c r="K1161" s="17"/>
      <c r="L1161" s="17"/>
      <c r="N1161" s="31">
        <v>1159</v>
      </c>
      <c r="O1161" s="32" t="s">
        <v>4443</v>
      </c>
      <c r="P1161" s="33" t="s">
        <v>31</v>
      </c>
      <c r="Q1161" s="32" t="s">
        <v>32</v>
      </c>
      <c r="R1161" s="69">
        <v>44272.683865740742</v>
      </c>
      <c r="S1161" s="71">
        <v>44362</v>
      </c>
      <c r="T1161" s="32" t="str">
        <f t="shared" si="73"/>
        <v>+0812-43922***</v>
      </c>
      <c r="U1161" s="32" t="str">
        <f t="shared" ca="1" si="74"/>
        <v>gunn***@yuhuumail.com</v>
      </c>
      <c r="V1161" s="32">
        <f t="shared" si="75"/>
        <v>22</v>
      </c>
      <c r="W1161" s="36">
        <f t="shared" si="76"/>
        <v>0.05</v>
      </c>
    </row>
    <row r="1162" spans="4:23" ht="27" customHeight="1" x14ac:dyDescent="0.25">
      <c r="D1162" s="14" t="s">
        <v>4444</v>
      </c>
      <c r="E1162" s="14" t="s">
        <v>4445</v>
      </c>
      <c r="F1162" s="84" t="s">
        <v>321</v>
      </c>
      <c r="G1162" s="15" t="s">
        <v>27</v>
      </c>
      <c r="H1162" s="16" t="s">
        <v>4446</v>
      </c>
      <c r="I1162" s="17"/>
      <c r="J1162" s="17"/>
      <c r="K1162" s="17"/>
      <c r="L1162" s="17"/>
      <c r="N1162" s="31">
        <v>1160</v>
      </c>
      <c r="O1162" s="32" t="s">
        <v>4447</v>
      </c>
      <c r="P1162" s="33" t="s">
        <v>57</v>
      </c>
      <c r="Q1162" s="32" t="s">
        <v>40</v>
      </c>
      <c r="R1162" s="69">
        <v>44272.682847222219</v>
      </c>
      <c r="S1162" s="71">
        <v>44353</v>
      </c>
      <c r="T1162" s="32" t="str">
        <f t="shared" si="73"/>
        <v>+0822 57300***</v>
      </c>
      <c r="U1162" s="32" t="str">
        <f t="shared" ca="1" si="74"/>
        <v>coli***@yuhuumail.com</v>
      </c>
      <c r="V1162" s="32">
        <f t="shared" si="75"/>
        <v>22</v>
      </c>
      <c r="W1162" s="36">
        <f t="shared" si="76"/>
        <v>0.05</v>
      </c>
    </row>
    <row r="1163" spans="4:23" ht="27" customHeight="1" x14ac:dyDescent="0.25">
      <c r="D1163" s="14" t="s">
        <v>4448</v>
      </c>
      <c r="E1163" s="14" t="s">
        <v>4449</v>
      </c>
      <c r="F1163" s="84" t="s">
        <v>444</v>
      </c>
      <c r="G1163" s="15" t="s">
        <v>68</v>
      </c>
      <c r="H1163" s="16" t="s">
        <v>4450</v>
      </c>
      <c r="I1163" s="17"/>
      <c r="J1163" s="17"/>
      <c r="K1163" s="17"/>
      <c r="L1163" s="17"/>
      <c r="N1163" s="31">
        <v>1161</v>
      </c>
      <c r="O1163" s="32" t="s">
        <v>4451</v>
      </c>
      <c r="P1163" s="33" t="s">
        <v>57</v>
      </c>
      <c r="Q1163" s="32" t="s">
        <v>32</v>
      </c>
      <c r="R1163" s="69">
        <v>42957.956203703703</v>
      </c>
      <c r="S1163" s="71">
        <v>44352</v>
      </c>
      <c r="T1163" s="32" t="str">
        <f t="shared" si="73"/>
        <v>+83214587***</v>
      </c>
      <c r="U1163" s="32" t="str">
        <f t="shared" ca="1" si="74"/>
        <v>alli***@jossmail.com</v>
      </c>
      <c r="V1163" s="32">
        <f t="shared" si="75"/>
        <v>18</v>
      </c>
      <c r="W1163" s="36">
        <f t="shared" si="76"/>
        <v>2.5000000000000001E-2</v>
      </c>
    </row>
    <row r="1164" spans="4:23" ht="27" customHeight="1" x14ac:dyDescent="0.25">
      <c r="D1164" s="14" t="s">
        <v>4452</v>
      </c>
      <c r="E1164" s="14" t="s">
        <v>4453</v>
      </c>
      <c r="F1164" s="84" t="s">
        <v>781</v>
      </c>
      <c r="G1164" s="15" t="s">
        <v>68</v>
      </c>
      <c r="H1164" s="16" t="s">
        <v>4454</v>
      </c>
      <c r="I1164" s="17"/>
      <c r="J1164" s="17"/>
      <c r="K1164" s="17"/>
      <c r="L1164" s="17"/>
      <c r="N1164" s="31">
        <v>1162</v>
      </c>
      <c r="O1164" s="32" t="s">
        <v>4455</v>
      </c>
      <c r="P1164" s="33" t="s">
        <v>31</v>
      </c>
      <c r="Q1164" s="32" t="s">
        <v>40</v>
      </c>
      <c r="R1164" s="69">
        <v>44255.372685185182</v>
      </c>
      <c r="S1164" s="71">
        <v>44323</v>
      </c>
      <c r="T1164" s="32" t="str">
        <f t="shared" si="73"/>
        <v>+083213966***</v>
      </c>
      <c r="U1164" s="32" t="str">
        <f t="shared" ca="1" si="74"/>
        <v>cami***@yuhuumail.com</v>
      </c>
      <c r="V1164" s="32">
        <f t="shared" si="75"/>
        <v>22</v>
      </c>
      <c r="W1164" s="36">
        <f t="shared" si="76"/>
        <v>0.05</v>
      </c>
    </row>
    <row r="1165" spans="4:23" ht="27" customHeight="1" x14ac:dyDescent="0.25">
      <c r="D1165" s="14" t="s">
        <v>4456</v>
      </c>
      <c r="E1165" s="14" t="s">
        <v>4457</v>
      </c>
      <c r="F1165" s="84" t="s">
        <v>2796</v>
      </c>
      <c r="G1165" s="15" t="s">
        <v>27</v>
      </c>
      <c r="H1165" s="16" t="s">
        <v>4458</v>
      </c>
      <c r="I1165" s="17"/>
      <c r="J1165" s="17"/>
      <c r="K1165" s="17"/>
      <c r="L1165" s="17"/>
      <c r="N1165" s="31">
        <v>1163</v>
      </c>
      <c r="O1165" s="32" t="s">
        <v>4459</v>
      </c>
      <c r="P1165" s="33" t="s">
        <v>31</v>
      </c>
      <c r="Q1165" s="32" t="s">
        <v>32</v>
      </c>
      <c r="R1165" s="69">
        <v>44272.68855324074</v>
      </c>
      <c r="S1165" s="71">
        <v>44356</v>
      </c>
      <c r="T1165" s="32" t="str">
        <f t="shared" si="73"/>
        <v>+0822 50227***</v>
      </c>
      <c r="U1165" s="32" t="str">
        <f t="shared" ca="1" si="74"/>
        <v>just***@yuhuumail.com</v>
      </c>
      <c r="V1165" s="32">
        <f t="shared" si="75"/>
        <v>22</v>
      </c>
      <c r="W1165" s="36">
        <f t="shared" si="76"/>
        <v>0.05</v>
      </c>
    </row>
    <row r="1166" spans="4:23" ht="27" customHeight="1" x14ac:dyDescent="0.25">
      <c r="D1166" s="14" t="s">
        <v>4460</v>
      </c>
      <c r="E1166" s="14" t="s">
        <v>2811</v>
      </c>
      <c r="F1166" s="84" t="s">
        <v>422</v>
      </c>
      <c r="G1166" s="15" t="s">
        <v>27</v>
      </c>
      <c r="H1166" s="16" t="s">
        <v>4461</v>
      </c>
      <c r="I1166" s="17"/>
      <c r="J1166" s="17"/>
      <c r="K1166" s="17"/>
      <c r="L1166" s="17"/>
      <c r="N1166" s="31">
        <v>1164</v>
      </c>
      <c r="O1166" s="32" t="s">
        <v>3909</v>
      </c>
      <c r="P1166" s="33" t="s">
        <v>31</v>
      </c>
      <c r="Q1166" s="32" t="s">
        <v>40</v>
      </c>
      <c r="R1166" s="69">
        <v>44272.691469907404</v>
      </c>
      <c r="S1166" s="71">
        <v>44362</v>
      </c>
      <c r="T1166" s="32" t="str">
        <f t="shared" si="73"/>
        <v>+0822-86668***</v>
      </c>
      <c r="U1166" s="32" t="str">
        <f t="shared" ca="1" si="74"/>
        <v>shar***@yuhuumail.com</v>
      </c>
      <c r="V1166" s="32">
        <f t="shared" si="75"/>
        <v>22</v>
      </c>
      <c r="W1166" s="36">
        <f t="shared" si="76"/>
        <v>0.05</v>
      </c>
    </row>
    <row r="1167" spans="4:23" ht="27" customHeight="1" x14ac:dyDescent="0.25">
      <c r="D1167" s="14" t="s">
        <v>4462</v>
      </c>
      <c r="E1167" s="14" t="s">
        <v>4463</v>
      </c>
      <c r="F1167" s="84" t="s">
        <v>524</v>
      </c>
      <c r="G1167" s="15" t="s">
        <v>68</v>
      </c>
      <c r="H1167" s="16" t="s">
        <v>4464</v>
      </c>
      <c r="I1167" s="17"/>
      <c r="J1167" s="17"/>
      <c r="K1167" s="17"/>
      <c r="L1167" s="17"/>
      <c r="N1167" s="31">
        <v>1165</v>
      </c>
      <c r="O1167" s="32" t="s">
        <v>1534</v>
      </c>
      <c r="P1167" s="33" t="s">
        <v>31</v>
      </c>
      <c r="Q1167" s="32" t="s">
        <v>32</v>
      </c>
      <c r="R1167" s="69">
        <v>44272.696469907409</v>
      </c>
      <c r="S1167" s="71">
        <v>44319</v>
      </c>
      <c r="T1167" s="32" t="str">
        <f t="shared" si="73"/>
        <v>+0832-39834***</v>
      </c>
      <c r="U1167" s="32" t="str">
        <f t="shared" ca="1" si="74"/>
        <v>brid***@yuhuumail.com</v>
      </c>
      <c r="V1167" s="32">
        <f t="shared" si="75"/>
        <v>22</v>
      </c>
      <c r="W1167" s="36">
        <f t="shared" si="76"/>
        <v>0.05</v>
      </c>
    </row>
    <row r="1168" spans="4:23" ht="27" customHeight="1" x14ac:dyDescent="0.25">
      <c r="D1168" s="14" t="s">
        <v>4465</v>
      </c>
      <c r="E1168" s="14" t="s">
        <v>4466</v>
      </c>
      <c r="F1168" s="84" t="s">
        <v>175</v>
      </c>
      <c r="G1168" s="15" t="s">
        <v>68</v>
      </c>
      <c r="H1168" s="16" t="s">
        <v>4467</v>
      </c>
      <c r="I1168" s="17"/>
      <c r="J1168" s="17"/>
      <c r="K1168" s="17"/>
      <c r="L1168" s="17"/>
      <c r="N1168" s="31">
        <v>1166</v>
      </c>
      <c r="O1168" s="32" t="s">
        <v>4468</v>
      </c>
      <c r="P1168" s="33" t="s">
        <v>42</v>
      </c>
      <c r="Q1168" s="32" t="s">
        <v>40</v>
      </c>
      <c r="R1168" s="69">
        <v>44272.684803240743</v>
      </c>
      <c r="S1168" s="71">
        <v>44318</v>
      </c>
      <c r="T1168" s="32" t="str">
        <f t="shared" si="73"/>
        <v>+84249447***</v>
      </c>
      <c r="U1168" s="32" t="str">
        <f t="shared" ca="1" si="74"/>
        <v>saul***@yuhuumail.com</v>
      </c>
      <c r="V1168" s="32">
        <f t="shared" si="75"/>
        <v>22</v>
      </c>
      <c r="W1168" s="36">
        <f t="shared" si="76"/>
        <v>0.05</v>
      </c>
    </row>
    <row r="1169" spans="4:23" ht="27" customHeight="1" x14ac:dyDescent="0.25">
      <c r="D1169" s="14" t="s">
        <v>4469</v>
      </c>
      <c r="E1169" s="14" t="s">
        <v>650</v>
      </c>
      <c r="F1169" s="84" t="s">
        <v>1919</v>
      </c>
      <c r="G1169" s="15" t="s">
        <v>27</v>
      </c>
      <c r="H1169" s="16" t="s">
        <v>4470</v>
      </c>
      <c r="I1169" s="17"/>
      <c r="J1169" s="17"/>
      <c r="K1169" s="17"/>
      <c r="L1169" s="17"/>
      <c r="N1169" s="31">
        <v>1167</v>
      </c>
      <c r="O1169" s="32" t="s">
        <v>4471</v>
      </c>
      <c r="P1169" s="33" t="s">
        <v>31</v>
      </c>
      <c r="Q1169" s="32" t="s">
        <v>32</v>
      </c>
      <c r="R1169" s="69">
        <v>44272.697604166664</v>
      </c>
      <c r="S1169" s="71">
        <v>44320</v>
      </c>
      <c r="T1169" s="32" t="str">
        <f t="shared" si="73"/>
        <v>+0852 26732***</v>
      </c>
      <c r="U1169" s="32" t="str">
        <f t="shared" ca="1" si="74"/>
        <v>jazl***@yuhuumail.com</v>
      </c>
      <c r="V1169" s="32">
        <f t="shared" si="75"/>
        <v>22</v>
      </c>
      <c r="W1169" s="36">
        <f t="shared" si="76"/>
        <v>0.05</v>
      </c>
    </row>
    <row r="1170" spans="4:23" ht="27" customHeight="1" x14ac:dyDescent="0.25">
      <c r="D1170" s="14" t="s">
        <v>4472</v>
      </c>
      <c r="E1170" s="14" t="s">
        <v>4473</v>
      </c>
      <c r="F1170" s="84" t="s">
        <v>92</v>
      </c>
      <c r="G1170" s="15" t="s">
        <v>27</v>
      </c>
      <c r="H1170" s="16" t="s">
        <v>4474</v>
      </c>
      <c r="I1170" s="17"/>
      <c r="J1170" s="17"/>
      <c r="K1170" s="17"/>
      <c r="L1170" s="17"/>
      <c r="N1170" s="31">
        <v>1168</v>
      </c>
      <c r="O1170" s="32" t="s">
        <v>4475</v>
      </c>
      <c r="P1170" s="33" t="s">
        <v>42</v>
      </c>
      <c r="Q1170" s="32" t="s">
        <v>40</v>
      </c>
      <c r="R1170" s="69">
        <v>44272.706608796296</v>
      </c>
      <c r="S1170" s="71">
        <v>44352</v>
      </c>
      <c r="T1170" s="32" t="str">
        <f t="shared" si="73"/>
        <v>+084252663***</v>
      </c>
      <c r="U1170" s="32" t="str">
        <f t="shared" ca="1" si="74"/>
        <v>gabr***@yuhuumail.com</v>
      </c>
      <c r="V1170" s="32">
        <f t="shared" si="75"/>
        <v>22</v>
      </c>
      <c r="W1170" s="36">
        <f t="shared" si="76"/>
        <v>0.05</v>
      </c>
    </row>
    <row r="1171" spans="4:23" ht="27" customHeight="1" x14ac:dyDescent="0.25">
      <c r="D1171" s="14" t="s">
        <v>4476</v>
      </c>
      <c r="E1171" s="14" t="s">
        <v>2653</v>
      </c>
      <c r="F1171" s="84" t="s">
        <v>183</v>
      </c>
      <c r="G1171" s="15" t="s">
        <v>68</v>
      </c>
      <c r="H1171" s="16" t="s">
        <v>4477</v>
      </c>
      <c r="I1171" s="17"/>
      <c r="J1171" s="17"/>
      <c r="K1171" s="17"/>
      <c r="L1171" s="17"/>
      <c r="N1171" s="31">
        <v>1169</v>
      </c>
      <c r="O1171" s="32" t="s">
        <v>2666</v>
      </c>
      <c r="P1171" s="33" t="s">
        <v>31</v>
      </c>
      <c r="Q1171" s="32" t="s">
        <v>32</v>
      </c>
      <c r="R1171" s="69">
        <v>43195.561030092591</v>
      </c>
      <c r="S1171" s="35">
        <v>44320</v>
      </c>
      <c r="T1171" s="32" t="str">
        <f t="shared" si="73"/>
        <v>+0852-40596***</v>
      </c>
      <c r="U1171" s="32" t="str">
        <f t="shared" ca="1" si="74"/>
        <v>seth***@jossmail.com</v>
      </c>
      <c r="V1171" s="32">
        <f t="shared" si="75"/>
        <v>19</v>
      </c>
      <c r="W1171" s="36">
        <f t="shared" si="76"/>
        <v>2.5000000000000001E-2</v>
      </c>
    </row>
    <row r="1172" spans="4:23" ht="27" customHeight="1" x14ac:dyDescent="0.25">
      <c r="D1172" s="14" t="s">
        <v>4478</v>
      </c>
      <c r="E1172" s="14" t="s">
        <v>2454</v>
      </c>
      <c r="F1172" s="84" t="s">
        <v>114</v>
      </c>
      <c r="G1172" s="15" t="s">
        <v>68</v>
      </c>
      <c r="H1172" s="16" t="s">
        <v>4479</v>
      </c>
      <c r="I1172" s="17"/>
      <c r="J1172" s="17"/>
      <c r="K1172" s="17"/>
      <c r="L1172" s="17"/>
      <c r="N1172" s="31">
        <v>1170</v>
      </c>
      <c r="O1172" s="32" t="s">
        <v>4480</v>
      </c>
      <c r="P1172" s="33" t="s">
        <v>31</v>
      </c>
      <c r="Q1172" s="32" t="s">
        <v>40</v>
      </c>
      <c r="R1172" s="69">
        <v>44272.710555555554</v>
      </c>
      <c r="S1172" s="35">
        <v>44356</v>
      </c>
      <c r="T1172" s="32" t="str">
        <f t="shared" si="73"/>
        <v>+0812 37356***</v>
      </c>
      <c r="U1172" s="32" t="str">
        <f t="shared" ca="1" si="74"/>
        <v>vans***@yuhuumail.com</v>
      </c>
      <c r="V1172" s="32">
        <f t="shared" si="75"/>
        <v>22</v>
      </c>
      <c r="W1172" s="36">
        <f t="shared" si="76"/>
        <v>0.05</v>
      </c>
    </row>
    <row r="1173" spans="4:23" ht="27" customHeight="1" x14ac:dyDescent="0.25">
      <c r="D1173" s="14" t="s">
        <v>4481</v>
      </c>
      <c r="E1173" s="14" t="s">
        <v>2949</v>
      </c>
      <c r="F1173" s="84" t="s">
        <v>92</v>
      </c>
      <c r="G1173" s="15" t="s">
        <v>27</v>
      </c>
      <c r="H1173" s="16" t="s">
        <v>4482</v>
      </c>
      <c r="I1173" s="17"/>
      <c r="J1173" s="17"/>
      <c r="K1173" s="17"/>
      <c r="L1173" s="17"/>
      <c r="N1173" s="31">
        <v>1171</v>
      </c>
      <c r="O1173" s="32" t="s">
        <v>3646</v>
      </c>
      <c r="P1173" s="33" t="s">
        <v>57</v>
      </c>
      <c r="Q1173" s="32" t="s">
        <v>32</v>
      </c>
      <c r="R1173" s="69">
        <v>44272.716770833336</v>
      </c>
      <c r="S1173" s="35">
        <v>44320</v>
      </c>
      <c r="T1173" s="32" t="str">
        <f t="shared" si="73"/>
        <v>+0832-57406***</v>
      </c>
      <c r="U1173" s="32" t="str">
        <f t="shared" ca="1" si="74"/>
        <v>clar***@jossmail.com</v>
      </c>
      <c r="V1173" s="32">
        <f t="shared" si="75"/>
        <v>22</v>
      </c>
      <c r="W1173" s="36">
        <f t="shared" si="76"/>
        <v>0.05</v>
      </c>
    </row>
    <row r="1174" spans="4:23" ht="27" customHeight="1" x14ac:dyDescent="0.25">
      <c r="D1174" s="14" t="s">
        <v>4483</v>
      </c>
      <c r="E1174" s="14" t="s">
        <v>1898</v>
      </c>
      <c r="F1174" s="84" t="s">
        <v>381</v>
      </c>
      <c r="G1174" s="15" t="s">
        <v>27</v>
      </c>
      <c r="H1174" s="16" t="s">
        <v>4484</v>
      </c>
      <c r="I1174" s="17"/>
      <c r="J1174" s="17"/>
      <c r="K1174" s="17"/>
      <c r="L1174" s="17"/>
      <c r="N1174" s="31">
        <v>1172</v>
      </c>
      <c r="O1174" s="32" t="s">
        <v>3739</v>
      </c>
      <c r="P1174" s="33" t="s">
        <v>57</v>
      </c>
      <c r="Q1174" s="32" t="s">
        <v>40</v>
      </c>
      <c r="R1174" s="69">
        <v>44272.721342592595</v>
      </c>
      <c r="S1174" s="35">
        <v>44318</v>
      </c>
      <c r="T1174" s="32" t="str">
        <f t="shared" si="73"/>
        <v>+842 62213***</v>
      </c>
      <c r="U1174" s="32" t="str">
        <f t="shared" ca="1" si="74"/>
        <v>isaa***@yuhuumail.com</v>
      </c>
      <c r="V1174" s="32">
        <f t="shared" si="75"/>
        <v>22</v>
      </c>
      <c r="W1174" s="36">
        <f t="shared" si="76"/>
        <v>0.05</v>
      </c>
    </row>
    <row r="1175" spans="4:23" ht="27" customHeight="1" x14ac:dyDescent="0.25">
      <c r="D1175" s="14" t="s">
        <v>4485</v>
      </c>
      <c r="E1175" s="14" t="s">
        <v>4345</v>
      </c>
      <c r="F1175" s="84" t="s">
        <v>710</v>
      </c>
      <c r="G1175" s="15" t="s">
        <v>27</v>
      </c>
      <c r="H1175" s="16" t="s">
        <v>4486</v>
      </c>
      <c r="I1175" s="17"/>
      <c r="J1175" s="17"/>
      <c r="K1175" s="17"/>
      <c r="L1175" s="17"/>
      <c r="N1175" s="31">
        <v>1173</v>
      </c>
      <c r="O1175" s="32" t="s">
        <v>4487</v>
      </c>
      <c r="P1175" s="33" t="s">
        <v>42</v>
      </c>
      <c r="Q1175" s="32" t="s">
        <v>32</v>
      </c>
      <c r="R1175" s="69">
        <v>44272.709756944445</v>
      </c>
      <c r="S1175" s="35">
        <v>44359</v>
      </c>
      <c r="T1175" s="32" t="str">
        <f t="shared" si="73"/>
        <v>+82218886***</v>
      </c>
      <c r="U1175" s="32" t="str">
        <f t="shared" ca="1" si="74"/>
        <v>tayl***@yuhuumail.com</v>
      </c>
      <c r="V1175" s="32">
        <f t="shared" si="75"/>
        <v>22</v>
      </c>
      <c r="W1175" s="36">
        <f t="shared" si="76"/>
        <v>0.05</v>
      </c>
    </row>
    <row r="1176" spans="4:23" ht="27" customHeight="1" x14ac:dyDescent="0.25">
      <c r="D1176" s="14" t="s">
        <v>4488</v>
      </c>
      <c r="E1176" s="14" t="s">
        <v>4489</v>
      </c>
      <c r="F1176" s="84" t="s">
        <v>188</v>
      </c>
      <c r="G1176" s="15" t="s">
        <v>27</v>
      </c>
      <c r="H1176" s="16" t="s">
        <v>4490</v>
      </c>
      <c r="I1176" s="17"/>
      <c r="J1176" s="17"/>
      <c r="K1176" s="17"/>
      <c r="L1176" s="17"/>
      <c r="N1176" s="31">
        <v>1174</v>
      </c>
      <c r="O1176" s="32" t="s">
        <v>1923</v>
      </c>
      <c r="P1176" s="33" t="s">
        <v>57</v>
      </c>
      <c r="Q1176" s="32" t="s">
        <v>40</v>
      </c>
      <c r="R1176" s="69">
        <v>44272.724317129629</v>
      </c>
      <c r="S1176" s="35">
        <v>44359</v>
      </c>
      <c r="T1176" s="32" t="str">
        <f t="shared" si="73"/>
        <v>+0822-55848***</v>
      </c>
      <c r="U1176" s="32" t="str">
        <f t="shared" ca="1" si="74"/>
        <v>jane***@jossmail.com</v>
      </c>
      <c r="V1176" s="32">
        <f t="shared" si="75"/>
        <v>22</v>
      </c>
      <c r="W1176" s="36">
        <f t="shared" si="76"/>
        <v>0.05</v>
      </c>
    </row>
    <row r="1177" spans="4:23" ht="27" customHeight="1" x14ac:dyDescent="0.25">
      <c r="D1177" s="14" t="s">
        <v>4491</v>
      </c>
      <c r="E1177" s="14" t="s">
        <v>4492</v>
      </c>
      <c r="F1177" s="84" t="s">
        <v>887</v>
      </c>
      <c r="G1177" s="15" t="s">
        <v>27</v>
      </c>
      <c r="H1177" s="16" t="s">
        <v>4493</v>
      </c>
      <c r="I1177" s="17"/>
      <c r="J1177" s="17"/>
      <c r="K1177" s="17"/>
      <c r="L1177" s="17"/>
      <c r="N1177" s="31">
        <v>1175</v>
      </c>
      <c r="O1177" s="32" t="s">
        <v>4494</v>
      </c>
      <c r="P1177" s="33" t="s">
        <v>31</v>
      </c>
      <c r="Q1177" s="32" t="s">
        <v>32</v>
      </c>
      <c r="R1177" s="69">
        <v>44145.542164351849</v>
      </c>
      <c r="S1177" s="35">
        <v>44354</v>
      </c>
      <c r="T1177" s="32" t="str">
        <f t="shared" si="73"/>
        <v>+0842-21394***</v>
      </c>
      <c r="U1177" s="32" t="str">
        <f t="shared" ca="1" si="74"/>
        <v>jayl***@yuhuumail.com</v>
      </c>
      <c r="V1177" s="32">
        <f t="shared" si="75"/>
        <v>22</v>
      </c>
      <c r="W1177" s="36">
        <f t="shared" si="76"/>
        <v>0.05</v>
      </c>
    </row>
    <row r="1178" spans="4:23" ht="27" customHeight="1" x14ac:dyDescent="0.25">
      <c r="D1178" s="14" t="s">
        <v>4495</v>
      </c>
      <c r="E1178" s="14" t="s">
        <v>4496</v>
      </c>
      <c r="F1178" s="84" t="s">
        <v>386</v>
      </c>
      <c r="G1178" s="15" t="s">
        <v>27</v>
      </c>
      <c r="H1178" s="16" t="s">
        <v>4497</v>
      </c>
      <c r="I1178" s="17"/>
      <c r="J1178" s="17"/>
      <c r="K1178" s="17"/>
      <c r="L1178" s="17"/>
      <c r="N1178" s="31">
        <v>1176</v>
      </c>
      <c r="O1178" s="32" t="s">
        <v>3522</v>
      </c>
      <c r="P1178" s="33" t="s">
        <v>31</v>
      </c>
      <c r="Q1178" s="32" t="s">
        <v>40</v>
      </c>
      <c r="R1178" s="69">
        <v>44272.725590277776</v>
      </c>
      <c r="S1178" s="35">
        <v>44318</v>
      </c>
      <c r="T1178" s="32" t="str">
        <f t="shared" si="73"/>
        <v>+81285465***</v>
      </c>
      <c r="U1178" s="32" t="str">
        <f t="shared" ca="1" si="74"/>
        <v>bray***@jossmail.com</v>
      </c>
      <c r="V1178" s="32">
        <f t="shared" si="75"/>
        <v>22</v>
      </c>
      <c r="W1178" s="36">
        <f t="shared" si="76"/>
        <v>0.05</v>
      </c>
    </row>
    <row r="1179" spans="4:23" ht="27" customHeight="1" x14ac:dyDescent="0.25">
      <c r="D1179" s="14" t="s">
        <v>4498</v>
      </c>
      <c r="E1179" s="14" t="s">
        <v>4499</v>
      </c>
      <c r="F1179" s="84" t="s">
        <v>302</v>
      </c>
      <c r="G1179" s="15" t="s">
        <v>68</v>
      </c>
      <c r="H1179" s="16" t="s">
        <v>4500</v>
      </c>
      <c r="I1179" s="17"/>
      <c r="J1179" s="17"/>
      <c r="K1179" s="17"/>
      <c r="L1179" s="17"/>
      <c r="N1179" s="31">
        <v>1177</v>
      </c>
      <c r="O1179" s="32" t="s">
        <v>4501</v>
      </c>
      <c r="P1179" s="33" t="s">
        <v>57</v>
      </c>
      <c r="Q1179" s="32" t="s">
        <v>32</v>
      </c>
      <c r="R1179" s="69">
        <v>44272.727662037039</v>
      </c>
      <c r="S1179" s="35">
        <v>44356</v>
      </c>
      <c r="T1179" s="32" t="str">
        <f t="shared" si="73"/>
        <v>+82223006***</v>
      </c>
      <c r="U1179" s="32" t="str">
        <f t="shared" ca="1" si="74"/>
        <v>daws***@jossmail.com</v>
      </c>
      <c r="V1179" s="32">
        <f t="shared" si="75"/>
        <v>22</v>
      </c>
      <c r="W1179" s="36">
        <f t="shared" si="76"/>
        <v>0.05</v>
      </c>
    </row>
    <row r="1180" spans="4:23" ht="27" customHeight="1" x14ac:dyDescent="0.25">
      <c r="D1180" s="14" t="s">
        <v>4502</v>
      </c>
      <c r="E1180" s="14" t="s">
        <v>4503</v>
      </c>
      <c r="F1180" s="84" t="s">
        <v>343</v>
      </c>
      <c r="G1180" s="15" t="s">
        <v>68</v>
      </c>
      <c r="H1180" s="16" t="s">
        <v>4504</v>
      </c>
      <c r="I1180" s="17"/>
      <c r="J1180" s="17"/>
      <c r="K1180" s="17"/>
      <c r="L1180" s="17"/>
      <c r="N1180" s="31">
        <v>1178</v>
      </c>
      <c r="O1180" s="32" t="s">
        <v>2951</v>
      </c>
      <c r="P1180" s="33" t="s">
        <v>31</v>
      </c>
      <c r="Q1180" s="32" t="s">
        <v>40</v>
      </c>
      <c r="R1180" s="69">
        <v>44272.722442129627</v>
      </c>
      <c r="S1180" s="35">
        <v>44362</v>
      </c>
      <c r="T1180" s="32" t="str">
        <f t="shared" si="73"/>
        <v>+0822 12888***</v>
      </c>
      <c r="U1180" s="32" t="str">
        <f t="shared" ca="1" si="74"/>
        <v>alex***@jossmail.com</v>
      </c>
      <c r="V1180" s="32">
        <f t="shared" si="75"/>
        <v>22</v>
      </c>
      <c r="W1180" s="36">
        <f t="shared" si="76"/>
        <v>0.05</v>
      </c>
    </row>
    <row r="1181" spans="4:23" ht="27" customHeight="1" x14ac:dyDescent="0.25">
      <c r="D1181" s="14" t="s">
        <v>4505</v>
      </c>
      <c r="E1181" s="14" t="s">
        <v>4506</v>
      </c>
      <c r="F1181" s="84" t="s">
        <v>211</v>
      </c>
      <c r="G1181" s="15" t="s">
        <v>68</v>
      </c>
      <c r="H1181" s="16" t="s">
        <v>4507</v>
      </c>
      <c r="I1181" s="17"/>
      <c r="J1181" s="17"/>
      <c r="K1181" s="17"/>
      <c r="L1181" s="17"/>
      <c r="N1181" s="31">
        <v>1179</v>
      </c>
      <c r="O1181" s="32" t="s">
        <v>4508</v>
      </c>
      <c r="P1181" s="33" t="s">
        <v>31</v>
      </c>
      <c r="Q1181" s="32" t="s">
        <v>32</v>
      </c>
      <c r="R1181" s="69">
        <v>43943.395601851851</v>
      </c>
      <c r="S1181" s="35">
        <v>44359</v>
      </c>
      <c r="T1181" s="32" t="str">
        <f t="shared" si="73"/>
        <v>+0822-89637***</v>
      </c>
      <c r="U1181" s="32" t="str">
        <f t="shared" ca="1" si="74"/>
        <v>nige***@yuhuumail.com</v>
      </c>
      <c r="V1181" s="32">
        <f t="shared" si="75"/>
        <v>21</v>
      </c>
      <c r="W1181" s="36">
        <f t="shared" si="76"/>
        <v>6.5000000000000002E-2</v>
      </c>
    </row>
    <row r="1182" spans="4:23" ht="27" customHeight="1" x14ac:dyDescent="0.25">
      <c r="D1182" s="14" t="s">
        <v>4509</v>
      </c>
      <c r="E1182" s="14" t="s">
        <v>4510</v>
      </c>
      <c r="F1182" s="84" t="s">
        <v>1919</v>
      </c>
      <c r="G1182" s="15" t="s">
        <v>68</v>
      </c>
      <c r="H1182" s="16" t="s">
        <v>4511</v>
      </c>
      <c r="I1182" s="17"/>
      <c r="J1182" s="17"/>
      <c r="K1182" s="17"/>
      <c r="L1182" s="17"/>
      <c r="N1182" s="31">
        <v>1180</v>
      </c>
      <c r="O1182" s="32" t="s">
        <v>4512</v>
      </c>
      <c r="P1182" s="33" t="s">
        <v>42</v>
      </c>
      <c r="Q1182" s="32" t="s">
        <v>40</v>
      </c>
      <c r="R1182" s="69">
        <v>44272.747650462959</v>
      </c>
      <c r="S1182" s="35">
        <v>44318</v>
      </c>
      <c r="T1182" s="32" t="str">
        <f t="shared" si="73"/>
        <v>+6282299437***</v>
      </c>
      <c r="U1182" s="32" t="str">
        <f t="shared" ca="1" si="74"/>
        <v>mali***@yuhuumail.com</v>
      </c>
      <c r="V1182" s="32">
        <f t="shared" si="75"/>
        <v>22</v>
      </c>
      <c r="W1182" s="36">
        <f t="shared" si="76"/>
        <v>0.05</v>
      </c>
    </row>
    <row r="1183" spans="4:23" ht="27" customHeight="1" x14ac:dyDescent="0.25">
      <c r="D1183" s="14" t="s">
        <v>4513</v>
      </c>
      <c r="E1183" s="14" t="s">
        <v>4514</v>
      </c>
      <c r="F1183" s="84" t="s">
        <v>343</v>
      </c>
      <c r="G1183" s="15" t="s">
        <v>27</v>
      </c>
      <c r="H1183" s="16" t="s">
        <v>4515</v>
      </c>
      <c r="I1183" s="17"/>
      <c r="J1183" s="17"/>
      <c r="K1183" s="17"/>
      <c r="L1183" s="17"/>
      <c r="N1183" s="31">
        <v>1181</v>
      </c>
      <c r="O1183" s="32" t="s">
        <v>4245</v>
      </c>
      <c r="P1183" s="33" t="s">
        <v>31</v>
      </c>
      <c r="Q1183" s="32" t="s">
        <v>32</v>
      </c>
      <c r="R1183" s="69">
        <v>44272.748310185183</v>
      </c>
      <c r="S1183" s="35">
        <v>44318</v>
      </c>
      <c r="T1183" s="32" t="str">
        <f t="shared" si="73"/>
        <v>+0842-48494***</v>
      </c>
      <c r="U1183" s="32" t="str">
        <f t="shared" ca="1" si="74"/>
        <v>dust***@yuhuumail.com</v>
      </c>
      <c r="V1183" s="32">
        <f t="shared" si="75"/>
        <v>22</v>
      </c>
      <c r="W1183" s="36">
        <f t="shared" si="76"/>
        <v>0.05</v>
      </c>
    </row>
    <row r="1184" spans="4:23" ht="27" customHeight="1" x14ac:dyDescent="0.25">
      <c r="D1184" s="14" t="s">
        <v>4516</v>
      </c>
      <c r="E1184" s="14" t="s">
        <v>3487</v>
      </c>
      <c r="F1184" s="84" t="s">
        <v>566</v>
      </c>
      <c r="G1184" s="15" t="s">
        <v>27</v>
      </c>
      <c r="H1184" s="16" t="s">
        <v>4517</v>
      </c>
      <c r="I1184" s="17"/>
      <c r="J1184" s="17"/>
      <c r="K1184" s="17"/>
      <c r="L1184" s="17"/>
      <c r="N1184" s="31">
        <v>1182</v>
      </c>
      <c r="O1184" s="32" t="s">
        <v>1117</v>
      </c>
      <c r="P1184" s="33" t="s">
        <v>57</v>
      </c>
      <c r="Q1184" s="32" t="s">
        <v>40</v>
      </c>
      <c r="R1184" s="69">
        <v>43667.090543981481</v>
      </c>
      <c r="S1184" s="35">
        <v>44362</v>
      </c>
      <c r="T1184" s="32" t="str">
        <f t="shared" si="73"/>
        <v>+82273986***</v>
      </c>
      <c r="U1184" s="32" t="str">
        <f t="shared" ca="1" si="74"/>
        <v>bryc***@yuhuumail.com</v>
      </c>
      <c r="V1184" s="32">
        <f t="shared" si="75"/>
        <v>20</v>
      </c>
      <c r="W1184" s="36">
        <f t="shared" si="76"/>
        <v>6.5000000000000002E-2</v>
      </c>
    </row>
    <row r="1185" spans="4:23" ht="27" customHeight="1" x14ac:dyDescent="0.25">
      <c r="D1185" s="14" t="s">
        <v>4518</v>
      </c>
      <c r="E1185" s="14" t="s">
        <v>4519</v>
      </c>
      <c r="F1185" s="84" t="s">
        <v>1037</v>
      </c>
      <c r="G1185" s="15" t="s">
        <v>27</v>
      </c>
      <c r="H1185" s="16" t="s">
        <v>4520</v>
      </c>
      <c r="I1185" s="17"/>
      <c r="J1185" s="17"/>
      <c r="K1185" s="17"/>
      <c r="L1185" s="17"/>
      <c r="N1185" s="31">
        <v>1183</v>
      </c>
      <c r="O1185" s="32" t="s">
        <v>2210</v>
      </c>
      <c r="P1185" s="33" t="s">
        <v>31</v>
      </c>
      <c r="Q1185" s="32" t="s">
        <v>32</v>
      </c>
      <c r="R1185" s="69">
        <v>44272.74554398148</v>
      </c>
      <c r="S1185" s="71">
        <v>44317</v>
      </c>
      <c r="T1185" s="32" t="str">
        <f t="shared" si="73"/>
        <v>+0812-53500***</v>
      </c>
      <c r="U1185" s="32" t="str">
        <f t="shared" ca="1" si="74"/>
        <v>kyan***@jossmail.com</v>
      </c>
      <c r="V1185" s="32">
        <f t="shared" si="75"/>
        <v>22</v>
      </c>
      <c r="W1185" s="36">
        <f t="shared" si="76"/>
        <v>0.05</v>
      </c>
    </row>
    <row r="1186" spans="4:23" ht="27" customHeight="1" x14ac:dyDescent="0.25">
      <c r="D1186" s="14" t="s">
        <v>4521</v>
      </c>
      <c r="E1186" s="14" t="s">
        <v>4522</v>
      </c>
      <c r="F1186" s="84" t="s">
        <v>129</v>
      </c>
      <c r="G1186" s="15" t="s">
        <v>68</v>
      </c>
      <c r="H1186" s="16" t="s">
        <v>4523</v>
      </c>
      <c r="I1186" s="17"/>
      <c r="J1186" s="17"/>
      <c r="K1186" s="17"/>
      <c r="L1186" s="17"/>
      <c r="N1186" s="31">
        <v>1184</v>
      </c>
      <c r="O1186" s="32" t="s">
        <v>4524</v>
      </c>
      <c r="P1186" s="33" t="s">
        <v>42</v>
      </c>
      <c r="Q1186" s="32" t="s">
        <v>40</v>
      </c>
      <c r="R1186" s="69">
        <v>43678.915046296293</v>
      </c>
      <c r="S1186" s="71">
        <v>44353</v>
      </c>
      <c r="T1186" s="32" t="str">
        <f t="shared" si="73"/>
        <v>+0822-71572***</v>
      </c>
      <c r="U1186" s="32" t="str">
        <f t="shared" ca="1" si="74"/>
        <v>alan***@jossmail.com</v>
      </c>
      <c r="V1186" s="32">
        <f t="shared" si="75"/>
        <v>20</v>
      </c>
      <c r="W1186" s="36">
        <f t="shared" si="76"/>
        <v>6.5000000000000002E-2</v>
      </c>
    </row>
    <row r="1187" spans="4:23" ht="27" customHeight="1" x14ac:dyDescent="0.25">
      <c r="D1187" s="14" t="s">
        <v>4525</v>
      </c>
      <c r="E1187" s="14" t="s">
        <v>2481</v>
      </c>
      <c r="F1187" s="84" t="s">
        <v>114</v>
      </c>
      <c r="G1187" s="15" t="s">
        <v>27</v>
      </c>
      <c r="H1187" s="16" t="s">
        <v>4526</v>
      </c>
      <c r="I1187" s="17"/>
      <c r="J1187" s="17"/>
      <c r="K1187" s="17"/>
      <c r="L1187" s="17"/>
      <c r="N1187" s="31">
        <v>1185</v>
      </c>
      <c r="O1187" s="32" t="s">
        <v>4527</v>
      </c>
      <c r="P1187" s="33" t="s">
        <v>42</v>
      </c>
      <c r="Q1187" s="32" t="s">
        <v>32</v>
      </c>
      <c r="R1187" s="69">
        <v>44272.746493055558</v>
      </c>
      <c r="S1187" s="71">
        <v>44359</v>
      </c>
      <c r="T1187" s="32" t="str">
        <f t="shared" si="73"/>
        <v>+84296373***</v>
      </c>
      <c r="U1187" s="32" t="str">
        <f t="shared" ca="1" si="74"/>
        <v>kare***@jossmail.com</v>
      </c>
      <c r="V1187" s="32">
        <f t="shared" si="75"/>
        <v>22</v>
      </c>
      <c r="W1187" s="36">
        <f t="shared" si="76"/>
        <v>0.05</v>
      </c>
    </row>
    <row r="1188" spans="4:23" ht="27" customHeight="1" x14ac:dyDescent="0.25">
      <c r="D1188" s="14" t="s">
        <v>4528</v>
      </c>
      <c r="E1188" s="14" t="s">
        <v>4529</v>
      </c>
      <c r="F1188" s="84" t="s">
        <v>508</v>
      </c>
      <c r="G1188" s="15" t="s">
        <v>27</v>
      </c>
      <c r="H1188" s="16" t="s">
        <v>4530</v>
      </c>
      <c r="I1188" s="17"/>
      <c r="J1188" s="17"/>
      <c r="K1188" s="17"/>
      <c r="L1188" s="17"/>
      <c r="N1188" s="31">
        <v>1186</v>
      </c>
      <c r="O1188" s="32" t="s">
        <v>4531</v>
      </c>
      <c r="P1188" s="33" t="s">
        <v>57</v>
      </c>
      <c r="Q1188" s="32" t="s">
        <v>40</v>
      </c>
      <c r="R1188" s="69">
        <v>44272.745868055557</v>
      </c>
      <c r="S1188" s="71">
        <v>44362</v>
      </c>
      <c r="T1188" s="32" t="str">
        <f t="shared" si="73"/>
        <v>+84287075***</v>
      </c>
      <c r="U1188" s="32" t="str">
        <f t="shared" ca="1" si="74"/>
        <v>mary***@jossmail.com</v>
      </c>
      <c r="V1188" s="32">
        <f t="shared" si="75"/>
        <v>22</v>
      </c>
      <c r="W1188" s="36">
        <f t="shared" si="76"/>
        <v>0.05</v>
      </c>
    </row>
    <row r="1189" spans="4:23" ht="27" customHeight="1" x14ac:dyDescent="0.25">
      <c r="D1189" s="14" t="s">
        <v>4532</v>
      </c>
      <c r="E1189" s="14" t="s">
        <v>4533</v>
      </c>
      <c r="F1189" s="84" t="s">
        <v>302</v>
      </c>
      <c r="G1189" s="15" t="s">
        <v>68</v>
      </c>
      <c r="H1189" s="16" t="s">
        <v>4534</v>
      </c>
      <c r="I1189" s="17"/>
      <c r="J1189" s="17"/>
      <c r="K1189" s="17"/>
      <c r="L1189" s="17"/>
      <c r="N1189" s="31">
        <v>1187</v>
      </c>
      <c r="O1189" s="32" t="s">
        <v>4535</v>
      </c>
      <c r="P1189" s="33" t="s">
        <v>42</v>
      </c>
      <c r="Q1189" s="32" t="s">
        <v>32</v>
      </c>
      <c r="R1189" s="69">
        <v>44272.751331018517</v>
      </c>
      <c r="S1189" s="71">
        <v>44359</v>
      </c>
      <c r="T1189" s="32" t="str">
        <f t="shared" si="73"/>
        <v>+084274474***</v>
      </c>
      <c r="U1189" s="32" t="str">
        <f t="shared" ca="1" si="74"/>
        <v>kyli***@yuhuumail.com</v>
      </c>
      <c r="V1189" s="32">
        <f t="shared" si="75"/>
        <v>22</v>
      </c>
      <c r="W1189" s="36">
        <f t="shared" si="76"/>
        <v>0.05</v>
      </c>
    </row>
    <row r="1190" spans="4:23" ht="27" customHeight="1" x14ac:dyDescent="0.25">
      <c r="D1190" s="14" t="s">
        <v>4536</v>
      </c>
      <c r="E1190" s="14" t="s">
        <v>4537</v>
      </c>
      <c r="F1190" s="84" t="s">
        <v>1169</v>
      </c>
      <c r="G1190" s="15" t="s">
        <v>27</v>
      </c>
      <c r="H1190" s="16" t="s">
        <v>4538</v>
      </c>
      <c r="I1190" s="17"/>
      <c r="J1190" s="17"/>
      <c r="K1190" s="17"/>
      <c r="L1190" s="17"/>
      <c r="N1190" s="31">
        <v>1188</v>
      </c>
      <c r="O1190" s="32" t="s">
        <v>4539</v>
      </c>
      <c r="P1190" s="33" t="s">
        <v>57</v>
      </c>
      <c r="Q1190" s="32" t="s">
        <v>40</v>
      </c>
      <c r="R1190" s="69">
        <v>44272.740162037036</v>
      </c>
      <c r="S1190" s="71">
        <v>44318</v>
      </c>
      <c r="T1190" s="32" t="str">
        <f t="shared" si="73"/>
        <v>+6285290143***</v>
      </c>
      <c r="U1190" s="32" t="str">
        <f t="shared" ca="1" si="74"/>
        <v>marc***@yuhuumail.com</v>
      </c>
      <c r="V1190" s="32">
        <f t="shared" si="75"/>
        <v>22</v>
      </c>
      <c r="W1190" s="36">
        <f t="shared" si="76"/>
        <v>0.05</v>
      </c>
    </row>
    <row r="1191" spans="4:23" ht="27" customHeight="1" x14ac:dyDescent="0.25">
      <c r="D1191" s="14" t="s">
        <v>4540</v>
      </c>
      <c r="E1191" s="14" t="s">
        <v>2255</v>
      </c>
      <c r="F1191" s="84" t="s">
        <v>627</v>
      </c>
      <c r="G1191" s="15" t="s">
        <v>68</v>
      </c>
      <c r="H1191" s="16" t="s">
        <v>4541</v>
      </c>
      <c r="I1191" s="17"/>
      <c r="J1191" s="17"/>
      <c r="K1191" s="17"/>
      <c r="L1191" s="17"/>
      <c r="N1191" s="31">
        <v>1189</v>
      </c>
      <c r="O1191" s="32" t="s">
        <v>2534</v>
      </c>
      <c r="P1191" s="33" t="s">
        <v>31</v>
      </c>
      <c r="Q1191" s="32" t="s">
        <v>32</v>
      </c>
      <c r="R1191" s="69">
        <v>44272.750983796293</v>
      </c>
      <c r="S1191" s="71">
        <v>44362</v>
      </c>
      <c r="T1191" s="32" t="str">
        <f t="shared" si="73"/>
        <v>+085269551***</v>
      </c>
      <c r="U1191" s="32" t="str">
        <f t="shared" ca="1" si="74"/>
        <v>chan***@yuhuumail.com</v>
      </c>
      <c r="V1191" s="32">
        <f t="shared" si="75"/>
        <v>22</v>
      </c>
      <c r="W1191" s="36">
        <f t="shared" si="76"/>
        <v>0.05</v>
      </c>
    </row>
    <row r="1192" spans="4:23" ht="27" customHeight="1" x14ac:dyDescent="0.25">
      <c r="D1192" s="14" t="s">
        <v>4542</v>
      </c>
      <c r="E1192" s="14" t="s">
        <v>4543</v>
      </c>
      <c r="F1192" s="84" t="s">
        <v>206</v>
      </c>
      <c r="G1192" s="15" t="s">
        <v>27</v>
      </c>
      <c r="H1192" s="16" t="s">
        <v>4544</v>
      </c>
      <c r="I1192" s="17"/>
      <c r="J1192" s="17"/>
      <c r="K1192" s="17"/>
      <c r="L1192" s="17"/>
      <c r="N1192" s="31">
        <v>1190</v>
      </c>
      <c r="O1192" s="32" t="s">
        <v>4545</v>
      </c>
      <c r="P1192" s="33" t="s">
        <v>57</v>
      </c>
      <c r="Q1192" s="32" t="s">
        <v>40</v>
      </c>
      <c r="R1192" s="69">
        <v>43690.870266203703</v>
      </c>
      <c r="S1192" s="71">
        <v>44318</v>
      </c>
      <c r="T1192" s="32" t="str">
        <f t="shared" si="73"/>
        <v>+0852-86670***</v>
      </c>
      <c r="U1192" s="32" t="str">
        <f t="shared" ca="1" si="74"/>
        <v>jasl***@jossmail.com</v>
      </c>
      <c r="V1192" s="32">
        <f t="shared" si="75"/>
        <v>20</v>
      </c>
      <c r="W1192" s="36">
        <f t="shared" si="76"/>
        <v>6.5000000000000002E-2</v>
      </c>
    </row>
    <row r="1193" spans="4:23" ht="27" customHeight="1" x14ac:dyDescent="0.25">
      <c r="D1193" s="14" t="s">
        <v>4546</v>
      </c>
      <c r="E1193" s="14" t="s">
        <v>4547</v>
      </c>
      <c r="F1193" s="84" t="s">
        <v>402</v>
      </c>
      <c r="G1193" s="15" t="s">
        <v>27</v>
      </c>
      <c r="H1193" s="16" t="s">
        <v>4548</v>
      </c>
      <c r="I1193" s="17"/>
      <c r="J1193" s="17"/>
      <c r="K1193" s="17"/>
      <c r="L1193" s="17"/>
      <c r="N1193" s="31">
        <v>1191</v>
      </c>
      <c r="O1193" s="32" t="s">
        <v>4549</v>
      </c>
      <c r="P1193" s="33" t="s">
        <v>4550</v>
      </c>
      <c r="Q1193" s="32" t="s">
        <v>32</v>
      </c>
      <c r="R1193" s="69">
        <v>43717.582326388889</v>
      </c>
      <c r="S1193" s="71">
        <v>44362</v>
      </c>
      <c r="T1193" s="32" t="str">
        <f t="shared" si="73"/>
        <v>+0842-78030***</v>
      </c>
      <c r="U1193" s="32" t="str">
        <f t="shared" ca="1" si="74"/>
        <v>shir***@jossmail.com</v>
      </c>
      <c r="V1193" s="32">
        <f t="shared" si="75"/>
        <v>20</v>
      </c>
      <c r="W1193" s="36">
        <f t="shared" si="76"/>
        <v>6.5000000000000002E-2</v>
      </c>
    </row>
    <row r="1194" spans="4:23" ht="27" customHeight="1" x14ac:dyDescent="0.25">
      <c r="D1194" s="14" t="s">
        <v>4551</v>
      </c>
      <c r="E1194" s="14" t="s">
        <v>4552</v>
      </c>
      <c r="F1194" s="84" t="s">
        <v>1169</v>
      </c>
      <c r="G1194" s="15" t="s">
        <v>68</v>
      </c>
      <c r="H1194" s="16" t="s">
        <v>4553</v>
      </c>
      <c r="I1194" s="17"/>
      <c r="J1194" s="17"/>
      <c r="K1194" s="17"/>
      <c r="L1194" s="17"/>
      <c r="N1194" s="31">
        <v>1192</v>
      </c>
      <c r="O1194" s="32" t="s">
        <v>2330</v>
      </c>
      <c r="P1194" s="33" t="s">
        <v>4550</v>
      </c>
      <c r="Q1194" s="32" t="s">
        <v>40</v>
      </c>
      <c r="R1194" s="69">
        <v>44272.777499999997</v>
      </c>
      <c r="S1194" s="71">
        <v>44362</v>
      </c>
      <c r="T1194" s="32" t="str">
        <f t="shared" si="73"/>
        <v>+812 82418***</v>
      </c>
      <c r="U1194" s="32" t="str">
        <f t="shared" ca="1" si="74"/>
        <v>kait***@jossmail.com</v>
      </c>
      <c r="V1194" s="32">
        <f t="shared" si="75"/>
        <v>22</v>
      </c>
      <c r="W1194" s="36">
        <f t="shared" si="76"/>
        <v>0.05</v>
      </c>
    </row>
    <row r="1195" spans="4:23" ht="27" customHeight="1" x14ac:dyDescent="0.25">
      <c r="D1195" s="14" t="s">
        <v>4554</v>
      </c>
      <c r="E1195" s="14" t="s">
        <v>4555</v>
      </c>
      <c r="F1195" s="84" t="s">
        <v>206</v>
      </c>
      <c r="G1195" s="15" t="s">
        <v>27</v>
      </c>
      <c r="H1195" s="16" t="s">
        <v>4556</v>
      </c>
      <c r="I1195" s="17"/>
      <c r="J1195" s="17"/>
      <c r="K1195" s="17"/>
      <c r="L1195" s="17"/>
      <c r="N1195" s="31">
        <v>1193</v>
      </c>
      <c r="O1195" s="32" t="s">
        <v>4557</v>
      </c>
      <c r="P1195" s="33" t="s">
        <v>4558</v>
      </c>
      <c r="Q1195" s="32" t="s">
        <v>32</v>
      </c>
      <c r="R1195" s="69">
        <v>44272.779189814813</v>
      </c>
      <c r="S1195" s="71">
        <v>44354</v>
      </c>
      <c r="T1195" s="32" t="str">
        <f t="shared" si="73"/>
        <v>+82279701***</v>
      </c>
      <c r="U1195" s="32" t="str">
        <f t="shared" ca="1" si="74"/>
        <v>niko***@jossmail.com</v>
      </c>
      <c r="V1195" s="32">
        <f t="shared" si="75"/>
        <v>22</v>
      </c>
      <c r="W1195" s="36">
        <f t="shared" si="76"/>
        <v>0.05</v>
      </c>
    </row>
    <row r="1196" spans="4:23" ht="27" customHeight="1" x14ac:dyDescent="0.25">
      <c r="D1196" s="14" t="s">
        <v>4559</v>
      </c>
      <c r="E1196" s="14" t="s">
        <v>949</v>
      </c>
      <c r="F1196" s="84" t="s">
        <v>653</v>
      </c>
      <c r="G1196" s="15" t="s">
        <v>27</v>
      </c>
      <c r="H1196" s="16" t="s">
        <v>4560</v>
      </c>
      <c r="I1196" s="17"/>
      <c r="J1196" s="17"/>
      <c r="K1196" s="17"/>
      <c r="L1196" s="17"/>
      <c r="N1196" s="31">
        <v>1194</v>
      </c>
      <c r="O1196" s="32" t="s">
        <v>1326</v>
      </c>
      <c r="P1196" s="33" t="s">
        <v>4550</v>
      </c>
      <c r="Q1196" s="32" t="s">
        <v>40</v>
      </c>
      <c r="R1196" s="69">
        <v>44272.782881944448</v>
      </c>
      <c r="S1196" s="71">
        <v>44362</v>
      </c>
      <c r="T1196" s="32" t="str">
        <f t="shared" si="73"/>
        <v>+84299140***</v>
      </c>
      <c r="U1196" s="32" t="str">
        <f t="shared" ca="1" si="74"/>
        <v>rory***@yuhuumail.com</v>
      </c>
      <c r="V1196" s="32">
        <f t="shared" si="75"/>
        <v>22</v>
      </c>
      <c r="W1196" s="36">
        <f t="shared" si="76"/>
        <v>0.05</v>
      </c>
    </row>
    <row r="1197" spans="4:23" ht="27" customHeight="1" x14ac:dyDescent="0.25">
      <c r="D1197" s="14" t="s">
        <v>4561</v>
      </c>
      <c r="E1197" s="14" t="s">
        <v>4562</v>
      </c>
      <c r="F1197" s="84" t="s">
        <v>524</v>
      </c>
      <c r="G1197" s="15" t="s">
        <v>68</v>
      </c>
      <c r="H1197" s="16" t="s">
        <v>4563</v>
      </c>
      <c r="I1197" s="17"/>
      <c r="J1197" s="17"/>
      <c r="K1197" s="17"/>
      <c r="L1197" s="17"/>
      <c r="N1197" s="31">
        <v>1195</v>
      </c>
      <c r="O1197" s="32" t="s">
        <v>4564</v>
      </c>
      <c r="P1197" s="33" t="s">
        <v>4565</v>
      </c>
      <c r="Q1197" s="32" t="s">
        <v>32</v>
      </c>
      <c r="R1197" s="69">
        <v>44272.783761574072</v>
      </c>
      <c r="S1197" s="71">
        <v>44330</v>
      </c>
      <c r="T1197" s="32" t="str">
        <f t="shared" si="73"/>
        <v>+0852 38452***</v>
      </c>
      <c r="U1197" s="32" t="str">
        <f t="shared" ca="1" si="74"/>
        <v>adam***@yuhuumail.com</v>
      </c>
      <c r="V1197" s="32">
        <f t="shared" si="75"/>
        <v>22</v>
      </c>
      <c r="W1197" s="36">
        <f t="shared" si="76"/>
        <v>0.05</v>
      </c>
    </row>
    <row r="1198" spans="4:23" ht="27" customHeight="1" x14ac:dyDescent="0.25">
      <c r="D1198" s="14" t="s">
        <v>4566</v>
      </c>
      <c r="E1198" s="14" t="s">
        <v>1593</v>
      </c>
      <c r="F1198" s="84" t="s">
        <v>1525</v>
      </c>
      <c r="G1198" s="15" t="s">
        <v>27</v>
      </c>
      <c r="H1198" s="16" t="s">
        <v>4567</v>
      </c>
      <c r="I1198" s="17"/>
      <c r="J1198" s="17"/>
      <c r="K1198" s="17"/>
      <c r="L1198" s="17"/>
      <c r="N1198" s="31">
        <v>1196</v>
      </c>
      <c r="O1198" s="32" t="s">
        <v>3536</v>
      </c>
      <c r="P1198" s="33" t="s">
        <v>4550</v>
      </c>
      <c r="Q1198" s="32" t="s">
        <v>40</v>
      </c>
      <c r="R1198" s="69">
        <v>43850.445567129631</v>
      </c>
      <c r="S1198" s="71">
        <v>44352</v>
      </c>
      <c r="T1198" s="32" t="str">
        <f t="shared" si="73"/>
        <v>+0852-46441***</v>
      </c>
      <c r="U1198" s="32" t="str">
        <f t="shared" ca="1" si="74"/>
        <v>cece***@yuhuumail.com</v>
      </c>
      <c r="V1198" s="32">
        <f t="shared" si="75"/>
        <v>21</v>
      </c>
      <c r="W1198" s="36">
        <f t="shared" si="76"/>
        <v>6.5000000000000002E-2</v>
      </c>
    </row>
    <row r="1199" spans="4:23" ht="27" customHeight="1" x14ac:dyDescent="0.25">
      <c r="D1199" s="14" t="s">
        <v>4568</v>
      </c>
      <c r="E1199" s="14" t="s">
        <v>2168</v>
      </c>
      <c r="F1199" s="84" t="s">
        <v>1886</v>
      </c>
      <c r="G1199" s="15" t="s">
        <v>27</v>
      </c>
      <c r="H1199" s="16" t="s">
        <v>4569</v>
      </c>
      <c r="I1199" s="17"/>
      <c r="J1199" s="17"/>
      <c r="K1199" s="17"/>
      <c r="L1199" s="17"/>
      <c r="N1199" s="31">
        <v>1197</v>
      </c>
      <c r="O1199" s="32" t="s">
        <v>4570</v>
      </c>
      <c r="P1199" s="33" t="s">
        <v>4565</v>
      </c>
      <c r="Q1199" s="32" t="s">
        <v>32</v>
      </c>
      <c r="R1199" s="69">
        <v>44272.782326388886</v>
      </c>
      <c r="S1199" s="71">
        <v>44320</v>
      </c>
      <c r="T1199" s="32" t="str">
        <f t="shared" si="73"/>
        <v>+084299313***</v>
      </c>
      <c r="U1199" s="32" t="str">
        <f t="shared" ca="1" si="74"/>
        <v>sidn***@jossmail.com</v>
      </c>
      <c r="V1199" s="32">
        <f t="shared" si="75"/>
        <v>22</v>
      </c>
      <c r="W1199" s="36">
        <f t="shared" si="76"/>
        <v>0.05</v>
      </c>
    </row>
    <row r="1200" spans="4:23" ht="27" customHeight="1" x14ac:dyDescent="0.25">
      <c r="D1200" s="14" t="s">
        <v>4571</v>
      </c>
      <c r="E1200" s="14" t="s">
        <v>4572</v>
      </c>
      <c r="F1200" s="84" t="s">
        <v>444</v>
      </c>
      <c r="G1200" s="15" t="s">
        <v>27</v>
      </c>
      <c r="H1200" s="16" t="s">
        <v>4573</v>
      </c>
      <c r="I1200" s="17"/>
      <c r="J1200" s="17"/>
      <c r="K1200" s="17"/>
      <c r="L1200" s="17"/>
      <c r="N1200" s="31">
        <v>1198</v>
      </c>
      <c r="O1200" s="32" t="s">
        <v>4574</v>
      </c>
      <c r="P1200" s="33" t="s">
        <v>4550</v>
      </c>
      <c r="Q1200" s="32" t="s">
        <v>40</v>
      </c>
      <c r="R1200" s="69">
        <v>44272.795185185183</v>
      </c>
      <c r="S1200" s="71">
        <v>44361</v>
      </c>
      <c r="T1200" s="32" t="str">
        <f t="shared" si="73"/>
        <v>+84230673***</v>
      </c>
      <c r="U1200" s="32" t="str">
        <f t="shared" ca="1" si="74"/>
        <v>brea***@jossmail.com</v>
      </c>
      <c r="V1200" s="32">
        <f t="shared" si="75"/>
        <v>22</v>
      </c>
      <c r="W1200" s="36">
        <f t="shared" si="76"/>
        <v>0.05</v>
      </c>
    </row>
    <row r="1201" spans="4:23" ht="27" customHeight="1" x14ac:dyDescent="0.25">
      <c r="D1201" s="14" t="s">
        <v>4575</v>
      </c>
      <c r="E1201" s="14" t="s">
        <v>4576</v>
      </c>
      <c r="F1201" s="84" t="s">
        <v>402</v>
      </c>
      <c r="G1201" s="15" t="s">
        <v>68</v>
      </c>
      <c r="H1201" s="16" t="s">
        <v>4577</v>
      </c>
      <c r="I1201" s="17"/>
      <c r="J1201" s="17"/>
      <c r="K1201" s="17"/>
      <c r="L1201" s="17"/>
      <c r="N1201" s="31">
        <v>1199</v>
      </c>
      <c r="O1201" s="32" t="s">
        <v>4578</v>
      </c>
      <c r="P1201" s="33" t="s">
        <v>4558</v>
      </c>
      <c r="Q1201" s="32" t="s">
        <v>32</v>
      </c>
      <c r="R1201" s="69">
        <v>44272.793229166666</v>
      </c>
      <c r="S1201" s="71">
        <v>44318</v>
      </c>
      <c r="T1201" s="32" t="str">
        <f t="shared" si="73"/>
        <v>+6284263982***</v>
      </c>
      <c r="U1201" s="32" t="str">
        <f t="shared" ca="1" si="74"/>
        <v>hall***@jossmail.com</v>
      </c>
      <c r="V1201" s="32">
        <f t="shared" si="75"/>
        <v>22</v>
      </c>
      <c r="W1201" s="36">
        <f t="shared" si="76"/>
        <v>0.05</v>
      </c>
    </row>
    <row r="1202" spans="4:23" ht="27" customHeight="1" x14ac:dyDescent="0.25">
      <c r="D1202" s="14" t="s">
        <v>4579</v>
      </c>
      <c r="E1202" s="14" t="s">
        <v>4580</v>
      </c>
      <c r="F1202" s="84" t="s">
        <v>296</v>
      </c>
      <c r="G1202" s="15" t="s">
        <v>68</v>
      </c>
      <c r="H1202" s="16" t="s">
        <v>4581</v>
      </c>
      <c r="I1202" s="17"/>
      <c r="J1202" s="17"/>
      <c r="K1202" s="17"/>
      <c r="L1202" s="17"/>
      <c r="N1202" s="31">
        <v>1200</v>
      </c>
      <c r="O1202" s="32" t="s">
        <v>4582</v>
      </c>
      <c r="P1202" s="33" t="s">
        <v>4565</v>
      </c>
      <c r="Q1202" s="32" t="s">
        <v>40</v>
      </c>
      <c r="R1202" s="69">
        <v>44272.792256944442</v>
      </c>
      <c r="S1202" s="71">
        <v>44359</v>
      </c>
      <c r="T1202" s="32" t="str">
        <f t="shared" si="73"/>
        <v>+0822-47553***</v>
      </c>
      <c r="U1202" s="32" t="str">
        <f t="shared" ca="1" si="74"/>
        <v>jayv***@yuhuumail.com</v>
      </c>
      <c r="V1202" s="32">
        <f t="shared" si="75"/>
        <v>22</v>
      </c>
      <c r="W1202" s="36">
        <f t="shared" si="76"/>
        <v>0.05</v>
      </c>
    </row>
    <row r="1203" spans="4:23" ht="27" customHeight="1" x14ac:dyDescent="0.25">
      <c r="D1203" s="14" t="s">
        <v>4583</v>
      </c>
      <c r="E1203" s="14" t="s">
        <v>4584</v>
      </c>
      <c r="F1203" s="84" t="s">
        <v>280</v>
      </c>
      <c r="G1203" s="15" t="s">
        <v>27</v>
      </c>
      <c r="H1203" s="16" t="s">
        <v>4585</v>
      </c>
      <c r="I1203" s="17"/>
      <c r="J1203" s="17"/>
      <c r="K1203" s="17"/>
      <c r="L1203" s="17"/>
      <c r="N1203" s="31">
        <v>1201</v>
      </c>
      <c r="O1203" s="32" t="s">
        <v>4586</v>
      </c>
      <c r="P1203" s="33" t="s">
        <v>4558</v>
      </c>
      <c r="Q1203" s="32" t="s">
        <v>32</v>
      </c>
      <c r="R1203" s="69">
        <v>44272.795289351852</v>
      </c>
      <c r="S1203" s="71">
        <v>44352</v>
      </c>
      <c r="T1203" s="32" t="str">
        <f t="shared" si="73"/>
        <v>+83267644***</v>
      </c>
      <c r="U1203" s="32" t="str">
        <f t="shared" ca="1" si="74"/>
        <v>lina***@jossmail.com</v>
      </c>
      <c r="V1203" s="32">
        <f t="shared" si="75"/>
        <v>22</v>
      </c>
      <c r="W1203" s="36">
        <f t="shared" si="76"/>
        <v>0.05</v>
      </c>
    </row>
    <row r="1204" spans="4:23" ht="27" customHeight="1" x14ac:dyDescent="0.25">
      <c r="D1204" s="14" t="s">
        <v>4587</v>
      </c>
      <c r="E1204" s="14" t="s">
        <v>2596</v>
      </c>
      <c r="F1204" s="84" t="s">
        <v>834</v>
      </c>
      <c r="G1204" s="15" t="s">
        <v>27</v>
      </c>
      <c r="H1204" s="16" t="s">
        <v>4588</v>
      </c>
      <c r="I1204" s="17"/>
      <c r="J1204" s="17"/>
      <c r="K1204" s="17"/>
      <c r="L1204" s="17"/>
      <c r="N1204" s="31">
        <v>1202</v>
      </c>
      <c r="O1204" s="32" t="s">
        <v>4589</v>
      </c>
      <c r="P1204" s="33" t="s">
        <v>4565</v>
      </c>
      <c r="Q1204" s="32" t="s">
        <v>40</v>
      </c>
      <c r="R1204" s="69">
        <v>44272.782951388886</v>
      </c>
      <c r="S1204" s="71">
        <v>44362</v>
      </c>
      <c r="T1204" s="32" t="str">
        <f t="shared" si="73"/>
        <v>+084298872***</v>
      </c>
      <c r="U1204" s="32" t="str">
        <f t="shared" ca="1" si="74"/>
        <v>walt***@jossmail.com</v>
      </c>
      <c r="V1204" s="32">
        <f t="shared" si="75"/>
        <v>22</v>
      </c>
      <c r="W1204" s="36">
        <f t="shared" si="76"/>
        <v>0.05</v>
      </c>
    </row>
    <row r="1205" spans="4:23" ht="27" customHeight="1" x14ac:dyDescent="0.25">
      <c r="D1205" s="14" t="s">
        <v>4590</v>
      </c>
      <c r="E1205" s="14" t="s">
        <v>4591</v>
      </c>
      <c r="F1205" s="84" t="s">
        <v>444</v>
      </c>
      <c r="G1205" s="15" t="s">
        <v>27</v>
      </c>
      <c r="H1205" s="16" t="s">
        <v>4592</v>
      </c>
      <c r="I1205" s="17"/>
      <c r="J1205" s="17"/>
      <c r="K1205" s="17"/>
      <c r="L1205" s="17"/>
      <c r="N1205" s="31">
        <v>1203</v>
      </c>
      <c r="O1205" s="32" t="s">
        <v>4593</v>
      </c>
      <c r="P1205" s="33" t="s">
        <v>4550</v>
      </c>
      <c r="Q1205" s="32" t="s">
        <v>32</v>
      </c>
      <c r="R1205" s="69">
        <v>44272.568020833336</v>
      </c>
      <c r="S1205" s="35">
        <v>44320</v>
      </c>
      <c r="T1205" s="32" t="str">
        <f t="shared" si="73"/>
        <v>+83216342***</v>
      </c>
      <c r="U1205" s="32" t="str">
        <f t="shared" ca="1" si="74"/>
        <v>bray***@yuhuumail.com</v>
      </c>
      <c r="V1205" s="32">
        <f t="shared" si="75"/>
        <v>22</v>
      </c>
      <c r="W1205" s="36">
        <f t="shared" si="76"/>
        <v>0.05</v>
      </c>
    </row>
    <row r="1206" spans="4:23" ht="27" customHeight="1" x14ac:dyDescent="0.25">
      <c r="D1206" s="14" t="s">
        <v>4594</v>
      </c>
      <c r="E1206" s="14" t="s">
        <v>4595</v>
      </c>
      <c r="F1206" s="84" t="s">
        <v>38</v>
      </c>
      <c r="G1206" s="15" t="s">
        <v>27</v>
      </c>
      <c r="H1206" s="16" t="s">
        <v>4596</v>
      </c>
      <c r="I1206" s="17"/>
      <c r="J1206" s="17"/>
      <c r="K1206" s="17"/>
      <c r="L1206" s="17"/>
      <c r="N1206" s="31">
        <v>1204</v>
      </c>
      <c r="O1206" s="32" t="s">
        <v>4597</v>
      </c>
      <c r="P1206" s="33" t="s">
        <v>4550</v>
      </c>
      <c r="Q1206" s="32" t="s">
        <v>40</v>
      </c>
      <c r="R1206" s="69">
        <v>44159.448101851849</v>
      </c>
      <c r="S1206" s="35">
        <v>44320</v>
      </c>
      <c r="T1206" s="32" t="str">
        <f t="shared" si="73"/>
        <v>+0812-99582***</v>
      </c>
      <c r="U1206" s="32" t="str">
        <f t="shared" ca="1" si="74"/>
        <v>hold***@jossmail.com</v>
      </c>
      <c r="V1206" s="32">
        <f t="shared" si="75"/>
        <v>22</v>
      </c>
      <c r="W1206" s="36">
        <f t="shared" si="76"/>
        <v>0.05</v>
      </c>
    </row>
    <row r="1207" spans="4:23" ht="27" customHeight="1" x14ac:dyDescent="0.25">
      <c r="D1207" s="14" t="s">
        <v>4598</v>
      </c>
      <c r="E1207" s="14" t="s">
        <v>2750</v>
      </c>
      <c r="F1207" s="84" t="s">
        <v>592</v>
      </c>
      <c r="G1207" s="15" t="s">
        <v>68</v>
      </c>
      <c r="H1207" s="16" t="s">
        <v>4599</v>
      </c>
      <c r="I1207" s="17"/>
      <c r="J1207" s="17"/>
      <c r="K1207" s="17"/>
      <c r="L1207" s="17"/>
      <c r="N1207" s="31">
        <v>1205</v>
      </c>
      <c r="O1207" s="32" t="s">
        <v>4600</v>
      </c>
      <c r="P1207" s="33" t="s">
        <v>4558</v>
      </c>
      <c r="Q1207" s="32" t="s">
        <v>32</v>
      </c>
      <c r="R1207" s="69">
        <v>44272.777696759258</v>
      </c>
      <c r="S1207" s="35">
        <v>44320</v>
      </c>
      <c r="T1207" s="32" t="str">
        <f t="shared" si="73"/>
        <v>+0832-16564***</v>
      </c>
      <c r="U1207" s="32" t="str">
        <f t="shared" ca="1" si="74"/>
        <v>kenn***@yuhuumail.com</v>
      </c>
      <c r="V1207" s="32">
        <f t="shared" si="75"/>
        <v>22</v>
      </c>
      <c r="W1207" s="36">
        <f t="shared" si="76"/>
        <v>0.05</v>
      </c>
    </row>
    <row r="1208" spans="4:23" ht="27" customHeight="1" x14ac:dyDescent="0.25">
      <c r="D1208" s="14" t="s">
        <v>4601</v>
      </c>
      <c r="E1208" s="14" t="s">
        <v>1835</v>
      </c>
      <c r="F1208" s="84" t="s">
        <v>149</v>
      </c>
      <c r="G1208" s="15" t="s">
        <v>27</v>
      </c>
      <c r="H1208" s="16" t="s">
        <v>4602</v>
      </c>
      <c r="I1208" s="17"/>
      <c r="J1208" s="17"/>
      <c r="K1208" s="17"/>
      <c r="L1208" s="17"/>
      <c r="N1208" s="31">
        <v>1206</v>
      </c>
      <c r="O1208" s="32" t="s">
        <v>4603</v>
      </c>
      <c r="P1208" s="33" t="s">
        <v>4558</v>
      </c>
      <c r="Q1208" s="32" t="s">
        <v>40</v>
      </c>
      <c r="R1208" s="69">
        <v>44272.803333333337</v>
      </c>
      <c r="S1208" s="35">
        <v>44318</v>
      </c>
      <c r="T1208" s="32" t="str">
        <f t="shared" si="73"/>
        <v>+0812-19617***</v>
      </c>
      <c r="U1208" s="32" t="str">
        <f t="shared" ca="1" si="74"/>
        <v>alde***@yuhuumail.com</v>
      </c>
      <c r="V1208" s="32">
        <f t="shared" si="75"/>
        <v>22</v>
      </c>
      <c r="W1208" s="36">
        <f t="shared" si="76"/>
        <v>0.05</v>
      </c>
    </row>
    <row r="1209" spans="4:23" ht="27" customHeight="1" x14ac:dyDescent="0.25">
      <c r="D1209" s="14" t="s">
        <v>4604</v>
      </c>
      <c r="E1209" s="14" t="s">
        <v>4172</v>
      </c>
      <c r="F1209" s="84" t="s">
        <v>239</v>
      </c>
      <c r="G1209" s="15" t="s">
        <v>68</v>
      </c>
      <c r="H1209" s="16" t="s">
        <v>4605</v>
      </c>
      <c r="I1209" s="17"/>
      <c r="J1209" s="17"/>
      <c r="K1209" s="17"/>
      <c r="L1209" s="17"/>
      <c r="N1209" s="31">
        <v>1207</v>
      </c>
      <c r="O1209" s="32" t="s">
        <v>2781</v>
      </c>
      <c r="P1209" s="33" t="s">
        <v>4565</v>
      </c>
      <c r="Q1209" s="32" t="s">
        <v>32</v>
      </c>
      <c r="R1209" s="69">
        <v>44272.804780092592</v>
      </c>
      <c r="S1209" s="35">
        <v>44362</v>
      </c>
      <c r="T1209" s="32" t="str">
        <f t="shared" si="73"/>
        <v>+0822-82592***</v>
      </c>
      <c r="U1209" s="32" t="str">
        <f t="shared" ca="1" si="74"/>
        <v>isla***@yuhuumail.com</v>
      </c>
      <c r="V1209" s="32">
        <f t="shared" si="75"/>
        <v>22</v>
      </c>
      <c r="W1209" s="36">
        <f t="shared" si="76"/>
        <v>0.05</v>
      </c>
    </row>
    <row r="1210" spans="4:23" ht="27" customHeight="1" x14ac:dyDescent="0.25">
      <c r="D1210" s="14" t="s">
        <v>4606</v>
      </c>
      <c r="E1210" s="14" t="s">
        <v>4607</v>
      </c>
      <c r="F1210" s="84" t="s">
        <v>1572</v>
      </c>
      <c r="G1210" s="15" t="s">
        <v>68</v>
      </c>
      <c r="H1210" s="16" t="s">
        <v>4608</v>
      </c>
      <c r="I1210" s="17"/>
      <c r="J1210" s="17"/>
      <c r="K1210" s="17"/>
      <c r="L1210" s="17"/>
      <c r="N1210" s="31">
        <v>1208</v>
      </c>
      <c r="O1210" s="32" t="s">
        <v>4609</v>
      </c>
      <c r="P1210" s="33" t="s">
        <v>4565</v>
      </c>
      <c r="Q1210" s="32" t="s">
        <v>40</v>
      </c>
      <c r="R1210" s="69">
        <v>44272.79896990741</v>
      </c>
      <c r="S1210" s="35">
        <v>44354</v>
      </c>
      <c r="T1210" s="32" t="str">
        <f t="shared" si="73"/>
        <v>+6285228222***</v>
      </c>
      <c r="U1210" s="32" t="str">
        <f t="shared" ca="1" si="74"/>
        <v>fred***@jossmail.com</v>
      </c>
      <c r="V1210" s="32">
        <f t="shared" si="75"/>
        <v>21</v>
      </c>
      <c r="W1210" s="36">
        <f t="shared" si="76"/>
        <v>0.05</v>
      </c>
    </row>
    <row r="1211" spans="4:23" ht="27" customHeight="1" x14ac:dyDescent="0.25">
      <c r="D1211" s="14" t="s">
        <v>4610</v>
      </c>
      <c r="E1211" s="14" t="s">
        <v>4611</v>
      </c>
      <c r="F1211" s="84" t="s">
        <v>266</v>
      </c>
      <c r="G1211" s="15" t="s">
        <v>27</v>
      </c>
      <c r="H1211" s="16" t="s">
        <v>4612</v>
      </c>
      <c r="I1211" s="17"/>
      <c r="J1211" s="17"/>
      <c r="K1211" s="17"/>
      <c r="L1211" s="17"/>
      <c r="N1211" s="31">
        <v>1209</v>
      </c>
      <c r="O1211" s="32" t="s">
        <v>3998</v>
      </c>
      <c r="P1211" s="33" t="s">
        <v>4565</v>
      </c>
      <c r="Q1211" s="32" t="s">
        <v>32</v>
      </c>
      <c r="R1211" s="69">
        <v>44272.80505787037</v>
      </c>
      <c r="S1211" s="35">
        <v>44318</v>
      </c>
      <c r="T1211" s="32" t="str">
        <f t="shared" si="73"/>
        <v>+832 18901***</v>
      </c>
      <c r="U1211" s="32" t="str">
        <f t="shared" ca="1" si="74"/>
        <v>cata***@yuhuumail.com</v>
      </c>
      <c r="V1211" s="32">
        <f t="shared" si="75"/>
        <v>21</v>
      </c>
      <c r="W1211" s="36">
        <f t="shared" si="76"/>
        <v>0.05</v>
      </c>
    </row>
    <row r="1212" spans="4:23" ht="27" customHeight="1" x14ac:dyDescent="0.25">
      <c r="D1212" s="14" t="s">
        <v>4613</v>
      </c>
      <c r="E1212" s="14" t="s">
        <v>1332</v>
      </c>
      <c r="F1212" s="84" t="s">
        <v>751</v>
      </c>
      <c r="G1212" s="15" t="s">
        <v>68</v>
      </c>
      <c r="H1212" s="16" t="s">
        <v>4614</v>
      </c>
      <c r="I1212" s="17"/>
      <c r="J1212" s="17"/>
      <c r="K1212" s="17"/>
      <c r="L1212" s="17"/>
      <c r="N1212" s="31">
        <v>1210</v>
      </c>
      <c r="O1212" s="32" t="s">
        <v>4615</v>
      </c>
      <c r="P1212" s="33" t="s">
        <v>4565</v>
      </c>
      <c r="Q1212" s="32" t="s">
        <v>40</v>
      </c>
      <c r="R1212" s="69">
        <v>44272.809259259258</v>
      </c>
      <c r="S1212" s="35">
        <v>44359</v>
      </c>
      <c r="T1212" s="32" t="str">
        <f t="shared" si="73"/>
        <v>+081289159***</v>
      </c>
      <c r="U1212" s="32" t="str">
        <f t="shared" ca="1" si="74"/>
        <v>yahi***@yuhuumail.com</v>
      </c>
      <c r="V1212" s="32">
        <f t="shared" si="75"/>
        <v>21</v>
      </c>
      <c r="W1212" s="36">
        <f t="shared" si="76"/>
        <v>0.05</v>
      </c>
    </row>
    <row r="1213" spans="4:23" ht="27" customHeight="1" x14ac:dyDescent="0.25">
      <c r="D1213" s="14" t="s">
        <v>4616</v>
      </c>
      <c r="E1213" s="14" t="s">
        <v>1405</v>
      </c>
      <c r="F1213" s="84" t="s">
        <v>74</v>
      </c>
      <c r="G1213" s="15" t="s">
        <v>27</v>
      </c>
      <c r="H1213" s="16" t="s">
        <v>4617</v>
      </c>
      <c r="I1213" s="17"/>
      <c r="J1213" s="17"/>
      <c r="K1213" s="17"/>
      <c r="L1213" s="17"/>
      <c r="N1213" s="31">
        <v>1211</v>
      </c>
      <c r="O1213" s="32" t="s">
        <v>3624</v>
      </c>
      <c r="P1213" s="33" t="s">
        <v>4565</v>
      </c>
      <c r="Q1213" s="32" t="s">
        <v>32</v>
      </c>
      <c r="R1213" s="69">
        <v>44272.810879629629</v>
      </c>
      <c r="S1213" s="35">
        <v>44354</v>
      </c>
      <c r="T1213" s="32" t="str">
        <f t="shared" si="73"/>
        <v>+0842-23261***</v>
      </c>
      <c r="U1213" s="32" t="str">
        <f t="shared" ca="1" si="74"/>
        <v>cort***@yuhuumail.com</v>
      </c>
      <c r="V1213" s="32">
        <f t="shared" si="75"/>
        <v>21</v>
      </c>
      <c r="W1213" s="36">
        <f t="shared" si="76"/>
        <v>0.05</v>
      </c>
    </row>
    <row r="1214" spans="4:23" ht="27" customHeight="1" x14ac:dyDescent="0.25">
      <c r="D1214" s="14" t="s">
        <v>4618</v>
      </c>
      <c r="E1214" s="14" t="s">
        <v>4619</v>
      </c>
      <c r="F1214" s="84" t="s">
        <v>4620</v>
      </c>
      <c r="G1214" s="15" t="s">
        <v>68</v>
      </c>
      <c r="H1214" s="16" t="s">
        <v>4621</v>
      </c>
      <c r="I1214" s="17"/>
      <c r="J1214" s="17"/>
      <c r="K1214" s="17"/>
      <c r="L1214" s="17"/>
      <c r="N1214" s="31">
        <v>1212</v>
      </c>
      <c r="O1214" s="32" t="s">
        <v>2978</v>
      </c>
      <c r="P1214" s="33" t="s">
        <v>4550</v>
      </c>
      <c r="Q1214" s="32" t="s">
        <v>40</v>
      </c>
      <c r="R1214" s="69">
        <v>44272.816238425927</v>
      </c>
      <c r="S1214" s="35">
        <v>44352</v>
      </c>
      <c r="T1214" s="32" t="str">
        <f t="shared" si="73"/>
        <v>+081245469***</v>
      </c>
      <c r="U1214" s="32" t="str">
        <f t="shared" ca="1" si="74"/>
        <v>keit***@yuhuumail.com</v>
      </c>
      <c r="V1214" s="32">
        <f t="shared" si="75"/>
        <v>21</v>
      </c>
      <c r="W1214" s="36">
        <f t="shared" si="76"/>
        <v>0.05</v>
      </c>
    </row>
    <row r="1215" spans="4:23" ht="27" customHeight="1" x14ac:dyDescent="0.25">
      <c r="D1215" s="14" t="s">
        <v>4622</v>
      </c>
      <c r="E1215" s="14" t="s">
        <v>4623</v>
      </c>
      <c r="F1215" s="84" t="s">
        <v>121</v>
      </c>
      <c r="G1215" s="15" t="s">
        <v>27</v>
      </c>
      <c r="H1215" s="16" t="s">
        <v>4624</v>
      </c>
      <c r="I1215" s="17"/>
      <c r="J1215" s="17"/>
      <c r="K1215" s="17"/>
      <c r="L1215" s="17"/>
      <c r="N1215" s="31">
        <v>1213</v>
      </c>
      <c r="O1215" s="32" t="s">
        <v>1993</v>
      </c>
      <c r="P1215" s="33" t="s">
        <v>4558</v>
      </c>
      <c r="Q1215" s="32" t="s">
        <v>32</v>
      </c>
      <c r="R1215" s="69">
        <v>44272.803391203706</v>
      </c>
      <c r="S1215" s="35">
        <v>44322</v>
      </c>
      <c r="T1215" s="32" t="str">
        <f t="shared" si="73"/>
        <v>+6282242383***</v>
      </c>
      <c r="U1215" s="32" t="str">
        <f t="shared" ca="1" si="74"/>
        <v>emil***@yuhuumail.com</v>
      </c>
      <c r="V1215" s="32">
        <f t="shared" si="75"/>
        <v>21</v>
      </c>
      <c r="W1215" s="36">
        <f t="shared" si="76"/>
        <v>0.05</v>
      </c>
    </row>
    <row r="1216" spans="4:23" ht="27" customHeight="1" x14ac:dyDescent="0.25">
      <c r="D1216" s="14" t="s">
        <v>4625</v>
      </c>
      <c r="E1216" s="14" t="s">
        <v>4626</v>
      </c>
      <c r="F1216" s="84" t="s">
        <v>592</v>
      </c>
      <c r="G1216" s="15" t="s">
        <v>27</v>
      </c>
      <c r="H1216" s="16" t="s">
        <v>4627</v>
      </c>
      <c r="I1216" s="17"/>
      <c r="J1216" s="17"/>
      <c r="K1216" s="17"/>
      <c r="L1216" s="17"/>
      <c r="N1216" s="31">
        <v>1214</v>
      </c>
      <c r="O1216" s="32" t="s">
        <v>4628</v>
      </c>
      <c r="P1216" s="33" t="s">
        <v>4550</v>
      </c>
      <c r="Q1216" s="32" t="s">
        <v>40</v>
      </c>
      <c r="R1216" s="69">
        <v>44272.82571759259</v>
      </c>
      <c r="S1216" s="35">
        <v>44362</v>
      </c>
      <c r="T1216" s="32" t="str">
        <f t="shared" si="73"/>
        <v>+85293117***</v>
      </c>
      <c r="U1216" s="32" t="str">
        <f t="shared" ca="1" si="74"/>
        <v>nath***@jossmail.com</v>
      </c>
      <c r="V1216" s="32">
        <f t="shared" si="75"/>
        <v>21</v>
      </c>
      <c r="W1216" s="36">
        <f t="shared" si="76"/>
        <v>0.05</v>
      </c>
    </row>
    <row r="1217" spans="4:23" ht="27" customHeight="1" x14ac:dyDescent="0.25">
      <c r="D1217" s="14" t="s">
        <v>4629</v>
      </c>
      <c r="E1217" s="14" t="s">
        <v>4630</v>
      </c>
      <c r="F1217" s="84" t="s">
        <v>602</v>
      </c>
      <c r="G1217" s="15" t="s">
        <v>68</v>
      </c>
      <c r="H1217" s="16" t="s">
        <v>4631</v>
      </c>
      <c r="I1217" s="17"/>
      <c r="J1217" s="17"/>
      <c r="K1217" s="17"/>
      <c r="L1217" s="17"/>
      <c r="N1217" s="31">
        <v>1215</v>
      </c>
      <c r="O1217" s="32" t="s">
        <v>4632</v>
      </c>
      <c r="P1217" s="33" t="s">
        <v>4565</v>
      </c>
      <c r="Q1217" s="32" t="s">
        <v>32</v>
      </c>
      <c r="R1217" s="69">
        <v>44026.08016203704</v>
      </c>
      <c r="S1217" s="35">
        <v>44318</v>
      </c>
      <c r="T1217" s="32" t="str">
        <f t="shared" si="73"/>
        <v>+6283221932***</v>
      </c>
      <c r="U1217" s="32" t="str">
        <f t="shared" ca="1" si="74"/>
        <v>john***@jossmail.com</v>
      </c>
      <c r="V1217" s="32">
        <f t="shared" si="75"/>
        <v>20</v>
      </c>
      <c r="W1217" s="36">
        <f t="shared" si="76"/>
        <v>0.05</v>
      </c>
    </row>
    <row r="1218" spans="4:23" ht="27" customHeight="1" x14ac:dyDescent="0.25">
      <c r="D1218" s="14" t="s">
        <v>4633</v>
      </c>
      <c r="E1218" s="14" t="s">
        <v>4634</v>
      </c>
      <c r="F1218" s="84" t="s">
        <v>2796</v>
      </c>
      <c r="G1218" s="15" t="s">
        <v>27</v>
      </c>
      <c r="H1218" s="16" t="s">
        <v>4635</v>
      </c>
      <c r="I1218" s="17"/>
      <c r="J1218" s="17"/>
      <c r="K1218" s="17"/>
      <c r="L1218" s="17"/>
      <c r="N1218" s="31">
        <v>1216</v>
      </c>
      <c r="O1218" s="32" t="s">
        <v>448</v>
      </c>
      <c r="P1218" s="33" t="s">
        <v>4565</v>
      </c>
      <c r="Q1218" s="32" t="s">
        <v>40</v>
      </c>
      <c r="R1218" s="69">
        <v>44272.828912037039</v>
      </c>
      <c r="S1218" s="35">
        <v>44354</v>
      </c>
      <c r="T1218" s="32" t="str">
        <f t="shared" si="73"/>
        <v>+832 57697***</v>
      </c>
      <c r="U1218" s="32" t="str">
        <f t="shared" ca="1" si="74"/>
        <v>alia***@yuhuumail.com</v>
      </c>
      <c r="V1218" s="32">
        <f t="shared" si="75"/>
        <v>21</v>
      </c>
      <c r="W1218" s="36">
        <f t="shared" si="76"/>
        <v>0.05</v>
      </c>
    </row>
    <row r="1219" spans="4:23" ht="27" customHeight="1" x14ac:dyDescent="0.25">
      <c r="D1219" s="14" t="s">
        <v>4636</v>
      </c>
      <c r="E1219" s="14" t="s">
        <v>1743</v>
      </c>
      <c r="F1219" s="84" t="s">
        <v>211</v>
      </c>
      <c r="G1219" s="15" t="s">
        <v>27</v>
      </c>
      <c r="H1219" s="16" t="s">
        <v>4637</v>
      </c>
      <c r="I1219" s="17"/>
      <c r="J1219" s="17"/>
      <c r="K1219" s="17"/>
      <c r="L1219" s="17"/>
      <c r="N1219" s="31">
        <v>1217</v>
      </c>
      <c r="O1219" s="32" t="s">
        <v>4638</v>
      </c>
      <c r="P1219" s="33" t="s">
        <v>4550</v>
      </c>
      <c r="Q1219" s="32" t="s">
        <v>32</v>
      </c>
      <c r="R1219" s="69">
        <v>44272.809953703705</v>
      </c>
      <c r="S1219" s="71">
        <v>44352</v>
      </c>
      <c r="T1219" s="32" t="str">
        <f t="shared" si="73"/>
        <v>+0812-97733***</v>
      </c>
      <c r="U1219" s="32" t="str">
        <f t="shared" ca="1" si="74"/>
        <v>lyla***@jossmail.com</v>
      </c>
      <c r="V1219" s="32">
        <f t="shared" si="75"/>
        <v>21</v>
      </c>
      <c r="W1219" s="36">
        <f t="shared" si="76"/>
        <v>0.05</v>
      </c>
    </row>
    <row r="1220" spans="4:23" ht="27" customHeight="1" x14ac:dyDescent="0.25">
      <c r="D1220" s="14" t="s">
        <v>4639</v>
      </c>
      <c r="E1220" s="14" t="s">
        <v>1015</v>
      </c>
      <c r="F1220" s="84" t="s">
        <v>587</v>
      </c>
      <c r="G1220" s="15" t="s">
        <v>27</v>
      </c>
      <c r="H1220" s="16" t="s">
        <v>4640</v>
      </c>
      <c r="I1220" s="17"/>
      <c r="J1220" s="17"/>
      <c r="K1220" s="17"/>
      <c r="L1220" s="17"/>
      <c r="N1220" s="31">
        <v>1218</v>
      </c>
      <c r="O1220" s="32" t="s">
        <v>4641</v>
      </c>
      <c r="P1220" s="33" t="s">
        <v>4565</v>
      </c>
      <c r="Q1220" s="32" t="s">
        <v>40</v>
      </c>
      <c r="R1220" s="69">
        <v>44272.626192129632</v>
      </c>
      <c r="S1220" s="71">
        <v>44356</v>
      </c>
      <c r="T1220" s="32" t="str">
        <f t="shared" si="73"/>
        <v>+0812-29203***</v>
      </c>
      <c r="U1220" s="32" t="str">
        <f t="shared" ca="1" si="74"/>
        <v>ivan***@jossmail.com</v>
      </c>
      <c r="V1220" s="32">
        <f t="shared" si="75"/>
        <v>21</v>
      </c>
      <c r="W1220" s="36">
        <f t="shared" si="76"/>
        <v>0.05</v>
      </c>
    </row>
    <row r="1221" spans="4:23" ht="27" customHeight="1" x14ac:dyDescent="0.25">
      <c r="D1221" s="14" t="s">
        <v>4642</v>
      </c>
      <c r="E1221" s="14" t="s">
        <v>4643</v>
      </c>
      <c r="F1221" s="84" t="s">
        <v>137</v>
      </c>
      <c r="G1221" s="15" t="s">
        <v>68</v>
      </c>
      <c r="H1221" s="16" t="s">
        <v>4644</v>
      </c>
      <c r="I1221" s="17"/>
      <c r="J1221" s="17"/>
      <c r="K1221" s="17"/>
      <c r="L1221" s="17"/>
      <c r="N1221" s="31">
        <v>1219</v>
      </c>
      <c r="O1221" s="32" t="s">
        <v>4645</v>
      </c>
      <c r="P1221" s="33" t="s">
        <v>4565</v>
      </c>
      <c r="Q1221" s="32" t="s">
        <v>32</v>
      </c>
      <c r="R1221" s="69">
        <v>44079.309629629628</v>
      </c>
      <c r="S1221" s="71">
        <v>44318</v>
      </c>
      <c r="T1221" s="32" t="str">
        <f t="shared" ref="T1221:T1284" si="77">"+"&amp;_xlfn.XLOOKUP($O1221, $E$2:$E$3002, $H$2:$H$3002, "Not Found")</f>
        <v>+822 19052***</v>
      </c>
      <c r="U1221" s="32" t="str">
        <f t="shared" ref="U1221:U1284" ca="1" si="78" xml:space="preserve"> LOWER(LEFT(_xlfn.XLOOKUP($O1221, $E$2:$E$3002, $D$2:$D$3002), 4))
  &amp; "***@"
  &amp; IF(RAND()&gt;0.5, "jossmail.com", "yuhuumail.com")</f>
        <v>kamr***@yuhuumail.com</v>
      </c>
      <c r="V1221" s="32">
        <f t="shared" ref="V1221:V1284" si="79">DATEDIF(_xlfn.XLOOKUP($O1221, $E$2:$E$3002, $F$2:$F$3002), $R1221, "Y")</f>
        <v>20</v>
      </c>
      <c r="W1221" s="36">
        <f t="shared" ref="W1221:W1284" si="80">IF(DATEDIF($R1221, $S1221, "Y") &gt;= 3, 0.025,
   IF(DATEDIF($R1221, $S1221, "Y") &gt;= 1, 0.015, 0)) +
 IF($V1221 &gt;= 50, 0.04,
   IF($V1221 &gt;= 40, 0.03,
     IF($V1221 &gt;= 30, 0.02,
       IF($V1221 &gt;= 20, 0.05, 0))))</f>
        <v>0.05</v>
      </c>
    </row>
    <row r="1222" spans="4:23" ht="27" customHeight="1" x14ac:dyDescent="0.25">
      <c r="D1222" s="14" t="s">
        <v>4646</v>
      </c>
      <c r="E1222" s="14" t="s">
        <v>4647</v>
      </c>
      <c r="F1222" s="84" t="s">
        <v>46</v>
      </c>
      <c r="G1222" s="15" t="s">
        <v>27</v>
      </c>
      <c r="H1222" s="16" t="s">
        <v>4648</v>
      </c>
      <c r="I1222" s="17"/>
      <c r="J1222" s="17"/>
      <c r="K1222" s="17"/>
      <c r="L1222" s="17"/>
      <c r="N1222" s="31">
        <v>1220</v>
      </c>
      <c r="O1222" s="32" t="s">
        <v>4649</v>
      </c>
      <c r="P1222" s="33" t="s">
        <v>4565</v>
      </c>
      <c r="Q1222" s="32" t="s">
        <v>40</v>
      </c>
      <c r="R1222" s="69">
        <v>44272.838391203702</v>
      </c>
      <c r="S1222" s="71">
        <v>44362</v>
      </c>
      <c r="T1222" s="32" t="str">
        <f t="shared" si="77"/>
        <v>+0832-24360***</v>
      </c>
      <c r="U1222" s="32" t="str">
        <f t="shared" ca="1" si="78"/>
        <v>kayl***@yuhuumail.com</v>
      </c>
      <c r="V1222" s="32">
        <f t="shared" si="79"/>
        <v>21</v>
      </c>
      <c r="W1222" s="36">
        <f t="shared" si="80"/>
        <v>0.05</v>
      </c>
    </row>
    <row r="1223" spans="4:23" ht="27" customHeight="1" x14ac:dyDescent="0.25">
      <c r="D1223" s="14" t="s">
        <v>4650</v>
      </c>
      <c r="E1223" s="14" t="s">
        <v>4651</v>
      </c>
      <c r="F1223" s="84" t="s">
        <v>92</v>
      </c>
      <c r="G1223" s="15" t="s">
        <v>68</v>
      </c>
      <c r="H1223" s="16" t="s">
        <v>4652</v>
      </c>
      <c r="I1223" s="17"/>
      <c r="J1223" s="17"/>
      <c r="K1223" s="17"/>
      <c r="L1223" s="17"/>
      <c r="N1223" s="31">
        <v>1221</v>
      </c>
      <c r="O1223" s="32" t="s">
        <v>4653</v>
      </c>
      <c r="P1223" s="33" t="s">
        <v>4565</v>
      </c>
      <c r="Q1223" s="32" t="s">
        <v>32</v>
      </c>
      <c r="R1223" s="69">
        <v>44272.844837962963</v>
      </c>
      <c r="S1223" s="71">
        <v>44352</v>
      </c>
      <c r="T1223" s="32" t="str">
        <f t="shared" si="77"/>
        <v>+0832-76937***</v>
      </c>
      <c r="U1223" s="32" t="str">
        <f t="shared" ca="1" si="78"/>
        <v>dona***@yuhuumail.com</v>
      </c>
      <c r="V1223" s="32">
        <f t="shared" si="79"/>
        <v>21</v>
      </c>
      <c r="W1223" s="36">
        <f t="shared" si="80"/>
        <v>0.05</v>
      </c>
    </row>
    <row r="1224" spans="4:23" ht="27" customHeight="1" x14ac:dyDescent="0.25">
      <c r="D1224" s="14" t="s">
        <v>4654</v>
      </c>
      <c r="E1224" s="14" t="s">
        <v>4655</v>
      </c>
      <c r="F1224" s="84" t="s">
        <v>480</v>
      </c>
      <c r="G1224" s="15" t="s">
        <v>27</v>
      </c>
      <c r="H1224" s="16" t="s">
        <v>4656</v>
      </c>
      <c r="I1224" s="17"/>
      <c r="J1224" s="17"/>
      <c r="K1224" s="17"/>
      <c r="L1224" s="17"/>
      <c r="N1224" s="31">
        <v>1222</v>
      </c>
      <c r="O1224" s="32" t="s">
        <v>4657</v>
      </c>
      <c r="P1224" s="33" t="s">
        <v>4558</v>
      </c>
      <c r="Q1224" s="32" t="s">
        <v>40</v>
      </c>
      <c r="R1224" s="69">
        <v>44272.824976851851</v>
      </c>
      <c r="S1224" s="71">
        <v>44356</v>
      </c>
      <c r="T1224" s="32" t="str">
        <f t="shared" si="77"/>
        <v>+83284644***</v>
      </c>
      <c r="U1224" s="32" t="str">
        <f t="shared" ca="1" si="78"/>
        <v>kell***@yuhuumail.com</v>
      </c>
      <c r="V1224" s="32">
        <f t="shared" si="79"/>
        <v>21</v>
      </c>
      <c r="W1224" s="36">
        <f t="shared" si="80"/>
        <v>0.05</v>
      </c>
    </row>
    <row r="1225" spans="4:23" ht="27" customHeight="1" x14ac:dyDescent="0.25">
      <c r="D1225" s="14" t="s">
        <v>4658</v>
      </c>
      <c r="E1225" s="14" t="s">
        <v>4659</v>
      </c>
      <c r="F1225" s="84" t="s">
        <v>466</v>
      </c>
      <c r="G1225" s="15" t="s">
        <v>68</v>
      </c>
      <c r="H1225" s="16" t="s">
        <v>4660</v>
      </c>
      <c r="I1225" s="17"/>
      <c r="J1225" s="17"/>
      <c r="K1225" s="17"/>
      <c r="L1225" s="17"/>
      <c r="N1225" s="31">
        <v>1223</v>
      </c>
      <c r="O1225" s="32" t="s">
        <v>4661</v>
      </c>
      <c r="P1225" s="33" t="s">
        <v>4550</v>
      </c>
      <c r="Q1225" s="32" t="s">
        <v>32</v>
      </c>
      <c r="R1225" s="69">
        <v>44272.848773148151</v>
      </c>
      <c r="S1225" s="71">
        <v>44320</v>
      </c>
      <c r="T1225" s="32" t="str">
        <f t="shared" si="77"/>
        <v>+083290264***</v>
      </c>
      <c r="U1225" s="32" t="str">
        <f t="shared" ca="1" si="78"/>
        <v>kate***@jossmail.com</v>
      </c>
      <c r="V1225" s="32">
        <f t="shared" si="79"/>
        <v>21</v>
      </c>
      <c r="W1225" s="36">
        <f t="shared" si="80"/>
        <v>0.05</v>
      </c>
    </row>
    <row r="1226" spans="4:23" ht="27" customHeight="1" x14ac:dyDescent="0.25">
      <c r="D1226" s="14" t="s">
        <v>4662</v>
      </c>
      <c r="E1226" s="14" t="s">
        <v>4663</v>
      </c>
      <c r="F1226" s="84" t="s">
        <v>129</v>
      </c>
      <c r="G1226" s="15" t="s">
        <v>27</v>
      </c>
      <c r="H1226" s="16" t="s">
        <v>4664</v>
      </c>
      <c r="I1226" s="17"/>
      <c r="J1226" s="17"/>
      <c r="K1226" s="17"/>
      <c r="L1226" s="17"/>
      <c r="N1226" s="31">
        <v>1224</v>
      </c>
      <c r="O1226" s="32" t="s">
        <v>4665</v>
      </c>
      <c r="P1226" s="33" t="s">
        <v>4550</v>
      </c>
      <c r="Q1226" s="32" t="s">
        <v>40</v>
      </c>
      <c r="R1226" s="69">
        <v>44272.794571759259</v>
      </c>
      <c r="S1226" s="71">
        <v>44359</v>
      </c>
      <c r="T1226" s="32" t="str">
        <f t="shared" si="77"/>
        <v>+81283416***</v>
      </c>
      <c r="U1226" s="32" t="str">
        <f t="shared" ca="1" si="78"/>
        <v>hayd***@jossmail.com</v>
      </c>
      <c r="V1226" s="32">
        <f t="shared" si="79"/>
        <v>21</v>
      </c>
      <c r="W1226" s="36">
        <f t="shared" si="80"/>
        <v>0.05</v>
      </c>
    </row>
    <row r="1227" spans="4:23" ht="27" customHeight="1" x14ac:dyDescent="0.25">
      <c r="D1227" s="14" t="s">
        <v>4666</v>
      </c>
      <c r="E1227" s="14" t="s">
        <v>4667</v>
      </c>
      <c r="F1227" s="84" t="s">
        <v>407</v>
      </c>
      <c r="G1227" s="15" t="s">
        <v>27</v>
      </c>
      <c r="H1227" s="16" t="s">
        <v>4668</v>
      </c>
      <c r="I1227" s="17"/>
      <c r="J1227" s="17"/>
      <c r="K1227" s="17"/>
      <c r="L1227" s="17"/>
      <c r="N1227" s="31">
        <v>1225</v>
      </c>
      <c r="O1227" s="32" t="s">
        <v>3058</v>
      </c>
      <c r="P1227" s="33" t="s">
        <v>4550</v>
      </c>
      <c r="Q1227" s="32" t="s">
        <v>32</v>
      </c>
      <c r="R1227" s="69">
        <v>44272.862453703703</v>
      </c>
      <c r="S1227" s="71">
        <v>44354</v>
      </c>
      <c r="T1227" s="32" t="str">
        <f t="shared" si="77"/>
        <v>+083283107***</v>
      </c>
      <c r="U1227" s="32" t="str">
        <f t="shared" ca="1" si="78"/>
        <v>nata***@jossmail.com</v>
      </c>
      <c r="V1227" s="32">
        <f t="shared" si="79"/>
        <v>21</v>
      </c>
      <c r="W1227" s="36">
        <f t="shared" si="80"/>
        <v>0.05</v>
      </c>
    </row>
    <row r="1228" spans="4:23" ht="27" customHeight="1" x14ac:dyDescent="0.25">
      <c r="D1228" s="14" t="s">
        <v>4669</v>
      </c>
      <c r="E1228" s="14" t="s">
        <v>4670</v>
      </c>
      <c r="F1228" s="84" t="s">
        <v>51</v>
      </c>
      <c r="G1228" s="15" t="s">
        <v>68</v>
      </c>
      <c r="H1228" s="16" t="s">
        <v>4671</v>
      </c>
      <c r="I1228" s="17"/>
      <c r="J1228" s="17"/>
      <c r="K1228" s="17"/>
      <c r="L1228" s="17"/>
      <c r="N1228" s="31">
        <v>1226</v>
      </c>
      <c r="O1228" s="32" t="s">
        <v>354</v>
      </c>
      <c r="P1228" s="33" t="s">
        <v>4565</v>
      </c>
      <c r="Q1228" s="32" t="s">
        <v>40</v>
      </c>
      <c r="R1228" s="69">
        <v>44272.861770833333</v>
      </c>
      <c r="S1228" s="71">
        <v>44320</v>
      </c>
      <c r="T1228" s="32" t="str">
        <f t="shared" si="77"/>
        <v>+085264355***</v>
      </c>
      <c r="U1228" s="32" t="str">
        <f t="shared" ca="1" si="78"/>
        <v>ezra***@yuhuumail.com</v>
      </c>
      <c r="V1228" s="32">
        <f t="shared" si="79"/>
        <v>21</v>
      </c>
      <c r="W1228" s="36">
        <f t="shared" si="80"/>
        <v>0.05</v>
      </c>
    </row>
    <row r="1229" spans="4:23" ht="27" customHeight="1" x14ac:dyDescent="0.25">
      <c r="D1229" s="14" t="s">
        <v>4672</v>
      </c>
      <c r="E1229" s="14" t="s">
        <v>4673</v>
      </c>
      <c r="F1229" s="84" t="s">
        <v>233</v>
      </c>
      <c r="G1229" s="15" t="s">
        <v>68</v>
      </c>
      <c r="H1229" s="16" t="s">
        <v>4674</v>
      </c>
      <c r="I1229" s="17"/>
      <c r="J1229" s="17"/>
      <c r="K1229" s="17"/>
      <c r="L1229" s="17"/>
      <c r="N1229" s="31">
        <v>1227</v>
      </c>
      <c r="O1229" s="32" t="s">
        <v>1776</v>
      </c>
      <c r="P1229" s="33" t="s">
        <v>4558</v>
      </c>
      <c r="Q1229" s="32" t="s">
        <v>32</v>
      </c>
      <c r="R1229" s="69">
        <v>44272.858402777776</v>
      </c>
      <c r="S1229" s="71">
        <v>44356</v>
      </c>
      <c r="T1229" s="32" t="str">
        <f t="shared" si="77"/>
        <v>+081297859***</v>
      </c>
      <c r="U1229" s="32" t="str">
        <f t="shared" ca="1" si="78"/>
        <v>made***@yuhuumail.com</v>
      </c>
      <c r="V1229" s="32">
        <f t="shared" si="79"/>
        <v>21</v>
      </c>
      <c r="W1229" s="36">
        <f t="shared" si="80"/>
        <v>0.05</v>
      </c>
    </row>
    <row r="1230" spans="4:23" ht="27" customHeight="1" x14ac:dyDescent="0.25">
      <c r="D1230" s="14" t="s">
        <v>4675</v>
      </c>
      <c r="E1230" s="14" t="s">
        <v>4676</v>
      </c>
      <c r="F1230" s="84" t="s">
        <v>266</v>
      </c>
      <c r="G1230" s="15" t="s">
        <v>27</v>
      </c>
      <c r="H1230" s="16" t="s">
        <v>4677</v>
      </c>
      <c r="I1230" s="17"/>
      <c r="J1230" s="17"/>
      <c r="K1230" s="17"/>
      <c r="L1230" s="17"/>
      <c r="N1230" s="31">
        <v>1228</v>
      </c>
      <c r="O1230" s="32" t="s">
        <v>1252</v>
      </c>
      <c r="P1230" s="33" t="s">
        <v>4565</v>
      </c>
      <c r="Q1230" s="32" t="s">
        <v>40</v>
      </c>
      <c r="R1230" s="69">
        <v>44272.855231481481</v>
      </c>
      <c r="S1230" s="71">
        <v>44352</v>
      </c>
      <c r="T1230" s="32" t="str">
        <f t="shared" si="77"/>
        <v>+0822-84276***</v>
      </c>
      <c r="U1230" s="32" t="str">
        <f t="shared" ca="1" si="78"/>
        <v>broo***@yuhuumail.com</v>
      </c>
      <c r="V1230" s="32">
        <f t="shared" si="79"/>
        <v>21</v>
      </c>
      <c r="W1230" s="36">
        <f t="shared" si="80"/>
        <v>0.05</v>
      </c>
    </row>
    <row r="1231" spans="4:23" ht="27" customHeight="1" x14ac:dyDescent="0.25">
      <c r="D1231" s="14" t="s">
        <v>4678</v>
      </c>
      <c r="E1231" s="14" t="s">
        <v>1111</v>
      </c>
      <c r="F1231" s="84" t="s">
        <v>556</v>
      </c>
      <c r="G1231" s="15" t="s">
        <v>27</v>
      </c>
      <c r="H1231" s="16" t="s">
        <v>4679</v>
      </c>
      <c r="I1231" s="17"/>
      <c r="J1231" s="17"/>
      <c r="K1231" s="17"/>
      <c r="L1231" s="17"/>
      <c r="N1231" s="31">
        <v>1229</v>
      </c>
      <c r="O1231" s="32" t="s">
        <v>3315</v>
      </c>
      <c r="P1231" s="33" t="s">
        <v>4550</v>
      </c>
      <c r="Q1231" s="32" t="s">
        <v>32</v>
      </c>
      <c r="R1231" s="69">
        <v>44272.868148148147</v>
      </c>
      <c r="S1231" s="71">
        <v>44344</v>
      </c>
      <c r="T1231" s="32" t="str">
        <f t="shared" si="77"/>
        <v>+081230678***</v>
      </c>
      <c r="U1231" s="32" t="str">
        <f t="shared" ca="1" si="78"/>
        <v>brod***@jossmail.com</v>
      </c>
      <c r="V1231" s="32">
        <f t="shared" si="79"/>
        <v>21</v>
      </c>
      <c r="W1231" s="36">
        <f t="shared" si="80"/>
        <v>0.05</v>
      </c>
    </row>
    <row r="1232" spans="4:23" ht="27" customHeight="1" x14ac:dyDescent="0.25">
      <c r="D1232" s="14" t="s">
        <v>4680</v>
      </c>
      <c r="E1232" s="14" t="s">
        <v>304</v>
      </c>
      <c r="F1232" s="84" t="s">
        <v>2250</v>
      </c>
      <c r="G1232" s="15" t="s">
        <v>27</v>
      </c>
      <c r="H1232" s="16" t="s">
        <v>4681</v>
      </c>
      <c r="I1232" s="17"/>
      <c r="J1232" s="17"/>
      <c r="K1232" s="17"/>
      <c r="L1232" s="17"/>
      <c r="N1232" s="31">
        <v>1230</v>
      </c>
      <c r="O1232" s="32" t="s">
        <v>4682</v>
      </c>
      <c r="P1232" s="33" t="s">
        <v>42</v>
      </c>
      <c r="Q1232" s="32" t="s">
        <v>40</v>
      </c>
      <c r="R1232" s="69">
        <v>44272.85701388889</v>
      </c>
      <c r="S1232" s="71">
        <v>44359</v>
      </c>
      <c r="T1232" s="32" t="str">
        <f t="shared" si="77"/>
        <v>+084246623***</v>
      </c>
      <c r="U1232" s="32" t="str">
        <f t="shared" ca="1" si="78"/>
        <v>dana***@yuhuumail.com</v>
      </c>
      <c r="V1232" s="32">
        <f t="shared" si="79"/>
        <v>21</v>
      </c>
      <c r="W1232" s="36">
        <f t="shared" si="80"/>
        <v>0.05</v>
      </c>
    </row>
    <row r="1233" spans="4:23" ht="27" customHeight="1" x14ac:dyDescent="0.25">
      <c r="D1233" s="14" t="s">
        <v>4683</v>
      </c>
      <c r="E1233" s="14" t="s">
        <v>4684</v>
      </c>
      <c r="F1233" s="84" t="s">
        <v>444</v>
      </c>
      <c r="G1233" s="15" t="s">
        <v>27</v>
      </c>
      <c r="H1233" s="16" t="s">
        <v>4685</v>
      </c>
      <c r="I1233" s="17"/>
      <c r="J1233" s="17"/>
      <c r="K1233" s="17"/>
      <c r="L1233" s="17"/>
      <c r="N1233" s="31">
        <v>1231</v>
      </c>
      <c r="O1233" s="32" t="s">
        <v>4686</v>
      </c>
      <c r="P1233" s="33" t="s">
        <v>31</v>
      </c>
      <c r="Q1233" s="32" t="s">
        <v>32</v>
      </c>
      <c r="R1233" s="69">
        <v>44272.872847222221</v>
      </c>
      <c r="S1233" s="71">
        <v>44319</v>
      </c>
      <c r="T1233" s="32" t="str">
        <f t="shared" si="77"/>
        <v>+6281297679***</v>
      </c>
      <c r="U1233" s="32" t="str">
        <f t="shared" ca="1" si="78"/>
        <v>morg***@jossmail.com</v>
      </c>
      <c r="V1233" s="32">
        <f t="shared" si="79"/>
        <v>21</v>
      </c>
      <c r="W1233" s="36">
        <f t="shared" si="80"/>
        <v>0.05</v>
      </c>
    </row>
    <row r="1234" spans="4:23" ht="27" customHeight="1" x14ac:dyDescent="0.25">
      <c r="D1234" s="14" t="s">
        <v>4687</v>
      </c>
      <c r="E1234" s="14" t="s">
        <v>4688</v>
      </c>
      <c r="F1234" s="84" t="s">
        <v>159</v>
      </c>
      <c r="G1234" s="15" t="s">
        <v>68</v>
      </c>
      <c r="H1234" s="16" t="s">
        <v>4689</v>
      </c>
      <c r="I1234" s="17"/>
      <c r="J1234" s="17"/>
      <c r="K1234" s="17"/>
      <c r="L1234" s="17"/>
      <c r="N1234" s="31">
        <v>1232</v>
      </c>
      <c r="O1234" s="32" t="s">
        <v>4690</v>
      </c>
      <c r="P1234" s="33" t="s">
        <v>31</v>
      </c>
      <c r="Q1234" s="32" t="s">
        <v>40</v>
      </c>
      <c r="R1234" s="69">
        <v>44272.876273148147</v>
      </c>
      <c r="S1234" s="71">
        <v>44362</v>
      </c>
      <c r="T1234" s="32" t="str">
        <f t="shared" si="77"/>
        <v>+6283283719***</v>
      </c>
      <c r="U1234" s="32" t="str">
        <f t="shared" ca="1" si="78"/>
        <v>arie***@yuhuumail.com</v>
      </c>
      <c r="V1234" s="32">
        <f t="shared" si="79"/>
        <v>21</v>
      </c>
      <c r="W1234" s="36">
        <f t="shared" si="80"/>
        <v>0.05</v>
      </c>
    </row>
    <row r="1235" spans="4:23" ht="27" customHeight="1" x14ac:dyDescent="0.25">
      <c r="D1235" s="14" t="s">
        <v>4691</v>
      </c>
      <c r="E1235" s="14" t="s">
        <v>4692</v>
      </c>
      <c r="F1235" s="84" t="s">
        <v>1392</v>
      </c>
      <c r="G1235" s="15" t="s">
        <v>68</v>
      </c>
      <c r="H1235" s="16" t="s">
        <v>4693</v>
      </c>
      <c r="I1235" s="17"/>
      <c r="J1235" s="17"/>
      <c r="K1235" s="17"/>
      <c r="L1235" s="17"/>
      <c r="N1235" s="31">
        <v>1233</v>
      </c>
      <c r="O1235" s="32" t="s">
        <v>4694</v>
      </c>
      <c r="P1235" s="33" t="s">
        <v>42</v>
      </c>
      <c r="Q1235" s="32" t="s">
        <v>32</v>
      </c>
      <c r="R1235" s="69">
        <v>42962.65283564815</v>
      </c>
      <c r="S1235" s="71">
        <v>44362</v>
      </c>
      <c r="T1235" s="32" t="str">
        <f t="shared" si="77"/>
        <v>+0832 88550***</v>
      </c>
      <c r="U1235" s="32" t="str">
        <f t="shared" ca="1" si="78"/>
        <v>hayd***@yuhuumail.com</v>
      </c>
      <c r="V1235" s="32">
        <f t="shared" si="79"/>
        <v>17</v>
      </c>
      <c r="W1235" s="36">
        <f t="shared" si="80"/>
        <v>2.5000000000000001E-2</v>
      </c>
    </row>
    <row r="1236" spans="4:23" ht="27" customHeight="1" x14ac:dyDescent="0.25">
      <c r="D1236" s="14" t="s">
        <v>4695</v>
      </c>
      <c r="E1236" s="14" t="s">
        <v>4696</v>
      </c>
      <c r="F1236" s="84" t="s">
        <v>159</v>
      </c>
      <c r="G1236" s="15" t="s">
        <v>27</v>
      </c>
      <c r="H1236" s="16" t="s">
        <v>4697</v>
      </c>
      <c r="I1236" s="17"/>
      <c r="J1236" s="17"/>
      <c r="K1236" s="17"/>
      <c r="L1236" s="17"/>
      <c r="N1236" s="31">
        <v>1234</v>
      </c>
      <c r="O1236" s="32" t="s">
        <v>4698</v>
      </c>
      <c r="P1236" s="33" t="s">
        <v>42</v>
      </c>
      <c r="Q1236" s="32" t="s">
        <v>40</v>
      </c>
      <c r="R1236" s="69">
        <v>44272.816296296296</v>
      </c>
      <c r="S1236" s="71">
        <v>44318</v>
      </c>
      <c r="T1236" s="32" t="str">
        <f t="shared" si="77"/>
        <v>+84298391***</v>
      </c>
      <c r="U1236" s="32" t="str">
        <f t="shared" ca="1" si="78"/>
        <v>rebe***@yuhuumail.com</v>
      </c>
      <c r="V1236" s="32">
        <f t="shared" si="79"/>
        <v>21</v>
      </c>
      <c r="W1236" s="36">
        <f t="shared" si="80"/>
        <v>0.05</v>
      </c>
    </row>
    <row r="1237" spans="4:23" ht="27" customHeight="1" x14ac:dyDescent="0.25">
      <c r="D1237" s="14" t="s">
        <v>4699</v>
      </c>
      <c r="E1237" s="14" t="s">
        <v>4700</v>
      </c>
      <c r="F1237" s="84" t="s">
        <v>4253</v>
      </c>
      <c r="G1237" s="15" t="s">
        <v>68</v>
      </c>
      <c r="H1237" s="16" t="s">
        <v>4701</v>
      </c>
      <c r="I1237" s="17"/>
      <c r="J1237" s="17"/>
      <c r="K1237" s="17"/>
      <c r="L1237" s="17"/>
      <c r="N1237" s="31">
        <v>1235</v>
      </c>
      <c r="O1237" s="32" t="s">
        <v>2871</v>
      </c>
      <c r="P1237" s="33" t="s">
        <v>57</v>
      </c>
      <c r="Q1237" s="32" t="s">
        <v>32</v>
      </c>
      <c r="R1237" s="69">
        <v>44272.878842592596</v>
      </c>
      <c r="S1237" s="71">
        <v>44359</v>
      </c>
      <c r="T1237" s="32" t="str">
        <f t="shared" si="77"/>
        <v>+0812-21129***</v>
      </c>
      <c r="U1237" s="32" t="str">
        <f t="shared" ca="1" si="78"/>
        <v>bobb***@jossmail.com</v>
      </c>
      <c r="V1237" s="32">
        <f t="shared" si="79"/>
        <v>21</v>
      </c>
      <c r="W1237" s="36">
        <f t="shared" si="80"/>
        <v>0.05</v>
      </c>
    </row>
    <row r="1238" spans="4:23" ht="27" customHeight="1" x14ac:dyDescent="0.25">
      <c r="D1238" s="14" t="s">
        <v>4702</v>
      </c>
      <c r="E1238" s="14" t="s">
        <v>4703</v>
      </c>
      <c r="F1238" s="84" t="s">
        <v>296</v>
      </c>
      <c r="G1238" s="15" t="s">
        <v>27</v>
      </c>
      <c r="H1238" s="16" t="s">
        <v>4704</v>
      </c>
      <c r="I1238" s="17"/>
      <c r="J1238" s="17"/>
      <c r="K1238" s="17"/>
      <c r="L1238" s="17"/>
      <c r="N1238" s="31">
        <v>1236</v>
      </c>
      <c r="O1238" s="32" t="s">
        <v>3401</v>
      </c>
      <c r="P1238" s="33" t="s">
        <v>57</v>
      </c>
      <c r="Q1238" s="32" t="s">
        <v>40</v>
      </c>
      <c r="R1238" s="69">
        <v>44272.879062499997</v>
      </c>
      <c r="S1238" s="71">
        <v>44354</v>
      </c>
      <c r="T1238" s="32" t="str">
        <f t="shared" si="77"/>
        <v>+083233998***</v>
      </c>
      <c r="U1238" s="32" t="str">
        <f t="shared" ca="1" si="78"/>
        <v>oliv***@jossmail.com</v>
      </c>
      <c r="V1238" s="32">
        <f t="shared" si="79"/>
        <v>21</v>
      </c>
      <c r="W1238" s="36">
        <f t="shared" si="80"/>
        <v>0.05</v>
      </c>
    </row>
    <row r="1239" spans="4:23" ht="27" customHeight="1" x14ac:dyDescent="0.25">
      <c r="D1239" s="14" t="s">
        <v>4705</v>
      </c>
      <c r="E1239" s="14" t="s">
        <v>4706</v>
      </c>
      <c r="F1239" s="84" t="s">
        <v>386</v>
      </c>
      <c r="G1239" s="15" t="s">
        <v>68</v>
      </c>
      <c r="H1239" s="16" t="s">
        <v>4707</v>
      </c>
      <c r="I1239" s="17"/>
      <c r="J1239" s="17"/>
      <c r="K1239" s="17"/>
      <c r="L1239" s="17"/>
      <c r="N1239" s="31">
        <v>1237</v>
      </c>
      <c r="O1239" s="32" t="s">
        <v>3824</v>
      </c>
      <c r="P1239" s="33" t="s">
        <v>31</v>
      </c>
      <c r="Q1239" s="32" t="s">
        <v>32</v>
      </c>
      <c r="R1239" s="69">
        <v>44272.886574074073</v>
      </c>
      <c r="S1239" s="35">
        <v>44318</v>
      </c>
      <c r="T1239" s="32" t="str">
        <f t="shared" si="77"/>
        <v>+0822-15340***</v>
      </c>
      <c r="U1239" s="32" t="str">
        <f t="shared" ca="1" si="78"/>
        <v>zech***@yuhuumail.com</v>
      </c>
      <c r="V1239" s="32">
        <f t="shared" si="79"/>
        <v>21</v>
      </c>
      <c r="W1239" s="36">
        <f t="shared" si="80"/>
        <v>0.05</v>
      </c>
    </row>
    <row r="1240" spans="4:23" ht="27" customHeight="1" x14ac:dyDescent="0.25">
      <c r="D1240" s="14" t="s">
        <v>4708</v>
      </c>
      <c r="E1240" s="14" t="s">
        <v>4709</v>
      </c>
      <c r="F1240" s="84" t="s">
        <v>321</v>
      </c>
      <c r="G1240" s="15" t="s">
        <v>27</v>
      </c>
      <c r="H1240" s="16" t="s">
        <v>4710</v>
      </c>
      <c r="I1240" s="17"/>
      <c r="J1240" s="17"/>
      <c r="K1240" s="17"/>
      <c r="L1240" s="17"/>
      <c r="N1240" s="31">
        <v>1238</v>
      </c>
      <c r="O1240" s="32" t="s">
        <v>260</v>
      </c>
      <c r="P1240" s="33" t="s">
        <v>31</v>
      </c>
      <c r="Q1240" s="32" t="s">
        <v>40</v>
      </c>
      <c r="R1240" s="69">
        <v>44272.889062499999</v>
      </c>
      <c r="S1240" s="35">
        <v>44362</v>
      </c>
      <c r="T1240" s="32" t="str">
        <f t="shared" si="77"/>
        <v>+6282247325***</v>
      </c>
      <c r="U1240" s="32" t="str">
        <f t="shared" ca="1" si="78"/>
        <v>nasi***@yuhuumail.com</v>
      </c>
      <c r="V1240" s="32">
        <f t="shared" si="79"/>
        <v>21</v>
      </c>
      <c r="W1240" s="36">
        <f t="shared" si="80"/>
        <v>0.05</v>
      </c>
    </row>
    <row r="1241" spans="4:23" ht="27" customHeight="1" x14ac:dyDescent="0.25">
      <c r="D1241" s="14" t="s">
        <v>4711</v>
      </c>
      <c r="E1241" s="14" t="s">
        <v>4712</v>
      </c>
      <c r="F1241" s="84" t="s">
        <v>175</v>
      </c>
      <c r="G1241" s="15" t="s">
        <v>27</v>
      </c>
      <c r="H1241" s="16" t="s">
        <v>4713</v>
      </c>
      <c r="I1241" s="17"/>
      <c r="J1241" s="17"/>
      <c r="K1241" s="17"/>
      <c r="L1241" s="17"/>
      <c r="N1241" s="31">
        <v>1239</v>
      </c>
      <c r="O1241" s="32" t="s">
        <v>4714</v>
      </c>
      <c r="P1241" s="33" t="s">
        <v>31</v>
      </c>
      <c r="Q1241" s="32" t="s">
        <v>32</v>
      </c>
      <c r="R1241" s="69">
        <v>44272.888425925928</v>
      </c>
      <c r="S1241" s="35">
        <v>44319</v>
      </c>
      <c r="T1241" s="32" t="str">
        <f t="shared" si="77"/>
        <v>+0812 64666***</v>
      </c>
      <c r="U1241" s="32" t="str">
        <f t="shared" ca="1" si="78"/>
        <v>alys***@yuhuumail.com</v>
      </c>
      <c r="V1241" s="32">
        <f t="shared" si="79"/>
        <v>21</v>
      </c>
      <c r="W1241" s="36">
        <f t="shared" si="80"/>
        <v>0.05</v>
      </c>
    </row>
    <row r="1242" spans="4:23" ht="27" customHeight="1" x14ac:dyDescent="0.25">
      <c r="D1242" s="14" t="s">
        <v>4715</v>
      </c>
      <c r="E1242" s="14" t="s">
        <v>3367</v>
      </c>
      <c r="F1242" s="84" t="s">
        <v>316</v>
      </c>
      <c r="G1242" s="15" t="s">
        <v>27</v>
      </c>
      <c r="H1242" s="16" t="s">
        <v>4716</v>
      </c>
      <c r="I1242" s="17"/>
      <c r="J1242" s="17"/>
      <c r="K1242" s="17"/>
      <c r="L1242" s="17"/>
      <c r="N1242" s="31">
        <v>1240</v>
      </c>
      <c r="O1242" s="32" t="s">
        <v>2096</v>
      </c>
      <c r="P1242" s="33" t="s">
        <v>31</v>
      </c>
      <c r="Q1242" s="32" t="s">
        <v>40</v>
      </c>
      <c r="R1242" s="69">
        <v>44272.876689814817</v>
      </c>
      <c r="S1242" s="35">
        <v>44356</v>
      </c>
      <c r="T1242" s="32" t="str">
        <f t="shared" si="77"/>
        <v>+83228735***</v>
      </c>
      <c r="U1242" s="32" t="str">
        <f t="shared" ca="1" si="78"/>
        <v>trav***@jossmail.com</v>
      </c>
      <c r="V1242" s="32">
        <f t="shared" si="79"/>
        <v>21</v>
      </c>
      <c r="W1242" s="36">
        <f t="shared" si="80"/>
        <v>0.05</v>
      </c>
    </row>
    <row r="1243" spans="4:23" ht="27" customHeight="1" x14ac:dyDescent="0.25">
      <c r="D1243" s="14" t="s">
        <v>4717</v>
      </c>
      <c r="E1243" s="14" t="s">
        <v>287</v>
      </c>
      <c r="F1243" s="84" t="s">
        <v>2469</v>
      </c>
      <c r="G1243" s="15" t="s">
        <v>68</v>
      </c>
      <c r="H1243" s="16" t="s">
        <v>4718</v>
      </c>
      <c r="I1243" s="17"/>
      <c r="J1243" s="17"/>
      <c r="K1243" s="17"/>
      <c r="L1243" s="17"/>
      <c r="N1243" s="31">
        <v>1241</v>
      </c>
      <c r="O1243" s="32" t="s">
        <v>3205</v>
      </c>
      <c r="P1243" s="33" t="s">
        <v>31</v>
      </c>
      <c r="Q1243" s="32" t="s">
        <v>32</v>
      </c>
      <c r="R1243" s="69">
        <v>44272.885324074072</v>
      </c>
      <c r="S1243" s="35">
        <v>44362</v>
      </c>
      <c r="T1243" s="32" t="str">
        <f t="shared" si="77"/>
        <v>+0842 28979***</v>
      </c>
      <c r="U1243" s="32" t="str">
        <f t="shared" ca="1" si="78"/>
        <v>cyru***@yuhuumail.com</v>
      </c>
      <c r="V1243" s="32">
        <f t="shared" si="79"/>
        <v>21</v>
      </c>
      <c r="W1243" s="36">
        <f t="shared" si="80"/>
        <v>0.05</v>
      </c>
    </row>
    <row r="1244" spans="4:23" ht="27" customHeight="1" x14ac:dyDescent="0.25">
      <c r="D1244" s="14" t="s">
        <v>4719</v>
      </c>
      <c r="E1244" s="14" t="s">
        <v>3175</v>
      </c>
      <c r="F1244" s="84" t="s">
        <v>453</v>
      </c>
      <c r="G1244" s="15" t="s">
        <v>27</v>
      </c>
      <c r="H1244" s="16" t="s">
        <v>4720</v>
      </c>
      <c r="I1244" s="17"/>
      <c r="J1244" s="17"/>
      <c r="K1244" s="17"/>
      <c r="L1244" s="17"/>
      <c r="N1244" s="31">
        <v>1242</v>
      </c>
      <c r="O1244" s="32" t="s">
        <v>4307</v>
      </c>
      <c r="P1244" s="33" t="s">
        <v>42</v>
      </c>
      <c r="Q1244" s="32" t="s">
        <v>40</v>
      </c>
      <c r="R1244" s="69">
        <v>44194.469085648147</v>
      </c>
      <c r="S1244" s="35">
        <v>44356</v>
      </c>
      <c r="T1244" s="32" t="str">
        <f t="shared" si="77"/>
        <v>+0852-90152***</v>
      </c>
      <c r="U1244" s="32" t="str">
        <f t="shared" ca="1" si="78"/>
        <v>rees***@jossmail.com</v>
      </c>
      <c r="V1244" s="32">
        <f t="shared" si="79"/>
        <v>21</v>
      </c>
      <c r="W1244" s="36">
        <f t="shared" si="80"/>
        <v>0.05</v>
      </c>
    </row>
    <row r="1245" spans="4:23" ht="27" customHeight="1" x14ac:dyDescent="0.25">
      <c r="D1245" s="14" t="s">
        <v>4721</v>
      </c>
      <c r="E1245" s="14" t="s">
        <v>4722</v>
      </c>
      <c r="F1245" s="84" t="s">
        <v>280</v>
      </c>
      <c r="G1245" s="15" t="s">
        <v>27</v>
      </c>
      <c r="H1245" s="16" t="s">
        <v>4723</v>
      </c>
      <c r="I1245" s="17"/>
      <c r="J1245" s="17"/>
      <c r="K1245" s="17"/>
      <c r="L1245" s="17"/>
      <c r="N1245" s="31">
        <v>1243</v>
      </c>
      <c r="O1245" s="32" t="s">
        <v>4724</v>
      </c>
      <c r="P1245" s="33" t="s">
        <v>57</v>
      </c>
      <c r="Q1245" s="32" t="s">
        <v>32</v>
      </c>
      <c r="R1245" s="69">
        <v>44272.912835648145</v>
      </c>
      <c r="S1245" s="35">
        <v>44354</v>
      </c>
      <c r="T1245" s="32" t="str">
        <f t="shared" si="77"/>
        <v>+082279391***</v>
      </c>
      <c r="U1245" s="32" t="str">
        <f t="shared" ca="1" si="78"/>
        <v>izai***@jossmail.com</v>
      </c>
      <c r="V1245" s="32">
        <f t="shared" si="79"/>
        <v>21</v>
      </c>
      <c r="W1245" s="36">
        <f t="shared" si="80"/>
        <v>0.05</v>
      </c>
    </row>
    <row r="1246" spans="4:23" ht="27" customHeight="1" x14ac:dyDescent="0.25">
      <c r="D1246" s="14" t="s">
        <v>4725</v>
      </c>
      <c r="E1246" s="14" t="s">
        <v>4726</v>
      </c>
      <c r="F1246" s="84" t="s">
        <v>1093</v>
      </c>
      <c r="G1246" s="15" t="s">
        <v>68</v>
      </c>
      <c r="H1246" s="16" t="s">
        <v>4727</v>
      </c>
      <c r="I1246" s="17"/>
      <c r="J1246" s="17"/>
      <c r="K1246" s="17"/>
      <c r="L1246" s="17"/>
      <c r="N1246" s="31">
        <v>1244</v>
      </c>
      <c r="O1246" s="32" t="s">
        <v>1866</v>
      </c>
      <c r="P1246" s="33" t="s">
        <v>42</v>
      </c>
      <c r="Q1246" s="32" t="s">
        <v>40</v>
      </c>
      <c r="R1246" s="69">
        <v>44272.917430555557</v>
      </c>
      <c r="S1246" s="35">
        <v>44359</v>
      </c>
      <c r="T1246" s="32" t="str">
        <f t="shared" si="77"/>
        <v>+083226144***</v>
      </c>
      <c r="U1246" s="32" t="str">
        <f t="shared" ca="1" si="78"/>
        <v>quin***@yuhuumail.com</v>
      </c>
      <c r="V1246" s="32">
        <f t="shared" si="79"/>
        <v>21</v>
      </c>
      <c r="W1246" s="36">
        <f t="shared" si="80"/>
        <v>0.05</v>
      </c>
    </row>
    <row r="1247" spans="4:23" ht="27" customHeight="1" x14ac:dyDescent="0.25">
      <c r="D1247" s="14" t="s">
        <v>4728</v>
      </c>
      <c r="E1247" s="14" t="s">
        <v>4729</v>
      </c>
      <c r="F1247" s="84" t="s">
        <v>4730</v>
      </c>
      <c r="G1247" s="15" t="s">
        <v>68</v>
      </c>
      <c r="H1247" s="16" t="s">
        <v>4731</v>
      </c>
      <c r="I1247" s="17"/>
      <c r="J1247" s="17"/>
      <c r="K1247" s="17"/>
      <c r="L1247" s="17"/>
      <c r="N1247" s="31">
        <v>1245</v>
      </c>
      <c r="O1247" s="32" t="s">
        <v>4732</v>
      </c>
      <c r="P1247" s="33" t="s">
        <v>42</v>
      </c>
      <c r="Q1247" s="32" t="s">
        <v>32</v>
      </c>
      <c r="R1247" s="69">
        <v>44272.918020833335</v>
      </c>
      <c r="S1247" s="35">
        <v>44320</v>
      </c>
      <c r="T1247" s="32" t="str">
        <f t="shared" si="77"/>
        <v>+0842 26236***</v>
      </c>
      <c r="U1247" s="32" t="str">
        <f t="shared" ca="1" si="78"/>
        <v>deme***@jossmail.com</v>
      </c>
      <c r="V1247" s="32">
        <f t="shared" si="79"/>
        <v>21</v>
      </c>
      <c r="W1247" s="36">
        <f t="shared" si="80"/>
        <v>0.05</v>
      </c>
    </row>
    <row r="1248" spans="4:23" ht="27" customHeight="1" x14ac:dyDescent="0.25">
      <c r="D1248" s="14" t="s">
        <v>4733</v>
      </c>
      <c r="E1248" s="14" t="s">
        <v>1788</v>
      </c>
      <c r="F1248" s="84" t="s">
        <v>847</v>
      </c>
      <c r="G1248" s="15" t="s">
        <v>27</v>
      </c>
      <c r="H1248" s="16" t="s">
        <v>4734</v>
      </c>
      <c r="I1248" s="17"/>
      <c r="J1248" s="17"/>
      <c r="K1248" s="17"/>
      <c r="L1248" s="17"/>
      <c r="N1248" s="31">
        <v>1246</v>
      </c>
      <c r="O1248" s="32" t="s">
        <v>4735</v>
      </c>
      <c r="P1248" s="33" t="s">
        <v>31</v>
      </c>
      <c r="Q1248" s="32" t="s">
        <v>40</v>
      </c>
      <c r="R1248" s="69">
        <v>44272.918796296297</v>
      </c>
      <c r="S1248" s="35">
        <v>44351</v>
      </c>
      <c r="T1248" s="32" t="str">
        <f t="shared" si="77"/>
        <v>+0812 29765***</v>
      </c>
      <c r="U1248" s="32" t="str">
        <f t="shared" ca="1" si="78"/>
        <v>alon***@yuhuumail.com</v>
      </c>
      <c r="V1248" s="32">
        <f t="shared" si="79"/>
        <v>21</v>
      </c>
      <c r="W1248" s="36">
        <f t="shared" si="80"/>
        <v>0.05</v>
      </c>
    </row>
    <row r="1249" spans="4:23" ht="27" customHeight="1" x14ac:dyDescent="0.25">
      <c r="D1249" s="14" t="s">
        <v>4736</v>
      </c>
      <c r="E1249" s="14" t="s">
        <v>4737</v>
      </c>
      <c r="F1249" s="84" t="s">
        <v>386</v>
      </c>
      <c r="G1249" s="15" t="s">
        <v>68</v>
      </c>
      <c r="H1249" s="16" t="s">
        <v>4738</v>
      </c>
      <c r="I1249" s="17"/>
      <c r="J1249" s="17"/>
      <c r="K1249" s="17"/>
      <c r="L1249" s="17"/>
      <c r="N1249" s="31">
        <v>1247</v>
      </c>
      <c r="O1249" s="32" t="s">
        <v>4739</v>
      </c>
      <c r="P1249" s="33" t="s">
        <v>42</v>
      </c>
      <c r="Q1249" s="32" t="s">
        <v>32</v>
      </c>
      <c r="R1249" s="69">
        <v>44272.927361111113</v>
      </c>
      <c r="S1249" s="35">
        <v>44354</v>
      </c>
      <c r="T1249" s="32" t="str">
        <f t="shared" si="77"/>
        <v>+84262642***</v>
      </c>
      <c r="U1249" s="32" t="str">
        <f t="shared" ca="1" si="78"/>
        <v>eman***@jossmail.com</v>
      </c>
      <c r="V1249" s="32">
        <f t="shared" si="79"/>
        <v>21</v>
      </c>
      <c r="W1249" s="36">
        <f t="shared" si="80"/>
        <v>0.05</v>
      </c>
    </row>
    <row r="1250" spans="4:23" ht="27" customHeight="1" x14ac:dyDescent="0.25">
      <c r="D1250" s="14" t="s">
        <v>4740</v>
      </c>
      <c r="E1250" s="14" t="s">
        <v>3258</v>
      </c>
      <c r="F1250" s="84" t="s">
        <v>538</v>
      </c>
      <c r="G1250" s="15" t="s">
        <v>68</v>
      </c>
      <c r="H1250" s="16" t="s">
        <v>4741</v>
      </c>
      <c r="I1250" s="17"/>
      <c r="J1250" s="17"/>
      <c r="K1250" s="17"/>
      <c r="L1250" s="17"/>
      <c r="N1250" s="31">
        <v>1248</v>
      </c>
      <c r="O1250" s="32" t="s">
        <v>4742</v>
      </c>
      <c r="P1250" s="33" t="s">
        <v>31</v>
      </c>
      <c r="Q1250" s="32" t="s">
        <v>40</v>
      </c>
      <c r="R1250" s="69">
        <v>44272.926724537036</v>
      </c>
      <c r="S1250" s="35">
        <v>44320</v>
      </c>
      <c r="T1250" s="32" t="str">
        <f t="shared" si="77"/>
        <v>+81289048***</v>
      </c>
      <c r="U1250" s="32" t="str">
        <f t="shared" ca="1" si="78"/>
        <v>rodo***@yuhuumail.com</v>
      </c>
      <c r="V1250" s="32">
        <f t="shared" si="79"/>
        <v>21</v>
      </c>
      <c r="W1250" s="36">
        <f t="shared" si="80"/>
        <v>0.05</v>
      </c>
    </row>
    <row r="1251" spans="4:23" ht="27" customHeight="1" x14ac:dyDescent="0.25">
      <c r="D1251" s="14" t="s">
        <v>4743</v>
      </c>
      <c r="E1251" s="14" t="s">
        <v>4744</v>
      </c>
      <c r="F1251" s="84" t="s">
        <v>302</v>
      </c>
      <c r="G1251" s="15" t="s">
        <v>27</v>
      </c>
      <c r="H1251" s="16" t="s">
        <v>4745</v>
      </c>
      <c r="I1251" s="17"/>
      <c r="J1251" s="17"/>
      <c r="K1251" s="17"/>
      <c r="L1251" s="17"/>
      <c r="N1251" s="31">
        <v>1249</v>
      </c>
      <c r="O1251" s="32" t="s">
        <v>401</v>
      </c>
      <c r="P1251" s="33" t="s">
        <v>42</v>
      </c>
      <c r="Q1251" s="32" t="s">
        <v>32</v>
      </c>
      <c r="R1251" s="69">
        <v>44174.263055555559</v>
      </c>
      <c r="S1251" s="35">
        <v>44318</v>
      </c>
      <c r="T1251" s="32" t="str">
        <f t="shared" si="77"/>
        <v>+6282294695***</v>
      </c>
      <c r="U1251" s="32" t="str">
        <f t="shared" ca="1" si="78"/>
        <v>mari***@jossmail.com</v>
      </c>
      <c r="V1251" s="32">
        <f t="shared" si="79"/>
        <v>21</v>
      </c>
      <c r="W1251" s="36">
        <f t="shared" si="80"/>
        <v>0.05</v>
      </c>
    </row>
    <row r="1252" spans="4:23" ht="27" customHeight="1" x14ac:dyDescent="0.25">
      <c r="D1252" s="14" t="s">
        <v>4746</v>
      </c>
      <c r="E1252" s="14" t="s">
        <v>2091</v>
      </c>
      <c r="F1252" s="84" t="s">
        <v>934</v>
      </c>
      <c r="G1252" s="15" t="s">
        <v>27</v>
      </c>
      <c r="H1252" s="16" t="s">
        <v>4747</v>
      </c>
      <c r="I1252" s="17"/>
      <c r="J1252" s="17"/>
      <c r="K1252" s="17"/>
      <c r="L1252" s="17"/>
      <c r="N1252" s="31">
        <v>1250</v>
      </c>
      <c r="O1252" s="32" t="s">
        <v>4748</v>
      </c>
      <c r="P1252" s="33" t="s">
        <v>31</v>
      </c>
      <c r="Q1252" s="32" t="s">
        <v>40</v>
      </c>
      <c r="R1252" s="69">
        <v>44272.938483796293</v>
      </c>
      <c r="S1252" s="35">
        <v>44359</v>
      </c>
      <c r="T1252" s="32" t="str">
        <f t="shared" si="77"/>
        <v>+081288586***</v>
      </c>
      <c r="U1252" s="32" t="str">
        <f t="shared" ca="1" si="78"/>
        <v>ryla***@yuhuumail.com</v>
      </c>
      <c r="V1252" s="32">
        <f t="shared" si="79"/>
        <v>21</v>
      </c>
      <c r="W1252" s="36">
        <f t="shared" si="80"/>
        <v>0.05</v>
      </c>
    </row>
    <row r="1253" spans="4:23" ht="27" customHeight="1" x14ac:dyDescent="0.25">
      <c r="D1253" s="14" t="s">
        <v>4749</v>
      </c>
      <c r="E1253" s="14" t="s">
        <v>4750</v>
      </c>
      <c r="F1253" s="84" t="s">
        <v>2335</v>
      </c>
      <c r="G1253" s="15" t="s">
        <v>68</v>
      </c>
      <c r="H1253" s="16" t="s">
        <v>4751</v>
      </c>
      <c r="I1253" s="17"/>
      <c r="J1253" s="17"/>
      <c r="K1253" s="17"/>
      <c r="L1253" s="17"/>
      <c r="N1253" s="31">
        <v>1251</v>
      </c>
      <c r="O1253" s="32" t="s">
        <v>3336</v>
      </c>
      <c r="P1253" s="33" t="s">
        <v>57</v>
      </c>
      <c r="Q1253" s="32" t="s">
        <v>32</v>
      </c>
      <c r="R1253" s="69">
        <v>44272.938842592594</v>
      </c>
      <c r="S1253" s="71">
        <v>44362</v>
      </c>
      <c r="T1253" s="32" t="str">
        <f t="shared" si="77"/>
        <v>+84246140***</v>
      </c>
      <c r="U1253" s="32" t="str">
        <f t="shared" ca="1" si="78"/>
        <v>bill***@jossmail.com</v>
      </c>
      <c r="V1253" s="32">
        <f t="shared" si="79"/>
        <v>21</v>
      </c>
      <c r="W1253" s="36">
        <f t="shared" si="80"/>
        <v>0.05</v>
      </c>
    </row>
    <row r="1254" spans="4:23" ht="27" customHeight="1" x14ac:dyDescent="0.25">
      <c r="D1254" s="14" t="s">
        <v>4752</v>
      </c>
      <c r="E1254" s="14" t="s">
        <v>4615</v>
      </c>
      <c r="F1254" s="84" t="s">
        <v>261</v>
      </c>
      <c r="G1254" s="15" t="s">
        <v>27</v>
      </c>
      <c r="H1254" s="16" t="s">
        <v>4753</v>
      </c>
      <c r="I1254" s="17"/>
      <c r="J1254" s="17"/>
      <c r="K1254" s="17"/>
      <c r="L1254" s="17"/>
      <c r="N1254" s="31">
        <v>1252</v>
      </c>
      <c r="O1254" s="32" t="s">
        <v>4754</v>
      </c>
      <c r="P1254" s="33" t="s">
        <v>42</v>
      </c>
      <c r="Q1254" s="32" t="s">
        <v>40</v>
      </c>
      <c r="R1254" s="69">
        <v>44272.908680555556</v>
      </c>
      <c r="S1254" s="71">
        <v>44358</v>
      </c>
      <c r="T1254" s="32" t="str">
        <f t="shared" si="77"/>
        <v>+85216348***</v>
      </c>
      <c r="U1254" s="32" t="str">
        <f t="shared" ca="1" si="78"/>
        <v>sani***@jossmail.com</v>
      </c>
      <c r="V1254" s="32">
        <f t="shared" si="79"/>
        <v>21</v>
      </c>
      <c r="W1254" s="36">
        <f t="shared" si="80"/>
        <v>0.05</v>
      </c>
    </row>
    <row r="1255" spans="4:23" ht="27" customHeight="1" x14ac:dyDescent="0.25">
      <c r="D1255" s="14" t="s">
        <v>4755</v>
      </c>
      <c r="E1255" s="14" t="s">
        <v>4756</v>
      </c>
      <c r="F1255" s="84" t="s">
        <v>3580</v>
      </c>
      <c r="G1255" s="15" t="s">
        <v>27</v>
      </c>
      <c r="H1255" s="16" t="s">
        <v>4757</v>
      </c>
      <c r="I1255" s="17"/>
      <c r="J1255" s="17"/>
      <c r="K1255" s="17"/>
      <c r="L1255" s="17"/>
      <c r="N1255" s="31">
        <v>1253</v>
      </c>
      <c r="O1255" s="32" t="s">
        <v>4547</v>
      </c>
      <c r="P1255" s="33" t="s">
        <v>57</v>
      </c>
      <c r="Q1255" s="32" t="s">
        <v>32</v>
      </c>
      <c r="R1255" s="69">
        <v>44272.944004629629</v>
      </c>
      <c r="S1255" s="71">
        <v>44362</v>
      </c>
      <c r="T1255" s="32" t="str">
        <f t="shared" si="77"/>
        <v>+0822-62078***</v>
      </c>
      <c r="U1255" s="32" t="str">
        <f t="shared" ca="1" si="78"/>
        <v>marc***@yuhuumail.com</v>
      </c>
      <c r="V1255" s="32">
        <f t="shared" si="79"/>
        <v>21</v>
      </c>
      <c r="W1255" s="36">
        <f t="shared" si="80"/>
        <v>0.05</v>
      </c>
    </row>
    <row r="1256" spans="4:23" ht="27" customHeight="1" x14ac:dyDescent="0.25">
      <c r="D1256" s="14" t="s">
        <v>4758</v>
      </c>
      <c r="E1256" s="14" t="s">
        <v>4759</v>
      </c>
      <c r="F1256" s="84" t="s">
        <v>524</v>
      </c>
      <c r="G1256" s="15" t="s">
        <v>27</v>
      </c>
      <c r="H1256" s="16" t="s">
        <v>4760</v>
      </c>
      <c r="I1256" s="17"/>
      <c r="J1256" s="17"/>
      <c r="K1256" s="17"/>
      <c r="L1256" s="17"/>
      <c r="N1256" s="31">
        <v>1254</v>
      </c>
      <c r="O1256" s="32" t="s">
        <v>2698</v>
      </c>
      <c r="P1256" s="33" t="s">
        <v>31</v>
      </c>
      <c r="Q1256" s="32" t="s">
        <v>40</v>
      </c>
      <c r="R1256" s="69">
        <v>44272.952638888892</v>
      </c>
      <c r="S1256" s="71">
        <v>44352</v>
      </c>
      <c r="T1256" s="32" t="str">
        <f t="shared" si="77"/>
        <v>+822 31087***</v>
      </c>
      <c r="U1256" s="32" t="str">
        <f t="shared" ca="1" si="78"/>
        <v>jami***@jossmail.com</v>
      </c>
      <c r="V1256" s="32">
        <f t="shared" si="79"/>
        <v>21</v>
      </c>
      <c r="W1256" s="36">
        <f t="shared" si="80"/>
        <v>0.05</v>
      </c>
    </row>
    <row r="1257" spans="4:23" ht="27" customHeight="1" x14ac:dyDescent="0.25">
      <c r="D1257" s="14" t="s">
        <v>4761</v>
      </c>
      <c r="E1257" s="14" t="s">
        <v>2544</v>
      </c>
      <c r="F1257" s="84" t="s">
        <v>159</v>
      </c>
      <c r="G1257" s="15" t="s">
        <v>27</v>
      </c>
      <c r="H1257" s="16" t="s">
        <v>4762</v>
      </c>
      <c r="I1257" s="17"/>
      <c r="J1257" s="17"/>
      <c r="K1257" s="17"/>
      <c r="L1257" s="17"/>
      <c r="N1257" s="31">
        <v>1255</v>
      </c>
      <c r="O1257" s="32" t="s">
        <v>4763</v>
      </c>
      <c r="P1257" s="33" t="s">
        <v>42</v>
      </c>
      <c r="Q1257" s="32" t="s">
        <v>32</v>
      </c>
      <c r="R1257" s="69">
        <v>44272.952650462961</v>
      </c>
      <c r="S1257" s="71">
        <v>44354</v>
      </c>
      <c r="T1257" s="32" t="str">
        <f t="shared" si="77"/>
        <v>+083262716***</v>
      </c>
      <c r="U1257" s="32" t="str">
        <f t="shared" ca="1" si="78"/>
        <v>mega***@jossmail.com</v>
      </c>
      <c r="V1257" s="32">
        <f t="shared" si="79"/>
        <v>21</v>
      </c>
      <c r="W1257" s="36">
        <f t="shared" si="80"/>
        <v>0.05</v>
      </c>
    </row>
    <row r="1258" spans="4:23" ht="27" customHeight="1" x14ac:dyDescent="0.25">
      <c r="D1258" s="14" t="s">
        <v>4764</v>
      </c>
      <c r="E1258" s="14" t="s">
        <v>4765</v>
      </c>
      <c r="F1258" s="84" t="s">
        <v>233</v>
      </c>
      <c r="G1258" s="15" t="s">
        <v>27</v>
      </c>
      <c r="H1258" s="16" t="s">
        <v>4766</v>
      </c>
      <c r="I1258" s="17"/>
      <c r="J1258" s="17"/>
      <c r="K1258" s="17"/>
      <c r="L1258" s="17"/>
      <c r="N1258" s="31">
        <v>1256</v>
      </c>
      <c r="O1258" s="32" t="s">
        <v>4767</v>
      </c>
      <c r="P1258" s="33" t="s">
        <v>31</v>
      </c>
      <c r="Q1258" s="32" t="s">
        <v>40</v>
      </c>
      <c r="R1258" s="69">
        <v>44272.965196759258</v>
      </c>
      <c r="S1258" s="71">
        <v>44318</v>
      </c>
      <c r="T1258" s="32" t="str">
        <f t="shared" si="77"/>
        <v>+83213748***</v>
      </c>
      <c r="U1258" s="32" t="str">
        <f t="shared" ca="1" si="78"/>
        <v>jady***@jossmail.com</v>
      </c>
      <c r="V1258" s="32">
        <f t="shared" si="79"/>
        <v>21</v>
      </c>
      <c r="W1258" s="36">
        <f t="shared" si="80"/>
        <v>0.05</v>
      </c>
    </row>
    <row r="1259" spans="4:23" ht="27" customHeight="1" x14ac:dyDescent="0.25">
      <c r="D1259" s="14" t="s">
        <v>4768</v>
      </c>
      <c r="E1259" s="14" t="s">
        <v>3052</v>
      </c>
      <c r="F1259" s="84" t="s">
        <v>485</v>
      </c>
      <c r="G1259" s="15" t="s">
        <v>27</v>
      </c>
      <c r="H1259" s="16" t="s">
        <v>4769</v>
      </c>
      <c r="I1259" s="17"/>
      <c r="J1259" s="17"/>
      <c r="K1259" s="17"/>
      <c r="L1259" s="17"/>
      <c r="N1259" s="31">
        <v>1257</v>
      </c>
      <c r="O1259" s="32" t="s">
        <v>1418</v>
      </c>
      <c r="P1259" s="33" t="s">
        <v>42</v>
      </c>
      <c r="Q1259" s="32" t="s">
        <v>32</v>
      </c>
      <c r="R1259" s="69">
        <v>44272.96471064815</v>
      </c>
      <c r="S1259" s="71">
        <v>44359</v>
      </c>
      <c r="T1259" s="32" t="str">
        <f t="shared" si="77"/>
        <v>+6283240318***</v>
      </c>
      <c r="U1259" s="32" t="str">
        <f t="shared" ca="1" si="78"/>
        <v>pier***@yuhuumail.com</v>
      </c>
      <c r="V1259" s="32">
        <f t="shared" si="79"/>
        <v>21</v>
      </c>
      <c r="W1259" s="36">
        <f t="shared" si="80"/>
        <v>0.05</v>
      </c>
    </row>
    <row r="1260" spans="4:23" ht="27" customHeight="1" x14ac:dyDescent="0.25">
      <c r="D1260" s="14" t="s">
        <v>4770</v>
      </c>
      <c r="E1260" s="14" t="s">
        <v>4771</v>
      </c>
      <c r="F1260" s="84" t="s">
        <v>143</v>
      </c>
      <c r="G1260" s="15" t="s">
        <v>27</v>
      </c>
      <c r="H1260" s="16" t="s">
        <v>4772</v>
      </c>
      <c r="I1260" s="17"/>
      <c r="J1260" s="17"/>
      <c r="K1260" s="17"/>
      <c r="L1260" s="17"/>
      <c r="N1260" s="31">
        <v>1258</v>
      </c>
      <c r="O1260" s="32" t="s">
        <v>2086</v>
      </c>
      <c r="P1260" s="33" t="s">
        <v>31</v>
      </c>
      <c r="Q1260" s="32" t="s">
        <v>40</v>
      </c>
      <c r="R1260" s="69">
        <v>44272.971134259256</v>
      </c>
      <c r="S1260" s="71">
        <v>44318</v>
      </c>
      <c r="T1260" s="32" t="str">
        <f t="shared" si="77"/>
        <v>+6282276442***</v>
      </c>
      <c r="U1260" s="32" t="str">
        <f t="shared" ca="1" si="78"/>
        <v>stan***@yuhuumail.com</v>
      </c>
      <c r="V1260" s="32">
        <f t="shared" si="79"/>
        <v>21</v>
      </c>
      <c r="W1260" s="36">
        <f t="shared" si="80"/>
        <v>0.05</v>
      </c>
    </row>
    <row r="1261" spans="4:23" ht="27" customHeight="1" x14ac:dyDescent="0.25">
      <c r="D1261" s="14" t="s">
        <v>4773</v>
      </c>
      <c r="E1261" s="14" t="s">
        <v>4774</v>
      </c>
      <c r="F1261" s="84" t="s">
        <v>302</v>
      </c>
      <c r="G1261" s="15" t="s">
        <v>27</v>
      </c>
      <c r="H1261" s="16" t="s">
        <v>4775</v>
      </c>
      <c r="I1261" s="17"/>
      <c r="J1261" s="17"/>
      <c r="K1261" s="17"/>
      <c r="L1261" s="17"/>
      <c r="N1261" s="31">
        <v>1259</v>
      </c>
      <c r="O1261" s="32" t="s">
        <v>1437</v>
      </c>
      <c r="P1261" s="33" t="s">
        <v>31</v>
      </c>
      <c r="Q1261" s="32" t="s">
        <v>32</v>
      </c>
      <c r="R1261" s="69">
        <v>44272.975173611114</v>
      </c>
      <c r="S1261" s="71">
        <v>44362</v>
      </c>
      <c r="T1261" s="32" t="str">
        <f t="shared" si="77"/>
        <v>+6282258574***</v>
      </c>
      <c r="U1261" s="32" t="str">
        <f t="shared" ca="1" si="78"/>
        <v>jayd***@jossmail.com</v>
      </c>
      <c r="V1261" s="32">
        <f t="shared" si="79"/>
        <v>21</v>
      </c>
      <c r="W1261" s="36">
        <f t="shared" si="80"/>
        <v>0.05</v>
      </c>
    </row>
    <row r="1262" spans="4:23" ht="27" customHeight="1" x14ac:dyDescent="0.25">
      <c r="D1262" s="14" t="s">
        <v>4776</v>
      </c>
      <c r="E1262" s="14" t="s">
        <v>3966</v>
      </c>
      <c r="F1262" s="84" t="s">
        <v>194</v>
      </c>
      <c r="G1262" s="15" t="s">
        <v>68</v>
      </c>
      <c r="H1262" s="16" t="s">
        <v>4777</v>
      </c>
      <c r="I1262" s="17"/>
      <c r="J1262" s="17"/>
      <c r="K1262" s="17"/>
      <c r="L1262" s="17"/>
      <c r="N1262" s="31">
        <v>1260</v>
      </c>
      <c r="O1262" s="32" t="s">
        <v>4576</v>
      </c>
      <c r="P1262" s="33" t="s">
        <v>31</v>
      </c>
      <c r="Q1262" s="32" t="s">
        <v>40</v>
      </c>
      <c r="R1262" s="69">
        <v>44272.977418981478</v>
      </c>
      <c r="S1262" s="71">
        <v>44361</v>
      </c>
      <c r="T1262" s="32" t="str">
        <f t="shared" si="77"/>
        <v>+832 55983***</v>
      </c>
      <c r="U1262" s="32" t="str">
        <f t="shared" ca="1" si="78"/>
        <v>maci***@jossmail.com</v>
      </c>
      <c r="V1262" s="32">
        <f t="shared" si="79"/>
        <v>21</v>
      </c>
      <c r="W1262" s="36">
        <f t="shared" si="80"/>
        <v>0.05</v>
      </c>
    </row>
    <row r="1263" spans="4:23" ht="27" customHeight="1" x14ac:dyDescent="0.25">
      <c r="D1263" s="14" t="s">
        <v>4778</v>
      </c>
      <c r="E1263" s="14" t="s">
        <v>4779</v>
      </c>
      <c r="F1263" s="84" t="s">
        <v>188</v>
      </c>
      <c r="G1263" s="15" t="s">
        <v>27</v>
      </c>
      <c r="H1263" s="16" t="s">
        <v>4780</v>
      </c>
      <c r="I1263" s="17"/>
      <c r="J1263" s="17"/>
      <c r="K1263" s="17"/>
      <c r="L1263" s="17"/>
      <c r="N1263" s="31">
        <v>1261</v>
      </c>
      <c r="O1263" s="32" t="s">
        <v>3906</v>
      </c>
      <c r="P1263" s="33" t="s">
        <v>42</v>
      </c>
      <c r="Q1263" s="32" t="s">
        <v>32</v>
      </c>
      <c r="R1263" s="69">
        <v>44272.971226851849</v>
      </c>
      <c r="S1263" s="71">
        <v>44352</v>
      </c>
      <c r="T1263" s="32" t="str">
        <f t="shared" si="77"/>
        <v>+0852 70382***</v>
      </c>
      <c r="U1263" s="32" t="str">
        <f t="shared" ca="1" si="78"/>
        <v>gunn***@yuhuumail.com</v>
      </c>
      <c r="V1263" s="32">
        <f t="shared" si="79"/>
        <v>21</v>
      </c>
      <c r="W1263" s="36">
        <f t="shared" si="80"/>
        <v>0.05</v>
      </c>
    </row>
    <row r="1264" spans="4:23" ht="27" customHeight="1" x14ac:dyDescent="0.25">
      <c r="D1264" s="14" t="s">
        <v>4781</v>
      </c>
      <c r="E1264" s="14" t="s">
        <v>4782</v>
      </c>
      <c r="F1264" s="84" t="s">
        <v>332</v>
      </c>
      <c r="G1264" s="15" t="s">
        <v>27</v>
      </c>
      <c r="H1264" s="16" t="s">
        <v>4783</v>
      </c>
      <c r="I1264" s="17"/>
      <c r="J1264" s="17"/>
      <c r="K1264" s="17"/>
      <c r="L1264" s="17"/>
      <c r="N1264" s="31">
        <v>1262</v>
      </c>
      <c r="O1264" s="32" t="s">
        <v>4784</v>
      </c>
      <c r="P1264" s="33" t="s">
        <v>31</v>
      </c>
      <c r="Q1264" s="32" t="s">
        <v>40</v>
      </c>
      <c r="R1264" s="69">
        <v>44272.991805555554</v>
      </c>
      <c r="S1264" s="71">
        <v>44356</v>
      </c>
      <c r="T1264" s="32" t="str">
        <f t="shared" si="77"/>
        <v>+81240200***</v>
      </c>
      <c r="U1264" s="32" t="str">
        <f t="shared" ca="1" si="78"/>
        <v>josu***@yuhuumail.com</v>
      </c>
      <c r="V1264" s="32">
        <f t="shared" si="79"/>
        <v>21</v>
      </c>
      <c r="W1264" s="36">
        <f t="shared" si="80"/>
        <v>0.05</v>
      </c>
    </row>
    <row r="1265" spans="4:23" ht="27" customHeight="1" x14ac:dyDescent="0.25">
      <c r="D1265" s="14" t="s">
        <v>4785</v>
      </c>
      <c r="E1265" s="14" t="s">
        <v>2233</v>
      </c>
      <c r="F1265" s="84" t="s">
        <v>466</v>
      </c>
      <c r="G1265" s="15" t="s">
        <v>68</v>
      </c>
      <c r="H1265" s="16" t="s">
        <v>4786</v>
      </c>
      <c r="I1265" s="17"/>
      <c r="J1265" s="17"/>
      <c r="K1265" s="17"/>
      <c r="L1265" s="17"/>
      <c r="N1265" s="31">
        <v>1263</v>
      </c>
      <c r="O1265" s="32" t="s">
        <v>1157</v>
      </c>
      <c r="P1265" s="33" t="s">
        <v>31</v>
      </c>
      <c r="Q1265" s="32" t="s">
        <v>32</v>
      </c>
      <c r="R1265" s="69">
        <v>43997.592951388891</v>
      </c>
      <c r="S1265" s="71">
        <v>44318</v>
      </c>
      <c r="T1265" s="32" t="str">
        <f t="shared" si="77"/>
        <v>+0832-22396***</v>
      </c>
      <c r="U1265" s="32" t="str">
        <f t="shared" ca="1" si="78"/>
        <v>kami***@yuhuumail.com</v>
      </c>
      <c r="V1265" s="32">
        <f t="shared" si="79"/>
        <v>20</v>
      </c>
      <c r="W1265" s="36">
        <f t="shared" si="80"/>
        <v>0.05</v>
      </c>
    </row>
    <row r="1266" spans="4:23" ht="27" customHeight="1" x14ac:dyDescent="0.25">
      <c r="D1266" s="14" t="s">
        <v>4787</v>
      </c>
      <c r="E1266" s="14" t="s">
        <v>4788</v>
      </c>
      <c r="F1266" s="84" t="s">
        <v>280</v>
      </c>
      <c r="G1266" s="15" t="s">
        <v>68</v>
      </c>
      <c r="H1266" s="16" t="s">
        <v>4789</v>
      </c>
      <c r="I1266" s="17"/>
      <c r="J1266" s="17"/>
      <c r="K1266" s="17"/>
      <c r="L1266" s="17"/>
      <c r="N1266" s="31">
        <v>1264</v>
      </c>
      <c r="O1266" s="32" t="s">
        <v>4149</v>
      </c>
      <c r="P1266" s="33" t="s">
        <v>57</v>
      </c>
      <c r="Q1266" s="32" t="s">
        <v>40</v>
      </c>
      <c r="R1266" s="69">
        <v>44272.996446759258</v>
      </c>
      <c r="S1266" s="71">
        <v>44359</v>
      </c>
      <c r="T1266" s="32" t="str">
        <f t="shared" si="77"/>
        <v>+0832 69862***</v>
      </c>
      <c r="U1266" s="32" t="str">
        <f t="shared" ca="1" si="78"/>
        <v>holl***@jossmail.com</v>
      </c>
      <c r="V1266" s="32">
        <f t="shared" si="79"/>
        <v>21</v>
      </c>
      <c r="W1266" s="36">
        <f t="shared" si="80"/>
        <v>0.05</v>
      </c>
    </row>
    <row r="1267" spans="4:23" ht="27" customHeight="1" x14ac:dyDescent="0.25">
      <c r="D1267" s="14" t="s">
        <v>4790</v>
      </c>
      <c r="E1267" s="14" t="s">
        <v>1039</v>
      </c>
      <c r="F1267" s="84" t="s">
        <v>587</v>
      </c>
      <c r="G1267" s="15" t="s">
        <v>27</v>
      </c>
      <c r="H1267" s="16" t="s">
        <v>4791</v>
      </c>
      <c r="I1267" s="17"/>
      <c r="J1267" s="17"/>
      <c r="K1267" s="17"/>
      <c r="L1267" s="17"/>
      <c r="N1267" s="31">
        <v>1265</v>
      </c>
      <c r="O1267" s="32" t="s">
        <v>4792</v>
      </c>
      <c r="P1267" s="33" t="s">
        <v>42</v>
      </c>
      <c r="Q1267" s="32" t="s">
        <v>32</v>
      </c>
      <c r="R1267" s="69">
        <v>44273.002997685187</v>
      </c>
      <c r="S1267" s="71">
        <v>44362</v>
      </c>
      <c r="T1267" s="32" t="str">
        <f t="shared" si="77"/>
        <v>+0822-62178***</v>
      </c>
      <c r="U1267" s="32" t="str">
        <f t="shared" ca="1" si="78"/>
        <v>kenz***@jossmail.com</v>
      </c>
      <c r="V1267" s="32">
        <f t="shared" si="79"/>
        <v>21</v>
      </c>
      <c r="W1267" s="36">
        <f t="shared" si="80"/>
        <v>0.05</v>
      </c>
    </row>
    <row r="1268" spans="4:23" ht="27" customHeight="1" x14ac:dyDescent="0.25">
      <c r="D1268" s="14" t="s">
        <v>4793</v>
      </c>
      <c r="E1268" s="14" t="s">
        <v>4794</v>
      </c>
      <c r="F1268" s="84" t="s">
        <v>614</v>
      </c>
      <c r="G1268" s="15" t="s">
        <v>68</v>
      </c>
      <c r="H1268" s="16" t="s">
        <v>4795</v>
      </c>
      <c r="I1268" s="17"/>
      <c r="J1268" s="17"/>
      <c r="K1268" s="17"/>
      <c r="L1268" s="17"/>
      <c r="N1268" s="31">
        <v>1266</v>
      </c>
      <c r="O1268" s="32" t="s">
        <v>4796</v>
      </c>
      <c r="P1268" s="33" t="s">
        <v>57</v>
      </c>
      <c r="Q1268" s="32" t="s">
        <v>40</v>
      </c>
      <c r="R1268" s="69">
        <v>44272.743854166663</v>
      </c>
      <c r="S1268" s="71">
        <v>44351</v>
      </c>
      <c r="T1268" s="32" t="str">
        <f t="shared" si="77"/>
        <v>+6281216050***</v>
      </c>
      <c r="U1268" s="32" t="str">
        <f t="shared" ca="1" si="78"/>
        <v>joce***@yuhuumail.com</v>
      </c>
      <c r="V1268" s="32">
        <f t="shared" si="79"/>
        <v>21</v>
      </c>
      <c r="W1268" s="36">
        <f t="shared" si="80"/>
        <v>0.05</v>
      </c>
    </row>
    <row r="1269" spans="4:23" ht="27" customHeight="1" x14ac:dyDescent="0.25">
      <c r="D1269" s="14" t="s">
        <v>4797</v>
      </c>
      <c r="E1269" s="14" t="s">
        <v>4798</v>
      </c>
      <c r="F1269" s="84" t="s">
        <v>228</v>
      </c>
      <c r="G1269" s="15" t="s">
        <v>27</v>
      </c>
      <c r="H1269" s="16" t="s">
        <v>4799</v>
      </c>
      <c r="I1269" s="17"/>
      <c r="J1269" s="17"/>
      <c r="K1269" s="17"/>
      <c r="L1269" s="17"/>
      <c r="N1269" s="31">
        <v>1267</v>
      </c>
      <c r="O1269" s="32" t="s">
        <v>4800</v>
      </c>
      <c r="P1269" s="33" t="s">
        <v>57</v>
      </c>
      <c r="Q1269" s="32" t="s">
        <v>32</v>
      </c>
      <c r="R1269" s="69">
        <v>44273.011886574073</v>
      </c>
      <c r="S1269" s="71">
        <v>44362</v>
      </c>
      <c r="T1269" s="32" t="str">
        <f t="shared" si="77"/>
        <v>+84235457***</v>
      </c>
      <c r="U1269" s="32" t="str">
        <f t="shared" ca="1" si="78"/>
        <v>enzo***@yuhuumail.com</v>
      </c>
      <c r="V1269" s="32">
        <f t="shared" si="79"/>
        <v>21</v>
      </c>
      <c r="W1269" s="36">
        <f t="shared" si="80"/>
        <v>0.05</v>
      </c>
    </row>
    <row r="1270" spans="4:23" ht="27" customHeight="1" x14ac:dyDescent="0.25">
      <c r="D1270" s="14" t="s">
        <v>4801</v>
      </c>
      <c r="E1270" s="14" t="s">
        <v>2244</v>
      </c>
      <c r="F1270" s="84" t="s">
        <v>466</v>
      </c>
      <c r="G1270" s="15" t="s">
        <v>27</v>
      </c>
      <c r="H1270" s="16" t="s">
        <v>4802</v>
      </c>
      <c r="I1270" s="17"/>
      <c r="J1270" s="17"/>
      <c r="K1270" s="17"/>
      <c r="L1270" s="17"/>
      <c r="N1270" s="31">
        <v>1268</v>
      </c>
      <c r="O1270" s="32" t="s">
        <v>1606</v>
      </c>
      <c r="P1270" s="33" t="s">
        <v>31</v>
      </c>
      <c r="Q1270" s="32" t="s">
        <v>40</v>
      </c>
      <c r="R1270" s="69">
        <v>44273.023078703707</v>
      </c>
      <c r="S1270" s="71">
        <v>44318</v>
      </c>
      <c r="T1270" s="32" t="str">
        <f t="shared" si="77"/>
        <v>+6285253092***</v>
      </c>
      <c r="U1270" s="32" t="str">
        <f t="shared" ca="1" si="78"/>
        <v>luci***@yuhuumail.com</v>
      </c>
      <c r="V1270" s="32">
        <f t="shared" si="79"/>
        <v>21</v>
      </c>
      <c r="W1270" s="36">
        <f t="shared" si="80"/>
        <v>0.05</v>
      </c>
    </row>
    <row r="1271" spans="4:23" ht="27" customHeight="1" x14ac:dyDescent="0.25">
      <c r="D1271" s="14" t="s">
        <v>4803</v>
      </c>
      <c r="E1271" s="14" t="s">
        <v>4804</v>
      </c>
      <c r="F1271" s="84" t="s">
        <v>233</v>
      </c>
      <c r="G1271" s="15" t="s">
        <v>27</v>
      </c>
      <c r="H1271" s="16" t="s">
        <v>4805</v>
      </c>
      <c r="I1271" s="17"/>
      <c r="J1271" s="17"/>
      <c r="K1271" s="17"/>
      <c r="L1271" s="17"/>
      <c r="N1271" s="31">
        <v>1269</v>
      </c>
      <c r="O1271" s="32" t="s">
        <v>1493</v>
      </c>
      <c r="P1271" s="33" t="s">
        <v>42</v>
      </c>
      <c r="Q1271" s="32" t="s">
        <v>32</v>
      </c>
      <c r="R1271" s="69">
        <v>44256.946342592593</v>
      </c>
      <c r="S1271" s="71">
        <v>44352</v>
      </c>
      <c r="T1271" s="32" t="str">
        <f t="shared" si="77"/>
        <v>+085265150***</v>
      </c>
      <c r="U1271" s="32" t="str">
        <f t="shared" ca="1" si="78"/>
        <v>jayd***@yuhuumail.com</v>
      </c>
      <c r="V1271" s="32">
        <f t="shared" si="79"/>
        <v>21</v>
      </c>
      <c r="W1271" s="36">
        <f t="shared" si="80"/>
        <v>0.05</v>
      </c>
    </row>
    <row r="1272" spans="4:23" ht="27" customHeight="1" x14ac:dyDescent="0.25">
      <c r="D1272" s="14" t="s">
        <v>4806</v>
      </c>
      <c r="E1272" s="14" t="s">
        <v>4807</v>
      </c>
      <c r="F1272" s="84" t="s">
        <v>46</v>
      </c>
      <c r="G1272" s="15" t="s">
        <v>27</v>
      </c>
      <c r="H1272" s="16" t="s">
        <v>4808</v>
      </c>
      <c r="I1272" s="17"/>
      <c r="J1272" s="17"/>
      <c r="K1272" s="17"/>
      <c r="L1272" s="17"/>
      <c r="N1272" s="31">
        <v>1270</v>
      </c>
      <c r="O1272" s="32" t="s">
        <v>4809</v>
      </c>
      <c r="P1272" s="33" t="s">
        <v>42</v>
      </c>
      <c r="Q1272" s="32" t="s">
        <v>40</v>
      </c>
      <c r="R1272" s="69">
        <v>44273.058495370373</v>
      </c>
      <c r="S1272" s="71">
        <v>44359</v>
      </c>
      <c r="T1272" s="32" t="str">
        <f t="shared" si="77"/>
        <v>+6284256853***</v>
      </c>
      <c r="U1272" s="32" t="str">
        <f t="shared" ca="1" si="78"/>
        <v>jayl***@jossmail.com</v>
      </c>
      <c r="V1272" s="32">
        <f t="shared" si="79"/>
        <v>21</v>
      </c>
      <c r="W1272" s="36">
        <f t="shared" si="80"/>
        <v>0.05</v>
      </c>
    </row>
    <row r="1273" spans="4:23" ht="27" customHeight="1" x14ac:dyDescent="0.25">
      <c r="D1273" s="14" t="s">
        <v>4810</v>
      </c>
      <c r="E1273" s="14" t="s">
        <v>4097</v>
      </c>
      <c r="F1273" s="84" t="s">
        <v>239</v>
      </c>
      <c r="G1273" s="15" t="s">
        <v>27</v>
      </c>
      <c r="H1273" s="16" t="s">
        <v>4811</v>
      </c>
      <c r="I1273" s="17"/>
      <c r="J1273" s="17"/>
      <c r="K1273" s="17"/>
      <c r="L1273" s="17"/>
      <c r="N1273" s="31">
        <v>1271</v>
      </c>
      <c r="O1273" s="32" t="s">
        <v>4812</v>
      </c>
      <c r="P1273" s="33" t="s">
        <v>57</v>
      </c>
      <c r="Q1273" s="32" t="s">
        <v>32</v>
      </c>
      <c r="R1273" s="69">
        <v>44213.885324074072</v>
      </c>
      <c r="S1273" s="35">
        <v>44356</v>
      </c>
      <c r="T1273" s="32" t="str">
        <f t="shared" si="77"/>
        <v>+812 28827***</v>
      </c>
      <c r="U1273" s="32" t="str">
        <f t="shared" ca="1" si="78"/>
        <v>mcke***@jossmail.com</v>
      </c>
      <c r="V1273" s="32">
        <f t="shared" si="79"/>
        <v>21</v>
      </c>
      <c r="W1273" s="36">
        <f t="shared" si="80"/>
        <v>0.05</v>
      </c>
    </row>
    <row r="1274" spans="4:23" ht="27" customHeight="1" x14ac:dyDescent="0.25">
      <c r="D1274" s="14" t="s">
        <v>4813</v>
      </c>
      <c r="E1274" s="14" t="s">
        <v>4056</v>
      </c>
      <c r="F1274" s="84" t="s">
        <v>194</v>
      </c>
      <c r="G1274" s="15" t="s">
        <v>27</v>
      </c>
      <c r="H1274" s="16" t="s">
        <v>4814</v>
      </c>
      <c r="I1274" s="17"/>
      <c r="J1274" s="17"/>
      <c r="K1274" s="17"/>
      <c r="L1274" s="17"/>
      <c r="N1274" s="31">
        <v>1272</v>
      </c>
      <c r="O1274" s="32" t="s">
        <v>1966</v>
      </c>
      <c r="P1274" s="33" t="s">
        <v>42</v>
      </c>
      <c r="Q1274" s="32" t="s">
        <v>40</v>
      </c>
      <c r="R1274" s="69">
        <v>44273.098217592589</v>
      </c>
      <c r="S1274" s="35">
        <v>44356</v>
      </c>
      <c r="T1274" s="32" t="str">
        <f t="shared" si="77"/>
        <v>+082267772***</v>
      </c>
      <c r="U1274" s="32" t="str">
        <f t="shared" ca="1" si="78"/>
        <v>rode***@yuhuumail.com</v>
      </c>
      <c r="V1274" s="32">
        <f t="shared" si="79"/>
        <v>21</v>
      </c>
      <c r="W1274" s="36">
        <f t="shared" si="80"/>
        <v>0.05</v>
      </c>
    </row>
    <row r="1275" spans="4:23" ht="27" customHeight="1" x14ac:dyDescent="0.25">
      <c r="D1275" s="14" t="s">
        <v>4815</v>
      </c>
      <c r="E1275" s="14" t="s">
        <v>1702</v>
      </c>
      <c r="F1275" s="84" t="s">
        <v>781</v>
      </c>
      <c r="G1275" s="15" t="s">
        <v>27</v>
      </c>
      <c r="H1275" s="16" t="s">
        <v>4816</v>
      </c>
      <c r="I1275" s="17"/>
      <c r="J1275" s="17"/>
      <c r="K1275" s="17"/>
      <c r="L1275" s="17"/>
      <c r="N1275" s="31">
        <v>1273</v>
      </c>
      <c r="O1275" s="32" t="s">
        <v>4817</v>
      </c>
      <c r="P1275" s="33" t="s">
        <v>57</v>
      </c>
      <c r="Q1275" s="32" t="s">
        <v>32</v>
      </c>
      <c r="R1275" s="69">
        <v>44273.127557870372</v>
      </c>
      <c r="S1275" s="35">
        <v>44362</v>
      </c>
      <c r="T1275" s="32" t="str">
        <f t="shared" si="77"/>
        <v>+81286177***</v>
      </c>
      <c r="U1275" s="32" t="str">
        <f t="shared" ca="1" si="78"/>
        <v>tren***@yuhuumail.com</v>
      </c>
      <c r="V1275" s="32">
        <f t="shared" si="79"/>
        <v>21</v>
      </c>
      <c r="W1275" s="36">
        <f t="shared" si="80"/>
        <v>0.05</v>
      </c>
    </row>
    <row r="1276" spans="4:23" ht="27" customHeight="1" x14ac:dyDescent="0.25">
      <c r="D1276" s="14" t="s">
        <v>4818</v>
      </c>
      <c r="E1276" s="14" t="s">
        <v>4169</v>
      </c>
      <c r="F1276" s="84" t="s">
        <v>239</v>
      </c>
      <c r="G1276" s="15" t="s">
        <v>27</v>
      </c>
      <c r="H1276" s="16" t="s">
        <v>4819</v>
      </c>
      <c r="I1276" s="17"/>
      <c r="J1276" s="17"/>
      <c r="K1276" s="17"/>
      <c r="L1276" s="17"/>
      <c r="N1276" s="31">
        <v>1274</v>
      </c>
      <c r="O1276" s="32" t="s">
        <v>4210</v>
      </c>
      <c r="P1276" s="33" t="s">
        <v>57</v>
      </c>
      <c r="Q1276" s="32" t="s">
        <v>40</v>
      </c>
      <c r="R1276" s="69">
        <v>43942.666597222225</v>
      </c>
      <c r="S1276" s="35">
        <v>44320</v>
      </c>
      <c r="T1276" s="32" t="str">
        <f t="shared" si="77"/>
        <v>+6282284969***</v>
      </c>
      <c r="U1276" s="32" t="str">
        <f t="shared" ca="1" si="78"/>
        <v>kare***@yuhuumail.com</v>
      </c>
      <c r="V1276" s="32">
        <f t="shared" si="79"/>
        <v>20</v>
      </c>
      <c r="W1276" s="36">
        <f t="shared" si="80"/>
        <v>6.5000000000000002E-2</v>
      </c>
    </row>
    <row r="1277" spans="4:23" ht="27" customHeight="1" x14ac:dyDescent="0.25">
      <c r="D1277" s="14" t="s">
        <v>4820</v>
      </c>
      <c r="E1277" s="14" t="s">
        <v>2825</v>
      </c>
      <c r="F1277" s="84" t="s">
        <v>422</v>
      </c>
      <c r="G1277" s="15" t="s">
        <v>68</v>
      </c>
      <c r="H1277" s="16" t="s">
        <v>4821</v>
      </c>
      <c r="I1277" s="17"/>
      <c r="J1277" s="17"/>
      <c r="K1277" s="17"/>
      <c r="L1277" s="17"/>
      <c r="N1277" s="31">
        <v>1275</v>
      </c>
      <c r="O1277" s="32" t="s">
        <v>3229</v>
      </c>
      <c r="P1277" s="33" t="s">
        <v>42</v>
      </c>
      <c r="Q1277" s="32" t="s">
        <v>32</v>
      </c>
      <c r="R1277" s="69">
        <v>44273.256157407406</v>
      </c>
      <c r="S1277" s="35">
        <v>44356</v>
      </c>
      <c r="T1277" s="32" t="str">
        <f t="shared" si="77"/>
        <v>+085270870***</v>
      </c>
      <c r="U1277" s="32" t="str">
        <f t="shared" ca="1" si="78"/>
        <v>aver***@jossmail.com</v>
      </c>
      <c r="V1277" s="32">
        <f t="shared" si="79"/>
        <v>21</v>
      </c>
      <c r="W1277" s="36">
        <f t="shared" si="80"/>
        <v>0.05</v>
      </c>
    </row>
    <row r="1278" spans="4:23" ht="27" customHeight="1" x14ac:dyDescent="0.25">
      <c r="D1278" s="14" t="s">
        <v>4822</v>
      </c>
      <c r="E1278" s="14" t="s">
        <v>865</v>
      </c>
      <c r="F1278" s="84" t="s">
        <v>719</v>
      </c>
      <c r="G1278" s="15" t="s">
        <v>68</v>
      </c>
      <c r="H1278" s="16" t="s">
        <v>4823</v>
      </c>
      <c r="I1278" s="17"/>
      <c r="J1278" s="17"/>
      <c r="K1278" s="17"/>
      <c r="L1278" s="17"/>
      <c r="N1278" s="31">
        <v>1276</v>
      </c>
      <c r="O1278" s="32" t="s">
        <v>4824</v>
      </c>
      <c r="P1278" s="33" t="s">
        <v>57</v>
      </c>
      <c r="Q1278" s="32" t="s">
        <v>40</v>
      </c>
      <c r="R1278" s="69">
        <v>44273.246168981481</v>
      </c>
      <c r="S1278" s="35">
        <v>44320</v>
      </c>
      <c r="T1278" s="32" t="str">
        <f t="shared" si="77"/>
        <v>+084255801***</v>
      </c>
      <c r="U1278" s="32" t="str">
        <f t="shared" ca="1" si="78"/>
        <v>yose***@jossmail.com</v>
      </c>
      <c r="V1278" s="32">
        <f t="shared" si="79"/>
        <v>21</v>
      </c>
      <c r="W1278" s="36">
        <f t="shared" si="80"/>
        <v>0.05</v>
      </c>
    </row>
    <row r="1279" spans="4:23" ht="27" customHeight="1" x14ac:dyDescent="0.25">
      <c r="D1279" s="14" t="s">
        <v>4825</v>
      </c>
      <c r="E1279" s="14" t="s">
        <v>4570</v>
      </c>
      <c r="F1279" s="84" t="s">
        <v>1118</v>
      </c>
      <c r="G1279" s="15" t="s">
        <v>68</v>
      </c>
      <c r="H1279" s="16" t="s">
        <v>4826</v>
      </c>
      <c r="I1279" s="17"/>
      <c r="J1279" s="17"/>
      <c r="K1279" s="17"/>
      <c r="L1279" s="17"/>
      <c r="N1279" s="31">
        <v>1277</v>
      </c>
      <c r="O1279" s="32" t="s">
        <v>4827</v>
      </c>
      <c r="P1279" s="33" t="s">
        <v>31</v>
      </c>
      <c r="Q1279" s="32" t="s">
        <v>32</v>
      </c>
      <c r="R1279" s="69">
        <v>43258.164629629631</v>
      </c>
      <c r="S1279" s="35">
        <v>44320</v>
      </c>
      <c r="T1279" s="32" t="str">
        <f t="shared" si="77"/>
        <v>+0822-64019***</v>
      </c>
      <c r="U1279" s="32" t="str">
        <f t="shared" ca="1" si="78"/>
        <v>elle***@jossmail.com</v>
      </c>
      <c r="V1279" s="32">
        <f t="shared" si="79"/>
        <v>18</v>
      </c>
      <c r="W1279" s="36">
        <f t="shared" si="80"/>
        <v>1.4999999999999999E-2</v>
      </c>
    </row>
    <row r="1280" spans="4:23" ht="27" customHeight="1" x14ac:dyDescent="0.25">
      <c r="D1280" s="14" t="s">
        <v>4828</v>
      </c>
      <c r="E1280" s="14" t="s">
        <v>4829</v>
      </c>
      <c r="F1280" s="84" t="s">
        <v>302</v>
      </c>
      <c r="G1280" s="15" t="s">
        <v>27</v>
      </c>
      <c r="H1280" s="16" t="s">
        <v>4830</v>
      </c>
      <c r="I1280" s="17"/>
      <c r="J1280" s="17"/>
      <c r="K1280" s="17"/>
      <c r="L1280" s="17"/>
      <c r="N1280" s="31">
        <v>1278</v>
      </c>
      <c r="O1280" s="32" t="s">
        <v>4831</v>
      </c>
      <c r="P1280" s="33" t="s">
        <v>42</v>
      </c>
      <c r="Q1280" s="32" t="s">
        <v>40</v>
      </c>
      <c r="R1280" s="69">
        <v>44273.324502314812</v>
      </c>
      <c r="S1280" s="35">
        <v>44356</v>
      </c>
      <c r="T1280" s="32" t="str">
        <f t="shared" si="77"/>
        <v>+0822 33768***</v>
      </c>
      <c r="U1280" s="32" t="str">
        <f t="shared" ca="1" si="78"/>
        <v>liam***@jossmail.com</v>
      </c>
      <c r="V1280" s="32">
        <f t="shared" si="79"/>
        <v>21</v>
      </c>
      <c r="W1280" s="36">
        <f t="shared" si="80"/>
        <v>0.05</v>
      </c>
    </row>
    <row r="1281" spans="4:23" ht="27" customHeight="1" x14ac:dyDescent="0.25">
      <c r="D1281" s="14" t="s">
        <v>4832</v>
      </c>
      <c r="E1281" s="14" t="s">
        <v>1663</v>
      </c>
      <c r="F1281" s="84" t="s">
        <v>781</v>
      </c>
      <c r="G1281" s="15" t="s">
        <v>27</v>
      </c>
      <c r="H1281" s="16" t="s">
        <v>4833</v>
      </c>
      <c r="I1281" s="17"/>
      <c r="J1281" s="17"/>
      <c r="K1281" s="17"/>
      <c r="L1281" s="17"/>
      <c r="N1281" s="31">
        <v>1279</v>
      </c>
      <c r="O1281" s="32" t="s">
        <v>443</v>
      </c>
      <c r="P1281" s="33" t="s">
        <v>31</v>
      </c>
      <c r="Q1281" s="32" t="s">
        <v>32</v>
      </c>
      <c r="R1281" s="69">
        <v>44273.343449074076</v>
      </c>
      <c r="S1281" s="35">
        <v>44353</v>
      </c>
      <c r="T1281" s="32" t="str">
        <f t="shared" si="77"/>
        <v>+0822-61942***</v>
      </c>
      <c r="U1281" s="32" t="str">
        <f t="shared" ca="1" si="78"/>
        <v>edwa***@yuhuumail.com</v>
      </c>
      <c r="V1281" s="32">
        <f t="shared" si="79"/>
        <v>21</v>
      </c>
      <c r="W1281" s="36">
        <f t="shared" si="80"/>
        <v>0.05</v>
      </c>
    </row>
    <row r="1282" spans="4:23" ht="27" customHeight="1" x14ac:dyDescent="0.25">
      <c r="D1282" s="14" t="s">
        <v>4834</v>
      </c>
      <c r="E1282" s="14" t="s">
        <v>2592</v>
      </c>
      <c r="F1282" s="84" t="s">
        <v>834</v>
      </c>
      <c r="G1282" s="15" t="s">
        <v>68</v>
      </c>
      <c r="H1282" s="16" t="s">
        <v>4835</v>
      </c>
      <c r="I1282" s="17"/>
      <c r="J1282" s="17"/>
      <c r="K1282" s="17"/>
      <c r="L1282" s="17"/>
      <c r="N1282" s="31">
        <v>1280</v>
      </c>
      <c r="O1282" s="32" t="s">
        <v>4836</v>
      </c>
      <c r="P1282" s="33" t="s">
        <v>57</v>
      </c>
      <c r="Q1282" s="32" t="s">
        <v>40</v>
      </c>
      <c r="R1282" s="69">
        <v>44024.447488425925</v>
      </c>
      <c r="S1282" s="35">
        <v>44352</v>
      </c>
      <c r="T1282" s="32" t="str">
        <f t="shared" si="77"/>
        <v>+0852 88628***</v>
      </c>
      <c r="U1282" s="32" t="str">
        <f t="shared" ca="1" si="78"/>
        <v>marc***@jossmail.com</v>
      </c>
      <c r="V1282" s="32">
        <f t="shared" si="79"/>
        <v>20</v>
      </c>
      <c r="W1282" s="36">
        <f t="shared" si="80"/>
        <v>0.05</v>
      </c>
    </row>
    <row r="1283" spans="4:23" ht="27" customHeight="1" x14ac:dyDescent="0.25">
      <c r="D1283" s="14" t="s">
        <v>4837</v>
      </c>
      <c r="E1283" s="14" t="s">
        <v>3767</v>
      </c>
      <c r="F1283" s="84" t="s">
        <v>471</v>
      </c>
      <c r="G1283" s="15" t="s">
        <v>27</v>
      </c>
      <c r="H1283" s="16" t="s">
        <v>4838</v>
      </c>
      <c r="I1283" s="17"/>
      <c r="J1283" s="17"/>
      <c r="K1283" s="17"/>
      <c r="L1283" s="17"/>
      <c r="N1283" s="31">
        <v>1281</v>
      </c>
      <c r="O1283" s="32" t="s">
        <v>4839</v>
      </c>
      <c r="P1283" s="33" t="s">
        <v>57</v>
      </c>
      <c r="Q1283" s="32" t="s">
        <v>32</v>
      </c>
      <c r="R1283" s="69">
        <v>44272.766782407409</v>
      </c>
      <c r="S1283" s="35">
        <v>44359</v>
      </c>
      <c r="T1283" s="32" t="str">
        <f t="shared" si="77"/>
        <v>+0812 56148***</v>
      </c>
      <c r="U1283" s="32" t="str">
        <f t="shared" ca="1" si="78"/>
        <v>kael***@yuhuumail.com</v>
      </c>
      <c r="V1283" s="32">
        <f t="shared" si="79"/>
        <v>21</v>
      </c>
      <c r="W1283" s="36">
        <f t="shared" si="80"/>
        <v>0.05</v>
      </c>
    </row>
    <row r="1284" spans="4:23" ht="27" customHeight="1" x14ac:dyDescent="0.25">
      <c r="D1284" s="14" t="s">
        <v>4840</v>
      </c>
      <c r="E1284" s="14" t="s">
        <v>4841</v>
      </c>
      <c r="F1284" s="84" t="s">
        <v>386</v>
      </c>
      <c r="G1284" s="15" t="s">
        <v>27</v>
      </c>
      <c r="H1284" s="16" t="s">
        <v>4842</v>
      </c>
      <c r="I1284" s="17"/>
      <c r="J1284" s="17"/>
      <c r="K1284" s="17"/>
      <c r="L1284" s="17"/>
      <c r="N1284" s="31">
        <v>1282</v>
      </c>
      <c r="O1284" s="32" t="s">
        <v>1338</v>
      </c>
      <c r="P1284" s="33" t="s">
        <v>31</v>
      </c>
      <c r="Q1284" s="32" t="s">
        <v>40</v>
      </c>
      <c r="R1284" s="69">
        <v>44273.353784722225</v>
      </c>
      <c r="S1284" s="35">
        <v>44320</v>
      </c>
      <c r="T1284" s="32" t="str">
        <f t="shared" si="77"/>
        <v>+6284240427***</v>
      </c>
      <c r="U1284" s="32" t="str">
        <f t="shared" ca="1" si="78"/>
        <v>terr***@jossmail.com</v>
      </c>
      <c r="V1284" s="32">
        <f t="shared" si="79"/>
        <v>21</v>
      </c>
      <c r="W1284" s="36">
        <f t="shared" si="80"/>
        <v>0.05</v>
      </c>
    </row>
    <row r="1285" spans="4:23" ht="27" customHeight="1" x14ac:dyDescent="0.25">
      <c r="D1285" s="14" t="s">
        <v>4843</v>
      </c>
      <c r="E1285" s="14" t="s">
        <v>4844</v>
      </c>
      <c r="F1285" s="84" t="s">
        <v>524</v>
      </c>
      <c r="G1285" s="15" t="s">
        <v>68</v>
      </c>
      <c r="H1285" s="16" t="s">
        <v>4845</v>
      </c>
      <c r="I1285" s="17"/>
      <c r="J1285" s="17"/>
      <c r="K1285" s="17"/>
      <c r="L1285" s="17"/>
      <c r="N1285" s="31">
        <v>1283</v>
      </c>
      <c r="O1285" s="32" t="s">
        <v>4846</v>
      </c>
      <c r="P1285" s="33" t="s">
        <v>31</v>
      </c>
      <c r="Q1285" s="32" t="s">
        <v>32</v>
      </c>
      <c r="R1285" s="69">
        <v>43702.98982638889</v>
      </c>
      <c r="S1285" s="35">
        <v>44352</v>
      </c>
      <c r="T1285" s="32" t="str">
        <f t="shared" ref="T1285:T1348" si="81">"+"&amp;_xlfn.XLOOKUP($O1285, $E$2:$E$3002, $H$2:$H$3002, "Not Found")</f>
        <v>+081269266***</v>
      </c>
      <c r="U1285" s="32" t="str">
        <f t="shared" ref="U1285:U1348" ca="1" si="82" xml:space="preserve"> LOWER(LEFT(_xlfn.XLOOKUP($O1285, $E$2:$E$3002, $D$2:$D$3002), 4))
  &amp; "***@"
  &amp; IF(RAND()&gt;0.5, "jossmail.com", "yuhuumail.com")</f>
        <v>dani***@jossmail.com</v>
      </c>
      <c r="V1285" s="32">
        <f t="shared" ref="V1285:V1348" si="83">DATEDIF(_xlfn.XLOOKUP($O1285, $E$2:$E$3002, $F$2:$F$3002), $R1285, "Y")</f>
        <v>19</v>
      </c>
      <c r="W1285" s="36">
        <f t="shared" ref="W1285:W1348" si="84">IF(DATEDIF($R1285, $S1285, "Y") &gt;= 3, 0.025,
   IF(DATEDIF($R1285, $S1285, "Y") &gt;= 1, 0.015, 0)) +
 IF($V1285 &gt;= 50, 0.04,
   IF($V1285 &gt;= 40, 0.03,
     IF($V1285 &gt;= 30, 0.02,
       IF($V1285 &gt;= 20, 0.05, 0))))</f>
        <v>1.4999999999999999E-2</v>
      </c>
    </row>
    <row r="1286" spans="4:23" ht="27" customHeight="1" x14ac:dyDescent="0.25">
      <c r="D1286" s="14" t="s">
        <v>4847</v>
      </c>
      <c r="E1286" s="14" t="s">
        <v>4848</v>
      </c>
      <c r="F1286" s="84" t="s">
        <v>887</v>
      </c>
      <c r="G1286" s="15" t="s">
        <v>27</v>
      </c>
      <c r="H1286" s="16" t="s">
        <v>4849</v>
      </c>
      <c r="I1286" s="17"/>
      <c r="J1286" s="17"/>
      <c r="K1286" s="17"/>
      <c r="L1286" s="17"/>
      <c r="N1286" s="31">
        <v>1284</v>
      </c>
      <c r="O1286" s="32" t="s">
        <v>1237</v>
      </c>
      <c r="P1286" s="33" t="s">
        <v>31</v>
      </c>
      <c r="Q1286" s="32" t="s">
        <v>40</v>
      </c>
      <c r="R1286" s="69">
        <v>44273.370324074072</v>
      </c>
      <c r="S1286" s="35">
        <v>44359</v>
      </c>
      <c r="T1286" s="32" t="str">
        <f t="shared" si="81"/>
        <v>+84260616***</v>
      </c>
      <c r="U1286" s="32" t="str">
        <f t="shared" ca="1" si="82"/>
        <v>jayd***@jossmail.com</v>
      </c>
      <c r="V1286" s="32">
        <f t="shared" si="83"/>
        <v>21</v>
      </c>
      <c r="W1286" s="36">
        <f t="shared" si="84"/>
        <v>0.05</v>
      </c>
    </row>
    <row r="1287" spans="4:23" ht="27" customHeight="1" x14ac:dyDescent="0.25">
      <c r="D1287" s="14" t="s">
        <v>4850</v>
      </c>
      <c r="E1287" s="14" t="s">
        <v>4851</v>
      </c>
      <c r="F1287" s="84" t="s">
        <v>1572</v>
      </c>
      <c r="G1287" s="15" t="s">
        <v>27</v>
      </c>
      <c r="H1287" s="16" t="s">
        <v>4852</v>
      </c>
      <c r="I1287" s="17"/>
      <c r="J1287" s="17"/>
      <c r="K1287" s="17"/>
      <c r="L1287" s="17"/>
      <c r="N1287" s="31">
        <v>1285</v>
      </c>
      <c r="O1287" s="32" t="s">
        <v>2108</v>
      </c>
      <c r="P1287" s="33" t="s">
        <v>57</v>
      </c>
      <c r="Q1287" s="32" t="s">
        <v>32</v>
      </c>
      <c r="R1287" s="69">
        <v>44273.375474537039</v>
      </c>
      <c r="S1287" s="71">
        <v>44354</v>
      </c>
      <c r="T1287" s="32" t="str">
        <f t="shared" si="81"/>
        <v>+0842-51529***</v>
      </c>
      <c r="U1287" s="32" t="str">
        <f t="shared" ca="1" si="82"/>
        <v>jaco***@yuhuumail.com</v>
      </c>
      <c r="V1287" s="32">
        <f t="shared" si="83"/>
        <v>21</v>
      </c>
      <c r="W1287" s="36">
        <f t="shared" si="84"/>
        <v>0.05</v>
      </c>
    </row>
    <row r="1288" spans="4:23" ht="27" customHeight="1" x14ac:dyDescent="0.25">
      <c r="D1288" s="14" t="s">
        <v>4853</v>
      </c>
      <c r="E1288" s="14" t="s">
        <v>4854</v>
      </c>
      <c r="F1288" s="84" t="s">
        <v>670</v>
      </c>
      <c r="G1288" s="15" t="s">
        <v>27</v>
      </c>
      <c r="H1288" s="16" t="s">
        <v>4855</v>
      </c>
      <c r="I1288" s="17"/>
      <c r="J1288" s="17"/>
      <c r="K1288" s="17"/>
      <c r="L1288" s="17"/>
      <c r="N1288" s="31">
        <v>1286</v>
      </c>
      <c r="O1288" s="32" t="s">
        <v>4591</v>
      </c>
      <c r="P1288" s="33" t="s">
        <v>57</v>
      </c>
      <c r="Q1288" s="32" t="s">
        <v>40</v>
      </c>
      <c r="R1288" s="69">
        <v>44273.385405092595</v>
      </c>
      <c r="S1288" s="71">
        <v>44359</v>
      </c>
      <c r="T1288" s="32" t="str">
        <f t="shared" si="81"/>
        <v>+083268445***</v>
      </c>
      <c r="U1288" s="32" t="str">
        <f t="shared" ca="1" si="82"/>
        <v>ayli***@yuhuumail.com</v>
      </c>
      <c r="V1288" s="32">
        <f t="shared" si="83"/>
        <v>21</v>
      </c>
      <c r="W1288" s="36">
        <f t="shared" si="84"/>
        <v>0.05</v>
      </c>
    </row>
    <row r="1289" spans="4:23" ht="27" customHeight="1" x14ac:dyDescent="0.25">
      <c r="D1289" s="14" t="s">
        <v>4856</v>
      </c>
      <c r="E1289" s="14" t="s">
        <v>4857</v>
      </c>
      <c r="F1289" s="84" t="s">
        <v>51</v>
      </c>
      <c r="G1289" s="15" t="s">
        <v>27</v>
      </c>
      <c r="H1289" s="16" t="s">
        <v>4858</v>
      </c>
      <c r="I1289" s="17"/>
      <c r="J1289" s="17"/>
      <c r="K1289" s="17"/>
      <c r="L1289" s="17"/>
      <c r="N1289" s="31">
        <v>1287</v>
      </c>
      <c r="O1289" s="32" t="s">
        <v>1805</v>
      </c>
      <c r="P1289" s="33" t="s">
        <v>31</v>
      </c>
      <c r="Q1289" s="32" t="s">
        <v>32</v>
      </c>
      <c r="R1289" s="69">
        <v>44272.923229166663</v>
      </c>
      <c r="S1289" s="71">
        <v>44362</v>
      </c>
      <c r="T1289" s="32" t="str">
        <f t="shared" si="81"/>
        <v>+6283287805***</v>
      </c>
      <c r="U1289" s="32" t="str">
        <f t="shared" ca="1" si="82"/>
        <v>jamy***@yuhuumail.com</v>
      </c>
      <c r="V1289" s="32">
        <f t="shared" si="83"/>
        <v>21</v>
      </c>
      <c r="W1289" s="36">
        <f t="shared" si="84"/>
        <v>0.05</v>
      </c>
    </row>
    <row r="1290" spans="4:23" ht="27" customHeight="1" x14ac:dyDescent="0.25">
      <c r="D1290" s="14" t="s">
        <v>4859</v>
      </c>
      <c r="E1290" s="14" t="s">
        <v>2610</v>
      </c>
      <c r="F1290" s="84" t="s">
        <v>834</v>
      </c>
      <c r="G1290" s="15" t="s">
        <v>27</v>
      </c>
      <c r="H1290" s="16" t="s">
        <v>4860</v>
      </c>
      <c r="I1290" s="17"/>
      <c r="J1290" s="17"/>
      <c r="K1290" s="17"/>
      <c r="L1290" s="17"/>
      <c r="N1290" s="31">
        <v>1288</v>
      </c>
      <c r="O1290" s="32" t="s">
        <v>4861</v>
      </c>
      <c r="P1290" s="33" t="s">
        <v>57</v>
      </c>
      <c r="Q1290" s="32" t="s">
        <v>40</v>
      </c>
      <c r="R1290" s="69">
        <v>44273.388738425929</v>
      </c>
      <c r="S1290" s="71">
        <v>44354</v>
      </c>
      <c r="T1290" s="32" t="str">
        <f t="shared" si="81"/>
        <v>+0842-69333***</v>
      </c>
      <c r="U1290" s="32" t="str">
        <f t="shared" ca="1" si="82"/>
        <v>dais***@yuhuumail.com</v>
      </c>
      <c r="V1290" s="32">
        <f t="shared" si="83"/>
        <v>21</v>
      </c>
      <c r="W1290" s="36">
        <f t="shared" si="84"/>
        <v>0.05</v>
      </c>
    </row>
    <row r="1291" spans="4:23" ht="27" customHeight="1" x14ac:dyDescent="0.25">
      <c r="D1291" s="14" t="s">
        <v>4862</v>
      </c>
      <c r="E1291" s="14" t="s">
        <v>4863</v>
      </c>
      <c r="F1291" s="84" t="s">
        <v>251</v>
      </c>
      <c r="G1291" s="15" t="s">
        <v>27</v>
      </c>
      <c r="H1291" s="16" t="s">
        <v>4864</v>
      </c>
      <c r="I1291" s="17"/>
      <c r="J1291" s="17"/>
      <c r="K1291" s="17"/>
      <c r="L1291" s="17"/>
      <c r="N1291" s="31">
        <v>1289</v>
      </c>
      <c r="O1291" s="32" t="s">
        <v>4865</v>
      </c>
      <c r="P1291" s="33" t="s">
        <v>42</v>
      </c>
      <c r="Q1291" s="32" t="s">
        <v>32</v>
      </c>
      <c r="R1291" s="69">
        <v>44273.392222222225</v>
      </c>
      <c r="S1291" s="71">
        <v>44362</v>
      </c>
      <c r="T1291" s="32" t="str">
        <f t="shared" si="81"/>
        <v>+85262184***</v>
      </c>
      <c r="U1291" s="32" t="str">
        <f t="shared" ca="1" si="82"/>
        <v>neve***@jossmail.com</v>
      </c>
      <c r="V1291" s="32">
        <f t="shared" si="83"/>
        <v>21</v>
      </c>
      <c r="W1291" s="36">
        <f t="shared" si="84"/>
        <v>0.05</v>
      </c>
    </row>
    <row r="1292" spans="4:23" ht="27" customHeight="1" x14ac:dyDescent="0.25">
      <c r="D1292" s="14" t="s">
        <v>4866</v>
      </c>
      <c r="E1292" s="14" t="s">
        <v>4867</v>
      </c>
      <c r="F1292" s="84" t="s">
        <v>74</v>
      </c>
      <c r="G1292" s="15" t="s">
        <v>27</v>
      </c>
      <c r="H1292" s="16" t="s">
        <v>4868</v>
      </c>
      <c r="I1292" s="17"/>
      <c r="J1292" s="17"/>
      <c r="K1292" s="17"/>
      <c r="L1292" s="17"/>
      <c r="N1292" s="31">
        <v>1290</v>
      </c>
      <c r="O1292" s="32" t="s">
        <v>4869</v>
      </c>
      <c r="P1292" s="33" t="s">
        <v>57</v>
      </c>
      <c r="Q1292" s="32" t="s">
        <v>40</v>
      </c>
      <c r="R1292" s="69">
        <v>44273.403090277781</v>
      </c>
      <c r="S1292" s="71">
        <v>44318</v>
      </c>
      <c r="T1292" s="32" t="str">
        <f t="shared" si="81"/>
        <v>+6285236859***</v>
      </c>
      <c r="U1292" s="32" t="str">
        <f t="shared" ca="1" si="82"/>
        <v>enri***@jossmail.com</v>
      </c>
      <c r="V1292" s="32">
        <f t="shared" si="83"/>
        <v>21</v>
      </c>
      <c r="W1292" s="36">
        <f t="shared" si="84"/>
        <v>0.05</v>
      </c>
    </row>
    <row r="1293" spans="4:23" ht="27" customHeight="1" x14ac:dyDescent="0.25">
      <c r="D1293" s="14" t="s">
        <v>4870</v>
      </c>
      <c r="E1293" s="14" t="s">
        <v>4871</v>
      </c>
      <c r="F1293" s="84" t="s">
        <v>92</v>
      </c>
      <c r="G1293" s="15" t="s">
        <v>68</v>
      </c>
      <c r="H1293" s="16" t="s">
        <v>4872</v>
      </c>
      <c r="I1293" s="17"/>
      <c r="J1293" s="17"/>
      <c r="K1293" s="17"/>
      <c r="L1293" s="17"/>
      <c r="N1293" s="31">
        <v>1291</v>
      </c>
      <c r="O1293" s="32" t="s">
        <v>4873</v>
      </c>
      <c r="P1293" s="33" t="s">
        <v>57</v>
      </c>
      <c r="Q1293" s="32" t="s">
        <v>32</v>
      </c>
      <c r="R1293" s="69">
        <v>44273.409085648149</v>
      </c>
      <c r="S1293" s="71">
        <v>44356</v>
      </c>
      <c r="T1293" s="32" t="str">
        <f t="shared" si="81"/>
        <v>+0812 26315***</v>
      </c>
      <c r="U1293" s="32" t="str">
        <f t="shared" ca="1" si="82"/>
        <v>ibra***@yuhuumail.com</v>
      </c>
      <c r="V1293" s="32">
        <f t="shared" si="83"/>
        <v>21</v>
      </c>
      <c r="W1293" s="36">
        <f t="shared" si="84"/>
        <v>0.05</v>
      </c>
    </row>
    <row r="1294" spans="4:23" ht="27" customHeight="1" x14ac:dyDescent="0.25">
      <c r="D1294" s="14" t="s">
        <v>4874</v>
      </c>
      <c r="E1294" s="14" t="s">
        <v>1467</v>
      </c>
      <c r="F1294" s="84" t="s">
        <v>417</v>
      </c>
      <c r="G1294" s="15" t="s">
        <v>68</v>
      </c>
      <c r="H1294" s="16" t="s">
        <v>4875</v>
      </c>
      <c r="I1294" s="17"/>
      <c r="J1294" s="17"/>
      <c r="K1294" s="17"/>
      <c r="L1294" s="17"/>
      <c r="N1294" s="31">
        <v>1292</v>
      </c>
      <c r="O1294" s="32" t="s">
        <v>4876</v>
      </c>
      <c r="P1294" s="33" t="s">
        <v>31</v>
      </c>
      <c r="Q1294" s="32" t="s">
        <v>40</v>
      </c>
      <c r="R1294" s="69">
        <v>44273.391157407408</v>
      </c>
      <c r="S1294" s="71">
        <v>44359</v>
      </c>
      <c r="T1294" s="32" t="str">
        <f t="shared" si="81"/>
        <v>+083232122***</v>
      </c>
      <c r="U1294" s="32" t="str">
        <f t="shared" ca="1" si="82"/>
        <v>kayl***@yuhuumail.com</v>
      </c>
      <c r="V1294" s="32">
        <f t="shared" si="83"/>
        <v>21</v>
      </c>
      <c r="W1294" s="36">
        <f t="shared" si="84"/>
        <v>0.05</v>
      </c>
    </row>
    <row r="1295" spans="4:23" ht="27" customHeight="1" x14ac:dyDescent="0.25">
      <c r="D1295" s="14" t="s">
        <v>4877</v>
      </c>
      <c r="E1295" s="14" t="s">
        <v>3795</v>
      </c>
      <c r="F1295" s="84" t="s">
        <v>471</v>
      </c>
      <c r="G1295" s="15" t="s">
        <v>27</v>
      </c>
      <c r="H1295" s="16" t="s">
        <v>4878</v>
      </c>
      <c r="I1295" s="17"/>
      <c r="J1295" s="17"/>
      <c r="K1295" s="17"/>
      <c r="L1295" s="17"/>
      <c r="N1295" s="31">
        <v>1293</v>
      </c>
      <c r="O1295" s="32" t="s">
        <v>4099</v>
      </c>
      <c r="P1295" s="33" t="s">
        <v>42</v>
      </c>
      <c r="Q1295" s="32" t="s">
        <v>32</v>
      </c>
      <c r="R1295" s="69">
        <v>44273.41443287037</v>
      </c>
      <c r="S1295" s="71">
        <v>44356</v>
      </c>
      <c r="T1295" s="32" t="str">
        <f t="shared" si="81"/>
        <v>+81279532***</v>
      </c>
      <c r="U1295" s="32" t="str">
        <f t="shared" ca="1" si="82"/>
        <v>alic***@yuhuumail.com</v>
      </c>
      <c r="V1295" s="32">
        <f t="shared" si="83"/>
        <v>21</v>
      </c>
      <c r="W1295" s="36">
        <f t="shared" si="84"/>
        <v>0.05</v>
      </c>
    </row>
    <row r="1296" spans="4:23" ht="27" customHeight="1" x14ac:dyDescent="0.25">
      <c r="D1296" s="14" t="s">
        <v>4879</v>
      </c>
      <c r="E1296" s="14" t="s">
        <v>4880</v>
      </c>
      <c r="F1296" s="84" t="s">
        <v>627</v>
      </c>
      <c r="G1296" s="15" t="s">
        <v>27</v>
      </c>
      <c r="H1296" s="16" t="s">
        <v>4881</v>
      </c>
      <c r="I1296" s="17"/>
      <c r="J1296" s="17"/>
      <c r="K1296" s="17"/>
      <c r="L1296" s="17"/>
      <c r="N1296" s="31">
        <v>1294</v>
      </c>
      <c r="O1296" s="32" t="s">
        <v>4882</v>
      </c>
      <c r="P1296" s="33" t="s">
        <v>31</v>
      </c>
      <c r="Q1296" s="32" t="s">
        <v>40</v>
      </c>
      <c r="R1296" s="69">
        <v>44273.420613425929</v>
      </c>
      <c r="S1296" s="71">
        <v>44359</v>
      </c>
      <c r="T1296" s="32" t="str">
        <f t="shared" si="81"/>
        <v>+812 63950***</v>
      </c>
      <c r="U1296" s="32" t="str">
        <f t="shared" ca="1" si="82"/>
        <v>kyla***@jossmail.com</v>
      </c>
      <c r="V1296" s="32">
        <f t="shared" si="83"/>
        <v>21</v>
      </c>
      <c r="W1296" s="36">
        <f t="shared" si="84"/>
        <v>0.05</v>
      </c>
    </row>
    <row r="1297" spans="4:23" ht="27" customHeight="1" x14ac:dyDescent="0.25">
      <c r="D1297" s="14" t="s">
        <v>4883</v>
      </c>
      <c r="E1297" s="14" t="s">
        <v>4884</v>
      </c>
      <c r="F1297" s="84" t="s">
        <v>343</v>
      </c>
      <c r="G1297" s="15" t="s">
        <v>27</v>
      </c>
      <c r="H1297" s="16" t="s">
        <v>4885</v>
      </c>
      <c r="I1297" s="17"/>
      <c r="J1297" s="17"/>
      <c r="K1297" s="17"/>
      <c r="L1297" s="17"/>
      <c r="N1297" s="31">
        <v>1295</v>
      </c>
      <c r="O1297" s="32" t="s">
        <v>947</v>
      </c>
      <c r="P1297" s="33" t="s">
        <v>31</v>
      </c>
      <c r="Q1297" s="32" t="s">
        <v>32</v>
      </c>
      <c r="R1297" s="69">
        <v>44273.440023148149</v>
      </c>
      <c r="S1297" s="71">
        <v>44359</v>
      </c>
      <c r="T1297" s="32" t="str">
        <f t="shared" si="81"/>
        <v>+0842-76708***</v>
      </c>
      <c r="U1297" s="32" t="str">
        <f t="shared" ca="1" si="82"/>
        <v>ange***@yuhuumail.com</v>
      </c>
      <c r="V1297" s="32">
        <f t="shared" si="83"/>
        <v>21</v>
      </c>
      <c r="W1297" s="36">
        <f t="shared" si="84"/>
        <v>0.05</v>
      </c>
    </row>
    <row r="1298" spans="4:23" ht="27" customHeight="1" x14ac:dyDescent="0.25">
      <c r="D1298" s="14" t="s">
        <v>4886</v>
      </c>
      <c r="E1298" s="14" t="s">
        <v>2603</v>
      </c>
      <c r="F1298" s="84" t="s">
        <v>834</v>
      </c>
      <c r="G1298" s="15" t="s">
        <v>27</v>
      </c>
      <c r="H1298" s="16" t="s">
        <v>4887</v>
      </c>
      <c r="I1298" s="17"/>
      <c r="J1298" s="17"/>
      <c r="K1298" s="17"/>
      <c r="L1298" s="17"/>
      <c r="N1298" s="31">
        <v>1296</v>
      </c>
      <c r="O1298" s="32" t="s">
        <v>2178</v>
      </c>
      <c r="P1298" s="33" t="s">
        <v>42</v>
      </c>
      <c r="Q1298" s="32" t="s">
        <v>40</v>
      </c>
      <c r="R1298" s="69">
        <v>44273.41605324074</v>
      </c>
      <c r="S1298" s="71">
        <v>44317</v>
      </c>
      <c r="T1298" s="32" t="str">
        <f t="shared" si="81"/>
        <v>+6283216407***</v>
      </c>
      <c r="U1298" s="32" t="str">
        <f t="shared" ca="1" si="82"/>
        <v>feli***@yuhuumail.com</v>
      </c>
      <c r="V1298" s="32">
        <f t="shared" si="83"/>
        <v>21</v>
      </c>
      <c r="W1298" s="36">
        <f t="shared" si="84"/>
        <v>0.05</v>
      </c>
    </row>
    <row r="1299" spans="4:23" ht="27" customHeight="1" x14ac:dyDescent="0.25">
      <c r="D1299" s="14" t="s">
        <v>4888</v>
      </c>
      <c r="E1299" s="14" t="s">
        <v>3711</v>
      </c>
      <c r="F1299" s="84" t="s">
        <v>471</v>
      </c>
      <c r="G1299" s="15" t="s">
        <v>27</v>
      </c>
      <c r="H1299" s="16" t="s">
        <v>4889</v>
      </c>
      <c r="I1299" s="17"/>
      <c r="J1299" s="17"/>
      <c r="K1299" s="17"/>
      <c r="L1299" s="17"/>
      <c r="N1299" s="31">
        <v>1297</v>
      </c>
      <c r="O1299" s="32" t="s">
        <v>1496</v>
      </c>
      <c r="P1299" s="33" t="s">
        <v>42</v>
      </c>
      <c r="Q1299" s="32" t="s">
        <v>32</v>
      </c>
      <c r="R1299" s="69">
        <v>44273.42459490741</v>
      </c>
      <c r="S1299" s="71">
        <v>44352</v>
      </c>
      <c r="T1299" s="32" t="str">
        <f t="shared" si="81"/>
        <v>+83223874***</v>
      </c>
      <c r="U1299" s="32" t="str">
        <f t="shared" ca="1" si="82"/>
        <v>scar***@yuhuumail.com</v>
      </c>
      <c r="V1299" s="32">
        <f t="shared" si="83"/>
        <v>21</v>
      </c>
      <c r="W1299" s="36">
        <f t="shared" si="84"/>
        <v>0.05</v>
      </c>
    </row>
    <row r="1300" spans="4:23" ht="27" customHeight="1" x14ac:dyDescent="0.25">
      <c r="D1300" s="14" t="s">
        <v>4890</v>
      </c>
      <c r="E1300" s="14" t="s">
        <v>4891</v>
      </c>
      <c r="F1300" s="84" t="s">
        <v>280</v>
      </c>
      <c r="G1300" s="15" t="s">
        <v>27</v>
      </c>
      <c r="H1300" s="16" t="s">
        <v>4892</v>
      </c>
      <c r="I1300" s="17"/>
      <c r="J1300" s="17"/>
      <c r="K1300" s="17"/>
      <c r="L1300" s="17"/>
      <c r="N1300" s="31">
        <v>1298</v>
      </c>
      <c r="O1300" s="32" t="s">
        <v>4893</v>
      </c>
      <c r="P1300" s="33" t="s">
        <v>57</v>
      </c>
      <c r="Q1300" s="32" t="s">
        <v>40</v>
      </c>
      <c r="R1300" s="69">
        <v>44273.442800925928</v>
      </c>
      <c r="S1300" s="71">
        <v>44318</v>
      </c>
      <c r="T1300" s="32" t="str">
        <f t="shared" si="81"/>
        <v>+84229791***</v>
      </c>
      <c r="U1300" s="32" t="str">
        <f t="shared" ca="1" si="82"/>
        <v>theo***@yuhuumail.com</v>
      </c>
      <c r="V1300" s="32">
        <f t="shared" si="83"/>
        <v>21</v>
      </c>
      <c r="W1300" s="36">
        <f t="shared" si="84"/>
        <v>0.05</v>
      </c>
    </row>
    <row r="1301" spans="4:23" ht="27" customHeight="1" x14ac:dyDescent="0.25">
      <c r="D1301" s="14" t="s">
        <v>4894</v>
      </c>
      <c r="E1301" s="14" t="s">
        <v>4895</v>
      </c>
      <c r="F1301" s="84" t="s">
        <v>847</v>
      </c>
      <c r="G1301" s="15" t="s">
        <v>27</v>
      </c>
      <c r="H1301" s="16" t="s">
        <v>4896</v>
      </c>
      <c r="I1301" s="17"/>
      <c r="J1301" s="17"/>
      <c r="K1301" s="17"/>
      <c r="L1301" s="17"/>
      <c r="N1301" s="31">
        <v>1299</v>
      </c>
      <c r="O1301" s="32" t="s">
        <v>1041</v>
      </c>
      <c r="P1301" s="33" t="s">
        <v>31</v>
      </c>
      <c r="Q1301" s="32" t="s">
        <v>32</v>
      </c>
      <c r="R1301" s="69">
        <v>44273.441319444442</v>
      </c>
      <c r="S1301" s="71">
        <v>44318</v>
      </c>
      <c r="T1301" s="32" t="str">
        <f t="shared" si="81"/>
        <v>+6283271680***</v>
      </c>
      <c r="U1301" s="32" t="str">
        <f t="shared" ca="1" si="82"/>
        <v>sydn***@yuhuumail.com</v>
      </c>
      <c r="V1301" s="32">
        <f t="shared" si="83"/>
        <v>21</v>
      </c>
      <c r="W1301" s="36">
        <f t="shared" si="84"/>
        <v>0.05</v>
      </c>
    </row>
    <row r="1302" spans="4:23" ht="27" customHeight="1" x14ac:dyDescent="0.25">
      <c r="D1302" s="14" t="s">
        <v>4897</v>
      </c>
      <c r="E1302" s="14" t="s">
        <v>4898</v>
      </c>
      <c r="F1302" s="84" t="s">
        <v>149</v>
      </c>
      <c r="G1302" s="15" t="s">
        <v>68</v>
      </c>
      <c r="H1302" s="16" t="s">
        <v>4899</v>
      </c>
      <c r="I1302" s="17"/>
      <c r="J1302" s="17"/>
      <c r="K1302" s="17"/>
      <c r="L1302" s="17"/>
      <c r="N1302" s="31">
        <v>1300</v>
      </c>
      <c r="O1302" s="32" t="s">
        <v>4684</v>
      </c>
      <c r="P1302" s="33" t="s">
        <v>31</v>
      </c>
      <c r="Q1302" s="32" t="s">
        <v>40</v>
      </c>
      <c r="R1302" s="69">
        <v>44273.451215277775</v>
      </c>
      <c r="S1302" s="71">
        <v>44362</v>
      </c>
      <c r="T1302" s="32" t="str">
        <f t="shared" si="81"/>
        <v>+81290044***</v>
      </c>
      <c r="U1302" s="32" t="str">
        <f t="shared" ca="1" si="82"/>
        <v>mari***@jossmail.com</v>
      </c>
      <c r="V1302" s="32">
        <f t="shared" si="83"/>
        <v>21</v>
      </c>
      <c r="W1302" s="36">
        <f t="shared" si="84"/>
        <v>0.05</v>
      </c>
    </row>
    <row r="1303" spans="4:23" ht="27" customHeight="1" x14ac:dyDescent="0.25">
      <c r="D1303" s="14" t="s">
        <v>4900</v>
      </c>
      <c r="E1303" s="14" t="s">
        <v>4901</v>
      </c>
      <c r="F1303" s="84" t="s">
        <v>1525</v>
      </c>
      <c r="G1303" s="15" t="s">
        <v>68</v>
      </c>
      <c r="H1303" s="16" t="s">
        <v>4902</v>
      </c>
      <c r="I1303" s="17"/>
      <c r="J1303" s="17"/>
      <c r="K1303" s="17"/>
      <c r="L1303" s="17"/>
      <c r="N1303" s="31">
        <v>1301</v>
      </c>
      <c r="O1303" s="32" t="s">
        <v>4903</v>
      </c>
      <c r="P1303" s="33" t="s">
        <v>42</v>
      </c>
      <c r="Q1303" s="32" t="s">
        <v>32</v>
      </c>
      <c r="R1303" s="69">
        <v>44273.45752314815</v>
      </c>
      <c r="S1303" s="71">
        <v>44354</v>
      </c>
      <c r="T1303" s="32" t="str">
        <f t="shared" si="81"/>
        <v>+0852 90167***</v>
      </c>
      <c r="U1303" s="32" t="str">
        <f t="shared" ca="1" si="82"/>
        <v>aria***@jossmail.com</v>
      </c>
      <c r="V1303" s="32">
        <f t="shared" si="83"/>
        <v>21</v>
      </c>
      <c r="W1303" s="36">
        <f t="shared" si="84"/>
        <v>0.05</v>
      </c>
    </row>
    <row r="1304" spans="4:23" ht="27" customHeight="1" x14ac:dyDescent="0.25">
      <c r="D1304" s="14" t="s">
        <v>4904</v>
      </c>
      <c r="E1304" s="14" t="s">
        <v>4905</v>
      </c>
      <c r="F1304" s="84" t="s">
        <v>121</v>
      </c>
      <c r="G1304" s="15" t="s">
        <v>68</v>
      </c>
      <c r="H1304" s="16" t="s">
        <v>4906</v>
      </c>
      <c r="I1304" s="17"/>
      <c r="J1304" s="17"/>
      <c r="K1304" s="17"/>
      <c r="L1304" s="17"/>
      <c r="N1304" s="31">
        <v>1302</v>
      </c>
      <c r="O1304" s="32" t="s">
        <v>4907</v>
      </c>
      <c r="P1304" s="33" t="s">
        <v>31</v>
      </c>
      <c r="Q1304" s="32" t="s">
        <v>40</v>
      </c>
      <c r="R1304" s="69">
        <v>44273.470949074072</v>
      </c>
      <c r="S1304" s="71">
        <v>44352</v>
      </c>
      <c r="T1304" s="32" t="str">
        <f t="shared" si="81"/>
        <v>+0832-79976***</v>
      </c>
      <c r="U1304" s="32" t="str">
        <f t="shared" ca="1" si="82"/>
        <v>kady***@yuhuumail.com</v>
      </c>
      <c r="V1304" s="32">
        <f t="shared" si="83"/>
        <v>21</v>
      </c>
      <c r="W1304" s="36">
        <f t="shared" si="84"/>
        <v>0.05</v>
      </c>
    </row>
    <row r="1305" spans="4:23" ht="27" customHeight="1" x14ac:dyDescent="0.25">
      <c r="D1305" s="14" t="s">
        <v>4908</v>
      </c>
      <c r="E1305" s="14" t="s">
        <v>4909</v>
      </c>
      <c r="F1305" s="84" t="s">
        <v>149</v>
      </c>
      <c r="G1305" s="15" t="s">
        <v>68</v>
      </c>
      <c r="H1305" s="16" t="s">
        <v>4910</v>
      </c>
      <c r="I1305" s="17"/>
      <c r="J1305" s="17"/>
      <c r="K1305" s="17"/>
      <c r="L1305" s="17"/>
      <c r="N1305" s="31">
        <v>1303</v>
      </c>
      <c r="O1305" s="32" t="s">
        <v>2479</v>
      </c>
      <c r="P1305" s="33" t="s">
        <v>31</v>
      </c>
      <c r="Q1305" s="32" t="s">
        <v>32</v>
      </c>
      <c r="R1305" s="69">
        <v>44273.423298611109</v>
      </c>
      <c r="S1305" s="71">
        <v>44354</v>
      </c>
      <c r="T1305" s="32" t="str">
        <f t="shared" si="81"/>
        <v>+6282283970***</v>
      </c>
      <c r="U1305" s="32" t="str">
        <f t="shared" ca="1" si="82"/>
        <v>mali***@yuhuumail.com</v>
      </c>
      <c r="V1305" s="32">
        <f t="shared" si="83"/>
        <v>21</v>
      </c>
      <c r="W1305" s="36">
        <f t="shared" si="84"/>
        <v>0.05</v>
      </c>
    </row>
    <row r="1306" spans="4:23" ht="27" customHeight="1" x14ac:dyDescent="0.25">
      <c r="D1306" s="14" t="s">
        <v>4911</v>
      </c>
      <c r="E1306" s="14" t="s">
        <v>4912</v>
      </c>
      <c r="F1306" s="84" t="s">
        <v>834</v>
      </c>
      <c r="G1306" s="15" t="s">
        <v>68</v>
      </c>
      <c r="H1306" s="16" t="s">
        <v>4913</v>
      </c>
      <c r="I1306" s="17"/>
      <c r="J1306" s="17"/>
      <c r="K1306" s="17"/>
      <c r="L1306" s="17"/>
      <c r="N1306" s="31">
        <v>1304</v>
      </c>
      <c r="O1306" s="32" t="s">
        <v>4572</v>
      </c>
      <c r="P1306" s="33" t="s">
        <v>57</v>
      </c>
      <c r="Q1306" s="32" t="s">
        <v>40</v>
      </c>
      <c r="R1306" s="69">
        <v>44273.473773148151</v>
      </c>
      <c r="S1306" s="71">
        <v>44362</v>
      </c>
      <c r="T1306" s="32" t="str">
        <f t="shared" si="81"/>
        <v>+0822-66740***</v>
      </c>
      <c r="U1306" s="32" t="str">
        <f t="shared" ca="1" si="82"/>
        <v>juli***@jossmail.com</v>
      </c>
      <c r="V1306" s="32">
        <f t="shared" si="83"/>
        <v>21</v>
      </c>
      <c r="W1306" s="36">
        <f t="shared" si="84"/>
        <v>0.05</v>
      </c>
    </row>
    <row r="1307" spans="4:23" ht="27" customHeight="1" x14ac:dyDescent="0.25">
      <c r="D1307" s="14" t="s">
        <v>4914</v>
      </c>
      <c r="E1307" s="14" t="s">
        <v>3149</v>
      </c>
      <c r="F1307" s="84" t="s">
        <v>453</v>
      </c>
      <c r="G1307" s="15" t="s">
        <v>27</v>
      </c>
      <c r="H1307" s="16" t="s">
        <v>4915</v>
      </c>
      <c r="I1307" s="17"/>
      <c r="J1307" s="17"/>
      <c r="K1307" s="17"/>
      <c r="L1307" s="17"/>
      <c r="N1307" s="31">
        <v>1305</v>
      </c>
      <c r="O1307" s="32" t="s">
        <v>1711</v>
      </c>
      <c r="P1307" s="33" t="s">
        <v>42</v>
      </c>
      <c r="Q1307" s="32" t="s">
        <v>32</v>
      </c>
      <c r="R1307" s="69">
        <v>44273.443460648145</v>
      </c>
      <c r="S1307" s="35">
        <v>44362</v>
      </c>
      <c r="T1307" s="32" t="str">
        <f t="shared" si="81"/>
        <v>+85238174***</v>
      </c>
      <c r="U1307" s="32" t="str">
        <f t="shared" ca="1" si="82"/>
        <v>kayl***@yuhuumail.com</v>
      </c>
      <c r="V1307" s="32">
        <f t="shared" si="83"/>
        <v>21</v>
      </c>
      <c r="W1307" s="36">
        <f t="shared" si="84"/>
        <v>0.05</v>
      </c>
    </row>
    <row r="1308" spans="4:23" ht="27" customHeight="1" x14ac:dyDescent="0.25">
      <c r="D1308" s="14" t="s">
        <v>4916</v>
      </c>
      <c r="E1308" s="14" t="s">
        <v>4917</v>
      </c>
      <c r="F1308" s="84" t="s">
        <v>46</v>
      </c>
      <c r="G1308" s="15" t="s">
        <v>27</v>
      </c>
      <c r="H1308" s="16" t="s">
        <v>4918</v>
      </c>
      <c r="I1308" s="17"/>
      <c r="J1308" s="17"/>
      <c r="K1308" s="17"/>
      <c r="L1308" s="17"/>
      <c r="N1308" s="31">
        <v>1306</v>
      </c>
      <c r="O1308" s="32" t="s">
        <v>4919</v>
      </c>
      <c r="P1308" s="33" t="s">
        <v>31</v>
      </c>
      <c r="Q1308" s="32" t="s">
        <v>40</v>
      </c>
      <c r="R1308" s="69">
        <v>44273.463159722225</v>
      </c>
      <c r="S1308" s="35">
        <v>44356</v>
      </c>
      <c r="T1308" s="32" t="str">
        <f t="shared" si="81"/>
        <v>+85235670***</v>
      </c>
      <c r="U1308" s="32" t="str">
        <f t="shared" ca="1" si="82"/>
        <v>adri***@yuhuumail.com</v>
      </c>
      <c r="V1308" s="32">
        <f t="shared" si="83"/>
        <v>21</v>
      </c>
      <c r="W1308" s="36">
        <f t="shared" si="84"/>
        <v>0.05</v>
      </c>
    </row>
    <row r="1309" spans="4:23" ht="27" customHeight="1" x14ac:dyDescent="0.25">
      <c r="D1309" s="14" t="s">
        <v>4920</v>
      </c>
      <c r="E1309" s="14" t="s">
        <v>4921</v>
      </c>
      <c r="F1309" s="84" t="s">
        <v>46</v>
      </c>
      <c r="G1309" s="15" t="s">
        <v>68</v>
      </c>
      <c r="H1309" s="16" t="s">
        <v>4922</v>
      </c>
      <c r="I1309" s="17"/>
      <c r="J1309" s="17"/>
      <c r="K1309" s="17"/>
      <c r="L1309" s="17"/>
      <c r="N1309" s="31">
        <v>1307</v>
      </c>
      <c r="O1309" s="32" t="s">
        <v>1173</v>
      </c>
      <c r="P1309" s="33" t="s">
        <v>42</v>
      </c>
      <c r="Q1309" s="32" t="s">
        <v>32</v>
      </c>
      <c r="R1309" s="69">
        <v>44273.486261574071</v>
      </c>
      <c r="S1309" s="35">
        <v>44356</v>
      </c>
      <c r="T1309" s="32" t="str">
        <f t="shared" si="81"/>
        <v>+0842 37840***</v>
      </c>
      <c r="U1309" s="32" t="str">
        <f t="shared" ca="1" si="82"/>
        <v>coby***@yuhuumail.com</v>
      </c>
      <c r="V1309" s="32">
        <f t="shared" si="83"/>
        <v>21</v>
      </c>
      <c r="W1309" s="36">
        <f t="shared" si="84"/>
        <v>0.05</v>
      </c>
    </row>
    <row r="1310" spans="4:23" ht="27" customHeight="1" x14ac:dyDescent="0.25">
      <c r="D1310" s="14" t="s">
        <v>4923</v>
      </c>
      <c r="E1310" s="14" t="s">
        <v>4924</v>
      </c>
      <c r="F1310" s="84" t="s">
        <v>114</v>
      </c>
      <c r="G1310" s="15" t="s">
        <v>68</v>
      </c>
      <c r="H1310" s="16" t="s">
        <v>4925</v>
      </c>
      <c r="I1310" s="17"/>
      <c r="J1310" s="17"/>
      <c r="K1310" s="17"/>
      <c r="L1310" s="17"/>
      <c r="N1310" s="31">
        <v>1308</v>
      </c>
      <c r="O1310" s="32" t="s">
        <v>1205</v>
      </c>
      <c r="P1310" s="33" t="s">
        <v>42</v>
      </c>
      <c r="Q1310" s="32" t="s">
        <v>40</v>
      </c>
      <c r="R1310" s="69">
        <v>44273.476145833331</v>
      </c>
      <c r="S1310" s="35">
        <v>44352</v>
      </c>
      <c r="T1310" s="32" t="str">
        <f t="shared" si="81"/>
        <v>+084290534***</v>
      </c>
      <c r="U1310" s="32" t="str">
        <f t="shared" ca="1" si="82"/>
        <v>kyle***@yuhuumail.com</v>
      </c>
      <c r="V1310" s="32">
        <f t="shared" si="83"/>
        <v>21</v>
      </c>
      <c r="W1310" s="36">
        <f t="shared" si="84"/>
        <v>0.05</v>
      </c>
    </row>
    <row r="1311" spans="4:23" ht="27" customHeight="1" x14ac:dyDescent="0.25">
      <c r="D1311" s="14" t="s">
        <v>4926</v>
      </c>
      <c r="E1311" s="14" t="s">
        <v>4927</v>
      </c>
      <c r="F1311" s="84" t="s">
        <v>175</v>
      </c>
      <c r="G1311" s="15" t="s">
        <v>68</v>
      </c>
      <c r="H1311" s="16" t="s">
        <v>4928</v>
      </c>
      <c r="I1311" s="17"/>
      <c r="J1311" s="17"/>
      <c r="K1311" s="17"/>
      <c r="L1311" s="17"/>
      <c r="N1311" s="31">
        <v>1309</v>
      </c>
      <c r="O1311" s="32" t="s">
        <v>4929</v>
      </c>
      <c r="P1311" s="33" t="s">
        <v>31</v>
      </c>
      <c r="Q1311" s="32" t="s">
        <v>32</v>
      </c>
      <c r="R1311" s="69">
        <v>44273.46638888889</v>
      </c>
      <c r="S1311" s="35">
        <v>44354</v>
      </c>
      <c r="T1311" s="32" t="str">
        <f t="shared" si="81"/>
        <v>+0832 20388***</v>
      </c>
      <c r="U1311" s="32" t="str">
        <f t="shared" ca="1" si="82"/>
        <v>luci***@jossmail.com</v>
      </c>
      <c r="V1311" s="32">
        <f t="shared" si="83"/>
        <v>21</v>
      </c>
      <c r="W1311" s="36">
        <f t="shared" si="84"/>
        <v>0.05</v>
      </c>
    </row>
    <row r="1312" spans="4:23" ht="27" customHeight="1" x14ac:dyDescent="0.25">
      <c r="D1312" s="14" t="s">
        <v>4930</v>
      </c>
      <c r="E1312" s="14" t="s">
        <v>3178</v>
      </c>
      <c r="F1312" s="84" t="s">
        <v>453</v>
      </c>
      <c r="G1312" s="15" t="s">
        <v>27</v>
      </c>
      <c r="H1312" s="16" t="s">
        <v>4931</v>
      </c>
      <c r="I1312" s="17"/>
      <c r="J1312" s="17"/>
      <c r="K1312" s="17"/>
      <c r="L1312" s="17"/>
      <c r="N1312" s="31">
        <v>1310</v>
      </c>
      <c r="O1312" s="32" t="s">
        <v>4932</v>
      </c>
      <c r="P1312" s="33" t="s">
        <v>42</v>
      </c>
      <c r="Q1312" s="32" t="s">
        <v>40</v>
      </c>
      <c r="R1312" s="69">
        <v>44273.520752314813</v>
      </c>
      <c r="S1312" s="35">
        <v>44359</v>
      </c>
      <c r="T1312" s="32" t="str">
        <f t="shared" si="81"/>
        <v>+0842 71336***</v>
      </c>
      <c r="U1312" s="32" t="str">
        <f t="shared" ca="1" si="82"/>
        <v>kins***@jossmail.com</v>
      </c>
      <c r="V1312" s="32">
        <f t="shared" si="83"/>
        <v>21</v>
      </c>
      <c r="W1312" s="36">
        <f t="shared" si="84"/>
        <v>0.05</v>
      </c>
    </row>
    <row r="1313" spans="4:23" ht="27" customHeight="1" x14ac:dyDescent="0.25">
      <c r="D1313" s="14" t="s">
        <v>4933</v>
      </c>
      <c r="E1313" s="14" t="s">
        <v>4934</v>
      </c>
      <c r="F1313" s="84" t="s">
        <v>302</v>
      </c>
      <c r="G1313" s="15" t="s">
        <v>27</v>
      </c>
      <c r="H1313" s="16" t="s">
        <v>4935</v>
      </c>
      <c r="I1313" s="17"/>
      <c r="J1313" s="17"/>
      <c r="K1313" s="17"/>
      <c r="L1313" s="17"/>
      <c r="N1313" s="31">
        <v>1311</v>
      </c>
      <c r="O1313" s="32" t="s">
        <v>4936</v>
      </c>
      <c r="P1313" s="33" t="s">
        <v>42</v>
      </c>
      <c r="Q1313" s="32" t="s">
        <v>32</v>
      </c>
      <c r="R1313" s="69">
        <v>44273.53020833333</v>
      </c>
      <c r="S1313" s="35">
        <v>44356</v>
      </c>
      <c r="T1313" s="32" t="str">
        <f t="shared" si="81"/>
        <v>+6283270278***</v>
      </c>
      <c r="U1313" s="32" t="str">
        <f t="shared" ca="1" si="82"/>
        <v>pais***@yuhuumail.com</v>
      </c>
      <c r="V1313" s="32">
        <f t="shared" si="83"/>
        <v>21</v>
      </c>
      <c r="W1313" s="36">
        <f t="shared" si="84"/>
        <v>0.05</v>
      </c>
    </row>
    <row r="1314" spans="4:23" ht="27" customHeight="1" x14ac:dyDescent="0.25">
      <c r="D1314" s="14" t="s">
        <v>4937</v>
      </c>
      <c r="E1314" s="14" t="s">
        <v>4938</v>
      </c>
      <c r="F1314" s="84" t="s">
        <v>422</v>
      </c>
      <c r="G1314" s="15" t="s">
        <v>68</v>
      </c>
      <c r="H1314" s="16" t="s">
        <v>4939</v>
      </c>
      <c r="I1314" s="17"/>
      <c r="J1314" s="17"/>
      <c r="K1314" s="17"/>
      <c r="L1314" s="17"/>
      <c r="N1314" s="31">
        <v>1312</v>
      </c>
      <c r="O1314" s="32" t="s">
        <v>1358</v>
      </c>
      <c r="P1314" s="33" t="s">
        <v>31</v>
      </c>
      <c r="Q1314" s="32" t="s">
        <v>40</v>
      </c>
      <c r="R1314" s="69">
        <v>44273.541944444441</v>
      </c>
      <c r="S1314" s="35">
        <v>44356</v>
      </c>
      <c r="T1314" s="32" t="str">
        <f t="shared" si="81"/>
        <v>+0832 74059***</v>
      </c>
      <c r="U1314" s="32" t="str">
        <f t="shared" ca="1" si="82"/>
        <v>alic***@yuhuumail.com</v>
      </c>
      <c r="V1314" s="32">
        <f t="shared" si="83"/>
        <v>21</v>
      </c>
      <c r="W1314" s="36">
        <f t="shared" si="84"/>
        <v>0.05</v>
      </c>
    </row>
    <row r="1315" spans="4:23" ht="27" customHeight="1" x14ac:dyDescent="0.25">
      <c r="D1315" s="14" t="s">
        <v>4940</v>
      </c>
      <c r="E1315" s="14" t="s">
        <v>4941</v>
      </c>
      <c r="F1315" s="84" t="s">
        <v>1886</v>
      </c>
      <c r="G1315" s="15" t="s">
        <v>68</v>
      </c>
      <c r="H1315" s="16" t="s">
        <v>4942</v>
      </c>
      <c r="I1315" s="17"/>
      <c r="J1315" s="17"/>
      <c r="K1315" s="17"/>
      <c r="L1315" s="17"/>
      <c r="N1315" s="31">
        <v>1313</v>
      </c>
      <c r="O1315" s="32" t="s">
        <v>4943</v>
      </c>
      <c r="P1315" s="33" t="s">
        <v>42</v>
      </c>
      <c r="Q1315" s="32" t="s">
        <v>32</v>
      </c>
      <c r="R1315" s="69">
        <v>44273.52003472222</v>
      </c>
      <c r="S1315" s="35">
        <v>44356</v>
      </c>
      <c r="T1315" s="32" t="str">
        <f t="shared" si="81"/>
        <v>+082213095***</v>
      </c>
      <c r="U1315" s="32" t="str">
        <f t="shared" ca="1" si="82"/>
        <v>vivi***@jossmail.com</v>
      </c>
      <c r="V1315" s="32">
        <f t="shared" si="83"/>
        <v>21</v>
      </c>
      <c r="W1315" s="36">
        <f t="shared" si="84"/>
        <v>0.05</v>
      </c>
    </row>
    <row r="1316" spans="4:23" ht="27" customHeight="1" x14ac:dyDescent="0.25">
      <c r="D1316" s="14" t="s">
        <v>4944</v>
      </c>
      <c r="E1316" s="14" t="s">
        <v>4945</v>
      </c>
      <c r="F1316" s="84" t="s">
        <v>121</v>
      </c>
      <c r="G1316" s="15" t="s">
        <v>27</v>
      </c>
      <c r="H1316" s="16" t="s">
        <v>4946</v>
      </c>
      <c r="I1316" s="17"/>
      <c r="J1316" s="17"/>
      <c r="K1316" s="17"/>
      <c r="L1316" s="17"/>
      <c r="N1316" s="31">
        <v>1314</v>
      </c>
      <c r="O1316" s="32" t="s">
        <v>4947</v>
      </c>
      <c r="P1316" s="33" t="s">
        <v>31</v>
      </c>
      <c r="Q1316" s="32" t="s">
        <v>40</v>
      </c>
      <c r="R1316" s="69">
        <v>44273.535127314812</v>
      </c>
      <c r="S1316" s="35">
        <v>44318</v>
      </c>
      <c r="T1316" s="32" t="str">
        <f t="shared" si="81"/>
        <v>+6282251791***</v>
      </c>
      <c r="U1316" s="32" t="str">
        <f t="shared" ca="1" si="82"/>
        <v>rebe***@yuhuumail.com</v>
      </c>
      <c r="V1316" s="32">
        <f t="shared" si="83"/>
        <v>21</v>
      </c>
      <c r="W1316" s="36">
        <f t="shared" si="84"/>
        <v>0.05</v>
      </c>
    </row>
    <row r="1317" spans="4:23" ht="27" customHeight="1" x14ac:dyDescent="0.25">
      <c r="D1317" s="14" t="s">
        <v>4948</v>
      </c>
      <c r="E1317" s="14" t="s">
        <v>4949</v>
      </c>
      <c r="F1317" s="84" t="s">
        <v>46</v>
      </c>
      <c r="G1317" s="15" t="s">
        <v>27</v>
      </c>
      <c r="H1317" s="16" t="s">
        <v>4950</v>
      </c>
      <c r="I1317" s="17"/>
      <c r="J1317" s="17"/>
      <c r="K1317" s="17"/>
      <c r="L1317" s="17"/>
      <c r="N1317" s="31">
        <v>1315</v>
      </c>
      <c r="O1317" s="32" t="s">
        <v>985</v>
      </c>
      <c r="P1317" s="33" t="s">
        <v>42</v>
      </c>
      <c r="Q1317" s="32" t="s">
        <v>32</v>
      </c>
      <c r="R1317" s="69">
        <v>44273.548148148147</v>
      </c>
      <c r="S1317" s="35">
        <v>44318</v>
      </c>
      <c r="T1317" s="32" t="str">
        <f t="shared" si="81"/>
        <v>+852 75303***</v>
      </c>
      <c r="U1317" s="32" t="str">
        <f t="shared" ca="1" si="82"/>
        <v>roge***@yuhuumail.com</v>
      </c>
      <c r="V1317" s="32">
        <f t="shared" si="83"/>
        <v>21</v>
      </c>
      <c r="W1317" s="36">
        <f t="shared" si="84"/>
        <v>0.05</v>
      </c>
    </row>
    <row r="1318" spans="4:23" ht="27" customHeight="1" x14ac:dyDescent="0.25">
      <c r="D1318" s="14" t="s">
        <v>4951</v>
      </c>
      <c r="E1318" s="14" t="s">
        <v>4952</v>
      </c>
      <c r="F1318" s="84" t="s">
        <v>969</v>
      </c>
      <c r="G1318" s="15" t="s">
        <v>27</v>
      </c>
      <c r="H1318" s="16" t="s">
        <v>4953</v>
      </c>
      <c r="I1318" s="17"/>
      <c r="J1318" s="17"/>
      <c r="K1318" s="17"/>
      <c r="L1318" s="17"/>
      <c r="N1318" s="31">
        <v>1316</v>
      </c>
      <c r="O1318" s="32" t="s">
        <v>3318</v>
      </c>
      <c r="P1318" s="33" t="s">
        <v>42</v>
      </c>
      <c r="Q1318" s="32" t="s">
        <v>40</v>
      </c>
      <c r="R1318" s="69">
        <v>43811.790324074071</v>
      </c>
      <c r="S1318" s="35">
        <v>44356</v>
      </c>
      <c r="T1318" s="32" t="str">
        <f t="shared" si="81"/>
        <v>+084262576***</v>
      </c>
      <c r="U1318" s="32" t="str">
        <f t="shared" ca="1" si="82"/>
        <v>nich***@yuhuumail.com</v>
      </c>
      <c r="V1318" s="32">
        <f t="shared" si="83"/>
        <v>20</v>
      </c>
      <c r="W1318" s="36">
        <f t="shared" si="84"/>
        <v>6.5000000000000002E-2</v>
      </c>
    </row>
    <row r="1319" spans="4:23" ht="27" customHeight="1" x14ac:dyDescent="0.25">
      <c r="D1319" s="14" t="s">
        <v>4954</v>
      </c>
      <c r="E1319" s="14" t="s">
        <v>2668</v>
      </c>
      <c r="F1319" s="84" t="s">
        <v>183</v>
      </c>
      <c r="G1319" s="15" t="s">
        <v>27</v>
      </c>
      <c r="H1319" s="16" t="s">
        <v>4955</v>
      </c>
      <c r="I1319" s="17"/>
      <c r="J1319" s="17"/>
      <c r="K1319" s="17"/>
      <c r="L1319" s="17"/>
      <c r="N1319" s="31">
        <v>1317</v>
      </c>
      <c r="O1319" s="32" t="s">
        <v>4956</v>
      </c>
      <c r="P1319" s="33" t="s">
        <v>31</v>
      </c>
      <c r="Q1319" s="32" t="s">
        <v>32</v>
      </c>
      <c r="R1319" s="69">
        <v>44273.54277777778</v>
      </c>
      <c r="S1319" s="35">
        <v>44318</v>
      </c>
      <c r="T1319" s="32" t="str">
        <f t="shared" si="81"/>
        <v>+83282571***</v>
      </c>
      <c r="U1319" s="32" t="str">
        <f t="shared" ca="1" si="82"/>
        <v>nata***@yuhuumail.com</v>
      </c>
      <c r="V1319" s="32">
        <f t="shared" si="83"/>
        <v>21</v>
      </c>
      <c r="W1319" s="36">
        <f t="shared" si="84"/>
        <v>0.05</v>
      </c>
    </row>
    <row r="1320" spans="4:23" ht="27" customHeight="1" x14ac:dyDescent="0.25">
      <c r="D1320" s="14" t="s">
        <v>4957</v>
      </c>
      <c r="E1320" s="14" t="s">
        <v>4958</v>
      </c>
      <c r="F1320" s="84" t="s">
        <v>444</v>
      </c>
      <c r="G1320" s="15" t="s">
        <v>27</v>
      </c>
      <c r="H1320" s="16" t="s">
        <v>4959</v>
      </c>
      <c r="I1320" s="17"/>
      <c r="J1320" s="17"/>
      <c r="K1320" s="17"/>
      <c r="L1320" s="17"/>
      <c r="N1320" s="31">
        <v>1318</v>
      </c>
      <c r="O1320" s="32" t="s">
        <v>4960</v>
      </c>
      <c r="P1320" s="33" t="s">
        <v>57</v>
      </c>
      <c r="Q1320" s="32" t="s">
        <v>40</v>
      </c>
      <c r="R1320" s="69">
        <v>44273.554895833331</v>
      </c>
      <c r="S1320" s="35">
        <v>44359</v>
      </c>
      <c r="T1320" s="32" t="str">
        <f t="shared" si="81"/>
        <v>+0852 62557***</v>
      </c>
      <c r="U1320" s="32" t="str">
        <f t="shared" ca="1" si="82"/>
        <v>bryc***@jossmail.com</v>
      </c>
      <c r="V1320" s="32">
        <f t="shared" si="83"/>
        <v>21</v>
      </c>
      <c r="W1320" s="36">
        <f t="shared" si="84"/>
        <v>0.05</v>
      </c>
    </row>
    <row r="1321" spans="4:23" ht="27" customHeight="1" x14ac:dyDescent="0.25">
      <c r="D1321" s="14" t="s">
        <v>4961</v>
      </c>
      <c r="E1321" s="14" t="s">
        <v>4962</v>
      </c>
      <c r="F1321" s="84" t="s">
        <v>280</v>
      </c>
      <c r="G1321" s="15" t="s">
        <v>27</v>
      </c>
      <c r="H1321" s="16" t="s">
        <v>4963</v>
      </c>
      <c r="I1321" s="17"/>
      <c r="J1321" s="17"/>
      <c r="K1321" s="17"/>
      <c r="L1321" s="17"/>
      <c r="N1321" s="31">
        <v>1319</v>
      </c>
      <c r="O1321" s="32" t="s">
        <v>2059</v>
      </c>
      <c r="P1321" s="33" t="s">
        <v>31</v>
      </c>
      <c r="Q1321" s="32" t="s">
        <v>32</v>
      </c>
      <c r="R1321" s="69">
        <v>44273.553217592591</v>
      </c>
      <c r="S1321" s="71">
        <v>44356</v>
      </c>
      <c r="T1321" s="32" t="str">
        <f t="shared" si="81"/>
        <v>+082242322***</v>
      </c>
      <c r="U1321" s="32" t="str">
        <f t="shared" ca="1" si="82"/>
        <v>liam***@jossmail.com</v>
      </c>
      <c r="V1321" s="32">
        <f t="shared" si="83"/>
        <v>21</v>
      </c>
      <c r="W1321" s="36">
        <f t="shared" si="84"/>
        <v>0.05</v>
      </c>
    </row>
    <row r="1322" spans="4:23" ht="27" customHeight="1" x14ac:dyDescent="0.25">
      <c r="D1322" s="14" t="s">
        <v>4964</v>
      </c>
      <c r="E1322" s="14" t="s">
        <v>4965</v>
      </c>
      <c r="F1322" s="84" t="s">
        <v>1572</v>
      </c>
      <c r="G1322" s="15" t="s">
        <v>27</v>
      </c>
      <c r="H1322" s="16" t="s">
        <v>4966</v>
      </c>
      <c r="I1322" s="17"/>
      <c r="J1322" s="17"/>
      <c r="K1322" s="17"/>
      <c r="L1322" s="17"/>
      <c r="N1322" s="31">
        <v>1320</v>
      </c>
      <c r="O1322" s="32" t="s">
        <v>4967</v>
      </c>
      <c r="P1322" s="33" t="s">
        <v>57</v>
      </c>
      <c r="Q1322" s="32" t="s">
        <v>40</v>
      </c>
      <c r="R1322" s="69">
        <v>44273.563368055555</v>
      </c>
      <c r="S1322" s="71">
        <v>44359</v>
      </c>
      <c r="T1322" s="32" t="str">
        <f t="shared" si="81"/>
        <v>+85264386***</v>
      </c>
      <c r="U1322" s="32" t="str">
        <f t="shared" ca="1" si="82"/>
        <v>noel***@jossmail.com</v>
      </c>
      <c r="V1322" s="32">
        <f t="shared" si="83"/>
        <v>21</v>
      </c>
      <c r="W1322" s="36">
        <f t="shared" si="84"/>
        <v>0.05</v>
      </c>
    </row>
    <row r="1323" spans="4:23" ht="27" customHeight="1" x14ac:dyDescent="0.25">
      <c r="D1323" s="14" t="s">
        <v>4968</v>
      </c>
      <c r="E1323" s="14" t="s">
        <v>4969</v>
      </c>
      <c r="F1323" s="84" t="s">
        <v>296</v>
      </c>
      <c r="G1323" s="15" t="s">
        <v>68</v>
      </c>
      <c r="H1323" s="16" t="s">
        <v>4970</v>
      </c>
      <c r="I1323" s="17"/>
      <c r="J1323" s="17"/>
      <c r="K1323" s="17"/>
      <c r="L1323" s="17"/>
      <c r="N1323" s="31">
        <v>1321</v>
      </c>
      <c r="O1323" s="32" t="s">
        <v>4449</v>
      </c>
      <c r="P1323" s="33" t="s">
        <v>42</v>
      </c>
      <c r="Q1323" s="32" t="s">
        <v>32</v>
      </c>
      <c r="R1323" s="69">
        <v>44273.558020833334</v>
      </c>
      <c r="S1323" s="71">
        <v>44354</v>
      </c>
      <c r="T1323" s="32" t="str">
        <f t="shared" si="81"/>
        <v>+81282129***</v>
      </c>
      <c r="U1323" s="32" t="str">
        <f t="shared" ca="1" si="82"/>
        <v>wade***@jossmail.com</v>
      </c>
      <c r="V1323" s="32">
        <f t="shared" si="83"/>
        <v>21</v>
      </c>
      <c r="W1323" s="36">
        <f t="shared" si="84"/>
        <v>0.05</v>
      </c>
    </row>
    <row r="1324" spans="4:23" ht="27" customHeight="1" x14ac:dyDescent="0.25">
      <c r="D1324" s="14" t="s">
        <v>4971</v>
      </c>
      <c r="E1324" s="14" t="s">
        <v>4653</v>
      </c>
      <c r="F1324" s="84" t="s">
        <v>261</v>
      </c>
      <c r="G1324" s="15" t="s">
        <v>68</v>
      </c>
      <c r="H1324" s="16" t="s">
        <v>4972</v>
      </c>
      <c r="I1324" s="17"/>
      <c r="J1324" s="17"/>
      <c r="K1324" s="17"/>
      <c r="L1324" s="17"/>
      <c r="N1324" s="31">
        <v>1322</v>
      </c>
      <c r="O1324" s="32" t="s">
        <v>4958</v>
      </c>
      <c r="P1324" s="33" t="s">
        <v>31</v>
      </c>
      <c r="Q1324" s="32" t="s">
        <v>40</v>
      </c>
      <c r="R1324" s="69">
        <v>44273.566076388888</v>
      </c>
      <c r="S1324" s="71">
        <v>44318</v>
      </c>
      <c r="T1324" s="32" t="str">
        <f t="shared" si="81"/>
        <v>+0852 46281***</v>
      </c>
      <c r="U1324" s="32" t="str">
        <f t="shared" ca="1" si="82"/>
        <v>eric***@yuhuumail.com</v>
      </c>
      <c r="V1324" s="32">
        <f t="shared" si="83"/>
        <v>21</v>
      </c>
      <c r="W1324" s="36">
        <f t="shared" si="84"/>
        <v>0.05</v>
      </c>
    </row>
    <row r="1325" spans="4:23" ht="27" customHeight="1" x14ac:dyDescent="0.25">
      <c r="D1325" s="14" t="s">
        <v>4973</v>
      </c>
      <c r="E1325" s="14" t="s">
        <v>4974</v>
      </c>
      <c r="F1325" s="84" t="s">
        <v>934</v>
      </c>
      <c r="G1325" s="15" t="s">
        <v>27</v>
      </c>
      <c r="H1325" s="16" t="s">
        <v>4975</v>
      </c>
      <c r="I1325" s="17"/>
      <c r="J1325" s="17"/>
      <c r="K1325" s="17"/>
      <c r="L1325" s="17"/>
      <c r="N1325" s="31">
        <v>1323</v>
      </c>
      <c r="O1325" s="32" t="s">
        <v>4976</v>
      </c>
      <c r="P1325" s="33" t="s">
        <v>57</v>
      </c>
      <c r="Q1325" s="32" t="s">
        <v>32</v>
      </c>
      <c r="R1325" s="69">
        <v>44273.492615740739</v>
      </c>
      <c r="S1325" s="71">
        <v>44355</v>
      </c>
      <c r="T1325" s="32" t="str">
        <f t="shared" si="81"/>
        <v>+852 46225***</v>
      </c>
      <c r="U1325" s="32" t="str">
        <f t="shared" ca="1" si="82"/>
        <v>jadi***@jossmail.com</v>
      </c>
      <c r="V1325" s="32">
        <f t="shared" si="83"/>
        <v>21</v>
      </c>
      <c r="W1325" s="36">
        <f t="shared" si="84"/>
        <v>0.05</v>
      </c>
    </row>
    <row r="1326" spans="4:23" ht="27" customHeight="1" x14ac:dyDescent="0.25">
      <c r="D1326" s="14" t="s">
        <v>4977</v>
      </c>
      <c r="E1326" s="14" t="s">
        <v>4978</v>
      </c>
      <c r="F1326" s="84" t="s">
        <v>233</v>
      </c>
      <c r="G1326" s="15" t="s">
        <v>68</v>
      </c>
      <c r="H1326" s="16" t="s">
        <v>4979</v>
      </c>
      <c r="I1326" s="17"/>
      <c r="J1326" s="17"/>
      <c r="K1326" s="17"/>
      <c r="L1326" s="17"/>
      <c r="N1326" s="31">
        <v>1324</v>
      </c>
      <c r="O1326" s="32" t="s">
        <v>2852</v>
      </c>
      <c r="P1326" s="33" t="s">
        <v>4980</v>
      </c>
      <c r="Q1326" s="32" t="s">
        <v>40</v>
      </c>
      <c r="R1326" s="69">
        <v>44273.568483796298</v>
      </c>
      <c r="S1326" s="71">
        <v>44352</v>
      </c>
      <c r="T1326" s="32" t="str">
        <f t="shared" si="81"/>
        <v>+0812-32109***</v>
      </c>
      <c r="U1326" s="32" t="str">
        <f t="shared" ca="1" si="82"/>
        <v>cull***@yuhuumail.com</v>
      </c>
      <c r="V1326" s="32">
        <f t="shared" si="83"/>
        <v>21</v>
      </c>
      <c r="W1326" s="36">
        <f t="shared" si="84"/>
        <v>0.05</v>
      </c>
    </row>
    <row r="1327" spans="4:23" ht="27" customHeight="1" x14ac:dyDescent="0.25">
      <c r="D1327" s="14" t="s">
        <v>4981</v>
      </c>
      <c r="E1327" s="14" t="s">
        <v>4982</v>
      </c>
      <c r="F1327" s="84" t="s">
        <v>121</v>
      </c>
      <c r="G1327" s="15" t="s">
        <v>27</v>
      </c>
      <c r="H1327" s="16" t="s">
        <v>4983</v>
      </c>
      <c r="I1327" s="17"/>
      <c r="J1327" s="17"/>
      <c r="K1327" s="17"/>
      <c r="L1327" s="17"/>
      <c r="N1327" s="31">
        <v>1325</v>
      </c>
      <c r="O1327" s="32" t="s">
        <v>4984</v>
      </c>
      <c r="P1327" s="33" t="s">
        <v>31</v>
      </c>
      <c r="Q1327" s="32" t="s">
        <v>32</v>
      </c>
      <c r="R1327" s="69">
        <v>44273.577314814815</v>
      </c>
      <c r="S1327" s="71">
        <v>44320</v>
      </c>
      <c r="T1327" s="32" t="str">
        <f t="shared" si="81"/>
        <v>+0812 61879***</v>
      </c>
      <c r="U1327" s="32" t="str">
        <f t="shared" ca="1" si="82"/>
        <v>bris***@jossmail.com</v>
      </c>
      <c r="V1327" s="32">
        <f t="shared" si="83"/>
        <v>21</v>
      </c>
      <c r="W1327" s="36">
        <f t="shared" si="84"/>
        <v>0.05</v>
      </c>
    </row>
    <row r="1328" spans="4:23" ht="27" customHeight="1" x14ac:dyDescent="0.25">
      <c r="D1328" s="14" t="s">
        <v>4985</v>
      </c>
      <c r="E1328" s="14" t="s">
        <v>3752</v>
      </c>
      <c r="F1328" s="84" t="s">
        <v>471</v>
      </c>
      <c r="G1328" s="15" t="s">
        <v>68</v>
      </c>
      <c r="H1328" s="16" t="s">
        <v>4986</v>
      </c>
      <c r="I1328" s="17"/>
      <c r="J1328" s="17"/>
      <c r="K1328" s="17"/>
      <c r="L1328" s="17"/>
      <c r="N1328" s="31">
        <v>1326</v>
      </c>
      <c r="O1328" s="32" t="s">
        <v>4987</v>
      </c>
      <c r="P1328" s="33" t="s">
        <v>57</v>
      </c>
      <c r="Q1328" s="32" t="s">
        <v>40</v>
      </c>
      <c r="R1328" s="69">
        <v>44273.361712962964</v>
      </c>
      <c r="S1328" s="71">
        <v>44359</v>
      </c>
      <c r="T1328" s="32" t="str">
        <f t="shared" si="81"/>
        <v>+6285250164***</v>
      </c>
      <c r="U1328" s="32" t="str">
        <f t="shared" ca="1" si="82"/>
        <v>juli***@yuhuumail.com</v>
      </c>
      <c r="V1328" s="32">
        <f t="shared" si="83"/>
        <v>21</v>
      </c>
      <c r="W1328" s="36">
        <f t="shared" si="84"/>
        <v>0.05</v>
      </c>
    </row>
    <row r="1329" spans="4:23" ht="27" customHeight="1" x14ac:dyDescent="0.25">
      <c r="D1329" s="14" t="s">
        <v>4988</v>
      </c>
      <c r="E1329" s="14" t="s">
        <v>4989</v>
      </c>
      <c r="F1329" s="84" t="s">
        <v>1886</v>
      </c>
      <c r="G1329" s="15" t="s">
        <v>27</v>
      </c>
      <c r="H1329" s="16" t="s">
        <v>4990</v>
      </c>
      <c r="I1329" s="17"/>
      <c r="J1329" s="17"/>
      <c r="K1329" s="17"/>
      <c r="L1329" s="17"/>
      <c r="N1329" s="31">
        <v>1327</v>
      </c>
      <c r="O1329" s="32" t="s">
        <v>1954</v>
      </c>
      <c r="P1329" s="33" t="s">
        <v>31</v>
      </c>
      <c r="Q1329" s="32" t="s">
        <v>32</v>
      </c>
      <c r="R1329" s="69">
        <v>44273.592303240737</v>
      </c>
      <c r="S1329" s="71">
        <v>44356</v>
      </c>
      <c r="T1329" s="32" t="str">
        <f t="shared" si="81"/>
        <v>+822 46679***</v>
      </c>
      <c r="U1329" s="32" t="str">
        <f t="shared" ca="1" si="82"/>
        <v>meli***@yuhuumail.com</v>
      </c>
      <c r="V1329" s="32">
        <f t="shared" si="83"/>
        <v>21</v>
      </c>
      <c r="W1329" s="36">
        <f t="shared" si="84"/>
        <v>0.05</v>
      </c>
    </row>
    <row r="1330" spans="4:23" ht="27" customHeight="1" x14ac:dyDescent="0.25">
      <c r="D1330" s="14" t="s">
        <v>4991</v>
      </c>
      <c r="E1330" s="14" t="s">
        <v>4992</v>
      </c>
      <c r="F1330" s="84" t="s">
        <v>1551</v>
      </c>
      <c r="G1330" s="15" t="s">
        <v>68</v>
      </c>
      <c r="H1330" s="16" t="s">
        <v>4993</v>
      </c>
      <c r="I1330" s="17"/>
      <c r="J1330" s="17"/>
      <c r="K1330" s="17"/>
      <c r="L1330" s="17"/>
      <c r="N1330" s="31">
        <v>1328</v>
      </c>
      <c r="O1330" s="32" t="s">
        <v>789</v>
      </c>
      <c r="P1330" s="33" t="s">
        <v>57</v>
      </c>
      <c r="Q1330" s="32" t="s">
        <v>40</v>
      </c>
      <c r="R1330" s="69">
        <v>44273.591458333336</v>
      </c>
      <c r="S1330" s="71">
        <v>44359</v>
      </c>
      <c r="T1330" s="32" t="str">
        <f t="shared" si="81"/>
        <v>+082292637***</v>
      </c>
      <c r="U1330" s="32" t="str">
        <f t="shared" ca="1" si="82"/>
        <v>jayl***@jossmail.com</v>
      </c>
      <c r="V1330" s="32">
        <f t="shared" si="83"/>
        <v>21</v>
      </c>
      <c r="W1330" s="36">
        <f t="shared" si="84"/>
        <v>0.05</v>
      </c>
    </row>
    <row r="1331" spans="4:23" ht="27" customHeight="1" x14ac:dyDescent="0.25">
      <c r="D1331" s="14" t="s">
        <v>4994</v>
      </c>
      <c r="E1331" s="14" t="s">
        <v>3293</v>
      </c>
      <c r="F1331" s="84" t="s">
        <v>538</v>
      </c>
      <c r="G1331" s="15" t="s">
        <v>68</v>
      </c>
      <c r="H1331" s="16" t="s">
        <v>4995</v>
      </c>
      <c r="I1331" s="17"/>
      <c r="J1331" s="17"/>
      <c r="K1331" s="17"/>
      <c r="L1331" s="17"/>
      <c r="N1331" s="31">
        <v>1329</v>
      </c>
      <c r="O1331" s="32" t="s">
        <v>2214</v>
      </c>
      <c r="P1331" s="33" t="s">
        <v>31</v>
      </c>
      <c r="Q1331" s="32" t="s">
        <v>32</v>
      </c>
      <c r="R1331" s="69">
        <v>44250.246979166666</v>
      </c>
      <c r="S1331" s="71">
        <v>44362</v>
      </c>
      <c r="T1331" s="32" t="str">
        <f t="shared" si="81"/>
        <v>+0852-52496***</v>
      </c>
      <c r="U1331" s="32" t="str">
        <f t="shared" ca="1" si="82"/>
        <v>elen***@jossmail.com</v>
      </c>
      <c r="V1331" s="32">
        <f t="shared" si="83"/>
        <v>21</v>
      </c>
      <c r="W1331" s="36">
        <f t="shared" si="84"/>
        <v>0.05</v>
      </c>
    </row>
    <row r="1332" spans="4:23" ht="27" customHeight="1" x14ac:dyDescent="0.25">
      <c r="D1332" s="14" t="s">
        <v>4996</v>
      </c>
      <c r="E1332" s="14" t="s">
        <v>4997</v>
      </c>
      <c r="F1332" s="84" t="s">
        <v>372</v>
      </c>
      <c r="G1332" s="15" t="s">
        <v>27</v>
      </c>
      <c r="H1332" s="16" t="s">
        <v>4998</v>
      </c>
      <c r="I1332" s="17"/>
      <c r="J1332" s="17"/>
      <c r="K1332" s="17"/>
      <c r="L1332" s="17"/>
      <c r="N1332" s="31">
        <v>1330</v>
      </c>
      <c r="O1332" s="32" t="s">
        <v>4999</v>
      </c>
      <c r="P1332" s="33" t="s">
        <v>31</v>
      </c>
      <c r="Q1332" s="32" t="s">
        <v>40</v>
      </c>
      <c r="R1332" s="69">
        <v>44111.641574074078</v>
      </c>
      <c r="S1332" s="71">
        <v>44320</v>
      </c>
      <c r="T1332" s="32" t="str">
        <f t="shared" si="81"/>
        <v>+842 15854***</v>
      </c>
      <c r="U1332" s="32" t="str">
        <f t="shared" ca="1" si="82"/>
        <v>jack***@jossmail.com</v>
      </c>
      <c r="V1332" s="32">
        <f t="shared" si="83"/>
        <v>21</v>
      </c>
      <c r="W1332" s="36">
        <f t="shared" si="84"/>
        <v>0.05</v>
      </c>
    </row>
    <row r="1333" spans="4:23" ht="27" customHeight="1" x14ac:dyDescent="0.25">
      <c r="D1333" s="14" t="s">
        <v>5000</v>
      </c>
      <c r="E1333" s="14" t="s">
        <v>5001</v>
      </c>
      <c r="F1333" s="84" t="s">
        <v>233</v>
      </c>
      <c r="G1333" s="15" t="s">
        <v>27</v>
      </c>
      <c r="H1333" s="16" t="s">
        <v>5002</v>
      </c>
      <c r="I1333" s="17"/>
      <c r="J1333" s="17"/>
      <c r="K1333" s="17"/>
      <c r="L1333" s="17"/>
      <c r="N1333" s="31">
        <v>1331</v>
      </c>
      <c r="O1333" s="32" t="s">
        <v>2927</v>
      </c>
      <c r="P1333" s="33" t="s">
        <v>42</v>
      </c>
      <c r="Q1333" s="32" t="s">
        <v>32</v>
      </c>
      <c r="R1333" s="69">
        <v>44265.722025462965</v>
      </c>
      <c r="S1333" s="71">
        <v>44318</v>
      </c>
      <c r="T1333" s="32" t="str">
        <f t="shared" si="81"/>
        <v>+6285251595***</v>
      </c>
      <c r="U1333" s="32" t="str">
        <f t="shared" ca="1" si="82"/>
        <v>pame***@yuhuumail.com</v>
      </c>
      <c r="V1333" s="32">
        <f t="shared" si="83"/>
        <v>21</v>
      </c>
      <c r="W1333" s="36">
        <f t="shared" si="84"/>
        <v>0.05</v>
      </c>
    </row>
    <row r="1334" spans="4:23" ht="27" customHeight="1" x14ac:dyDescent="0.25">
      <c r="D1334" s="14" t="s">
        <v>5003</v>
      </c>
      <c r="E1334" s="14" t="s">
        <v>5004</v>
      </c>
      <c r="F1334" s="84" t="s">
        <v>143</v>
      </c>
      <c r="G1334" s="15" t="s">
        <v>27</v>
      </c>
      <c r="H1334" s="16" t="s">
        <v>5005</v>
      </c>
      <c r="I1334" s="17"/>
      <c r="J1334" s="17"/>
      <c r="K1334" s="17"/>
      <c r="L1334" s="17"/>
      <c r="N1334" s="31">
        <v>1332</v>
      </c>
      <c r="O1334" s="32" t="s">
        <v>5006</v>
      </c>
      <c r="P1334" s="33" t="s">
        <v>31</v>
      </c>
      <c r="Q1334" s="32" t="s">
        <v>40</v>
      </c>
      <c r="R1334" s="69">
        <v>44273.600428240738</v>
      </c>
      <c r="S1334" s="71">
        <v>44362</v>
      </c>
      <c r="T1334" s="32" t="str">
        <f t="shared" si="81"/>
        <v>+0842-81913***</v>
      </c>
      <c r="U1334" s="32" t="str">
        <f t="shared" ca="1" si="82"/>
        <v>beth***@yuhuumail.com</v>
      </c>
      <c r="V1334" s="32">
        <f t="shared" si="83"/>
        <v>21</v>
      </c>
      <c r="W1334" s="36">
        <f t="shared" si="84"/>
        <v>0.05</v>
      </c>
    </row>
    <row r="1335" spans="4:23" ht="27" customHeight="1" x14ac:dyDescent="0.25">
      <c r="D1335" s="14" t="s">
        <v>5007</v>
      </c>
      <c r="E1335" s="14" t="s">
        <v>4869</v>
      </c>
      <c r="F1335" s="84" t="s">
        <v>444</v>
      </c>
      <c r="G1335" s="15" t="s">
        <v>27</v>
      </c>
      <c r="H1335" s="16" t="s">
        <v>5008</v>
      </c>
      <c r="I1335" s="17"/>
      <c r="J1335" s="17"/>
      <c r="K1335" s="17"/>
      <c r="L1335" s="17"/>
      <c r="N1335" s="31">
        <v>1333</v>
      </c>
      <c r="O1335" s="32" t="s">
        <v>5009</v>
      </c>
      <c r="P1335" s="33" t="s">
        <v>31</v>
      </c>
      <c r="Q1335" s="32" t="s">
        <v>32</v>
      </c>
      <c r="R1335" s="69">
        <v>44273.618449074071</v>
      </c>
      <c r="S1335" s="71">
        <v>44359</v>
      </c>
      <c r="T1335" s="32" t="str">
        <f t="shared" si="81"/>
        <v>+0812-39566***</v>
      </c>
      <c r="U1335" s="32" t="str">
        <f t="shared" ca="1" si="82"/>
        <v>conn***@jossmail.com</v>
      </c>
      <c r="V1335" s="32">
        <f t="shared" si="83"/>
        <v>21</v>
      </c>
      <c r="W1335" s="36">
        <f t="shared" si="84"/>
        <v>0.05</v>
      </c>
    </row>
    <row r="1336" spans="4:23" ht="27" customHeight="1" x14ac:dyDescent="0.25">
      <c r="D1336" s="14" t="s">
        <v>5010</v>
      </c>
      <c r="E1336" s="14" t="s">
        <v>5011</v>
      </c>
      <c r="F1336" s="84" t="s">
        <v>206</v>
      </c>
      <c r="G1336" s="15" t="s">
        <v>68</v>
      </c>
      <c r="H1336" s="16" t="s">
        <v>5012</v>
      </c>
      <c r="I1336" s="17"/>
      <c r="J1336" s="17"/>
      <c r="K1336" s="17"/>
      <c r="L1336" s="17"/>
      <c r="N1336" s="31">
        <v>1334</v>
      </c>
      <c r="O1336" s="32" t="s">
        <v>5013</v>
      </c>
      <c r="P1336" s="33" t="s">
        <v>31</v>
      </c>
      <c r="Q1336" s="32" t="s">
        <v>40</v>
      </c>
      <c r="R1336" s="69">
        <v>44273.62773148148</v>
      </c>
      <c r="S1336" s="71">
        <v>44352</v>
      </c>
      <c r="T1336" s="32" t="str">
        <f t="shared" si="81"/>
        <v>+84284815***</v>
      </c>
      <c r="U1336" s="32" t="str">
        <f t="shared" ca="1" si="82"/>
        <v>myle***@jossmail.com</v>
      </c>
      <c r="V1336" s="32">
        <f t="shared" si="83"/>
        <v>21</v>
      </c>
      <c r="W1336" s="36">
        <f t="shared" si="84"/>
        <v>0.05</v>
      </c>
    </row>
    <row r="1337" spans="4:23" ht="27" customHeight="1" x14ac:dyDescent="0.25">
      <c r="D1337" s="14" t="s">
        <v>5014</v>
      </c>
      <c r="E1337" s="14" t="s">
        <v>5015</v>
      </c>
      <c r="F1337" s="84" t="s">
        <v>343</v>
      </c>
      <c r="G1337" s="15" t="s">
        <v>27</v>
      </c>
      <c r="H1337" s="16" t="s">
        <v>5016</v>
      </c>
      <c r="I1337" s="17"/>
      <c r="J1337" s="17"/>
      <c r="K1337" s="17"/>
      <c r="L1337" s="17"/>
      <c r="N1337" s="31">
        <v>1335</v>
      </c>
      <c r="O1337" s="32" t="s">
        <v>5017</v>
      </c>
      <c r="P1337" s="33" t="s">
        <v>42</v>
      </c>
      <c r="Q1337" s="32" t="s">
        <v>32</v>
      </c>
      <c r="R1337" s="69">
        <v>44273.258993055555</v>
      </c>
      <c r="S1337" s="71">
        <v>44318</v>
      </c>
      <c r="T1337" s="32" t="str">
        <f t="shared" si="81"/>
        <v>+0832 89380***</v>
      </c>
      <c r="U1337" s="32" t="str">
        <f t="shared" ca="1" si="82"/>
        <v>tomm***@jossmail.com</v>
      </c>
      <c r="V1337" s="32">
        <f t="shared" si="83"/>
        <v>21</v>
      </c>
      <c r="W1337" s="36">
        <f t="shared" si="84"/>
        <v>0.05</v>
      </c>
    </row>
    <row r="1338" spans="4:23" ht="27" customHeight="1" x14ac:dyDescent="0.25">
      <c r="D1338" s="14" t="s">
        <v>5018</v>
      </c>
      <c r="E1338" s="14" t="s">
        <v>5019</v>
      </c>
      <c r="F1338" s="84" t="s">
        <v>524</v>
      </c>
      <c r="G1338" s="15" t="s">
        <v>27</v>
      </c>
      <c r="H1338" s="16" t="s">
        <v>5020</v>
      </c>
      <c r="I1338" s="17"/>
      <c r="J1338" s="17"/>
      <c r="K1338" s="17"/>
      <c r="L1338" s="17"/>
      <c r="N1338" s="31">
        <v>1336</v>
      </c>
      <c r="O1338" s="32" t="s">
        <v>5021</v>
      </c>
      <c r="P1338" s="33" t="s">
        <v>42</v>
      </c>
      <c r="Q1338" s="32" t="s">
        <v>40</v>
      </c>
      <c r="R1338" s="69">
        <v>44273.642048611109</v>
      </c>
      <c r="S1338" s="71">
        <v>44318</v>
      </c>
      <c r="T1338" s="32" t="str">
        <f t="shared" si="81"/>
        <v>+81267847***</v>
      </c>
      <c r="U1338" s="32" t="str">
        <f t="shared" ca="1" si="82"/>
        <v>vict***@jossmail.com</v>
      </c>
      <c r="V1338" s="32">
        <f t="shared" si="83"/>
        <v>21</v>
      </c>
      <c r="W1338" s="36">
        <f t="shared" si="84"/>
        <v>0.05</v>
      </c>
    </row>
    <row r="1339" spans="4:23" ht="27" customHeight="1" x14ac:dyDescent="0.25">
      <c r="D1339" s="14" t="s">
        <v>5022</v>
      </c>
      <c r="E1339" s="14" t="s">
        <v>77</v>
      </c>
      <c r="F1339" s="84" t="s">
        <v>164</v>
      </c>
      <c r="G1339" s="15" t="s">
        <v>68</v>
      </c>
      <c r="H1339" s="16" t="s">
        <v>5023</v>
      </c>
      <c r="I1339" s="17"/>
      <c r="J1339" s="17"/>
      <c r="K1339" s="17"/>
      <c r="L1339" s="17"/>
      <c r="N1339" s="31">
        <v>1337</v>
      </c>
      <c r="O1339" s="32" t="s">
        <v>4555</v>
      </c>
      <c r="P1339" s="33" t="s">
        <v>31</v>
      </c>
      <c r="Q1339" s="32" t="s">
        <v>32</v>
      </c>
      <c r="R1339" s="69">
        <v>44273.474398148152</v>
      </c>
      <c r="S1339" s="71">
        <v>44356</v>
      </c>
      <c r="T1339" s="32" t="str">
        <f t="shared" si="81"/>
        <v>+0812 39507***</v>
      </c>
      <c r="U1339" s="32" t="str">
        <f t="shared" ca="1" si="82"/>
        <v>dari***@yuhuumail.com</v>
      </c>
      <c r="V1339" s="32">
        <f t="shared" si="83"/>
        <v>21</v>
      </c>
      <c r="W1339" s="36">
        <f t="shared" si="84"/>
        <v>0.05</v>
      </c>
    </row>
    <row r="1340" spans="4:23" ht="27" customHeight="1" x14ac:dyDescent="0.25">
      <c r="D1340" s="14" t="s">
        <v>5024</v>
      </c>
      <c r="E1340" s="14" t="s">
        <v>5025</v>
      </c>
      <c r="F1340" s="84" t="s">
        <v>266</v>
      </c>
      <c r="G1340" s="15" t="s">
        <v>27</v>
      </c>
      <c r="H1340" s="16" t="s">
        <v>5026</v>
      </c>
      <c r="I1340" s="17"/>
      <c r="J1340" s="17"/>
      <c r="K1340" s="17"/>
      <c r="L1340" s="17"/>
      <c r="N1340" s="31">
        <v>1338</v>
      </c>
      <c r="O1340" s="32" t="s">
        <v>5027</v>
      </c>
      <c r="P1340" s="33" t="s">
        <v>42</v>
      </c>
      <c r="Q1340" s="32" t="s">
        <v>40</v>
      </c>
      <c r="R1340" s="69">
        <v>44273.409016203703</v>
      </c>
      <c r="S1340" s="71">
        <v>44358</v>
      </c>
      <c r="T1340" s="32" t="str">
        <f t="shared" si="81"/>
        <v>+6281274624***</v>
      </c>
      <c r="U1340" s="32" t="str">
        <f t="shared" ca="1" si="82"/>
        <v>cody***@yuhuumail.com</v>
      </c>
      <c r="V1340" s="32">
        <f t="shared" si="83"/>
        <v>21</v>
      </c>
      <c r="W1340" s="36">
        <f t="shared" si="84"/>
        <v>0.05</v>
      </c>
    </row>
    <row r="1341" spans="4:23" ht="27" customHeight="1" x14ac:dyDescent="0.25">
      <c r="D1341" s="14" t="s">
        <v>5028</v>
      </c>
      <c r="E1341" s="14" t="s">
        <v>436</v>
      </c>
      <c r="F1341" s="84" t="s">
        <v>26</v>
      </c>
      <c r="G1341" s="15" t="s">
        <v>27</v>
      </c>
      <c r="H1341" s="16" t="s">
        <v>5029</v>
      </c>
      <c r="I1341" s="17"/>
      <c r="J1341" s="17"/>
      <c r="K1341" s="17"/>
      <c r="L1341" s="17"/>
      <c r="N1341" s="31">
        <v>1339</v>
      </c>
      <c r="O1341" s="32" t="s">
        <v>5030</v>
      </c>
      <c r="P1341" s="33" t="s">
        <v>57</v>
      </c>
      <c r="Q1341" s="32" t="s">
        <v>32</v>
      </c>
      <c r="R1341" s="69">
        <v>44273.667037037034</v>
      </c>
      <c r="S1341" s="35">
        <v>44318</v>
      </c>
      <c r="T1341" s="32" t="str">
        <f t="shared" si="81"/>
        <v>+82252676***</v>
      </c>
      <c r="U1341" s="32" t="str">
        <f t="shared" ca="1" si="82"/>
        <v>josi***@jossmail.com</v>
      </c>
      <c r="V1341" s="32">
        <f t="shared" si="83"/>
        <v>21</v>
      </c>
      <c r="W1341" s="36">
        <f t="shared" si="84"/>
        <v>0.05</v>
      </c>
    </row>
    <row r="1342" spans="4:23" ht="27" customHeight="1" x14ac:dyDescent="0.25">
      <c r="D1342" s="14" t="s">
        <v>5031</v>
      </c>
      <c r="E1342" s="14" t="s">
        <v>5032</v>
      </c>
      <c r="F1342" s="84" t="s">
        <v>909</v>
      </c>
      <c r="G1342" s="15" t="s">
        <v>27</v>
      </c>
      <c r="H1342" s="16" t="s">
        <v>5033</v>
      </c>
      <c r="I1342" s="17"/>
      <c r="J1342" s="17"/>
      <c r="K1342" s="17"/>
      <c r="L1342" s="17"/>
      <c r="N1342" s="31">
        <v>1340</v>
      </c>
      <c r="O1342" s="32" t="s">
        <v>5034</v>
      </c>
      <c r="P1342" s="33" t="s">
        <v>31</v>
      </c>
      <c r="Q1342" s="32" t="s">
        <v>40</v>
      </c>
      <c r="R1342" s="69">
        <v>44273.669432870367</v>
      </c>
      <c r="S1342" s="35">
        <v>44356</v>
      </c>
      <c r="T1342" s="32" t="str">
        <f t="shared" si="81"/>
        <v>+0842-38324***</v>
      </c>
      <c r="U1342" s="32" t="str">
        <f t="shared" ca="1" si="82"/>
        <v>pati***@jossmail.com</v>
      </c>
      <c r="V1342" s="32">
        <f t="shared" si="83"/>
        <v>21</v>
      </c>
      <c r="W1342" s="36">
        <f t="shared" si="84"/>
        <v>0.05</v>
      </c>
    </row>
    <row r="1343" spans="4:23" ht="27" customHeight="1" x14ac:dyDescent="0.25">
      <c r="D1343" s="14" t="s">
        <v>5035</v>
      </c>
      <c r="E1343" s="14" t="s">
        <v>5036</v>
      </c>
      <c r="F1343" s="84" t="s">
        <v>266</v>
      </c>
      <c r="G1343" s="15" t="s">
        <v>68</v>
      </c>
      <c r="H1343" s="16" t="s">
        <v>5037</v>
      </c>
      <c r="I1343" s="17"/>
      <c r="J1343" s="17"/>
      <c r="K1343" s="17"/>
      <c r="L1343" s="17"/>
      <c r="N1343" s="31">
        <v>1341</v>
      </c>
      <c r="O1343" s="32" t="s">
        <v>2663</v>
      </c>
      <c r="P1343" s="33" t="s">
        <v>57</v>
      </c>
      <c r="Q1343" s="32" t="s">
        <v>32</v>
      </c>
      <c r="R1343" s="69">
        <v>44273.670127314814</v>
      </c>
      <c r="S1343" s="35">
        <v>44320</v>
      </c>
      <c r="T1343" s="32" t="str">
        <f t="shared" si="81"/>
        <v>+0812-91854***</v>
      </c>
      <c r="U1343" s="32" t="str">
        <f t="shared" ca="1" si="82"/>
        <v>terr***@yuhuumail.com</v>
      </c>
      <c r="V1343" s="32">
        <f t="shared" si="83"/>
        <v>21</v>
      </c>
      <c r="W1343" s="36">
        <f t="shared" si="84"/>
        <v>0.05</v>
      </c>
    </row>
    <row r="1344" spans="4:23" ht="27" customHeight="1" x14ac:dyDescent="0.25">
      <c r="D1344" s="14" t="s">
        <v>5038</v>
      </c>
      <c r="E1344" s="14" t="s">
        <v>1312</v>
      </c>
      <c r="F1344" s="84" t="s">
        <v>359</v>
      </c>
      <c r="G1344" s="15" t="s">
        <v>27</v>
      </c>
      <c r="H1344" s="16" t="s">
        <v>5039</v>
      </c>
      <c r="I1344" s="17"/>
      <c r="J1344" s="17"/>
      <c r="K1344" s="17"/>
      <c r="L1344" s="17"/>
      <c r="N1344" s="31">
        <v>1342</v>
      </c>
      <c r="O1344" s="32" t="s">
        <v>5040</v>
      </c>
      <c r="P1344" s="33" t="s">
        <v>57</v>
      </c>
      <c r="Q1344" s="32" t="s">
        <v>40</v>
      </c>
      <c r="R1344" s="69">
        <v>44273.659363425926</v>
      </c>
      <c r="S1344" s="35">
        <v>44320</v>
      </c>
      <c r="T1344" s="32" t="str">
        <f t="shared" si="81"/>
        <v>+0852 44701***</v>
      </c>
      <c r="U1344" s="32" t="str">
        <f t="shared" ca="1" si="82"/>
        <v>milo***@jossmail.com</v>
      </c>
      <c r="V1344" s="32">
        <f t="shared" si="83"/>
        <v>21</v>
      </c>
      <c r="W1344" s="36">
        <f t="shared" si="84"/>
        <v>0.05</v>
      </c>
    </row>
    <row r="1345" spans="4:23" ht="27" customHeight="1" x14ac:dyDescent="0.25">
      <c r="D1345" s="14" t="s">
        <v>5041</v>
      </c>
      <c r="E1345" s="14" t="s">
        <v>5042</v>
      </c>
      <c r="F1345" s="84" t="s">
        <v>183</v>
      </c>
      <c r="G1345" s="15" t="s">
        <v>27</v>
      </c>
      <c r="H1345" s="16" t="s">
        <v>5043</v>
      </c>
      <c r="I1345" s="17"/>
      <c r="J1345" s="17"/>
      <c r="K1345" s="17"/>
      <c r="L1345" s="17"/>
      <c r="N1345" s="31">
        <v>1343</v>
      </c>
      <c r="O1345" s="32" t="s">
        <v>205</v>
      </c>
      <c r="P1345" s="33" t="s">
        <v>57</v>
      </c>
      <c r="Q1345" s="32" t="s">
        <v>32</v>
      </c>
      <c r="R1345" s="69">
        <v>44272.643113425926</v>
      </c>
      <c r="S1345" s="35">
        <v>44318</v>
      </c>
      <c r="T1345" s="32" t="str">
        <f t="shared" si="81"/>
        <v>+082264423***</v>
      </c>
      <c r="U1345" s="32" t="str">
        <f t="shared" ca="1" si="82"/>
        <v>adal***@jossmail.com</v>
      </c>
      <c r="V1345" s="32">
        <f t="shared" si="83"/>
        <v>21</v>
      </c>
      <c r="W1345" s="36">
        <f t="shared" si="84"/>
        <v>0.05</v>
      </c>
    </row>
    <row r="1346" spans="4:23" ht="27" customHeight="1" x14ac:dyDescent="0.25">
      <c r="D1346" s="14" t="s">
        <v>5044</v>
      </c>
      <c r="E1346" s="14" t="s">
        <v>4839</v>
      </c>
      <c r="F1346" s="84" t="s">
        <v>444</v>
      </c>
      <c r="G1346" s="15" t="s">
        <v>27</v>
      </c>
      <c r="H1346" s="16" t="s">
        <v>5045</v>
      </c>
      <c r="I1346" s="17"/>
      <c r="J1346" s="17"/>
      <c r="K1346" s="17"/>
      <c r="L1346" s="17"/>
      <c r="N1346" s="31">
        <v>1344</v>
      </c>
      <c r="O1346" s="32" t="s">
        <v>5046</v>
      </c>
      <c r="P1346" s="33" t="s">
        <v>42</v>
      </c>
      <c r="Q1346" s="32" t="s">
        <v>40</v>
      </c>
      <c r="R1346" s="69">
        <v>44273.683321759258</v>
      </c>
      <c r="S1346" s="35">
        <v>44320</v>
      </c>
      <c r="T1346" s="32" t="str">
        <f t="shared" si="81"/>
        <v>+0832 19214***</v>
      </c>
      <c r="U1346" s="32" t="str">
        <f t="shared" ca="1" si="82"/>
        <v>mari***@jossmail.com</v>
      </c>
      <c r="V1346" s="32">
        <f t="shared" si="83"/>
        <v>21</v>
      </c>
      <c r="W1346" s="36">
        <f t="shared" si="84"/>
        <v>0.05</v>
      </c>
    </row>
    <row r="1347" spans="4:23" ht="27" customHeight="1" x14ac:dyDescent="0.25">
      <c r="D1347" s="14" t="s">
        <v>5047</v>
      </c>
      <c r="E1347" s="14" t="s">
        <v>5048</v>
      </c>
      <c r="F1347" s="84" t="s">
        <v>266</v>
      </c>
      <c r="G1347" s="15" t="s">
        <v>27</v>
      </c>
      <c r="H1347" s="16" t="s">
        <v>5049</v>
      </c>
      <c r="I1347" s="17"/>
      <c r="J1347" s="17"/>
      <c r="K1347" s="17"/>
      <c r="L1347" s="17"/>
      <c r="N1347" s="31">
        <v>1345</v>
      </c>
      <c r="O1347" s="32" t="s">
        <v>5050</v>
      </c>
      <c r="P1347" s="33" t="s">
        <v>31</v>
      </c>
      <c r="Q1347" s="32" t="s">
        <v>32</v>
      </c>
      <c r="R1347" s="69">
        <v>44272.877650462964</v>
      </c>
      <c r="S1347" s="35">
        <v>44359</v>
      </c>
      <c r="T1347" s="32" t="str">
        <f t="shared" si="81"/>
        <v>+0812-34394***</v>
      </c>
      <c r="U1347" s="32" t="str">
        <f t="shared" ca="1" si="82"/>
        <v>alan***@yuhuumail.com</v>
      </c>
      <c r="V1347" s="32">
        <f t="shared" si="83"/>
        <v>21</v>
      </c>
      <c r="W1347" s="36">
        <f t="shared" si="84"/>
        <v>0.05</v>
      </c>
    </row>
    <row r="1348" spans="4:23" ht="27" customHeight="1" x14ac:dyDescent="0.25">
      <c r="D1348" s="14" t="s">
        <v>5051</v>
      </c>
      <c r="E1348" s="14" t="s">
        <v>5052</v>
      </c>
      <c r="F1348" s="84" t="s">
        <v>290</v>
      </c>
      <c r="G1348" s="15" t="s">
        <v>68</v>
      </c>
      <c r="H1348" s="16" t="s">
        <v>5053</v>
      </c>
      <c r="I1348" s="17"/>
      <c r="J1348" s="17"/>
      <c r="K1348" s="17"/>
      <c r="L1348" s="17"/>
      <c r="N1348" s="31">
        <v>1346</v>
      </c>
      <c r="O1348" s="32" t="s">
        <v>363</v>
      </c>
      <c r="P1348" s="33" t="s">
        <v>42</v>
      </c>
      <c r="Q1348" s="32" t="s">
        <v>40</v>
      </c>
      <c r="R1348" s="69">
        <v>44273.684421296297</v>
      </c>
      <c r="S1348" s="35">
        <v>44356</v>
      </c>
      <c r="T1348" s="32" t="str">
        <f t="shared" si="81"/>
        <v>+85262392***</v>
      </c>
      <c r="U1348" s="32" t="str">
        <f t="shared" ca="1" si="82"/>
        <v>step***@jossmail.com</v>
      </c>
      <c r="V1348" s="32">
        <f t="shared" si="83"/>
        <v>21</v>
      </c>
      <c r="W1348" s="36">
        <f t="shared" si="84"/>
        <v>0.05</v>
      </c>
    </row>
    <row r="1349" spans="4:23" ht="27" customHeight="1" x14ac:dyDescent="0.25">
      <c r="D1349" s="14" t="s">
        <v>5054</v>
      </c>
      <c r="E1349" s="14" t="s">
        <v>4018</v>
      </c>
      <c r="F1349" s="84" t="s">
        <v>194</v>
      </c>
      <c r="G1349" s="15" t="s">
        <v>27</v>
      </c>
      <c r="H1349" s="16" t="s">
        <v>5055</v>
      </c>
      <c r="I1349" s="17"/>
      <c r="J1349" s="17"/>
      <c r="K1349" s="17"/>
      <c r="L1349" s="17"/>
      <c r="N1349" s="31">
        <v>1347</v>
      </c>
      <c r="O1349" s="32" t="s">
        <v>2841</v>
      </c>
      <c r="P1349" s="33" t="s">
        <v>31</v>
      </c>
      <c r="Q1349" s="32" t="s">
        <v>32</v>
      </c>
      <c r="R1349" s="69">
        <v>44273.691921296297</v>
      </c>
      <c r="S1349" s="35">
        <v>44354</v>
      </c>
      <c r="T1349" s="32" t="str">
        <f t="shared" ref="T1349:T1412" si="85">"+"&amp;_xlfn.XLOOKUP($O1349, $E$2:$E$3002, $H$2:$H$3002, "Not Found")</f>
        <v>+6283285273***</v>
      </c>
      <c r="U1349" s="32" t="str">
        <f t="shared" ref="U1349:U1412" ca="1" si="86" xml:space="preserve"> LOWER(LEFT(_xlfn.XLOOKUP($O1349, $E$2:$E$3002, $D$2:$D$3002), 4))
  &amp; "***@"
  &amp; IF(RAND()&gt;0.5, "jossmail.com", "yuhuumail.com")</f>
        <v>artu***@yuhuumail.com</v>
      </c>
      <c r="V1349" s="32">
        <f t="shared" ref="V1349:V1412" si="87">DATEDIF(_xlfn.XLOOKUP($O1349, $E$2:$E$3002, $F$2:$F$3002), $R1349, "Y")</f>
        <v>21</v>
      </c>
      <c r="W1349" s="36">
        <f t="shared" ref="W1349:W1412" si="88">IF(DATEDIF($R1349, $S1349, "Y") &gt;= 3, 0.025,
   IF(DATEDIF($R1349, $S1349, "Y") &gt;= 1, 0.015, 0)) +
 IF($V1349 &gt;= 50, 0.04,
   IF($V1349 &gt;= 40, 0.03,
     IF($V1349 &gt;= 30, 0.02,
       IF($V1349 &gt;= 20, 0.05, 0))))</f>
        <v>0.05</v>
      </c>
    </row>
    <row r="1350" spans="4:23" ht="27" customHeight="1" x14ac:dyDescent="0.25">
      <c r="D1350" s="14" t="s">
        <v>5056</v>
      </c>
      <c r="E1350" s="14" t="s">
        <v>5057</v>
      </c>
      <c r="F1350" s="84" t="s">
        <v>280</v>
      </c>
      <c r="G1350" s="15" t="s">
        <v>68</v>
      </c>
      <c r="H1350" s="16" t="s">
        <v>5058</v>
      </c>
      <c r="I1350" s="17"/>
      <c r="J1350" s="17"/>
      <c r="K1350" s="17"/>
      <c r="L1350" s="17"/>
      <c r="N1350" s="31">
        <v>1348</v>
      </c>
      <c r="O1350" s="32" t="s">
        <v>5059</v>
      </c>
      <c r="P1350" s="33" t="s">
        <v>57</v>
      </c>
      <c r="Q1350" s="32" t="s">
        <v>40</v>
      </c>
      <c r="R1350" s="69">
        <v>44273.285092592596</v>
      </c>
      <c r="S1350" s="35">
        <v>44356</v>
      </c>
      <c r="T1350" s="32" t="str">
        <f t="shared" si="85"/>
        <v>+082295378***</v>
      </c>
      <c r="U1350" s="32" t="str">
        <f t="shared" ca="1" si="86"/>
        <v>bray***@yuhuumail.com</v>
      </c>
      <c r="V1350" s="32">
        <f t="shared" si="87"/>
        <v>21</v>
      </c>
      <c r="W1350" s="36">
        <f t="shared" si="88"/>
        <v>0.05</v>
      </c>
    </row>
    <row r="1351" spans="4:23" ht="27" customHeight="1" x14ac:dyDescent="0.25">
      <c r="D1351" s="14" t="s">
        <v>5060</v>
      </c>
      <c r="E1351" s="14" t="s">
        <v>5061</v>
      </c>
      <c r="F1351" s="84" t="s">
        <v>233</v>
      </c>
      <c r="G1351" s="15" t="s">
        <v>27</v>
      </c>
      <c r="H1351" s="16" t="s">
        <v>5062</v>
      </c>
      <c r="I1351" s="17"/>
      <c r="J1351" s="17"/>
      <c r="K1351" s="17"/>
      <c r="L1351" s="17"/>
      <c r="N1351" s="31">
        <v>1349</v>
      </c>
      <c r="O1351" s="32" t="s">
        <v>2066</v>
      </c>
      <c r="P1351" s="33" t="s">
        <v>42</v>
      </c>
      <c r="Q1351" s="32" t="s">
        <v>32</v>
      </c>
      <c r="R1351" s="69">
        <v>44273.712361111109</v>
      </c>
      <c r="S1351" s="35">
        <v>44318</v>
      </c>
      <c r="T1351" s="32" t="str">
        <f t="shared" si="85"/>
        <v>+085225179***</v>
      </c>
      <c r="U1351" s="32" t="str">
        <f t="shared" ca="1" si="86"/>
        <v>rola***@jossmail.com</v>
      </c>
      <c r="V1351" s="32">
        <f t="shared" si="87"/>
        <v>21</v>
      </c>
      <c r="W1351" s="36">
        <f t="shared" si="88"/>
        <v>0.05</v>
      </c>
    </row>
    <row r="1352" spans="4:23" ht="27" customHeight="1" x14ac:dyDescent="0.25">
      <c r="D1352" s="14" t="s">
        <v>5063</v>
      </c>
      <c r="E1352" s="14" t="s">
        <v>5064</v>
      </c>
      <c r="F1352" s="84" t="s">
        <v>524</v>
      </c>
      <c r="G1352" s="15" t="s">
        <v>68</v>
      </c>
      <c r="H1352" s="16" t="s">
        <v>5065</v>
      </c>
      <c r="I1352" s="17"/>
      <c r="J1352" s="17"/>
      <c r="K1352" s="17"/>
      <c r="L1352" s="17"/>
      <c r="N1352" s="31">
        <v>1350</v>
      </c>
      <c r="O1352" s="32" t="s">
        <v>1595</v>
      </c>
      <c r="P1352" s="33" t="s">
        <v>31</v>
      </c>
      <c r="Q1352" s="32" t="s">
        <v>40</v>
      </c>
      <c r="R1352" s="69">
        <v>44273.711215277777</v>
      </c>
      <c r="S1352" s="35">
        <v>44318</v>
      </c>
      <c r="T1352" s="32" t="str">
        <f t="shared" si="85"/>
        <v>+84261140***</v>
      </c>
      <c r="U1352" s="32" t="str">
        <f t="shared" ca="1" si="86"/>
        <v>vale***@jossmail.com</v>
      </c>
      <c r="V1352" s="32">
        <f t="shared" si="87"/>
        <v>21</v>
      </c>
      <c r="W1352" s="36">
        <f t="shared" si="88"/>
        <v>0.05</v>
      </c>
    </row>
    <row r="1353" spans="4:23" ht="27" customHeight="1" x14ac:dyDescent="0.25">
      <c r="D1353" s="14" t="s">
        <v>5066</v>
      </c>
      <c r="E1353" s="14" t="s">
        <v>2013</v>
      </c>
      <c r="F1353" s="84" t="s">
        <v>200</v>
      </c>
      <c r="G1353" s="15" t="s">
        <v>27</v>
      </c>
      <c r="H1353" s="16" t="s">
        <v>5067</v>
      </c>
      <c r="I1353" s="17"/>
      <c r="J1353" s="17"/>
      <c r="K1353" s="17"/>
      <c r="L1353" s="17"/>
      <c r="N1353" s="31">
        <v>1351</v>
      </c>
      <c r="O1353" s="32" t="s">
        <v>3817</v>
      </c>
      <c r="P1353" s="33" t="s">
        <v>57</v>
      </c>
      <c r="Q1353" s="32" t="s">
        <v>32</v>
      </c>
      <c r="R1353" s="69">
        <v>44273.714756944442</v>
      </c>
      <c r="S1353" s="35">
        <v>44354</v>
      </c>
      <c r="T1353" s="32" t="str">
        <f t="shared" si="85"/>
        <v>+0832 61296***</v>
      </c>
      <c r="U1353" s="32" t="str">
        <f t="shared" ca="1" si="86"/>
        <v>royb***@yuhuumail.com</v>
      </c>
      <c r="V1353" s="32">
        <f t="shared" si="87"/>
        <v>21</v>
      </c>
      <c r="W1353" s="36">
        <f t="shared" si="88"/>
        <v>0.05</v>
      </c>
    </row>
    <row r="1354" spans="4:23" ht="27" customHeight="1" x14ac:dyDescent="0.25">
      <c r="D1354" s="14" t="s">
        <v>5068</v>
      </c>
      <c r="E1354" s="14" t="s">
        <v>5069</v>
      </c>
      <c r="F1354" s="84" t="s">
        <v>175</v>
      </c>
      <c r="G1354" s="15" t="s">
        <v>68</v>
      </c>
      <c r="H1354" s="16" t="s">
        <v>5070</v>
      </c>
      <c r="I1354" s="17"/>
      <c r="J1354" s="17"/>
      <c r="K1354" s="17"/>
      <c r="L1354" s="17"/>
      <c r="N1354" s="31">
        <v>1352</v>
      </c>
      <c r="O1354" s="32" t="s">
        <v>5071</v>
      </c>
      <c r="P1354" s="33" t="s">
        <v>57</v>
      </c>
      <c r="Q1354" s="32" t="s">
        <v>40</v>
      </c>
      <c r="R1354" s="69">
        <v>44273.734444444446</v>
      </c>
      <c r="S1354" s="35">
        <v>44356</v>
      </c>
      <c r="T1354" s="32" t="str">
        <f t="shared" si="85"/>
        <v>+0852 60901***</v>
      </c>
      <c r="U1354" s="32" t="str">
        <f t="shared" ca="1" si="86"/>
        <v>memp***@jossmail.com</v>
      </c>
      <c r="V1354" s="32">
        <f t="shared" si="87"/>
        <v>21</v>
      </c>
      <c r="W1354" s="36">
        <f t="shared" si="88"/>
        <v>0.05</v>
      </c>
    </row>
    <row r="1355" spans="4:23" ht="27" customHeight="1" x14ac:dyDescent="0.25">
      <c r="D1355" s="14" t="s">
        <v>5072</v>
      </c>
      <c r="E1355" s="14" t="s">
        <v>3626</v>
      </c>
      <c r="F1355" s="84" t="s">
        <v>1201</v>
      </c>
      <c r="G1355" s="15" t="s">
        <v>68</v>
      </c>
      <c r="H1355" s="16" t="s">
        <v>5073</v>
      </c>
      <c r="I1355" s="17"/>
      <c r="J1355" s="17"/>
      <c r="K1355" s="17"/>
      <c r="L1355" s="17"/>
      <c r="N1355" s="31">
        <v>1353</v>
      </c>
      <c r="O1355" s="32" t="s">
        <v>5074</v>
      </c>
      <c r="P1355" s="33" t="s">
        <v>42</v>
      </c>
      <c r="Q1355" s="32" t="s">
        <v>32</v>
      </c>
      <c r="R1355" s="69">
        <v>44273.736076388886</v>
      </c>
      <c r="S1355" s="71">
        <v>44320</v>
      </c>
      <c r="T1355" s="32" t="str">
        <f t="shared" si="85"/>
        <v>+0812 64778***</v>
      </c>
      <c r="U1355" s="32" t="str">
        <f t="shared" ca="1" si="86"/>
        <v>amar***@yuhuumail.com</v>
      </c>
      <c r="V1355" s="32">
        <f t="shared" si="87"/>
        <v>21</v>
      </c>
      <c r="W1355" s="36">
        <f t="shared" si="88"/>
        <v>0.05</v>
      </c>
    </row>
    <row r="1356" spans="4:23" ht="27" customHeight="1" x14ac:dyDescent="0.25">
      <c r="D1356" s="14" t="s">
        <v>5075</v>
      </c>
      <c r="E1356" s="14" t="s">
        <v>5076</v>
      </c>
      <c r="F1356" s="84" t="s">
        <v>909</v>
      </c>
      <c r="G1356" s="15" t="s">
        <v>68</v>
      </c>
      <c r="H1356" s="16" t="s">
        <v>5077</v>
      </c>
      <c r="I1356" s="17"/>
      <c r="J1356" s="17"/>
      <c r="K1356" s="17"/>
      <c r="L1356" s="17"/>
      <c r="N1356" s="31">
        <v>1354</v>
      </c>
      <c r="O1356" s="32" t="s">
        <v>3030</v>
      </c>
      <c r="P1356" s="33" t="s">
        <v>57</v>
      </c>
      <c r="Q1356" s="32" t="s">
        <v>40</v>
      </c>
      <c r="R1356" s="69">
        <v>44273.47383101852</v>
      </c>
      <c r="S1356" s="71">
        <v>44318</v>
      </c>
      <c r="T1356" s="32" t="str">
        <f t="shared" si="85"/>
        <v>+0812 19141***</v>
      </c>
      <c r="U1356" s="32" t="str">
        <f t="shared" ca="1" si="86"/>
        <v>kian***@yuhuumail.com</v>
      </c>
      <c r="V1356" s="32">
        <f t="shared" si="87"/>
        <v>21</v>
      </c>
      <c r="W1356" s="36">
        <f t="shared" si="88"/>
        <v>0.05</v>
      </c>
    </row>
    <row r="1357" spans="4:23" ht="27" customHeight="1" x14ac:dyDescent="0.25">
      <c r="D1357" s="14" t="s">
        <v>5078</v>
      </c>
      <c r="E1357" s="14" t="s">
        <v>5079</v>
      </c>
      <c r="F1357" s="84" t="s">
        <v>381</v>
      </c>
      <c r="G1357" s="15" t="s">
        <v>68</v>
      </c>
      <c r="H1357" s="16" t="s">
        <v>5080</v>
      </c>
      <c r="I1357" s="17"/>
      <c r="J1357" s="17"/>
      <c r="K1357" s="17"/>
      <c r="L1357" s="17"/>
      <c r="N1357" s="31">
        <v>1355</v>
      </c>
      <c r="O1357" s="32" t="s">
        <v>5081</v>
      </c>
      <c r="P1357" s="33" t="s">
        <v>42</v>
      </c>
      <c r="Q1357" s="32" t="s">
        <v>32</v>
      </c>
      <c r="R1357" s="69">
        <v>44273.738518518519</v>
      </c>
      <c r="S1357" s="71">
        <v>44320</v>
      </c>
      <c r="T1357" s="32" t="str">
        <f t="shared" si="85"/>
        <v>+0832 77019***</v>
      </c>
      <c r="U1357" s="32" t="str">
        <f t="shared" ca="1" si="86"/>
        <v>jill***@jossmail.com</v>
      </c>
      <c r="V1357" s="32">
        <f t="shared" si="87"/>
        <v>21</v>
      </c>
      <c r="W1357" s="36">
        <f t="shared" si="88"/>
        <v>0.05</v>
      </c>
    </row>
    <row r="1358" spans="4:23" ht="27" customHeight="1" x14ac:dyDescent="0.25">
      <c r="D1358" s="14" t="s">
        <v>5082</v>
      </c>
      <c r="E1358" s="14" t="s">
        <v>5083</v>
      </c>
      <c r="F1358" s="84" t="s">
        <v>386</v>
      </c>
      <c r="G1358" s="15" t="s">
        <v>27</v>
      </c>
      <c r="H1358" s="16" t="s">
        <v>5084</v>
      </c>
      <c r="I1358" s="17"/>
      <c r="J1358" s="17"/>
      <c r="K1358" s="17"/>
      <c r="L1358" s="17"/>
      <c r="N1358" s="31">
        <v>1356</v>
      </c>
      <c r="O1358" s="32" t="s">
        <v>5085</v>
      </c>
      <c r="P1358" s="33" t="s">
        <v>5086</v>
      </c>
      <c r="Q1358" s="32" t="s">
        <v>40</v>
      </c>
      <c r="R1358" s="69">
        <v>44273.739976851852</v>
      </c>
      <c r="S1358" s="71">
        <v>44320</v>
      </c>
      <c r="T1358" s="32" t="str">
        <f t="shared" si="85"/>
        <v>+85281576***</v>
      </c>
      <c r="U1358" s="32" t="str">
        <f t="shared" ca="1" si="86"/>
        <v>heze***@yuhuumail.com</v>
      </c>
      <c r="V1358" s="32">
        <f t="shared" si="87"/>
        <v>21</v>
      </c>
      <c r="W1358" s="36">
        <f t="shared" si="88"/>
        <v>0.05</v>
      </c>
    </row>
    <row r="1359" spans="4:23" ht="27" customHeight="1" x14ac:dyDescent="0.25">
      <c r="D1359" s="14" t="s">
        <v>5087</v>
      </c>
      <c r="E1359" s="14" t="s">
        <v>5088</v>
      </c>
      <c r="F1359" s="84" t="s">
        <v>200</v>
      </c>
      <c r="G1359" s="15" t="s">
        <v>27</v>
      </c>
      <c r="H1359" s="16" t="s">
        <v>5089</v>
      </c>
      <c r="I1359" s="17"/>
      <c r="J1359" s="17"/>
      <c r="K1359" s="17"/>
      <c r="L1359" s="17"/>
      <c r="N1359" s="31">
        <v>1357</v>
      </c>
      <c r="O1359" s="32" t="s">
        <v>1366</v>
      </c>
      <c r="P1359" s="33" t="s">
        <v>5090</v>
      </c>
      <c r="Q1359" s="32" t="s">
        <v>32</v>
      </c>
      <c r="R1359" s="69">
        <v>44273.699328703704</v>
      </c>
      <c r="S1359" s="71">
        <v>44317</v>
      </c>
      <c r="T1359" s="32" t="str">
        <f t="shared" si="85"/>
        <v>+0832 71358***</v>
      </c>
      <c r="U1359" s="32" t="str">
        <f t="shared" ca="1" si="86"/>
        <v>lace***@yuhuumail.com</v>
      </c>
      <c r="V1359" s="32">
        <f t="shared" si="87"/>
        <v>21</v>
      </c>
      <c r="W1359" s="36">
        <f t="shared" si="88"/>
        <v>0.05</v>
      </c>
    </row>
    <row r="1360" spans="4:23" ht="27" customHeight="1" x14ac:dyDescent="0.25">
      <c r="D1360" s="14" t="s">
        <v>5091</v>
      </c>
      <c r="E1360" s="14" t="s">
        <v>857</v>
      </c>
      <c r="F1360" s="84" t="s">
        <v>2135</v>
      </c>
      <c r="G1360" s="15" t="s">
        <v>68</v>
      </c>
      <c r="H1360" s="16" t="s">
        <v>5092</v>
      </c>
      <c r="I1360" s="17"/>
      <c r="J1360" s="17"/>
      <c r="K1360" s="17"/>
      <c r="L1360" s="17"/>
      <c r="N1360" s="31">
        <v>1358</v>
      </c>
      <c r="O1360" s="32" t="s">
        <v>5093</v>
      </c>
      <c r="P1360" s="33" t="s">
        <v>5094</v>
      </c>
      <c r="Q1360" s="32" t="s">
        <v>40</v>
      </c>
      <c r="R1360" s="69">
        <v>43747.843784722223</v>
      </c>
      <c r="S1360" s="71">
        <v>44318</v>
      </c>
      <c r="T1360" s="32" t="str">
        <f t="shared" si="85"/>
        <v>+6282229529***</v>
      </c>
      <c r="U1360" s="32" t="str">
        <f t="shared" ca="1" si="86"/>
        <v>gina***@yuhuumail.com</v>
      </c>
      <c r="V1360" s="32">
        <f t="shared" si="87"/>
        <v>20</v>
      </c>
      <c r="W1360" s="36">
        <f t="shared" si="88"/>
        <v>6.5000000000000002E-2</v>
      </c>
    </row>
    <row r="1361" spans="4:23" ht="27" customHeight="1" x14ac:dyDescent="0.25">
      <c r="D1361" s="14" t="s">
        <v>5095</v>
      </c>
      <c r="E1361" s="14" t="s">
        <v>3618</v>
      </c>
      <c r="F1361" s="84" t="s">
        <v>1201</v>
      </c>
      <c r="G1361" s="15" t="s">
        <v>27</v>
      </c>
      <c r="H1361" s="16" t="s">
        <v>5096</v>
      </c>
      <c r="I1361" s="17"/>
      <c r="J1361" s="17"/>
      <c r="K1361" s="17"/>
      <c r="L1361" s="17"/>
      <c r="N1361" s="31">
        <v>1359</v>
      </c>
      <c r="O1361" s="32" t="s">
        <v>2155</v>
      </c>
      <c r="P1361" s="33" t="s">
        <v>42</v>
      </c>
      <c r="Q1361" s="32" t="s">
        <v>32</v>
      </c>
      <c r="R1361" s="69">
        <v>43406.413912037038</v>
      </c>
      <c r="S1361" s="71">
        <v>44356</v>
      </c>
      <c r="T1361" s="32" t="str">
        <f t="shared" si="85"/>
        <v>+082290078***</v>
      </c>
      <c r="U1361" s="32" t="str">
        <f t="shared" ca="1" si="86"/>
        <v>lamo***@yuhuumail.com</v>
      </c>
      <c r="V1361" s="32">
        <f t="shared" si="87"/>
        <v>19</v>
      </c>
      <c r="W1361" s="36">
        <f t="shared" si="88"/>
        <v>1.4999999999999999E-2</v>
      </c>
    </row>
    <row r="1362" spans="4:23" ht="27" customHeight="1" x14ac:dyDescent="0.25">
      <c r="D1362" s="14" t="s">
        <v>5097</v>
      </c>
      <c r="E1362" s="14" t="s">
        <v>5098</v>
      </c>
      <c r="F1362" s="84" t="s">
        <v>1318</v>
      </c>
      <c r="G1362" s="15" t="s">
        <v>27</v>
      </c>
      <c r="H1362" s="16" t="s">
        <v>5099</v>
      </c>
      <c r="I1362" s="17"/>
      <c r="J1362" s="17"/>
      <c r="K1362" s="17"/>
      <c r="L1362" s="17"/>
      <c r="N1362" s="31">
        <v>1360</v>
      </c>
      <c r="O1362" s="32" t="s">
        <v>503</v>
      </c>
      <c r="P1362" s="33" t="s">
        <v>31</v>
      </c>
      <c r="Q1362" s="32" t="s">
        <v>40</v>
      </c>
      <c r="R1362" s="69">
        <v>44273.756620370368</v>
      </c>
      <c r="S1362" s="71">
        <v>44356</v>
      </c>
      <c r="T1362" s="32" t="str">
        <f t="shared" si="85"/>
        <v>+85219908***</v>
      </c>
      <c r="U1362" s="32" t="str">
        <f t="shared" ca="1" si="86"/>
        <v>deni***@yuhuumail.com</v>
      </c>
      <c r="V1362" s="32">
        <f t="shared" si="87"/>
        <v>21</v>
      </c>
      <c r="W1362" s="36">
        <f t="shared" si="88"/>
        <v>0.05</v>
      </c>
    </row>
    <row r="1363" spans="4:23" ht="27" customHeight="1" x14ac:dyDescent="0.25">
      <c r="D1363" s="14" t="s">
        <v>5100</v>
      </c>
      <c r="E1363" s="14" t="s">
        <v>2229</v>
      </c>
      <c r="F1363" s="84" t="s">
        <v>466</v>
      </c>
      <c r="G1363" s="15" t="s">
        <v>27</v>
      </c>
      <c r="H1363" s="16" t="s">
        <v>5101</v>
      </c>
      <c r="I1363" s="17"/>
      <c r="J1363" s="17"/>
      <c r="K1363" s="17"/>
      <c r="L1363" s="17"/>
      <c r="N1363" s="31">
        <v>1361</v>
      </c>
      <c r="O1363" s="32" t="s">
        <v>5102</v>
      </c>
      <c r="P1363" s="33" t="s">
        <v>57</v>
      </c>
      <c r="Q1363" s="32" t="s">
        <v>32</v>
      </c>
      <c r="R1363" s="69">
        <v>43084.477581018517</v>
      </c>
      <c r="S1363" s="71">
        <v>44345</v>
      </c>
      <c r="T1363" s="32" t="str">
        <f t="shared" si="85"/>
        <v>+0842 84891***</v>
      </c>
      <c r="U1363" s="32" t="str">
        <f t="shared" ca="1" si="86"/>
        <v>aver***@yuhuumail.com</v>
      </c>
      <c r="V1363" s="32">
        <f t="shared" si="87"/>
        <v>18</v>
      </c>
      <c r="W1363" s="36">
        <f t="shared" si="88"/>
        <v>2.5000000000000001E-2</v>
      </c>
    </row>
    <row r="1364" spans="4:23" ht="27" customHeight="1" x14ac:dyDescent="0.25">
      <c r="D1364" s="14" t="s">
        <v>5103</v>
      </c>
      <c r="E1364" s="14" t="s">
        <v>5104</v>
      </c>
      <c r="F1364" s="84" t="s">
        <v>266</v>
      </c>
      <c r="G1364" s="15" t="s">
        <v>68</v>
      </c>
      <c r="H1364" s="16" t="s">
        <v>5105</v>
      </c>
      <c r="I1364" s="17"/>
      <c r="J1364" s="17"/>
      <c r="K1364" s="17"/>
      <c r="L1364" s="17"/>
      <c r="N1364" s="31">
        <v>1362</v>
      </c>
      <c r="O1364" s="32" t="s">
        <v>5106</v>
      </c>
      <c r="P1364" s="33" t="s">
        <v>57</v>
      </c>
      <c r="Q1364" s="32" t="s">
        <v>40</v>
      </c>
      <c r="R1364" s="69">
        <v>44273.765451388892</v>
      </c>
      <c r="S1364" s="71">
        <v>44362</v>
      </c>
      <c r="T1364" s="32" t="str">
        <f t="shared" si="85"/>
        <v>+083221301***</v>
      </c>
      <c r="U1364" s="32" t="str">
        <f t="shared" ca="1" si="86"/>
        <v>adon***@yuhuumail.com</v>
      </c>
      <c r="V1364" s="32">
        <f t="shared" si="87"/>
        <v>21</v>
      </c>
      <c r="W1364" s="36">
        <f t="shared" si="88"/>
        <v>0.05</v>
      </c>
    </row>
    <row r="1365" spans="4:23" ht="27" customHeight="1" x14ac:dyDescent="0.25">
      <c r="D1365" s="14" t="s">
        <v>5107</v>
      </c>
      <c r="E1365" s="14" t="s">
        <v>5108</v>
      </c>
      <c r="F1365" s="84" t="s">
        <v>592</v>
      </c>
      <c r="G1365" s="15" t="s">
        <v>27</v>
      </c>
      <c r="H1365" s="16" t="s">
        <v>5109</v>
      </c>
      <c r="I1365" s="17"/>
      <c r="J1365" s="17"/>
      <c r="K1365" s="17"/>
      <c r="L1365" s="17"/>
      <c r="N1365" s="31">
        <v>1363</v>
      </c>
      <c r="O1365" s="32" t="s">
        <v>5110</v>
      </c>
      <c r="P1365" s="33" t="s">
        <v>42</v>
      </c>
      <c r="Q1365" s="32" t="s">
        <v>32</v>
      </c>
      <c r="R1365" s="69">
        <v>44273.758275462962</v>
      </c>
      <c r="S1365" s="71">
        <v>44359</v>
      </c>
      <c r="T1365" s="32" t="str">
        <f t="shared" si="85"/>
        <v>+0852-66417***</v>
      </c>
      <c r="U1365" s="32" t="str">
        <f t="shared" ca="1" si="86"/>
        <v>karl***@jossmail.com</v>
      </c>
      <c r="V1365" s="32">
        <f t="shared" si="87"/>
        <v>21</v>
      </c>
      <c r="W1365" s="36">
        <f t="shared" si="88"/>
        <v>0.05</v>
      </c>
    </row>
    <row r="1366" spans="4:23" ht="27" customHeight="1" x14ac:dyDescent="0.25">
      <c r="D1366" s="14" t="s">
        <v>5111</v>
      </c>
      <c r="E1366" s="14" t="s">
        <v>5112</v>
      </c>
      <c r="F1366" s="84" t="s">
        <v>343</v>
      </c>
      <c r="G1366" s="15" t="s">
        <v>68</v>
      </c>
      <c r="H1366" s="16" t="s">
        <v>5113</v>
      </c>
      <c r="I1366" s="17"/>
      <c r="J1366" s="17"/>
      <c r="K1366" s="17"/>
      <c r="L1366" s="17"/>
      <c r="N1366" s="31">
        <v>1364</v>
      </c>
      <c r="O1366" s="32" t="s">
        <v>5114</v>
      </c>
      <c r="P1366" s="33" t="s">
        <v>42</v>
      </c>
      <c r="Q1366" s="32" t="s">
        <v>40</v>
      </c>
      <c r="R1366" s="69">
        <v>44273.775567129633</v>
      </c>
      <c r="S1366" s="71">
        <v>44320</v>
      </c>
      <c r="T1366" s="32" t="str">
        <f t="shared" si="85"/>
        <v>+081223833***</v>
      </c>
      <c r="U1366" s="32" t="str">
        <f t="shared" ca="1" si="86"/>
        <v>regi***@jossmail.com</v>
      </c>
      <c r="V1366" s="32">
        <f t="shared" si="87"/>
        <v>21</v>
      </c>
      <c r="W1366" s="36">
        <f t="shared" si="88"/>
        <v>0.05</v>
      </c>
    </row>
    <row r="1367" spans="4:23" ht="27" customHeight="1" x14ac:dyDescent="0.25">
      <c r="D1367" s="14" t="s">
        <v>5115</v>
      </c>
      <c r="E1367" s="14" t="s">
        <v>5116</v>
      </c>
      <c r="F1367" s="84" t="s">
        <v>280</v>
      </c>
      <c r="G1367" s="15" t="s">
        <v>27</v>
      </c>
      <c r="H1367" s="16" t="s">
        <v>5117</v>
      </c>
      <c r="I1367" s="17"/>
      <c r="J1367" s="17"/>
      <c r="K1367" s="17"/>
      <c r="L1367" s="17"/>
      <c r="N1367" s="31">
        <v>1365</v>
      </c>
      <c r="O1367" s="32" t="s">
        <v>5011</v>
      </c>
      <c r="P1367" s="33" t="s">
        <v>57</v>
      </c>
      <c r="Q1367" s="32" t="s">
        <v>32</v>
      </c>
      <c r="R1367" s="69">
        <v>44273.778634259259</v>
      </c>
      <c r="S1367" s="71">
        <v>44356</v>
      </c>
      <c r="T1367" s="32" t="str">
        <f t="shared" si="85"/>
        <v>+6281237337***</v>
      </c>
      <c r="U1367" s="32" t="str">
        <f t="shared" ca="1" si="86"/>
        <v>todd***@yuhuumail.com</v>
      </c>
      <c r="V1367" s="32">
        <f t="shared" si="87"/>
        <v>21</v>
      </c>
      <c r="W1367" s="36">
        <f t="shared" si="88"/>
        <v>0.05</v>
      </c>
    </row>
    <row r="1368" spans="4:23" ht="27" customHeight="1" x14ac:dyDescent="0.25">
      <c r="D1368" s="14" t="s">
        <v>5118</v>
      </c>
      <c r="E1368" s="14" t="s">
        <v>5034</v>
      </c>
      <c r="F1368" s="84" t="s">
        <v>206</v>
      </c>
      <c r="G1368" s="15" t="s">
        <v>27</v>
      </c>
      <c r="H1368" s="16" t="s">
        <v>5119</v>
      </c>
      <c r="I1368" s="17"/>
      <c r="J1368" s="17"/>
      <c r="K1368" s="17"/>
      <c r="L1368" s="17"/>
      <c r="N1368" s="31">
        <v>1366</v>
      </c>
      <c r="O1368" s="32" t="s">
        <v>5120</v>
      </c>
      <c r="P1368" s="33" t="s">
        <v>31</v>
      </c>
      <c r="Q1368" s="32" t="s">
        <v>40</v>
      </c>
      <c r="R1368" s="69">
        <v>44273.792638888888</v>
      </c>
      <c r="S1368" s="71">
        <v>44322</v>
      </c>
      <c r="T1368" s="32" t="str">
        <f t="shared" si="85"/>
        <v>+822 96781***</v>
      </c>
      <c r="U1368" s="32" t="str">
        <f t="shared" ca="1" si="86"/>
        <v>lili***@yuhuumail.com</v>
      </c>
      <c r="V1368" s="32">
        <f t="shared" si="87"/>
        <v>21</v>
      </c>
      <c r="W1368" s="36">
        <f t="shared" si="88"/>
        <v>0.05</v>
      </c>
    </row>
    <row r="1369" spans="4:23" ht="27" customHeight="1" x14ac:dyDescent="0.25">
      <c r="D1369" s="14" t="s">
        <v>5121</v>
      </c>
      <c r="E1369" s="14" t="s">
        <v>5122</v>
      </c>
      <c r="F1369" s="84" t="s">
        <v>2718</v>
      </c>
      <c r="G1369" s="15" t="s">
        <v>68</v>
      </c>
      <c r="H1369" s="16" t="s">
        <v>5123</v>
      </c>
      <c r="I1369" s="17"/>
      <c r="J1369" s="17"/>
      <c r="K1369" s="17"/>
      <c r="L1369" s="17"/>
      <c r="N1369" s="31">
        <v>1367</v>
      </c>
      <c r="O1369" s="32" t="s">
        <v>5124</v>
      </c>
      <c r="P1369" s="33" t="s">
        <v>57</v>
      </c>
      <c r="Q1369" s="32" t="s">
        <v>32</v>
      </c>
      <c r="R1369" s="69">
        <v>44273.616782407407</v>
      </c>
      <c r="S1369" s="71">
        <v>44354</v>
      </c>
      <c r="T1369" s="32" t="str">
        <f t="shared" si="85"/>
        <v>+84280685***</v>
      </c>
      <c r="U1369" s="32" t="str">
        <f t="shared" ca="1" si="86"/>
        <v>abra***@yuhuumail.com</v>
      </c>
      <c r="V1369" s="32">
        <f t="shared" si="87"/>
        <v>21</v>
      </c>
      <c r="W1369" s="36">
        <f t="shared" si="88"/>
        <v>0.05</v>
      </c>
    </row>
    <row r="1370" spans="4:23" ht="27" customHeight="1" x14ac:dyDescent="0.25">
      <c r="D1370" s="14" t="s">
        <v>5125</v>
      </c>
      <c r="E1370" s="14" t="s">
        <v>2137</v>
      </c>
      <c r="F1370" s="84" t="s">
        <v>1572</v>
      </c>
      <c r="G1370" s="15" t="s">
        <v>27</v>
      </c>
      <c r="H1370" s="16" t="s">
        <v>5126</v>
      </c>
      <c r="I1370" s="17"/>
      <c r="J1370" s="17"/>
      <c r="K1370" s="17"/>
      <c r="L1370" s="17"/>
      <c r="N1370" s="31">
        <v>1368</v>
      </c>
      <c r="O1370" s="32" t="s">
        <v>5127</v>
      </c>
      <c r="P1370" s="33" t="s">
        <v>42</v>
      </c>
      <c r="Q1370" s="32" t="s">
        <v>40</v>
      </c>
      <c r="R1370" s="69">
        <v>44273.814618055556</v>
      </c>
      <c r="S1370" s="71">
        <v>44359</v>
      </c>
      <c r="T1370" s="32" t="str">
        <f t="shared" si="85"/>
        <v>+85241128***</v>
      </c>
      <c r="U1370" s="32" t="str">
        <f t="shared" ca="1" si="86"/>
        <v>alli***@yuhuumail.com</v>
      </c>
      <c r="V1370" s="32">
        <f t="shared" si="87"/>
        <v>21</v>
      </c>
      <c r="W1370" s="36">
        <f t="shared" si="88"/>
        <v>0.05</v>
      </c>
    </row>
    <row r="1371" spans="4:23" ht="27" customHeight="1" x14ac:dyDescent="0.25">
      <c r="D1371" s="14" t="s">
        <v>5128</v>
      </c>
      <c r="E1371" s="14" t="s">
        <v>558</v>
      </c>
      <c r="F1371" s="84" t="s">
        <v>1166</v>
      </c>
      <c r="G1371" s="15" t="s">
        <v>27</v>
      </c>
      <c r="H1371" s="16" t="s">
        <v>5129</v>
      </c>
      <c r="I1371" s="17"/>
      <c r="J1371" s="17"/>
      <c r="K1371" s="17"/>
      <c r="L1371" s="17"/>
      <c r="N1371" s="31">
        <v>1369</v>
      </c>
      <c r="O1371" s="32" t="s">
        <v>4543</v>
      </c>
      <c r="P1371" s="33" t="s">
        <v>57</v>
      </c>
      <c r="Q1371" s="32" t="s">
        <v>32</v>
      </c>
      <c r="R1371" s="69">
        <v>44273.653460648151</v>
      </c>
      <c r="S1371" s="71">
        <v>44362</v>
      </c>
      <c r="T1371" s="32" t="str">
        <f t="shared" si="85"/>
        <v>+0842-85282***</v>
      </c>
      <c r="U1371" s="32" t="str">
        <f t="shared" ca="1" si="86"/>
        <v>tris***@jossmail.com</v>
      </c>
      <c r="V1371" s="32">
        <f t="shared" si="87"/>
        <v>21</v>
      </c>
      <c r="W1371" s="36">
        <f t="shared" si="88"/>
        <v>0.05</v>
      </c>
    </row>
    <row r="1372" spans="4:23" ht="27" customHeight="1" x14ac:dyDescent="0.25">
      <c r="D1372" s="14" t="s">
        <v>5130</v>
      </c>
      <c r="E1372" s="14" t="s">
        <v>4113</v>
      </c>
      <c r="F1372" s="84" t="s">
        <v>239</v>
      </c>
      <c r="G1372" s="15" t="s">
        <v>68</v>
      </c>
      <c r="H1372" s="16" t="s">
        <v>5131</v>
      </c>
      <c r="I1372" s="17"/>
      <c r="J1372" s="17"/>
      <c r="K1372" s="17"/>
      <c r="L1372" s="17"/>
      <c r="N1372" s="31">
        <v>1370</v>
      </c>
      <c r="O1372" s="32" t="s">
        <v>5132</v>
      </c>
      <c r="P1372" s="33" t="s">
        <v>42</v>
      </c>
      <c r="Q1372" s="32" t="s">
        <v>40</v>
      </c>
      <c r="R1372" s="69">
        <v>44102.456203703703</v>
      </c>
      <c r="S1372" s="71">
        <v>44352</v>
      </c>
      <c r="T1372" s="32" t="str">
        <f t="shared" si="85"/>
        <v>+082289126***</v>
      </c>
      <c r="U1372" s="32" t="str">
        <f t="shared" ca="1" si="86"/>
        <v>apri***@yuhuumail.com</v>
      </c>
      <c r="V1372" s="32">
        <f t="shared" si="87"/>
        <v>20</v>
      </c>
      <c r="W1372" s="36">
        <f t="shared" si="88"/>
        <v>0.05</v>
      </c>
    </row>
    <row r="1373" spans="4:23" ht="27" customHeight="1" x14ac:dyDescent="0.25">
      <c r="D1373" s="14" t="s">
        <v>5133</v>
      </c>
      <c r="E1373" s="14" t="s">
        <v>5134</v>
      </c>
      <c r="F1373" s="84" t="s">
        <v>909</v>
      </c>
      <c r="G1373" s="15" t="s">
        <v>27</v>
      </c>
      <c r="H1373" s="16" t="s">
        <v>5135</v>
      </c>
      <c r="I1373" s="17"/>
      <c r="J1373" s="17"/>
      <c r="K1373" s="17"/>
      <c r="L1373" s="17"/>
      <c r="N1373" s="31">
        <v>1371</v>
      </c>
      <c r="O1373" s="32" t="s">
        <v>5136</v>
      </c>
      <c r="P1373" s="33" t="s">
        <v>31</v>
      </c>
      <c r="Q1373" s="32" t="s">
        <v>32</v>
      </c>
      <c r="R1373" s="69">
        <v>44273.815312500003</v>
      </c>
      <c r="S1373" s="71">
        <v>44318</v>
      </c>
      <c r="T1373" s="32" t="str">
        <f t="shared" si="85"/>
        <v>+0812-61803***</v>
      </c>
      <c r="U1373" s="32" t="str">
        <f t="shared" ca="1" si="86"/>
        <v>mika***@jossmail.com</v>
      </c>
      <c r="V1373" s="32">
        <f t="shared" si="87"/>
        <v>21</v>
      </c>
      <c r="W1373" s="36">
        <f t="shared" si="88"/>
        <v>0.05</v>
      </c>
    </row>
    <row r="1374" spans="4:23" ht="27" customHeight="1" x14ac:dyDescent="0.25">
      <c r="D1374" s="14" t="s">
        <v>5137</v>
      </c>
      <c r="E1374" s="14" t="s">
        <v>5138</v>
      </c>
      <c r="F1374" s="84" t="s">
        <v>46</v>
      </c>
      <c r="G1374" s="15" t="s">
        <v>68</v>
      </c>
      <c r="H1374" s="16" t="s">
        <v>5139</v>
      </c>
      <c r="I1374" s="17"/>
      <c r="J1374" s="17"/>
      <c r="K1374" s="17"/>
      <c r="L1374" s="17"/>
      <c r="N1374" s="31">
        <v>1372</v>
      </c>
      <c r="O1374" s="32" t="s">
        <v>5140</v>
      </c>
      <c r="P1374" s="33" t="s">
        <v>31</v>
      </c>
      <c r="Q1374" s="32" t="s">
        <v>40</v>
      </c>
      <c r="R1374" s="69">
        <v>44272.81287037037</v>
      </c>
      <c r="S1374" s="71">
        <v>44352</v>
      </c>
      <c r="T1374" s="32" t="str">
        <f t="shared" si="85"/>
        <v>+081289690***</v>
      </c>
      <c r="U1374" s="32" t="str">
        <f t="shared" ca="1" si="86"/>
        <v>kael***@jossmail.com</v>
      </c>
      <c r="V1374" s="32">
        <f t="shared" si="87"/>
        <v>21</v>
      </c>
      <c r="W1374" s="36">
        <f t="shared" si="88"/>
        <v>0.05</v>
      </c>
    </row>
    <row r="1375" spans="4:23" ht="27" customHeight="1" x14ac:dyDescent="0.25">
      <c r="D1375" s="14" t="s">
        <v>5141</v>
      </c>
      <c r="E1375" s="14" t="s">
        <v>2960</v>
      </c>
      <c r="F1375" s="84" t="s">
        <v>92</v>
      </c>
      <c r="G1375" s="15" t="s">
        <v>27</v>
      </c>
      <c r="H1375" s="16" t="s">
        <v>5142</v>
      </c>
      <c r="I1375" s="17"/>
      <c r="J1375" s="17"/>
      <c r="K1375" s="17"/>
      <c r="L1375" s="17"/>
      <c r="N1375" s="31">
        <v>1373</v>
      </c>
      <c r="O1375" s="32" t="s">
        <v>5143</v>
      </c>
      <c r="P1375" s="33" t="s">
        <v>31</v>
      </c>
      <c r="Q1375" s="32" t="s">
        <v>32</v>
      </c>
      <c r="R1375" s="69">
        <v>44273.799351851849</v>
      </c>
      <c r="S1375" s="35">
        <v>44362</v>
      </c>
      <c r="T1375" s="32" t="str">
        <f t="shared" si="85"/>
        <v>+84234246***</v>
      </c>
      <c r="U1375" s="32" t="str">
        <f t="shared" ca="1" si="86"/>
        <v>garr***@jossmail.com</v>
      </c>
      <c r="V1375" s="32">
        <f t="shared" si="87"/>
        <v>21</v>
      </c>
      <c r="W1375" s="36">
        <f t="shared" si="88"/>
        <v>0.05</v>
      </c>
    </row>
    <row r="1376" spans="4:23" ht="27" customHeight="1" x14ac:dyDescent="0.25">
      <c r="D1376" s="14" t="s">
        <v>5144</v>
      </c>
      <c r="E1376" s="14" t="s">
        <v>5145</v>
      </c>
      <c r="F1376" s="84" t="s">
        <v>175</v>
      </c>
      <c r="G1376" s="15" t="s">
        <v>27</v>
      </c>
      <c r="H1376" s="16" t="s">
        <v>5146</v>
      </c>
      <c r="I1376" s="17"/>
      <c r="J1376" s="17"/>
      <c r="K1376" s="17"/>
      <c r="L1376" s="17"/>
      <c r="N1376" s="31">
        <v>1374</v>
      </c>
      <c r="O1376" s="32" t="s">
        <v>5147</v>
      </c>
      <c r="P1376" s="33" t="s">
        <v>57</v>
      </c>
      <c r="Q1376" s="32" t="s">
        <v>40</v>
      </c>
      <c r="R1376" s="69">
        <v>43395.866770833331</v>
      </c>
      <c r="S1376" s="35">
        <v>44356</v>
      </c>
      <c r="T1376" s="32" t="str">
        <f t="shared" si="85"/>
        <v>+84226108***</v>
      </c>
      <c r="U1376" s="32" t="str">
        <f t="shared" ca="1" si="86"/>
        <v>jayd***@yuhuumail.com</v>
      </c>
      <c r="V1376" s="32">
        <f t="shared" si="87"/>
        <v>19</v>
      </c>
      <c r="W1376" s="36">
        <f t="shared" si="88"/>
        <v>1.4999999999999999E-2</v>
      </c>
    </row>
    <row r="1377" spans="4:23" ht="27" customHeight="1" x14ac:dyDescent="0.25">
      <c r="D1377" s="14" t="s">
        <v>5148</v>
      </c>
      <c r="E1377" s="14" t="s">
        <v>4198</v>
      </c>
      <c r="F1377" s="84" t="s">
        <v>348</v>
      </c>
      <c r="G1377" s="15" t="s">
        <v>27</v>
      </c>
      <c r="H1377" s="16" t="s">
        <v>5149</v>
      </c>
      <c r="I1377" s="17"/>
      <c r="J1377" s="17"/>
      <c r="K1377" s="17"/>
      <c r="L1377" s="17"/>
      <c r="N1377" s="31">
        <v>1375</v>
      </c>
      <c r="O1377" s="32" t="s">
        <v>4905</v>
      </c>
      <c r="P1377" s="33" t="s">
        <v>42</v>
      </c>
      <c r="Q1377" s="32" t="s">
        <v>32</v>
      </c>
      <c r="R1377" s="69">
        <v>44273.825138888889</v>
      </c>
      <c r="S1377" s="35">
        <v>44318</v>
      </c>
      <c r="T1377" s="32" t="str">
        <f t="shared" si="85"/>
        <v>+083239465***</v>
      </c>
      <c r="U1377" s="32" t="str">
        <f t="shared" ca="1" si="86"/>
        <v>tani***@jossmail.com</v>
      </c>
      <c r="V1377" s="32">
        <f t="shared" si="87"/>
        <v>21</v>
      </c>
      <c r="W1377" s="36">
        <f t="shared" si="88"/>
        <v>0.05</v>
      </c>
    </row>
    <row r="1378" spans="4:23" ht="27" customHeight="1" x14ac:dyDescent="0.25">
      <c r="D1378" s="14" t="s">
        <v>5150</v>
      </c>
      <c r="E1378" s="14" t="s">
        <v>3608</v>
      </c>
      <c r="F1378" s="84" t="s">
        <v>1201</v>
      </c>
      <c r="G1378" s="15" t="s">
        <v>27</v>
      </c>
      <c r="H1378" s="16" t="s">
        <v>5151</v>
      </c>
      <c r="I1378" s="17"/>
      <c r="J1378" s="17"/>
      <c r="K1378" s="17"/>
      <c r="L1378" s="17"/>
      <c r="N1378" s="31">
        <v>1376</v>
      </c>
      <c r="O1378" s="32" t="s">
        <v>475</v>
      </c>
      <c r="P1378" s="33" t="s">
        <v>31</v>
      </c>
      <c r="Q1378" s="32" t="s">
        <v>40</v>
      </c>
      <c r="R1378" s="69">
        <v>44273.818541666667</v>
      </c>
      <c r="S1378" s="35">
        <v>44356</v>
      </c>
      <c r="T1378" s="32" t="str">
        <f t="shared" si="85"/>
        <v>+83284781***</v>
      </c>
      <c r="U1378" s="32" t="str">
        <f t="shared" ca="1" si="86"/>
        <v>matt***@jossmail.com</v>
      </c>
      <c r="V1378" s="32">
        <f t="shared" si="87"/>
        <v>21</v>
      </c>
      <c r="W1378" s="36">
        <f t="shared" si="88"/>
        <v>0.05</v>
      </c>
    </row>
    <row r="1379" spans="4:23" ht="27" customHeight="1" x14ac:dyDescent="0.25">
      <c r="D1379" s="14" t="s">
        <v>5152</v>
      </c>
      <c r="E1379" s="14" t="s">
        <v>2558</v>
      </c>
      <c r="F1379" s="84" t="s">
        <v>159</v>
      </c>
      <c r="G1379" s="15" t="s">
        <v>68</v>
      </c>
      <c r="H1379" s="16" t="s">
        <v>5153</v>
      </c>
      <c r="I1379" s="17"/>
      <c r="J1379" s="17"/>
      <c r="K1379" s="17"/>
      <c r="L1379" s="17"/>
      <c r="N1379" s="31">
        <v>1377</v>
      </c>
      <c r="O1379" s="32" t="s">
        <v>5154</v>
      </c>
      <c r="P1379" s="33" t="s">
        <v>31</v>
      </c>
      <c r="Q1379" s="32" t="s">
        <v>32</v>
      </c>
      <c r="R1379" s="69">
        <v>44273.818842592591</v>
      </c>
      <c r="S1379" s="35">
        <v>44320</v>
      </c>
      <c r="T1379" s="32" t="str">
        <f t="shared" si="85"/>
        <v>+0832 58252***</v>
      </c>
      <c r="U1379" s="32" t="str">
        <f t="shared" ca="1" si="86"/>
        <v>elis***@yuhuumail.com</v>
      </c>
      <c r="V1379" s="32">
        <f t="shared" si="87"/>
        <v>21</v>
      </c>
      <c r="W1379" s="36">
        <f t="shared" si="88"/>
        <v>0.05</v>
      </c>
    </row>
    <row r="1380" spans="4:23" ht="27" customHeight="1" x14ac:dyDescent="0.25">
      <c r="D1380" s="14" t="s">
        <v>5155</v>
      </c>
      <c r="E1380" s="14" t="s">
        <v>2700</v>
      </c>
      <c r="F1380" s="84" t="s">
        <v>592</v>
      </c>
      <c r="G1380" s="15" t="s">
        <v>27</v>
      </c>
      <c r="H1380" s="16" t="s">
        <v>5156</v>
      </c>
      <c r="I1380" s="17"/>
      <c r="J1380" s="17"/>
      <c r="K1380" s="17"/>
      <c r="L1380" s="17"/>
      <c r="N1380" s="31">
        <v>1378</v>
      </c>
      <c r="O1380" s="32" t="s">
        <v>5157</v>
      </c>
      <c r="P1380" s="33" t="s">
        <v>42</v>
      </c>
      <c r="Q1380" s="32" t="s">
        <v>40</v>
      </c>
      <c r="R1380" s="69">
        <v>44273.841435185182</v>
      </c>
      <c r="S1380" s="35">
        <v>44318</v>
      </c>
      <c r="T1380" s="32" t="str">
        <f t="shared" si="85"/>
        <v>+0832-35120***</v>
      </c>
      <c r="U1380" s="32" t="str">
        <f t="shared" ca="1" si="86"/>
        <v>greg***@jossmail.com</v>
      </c>
      <c r="V1380" s="32">
        <f t="shared" si="87"/>
        <v>21</v>
      </c>
      <c r="W1380" s="36">
        <f t="shared" si="88"/>
        <v>0.05</v>
      </c>
    </row>
    <row r="1381" spans="4:23" ht="27" customHeight="1" x14ac:dyDescent="0.25">
      <c r="D1381" s="14" t="s">
        <v>5158</v>
      </c>
      <c r="E1381" s="14" t="s">
        <v>1763</v>
      </c>
      <c r="F1381" s="84" t="s">
        <v>211</v>
      </c>
      <c r="G1381" s="15" t="s">
        <v>27</v>
      </c>
      <c r="H1381" s="16" t="s">
        <v>5159</v>
      </c>
      <c r="I1381" s="17"/>
      <c r="J1381" s="17"/>
      <c r="K1381" s="17"/>
      <c r="L1381" s="17"/>
      <c r="N1381" s="31">
        <v>1379</v>
      </c>
      <c r="O1381" s="32" t="s">
        <v>1757</v>
      </c>
      <c r="P1381" s="33" t="s">
        <v>31</v>
      </c>
      <c r="Q1381" s="32" t="s">
        <v>32</v>
      </c>
      <c r="R1381" s="69">
        <v>44272.783402777779</v>
      </c>
      <c r="S1381" s="35">
        <v>44320</v>
      </c>
      <c r="T1381" s="32" t="str">
        <f t="shared" si="85"/>
        <v>+0852 60116***</v>
      </c>
      <c r="U1381" s="32" t="str">
        <f t="shared" ca="1" si="86"/>
        <v>kile***@yuhuumail.com</v>
      </c>
      <c r="V1381" s="32">
        <f t="shared" si="87"/>
        <v>21</v>
      </c>
      <c r="W1381" s="36">
        <f t="shared" si="88"/>
        <v>0.05</v>
      </c>
    </row>
    <row r="1382" spans="4:23" ht="27" customHeight="1" x14ac:dyDescent="0.25">
      <c r="D1382" s="14" t="s">
        <v>5160</v>
      </c>
      <c r="E1382" s="14" t="s">
        <v>5161</v>
      </c>
      <c r="F1382" s="84" t="s">
        <v>321</v>
      </c>
      <c r="G1382" s="15" t="s">
        <v>27</v>
      </c>
      <c r="H1382" s="16" t="s">
        <v>5162</v>
      </c>
      <c r="I1382" s="17"/>
      <c r="J1382" s="17"/>
      <c r="K1382" s="17"/>
      <c r="L1382" s="17"/>
      <c r="N1382" s="31">
        <v>1380</v>
      </c>
      <c r="O1382" s="32" t="s">
        <v>5163</v>
      </c>
      <c r="P1382" s="33" t="s">
        <v>31</v>
      </c>
      <c r="Q1382" s="32" t="s">
        <v>40</v>
      </c>
      <c r="R1382" s="69">
        <v>44273.839201388888</v>
      </c>
      <c r="S1382" s="35">
        <v>44359</v>
      </c>
      <c r="T1382" s="32" t="str">
        <f t="shared" si="85"/>
        <v>+6284220563***</v>
      </c>
      <c r="U1382" s="32" t="str">
        <f t="shared" ca="1" si="86"/>
        <v>laur***@yuhuumail.com</v>
      </c>
      <c r="V1382" s="32">
        <f t="shared" si="87"/>
        <v>21</v>
      </c>
      <c r="W1382" s="36">
        <f t="shared" si="88"/>
        <v>0.05</v>
      </c>
    </row>
    <row r="1383" spans="4:23" ht="27" customHeight="1" x14ac:dyDescent="0.25">
      <c r="D1383" s="14" t="s">
        <v>5164</v>
      </c>
      <c r="E1383" s="14" t="s">
        <v>3475</v>
      </c>
      <c r="F1383" s="84" t="s">
        <v>566</v>
      </c>
      <c r="G1383" s="15" t="s">
        <v>68</v>
      </c>
      <c r="H1383" s="16" t="s">
        <v>5165</v>
      </c>
      <c r="I1383" s="17"/>
      <c r="J1383" s="17"/>
      <c r="K1383" s="17"/>
      <c r="L1383" s="17"/>
      <c r="N1383" s="31">
        <v>1381</v>
      </c>
      <c r="O1383" s="32" t="s">
        <v>5166</v>
      </c>
      <c r="P1383" s="33" t="s">
        <v>31</v>
      </c>
      <c r="Q1383" s="32" t="s">
        <v>32</v>
      </c>
      <c r="R1383" s="69">
        <v>44273.818055555559</v>
      </c>
      <c r="S1383" s="35">
        <v>44352</v>
      </c>
      <c r="T1383" s="32" t="str">
        <f t="shared" si="85"/>
        <v>+082256798***</v>
      </c>
      <c r="U1383" s="32" t="str">
        <f t="shared" ca="1" si="86"/>
        <v>kane***@jossmail.com</v>
      </c>
      <c r="V1383" s="32">
        <f t="shared" si="87"/>
        <v>21</v>
      </c>
      <c r="W1383" s="36">
        <f t="shared" si="88"/>
        <v>0.05</v>
      </c>
    </row>
    <row r="1384" spans="4:23" ht="27" customHeight="1" x14ac:dyDescent="0.25">
      <c r="D1384" s="14" t="s">
        <v>5167</v>
      </c>
      <c r="E1384" s="14" t="s">
        <v>2746</v>
      </c>
      <c r="F1384" s="84" t="s">
        <v>592</v>
      </c>
      <c r="G1384" s="15" t="s">
        <v>27</v>
      </c>
      <c r="H1384" s="16" t="s">
        <v>5168</v>
      </c>
      <c r="I1384" s="17"/>
      <c r="J1384" s="17"/>
      <c r="K1384" s="17"/>
      <c r="L1384" s="17"/>
      <c r="N1384" s="31">
        <v>1382</v>
      </c>
      <c r="O1384" s="32" t="s">
        <v>1153</v>
      </c>
      <c r="P1384" s="33" t="s">
        <v>42</v>
      </c>
      <c r="Q1384" s="32" t="s">
        <v>40</v>
      </c>
      <c r="R1384" s="69">
        <v>44273.744537037041</v>
      </c>
      <c r="S1384" s="35">
        <v>44319</v>
      </c>
      <c r="T1384" s="32" t="str">
        <f t="shared" si="85"/>
        <v>+0822-44131***</v>
      </c>
      <c r="U1384" s="32" t="str">
        <f t="shared" ca="1" si="86"/>
        <v>tate***@jossmail.com</v>
      </c>
      <c r="V1384" s="32">
        <f t="shared" si="87"/>
        <v>21</v>
      </c>
      <c r="W1384" s="36">
        <f t="shared" si="88"/>
        <v>0.05</v>
      </c>
    </row>
    <row r="1385" spans="4:23" ht="27" customHeight="1" x14ac:dyDescent="0.25">
      <c r="D1385" s="14" t="s">
        <v>5169</v>
      </c>
      <c r="E1385" s="14" t="s">
        <v>5170</v>
      </c>
      <c r="F1385" s="84" t="s">
        <v>46</v>
      </c>
      <c r="G1385" s="15" t="s">
        <v>27</v>
      </c>
      <c r="H1385" s="16" t="s">
        <v>5171</v>
      </c>
      <c r="I1385" s="17"/>
      <c r="J1385" s="17"/>
      <c r="K1385" s="17"/>
      <c r="L1385" s="17"/>
      <c r="N1385" s="31">
        <v>1383</v>
      </c>
      <c r="O1385" s="32" t="s">
        <v>5172</v>
      </c>
      <c r="P1385" s="33" t="s">
        <v>31</v>
      </c>
      <c r="Q1385" s="32" t="s">
        <v>32</v>
      </c>
      <c r="R1385" s="69">
        <v>44273.851736111108</v>
      </c>
      <c r="S1385" s="35">
        <v>44318</v>
      </c>
      <c r="T1385" s="32" t="str">
        <f t="shared" si="85"/>
        <v>+832 28833***</v>
      </c>
      <c r="U1385" s="32" t="str">
        <f t="shared" ca="1" si="86"/>
        <v>domi***@yuhuumail.com</v>
      </c>
      <c r="V1385" s="32">
        <f t="shared" si="87"/>
        <v>21</v>
      </c>
      <c r="W1385" s="36">
        <f t="shared" si="88"/>
        <v>0.05</v>
      </c>
    </row>
    <row r="1386" spans="4:23" ht="27" customHeight="1" x14ac:dyDescent="0.25">
      <c r="D1386" s="14" t="s">
        <v>5173</v>
      </c>
      <c r="E1386" s="14" t="s">
        <v>5174</v>
      </c>
      <c r="F1386" s="84" t="s">
        <v>407</v>
      </c>
      <c r="G1386" s="15" t="s">
        <v>27</v>
      </c>
      <c r="H1386" s="16" t="s">
        <v>5175</v>
      </c>
      <c r="I1386" s="17"/>
      <c r="J1386" s="17"/>
      <c r="K1386" s="17"/>
      <c r="L1386" s="17"/>
      <c r="N1386" s="31">
        <v>1384</v>
      </c>
      <c r="O1386" s="32" t="s">
        <v>5176</v>
      </c>
      <c r="P1386" s="33" t="s">
        <v>57</v>
      </c>
      <c r="Q1386" s="32" t="s">
        <v>40</v>
      </c>
      <c r="R1386" s="69">
        <v>44273.851481481484</v>
      </c>
      <c r="S1386" s="35">
        <v>44320</v>
      </c>
      <c r="T1386" s="32" t="str">
        <f t="shared" si="85"/>
        <v>+822 38311***</v>
      </c>
      <c r="U1386" s="32" t="str">
        <f t="shared" ca="1" si="86"/>
        <v>harm***@yuhuumail.com</v>
      </c>
      <c r="V1386" s="32">
        <f t="shared" si="87"/>
        <v>21</v>
      </c>
      <c r="W1386" s="36">
        <f t="shared" si="88"/>
        <v>0.05</v>
      </c>
    </row>
    <row r="1387" spans="4:23" ht="27" customHeight="1" x14ac:dyDescent="0.25">
      <c r="D1387" s="14" t="s">
        <v>5177</v>
      </c>
      <c r="E1387" s="14" t="s">
        <v>5178</v>
      </c>
      <c r="F1387" s="84" t="s">
        <v>266</v>
      </c>
      <c r="G1387" s="15" t="s">
        <v>27</v>
      </c>
      <c r="H1387" s="16" t="s">
        <v>5179</v>
      </c>
      <c r="I1387" s="17"/>
      <c r="J1387" s="17"/>
      <c r="K1387" s="17"/>
      <c r="L1387" s="17"/>
      <c r="N1387" s="31">
        <v>1385</v>
      </c>
      <c r="O1387" s="32" t="s">
        <v>4623</v>
      </c>
      <c r="P1387" s="33" t="s">
        <v>31</v>
      </c>
      <c r="Q1387" s="32" t="s">
        <v>32</v>
      </c>
      <c r="R1387" s="69">
        <v>42676.016226851854</v>
      </c>
      <c r="S1387" s="35">
        <v>44320</v>
      </c>
      <c r="T1387" s="32" t="str">
        <f t="shared" si="85"/>
        <v>+6281237512***</v>
      </c>
      <c r="U1387" s="32" t="str">
        <f t="shared" ca="1" si="86"/>
        <v>harl***@yuhuumail.com</v>
      </c>
      <c r="V1387" s="32">
        <f t="shared" si="87"/>
        <v>17</v>
      </c>
      <c r="W1387" s="36">
        <f t="shared" si="88"/>
        <v>2.5000000000000001E-2</v>
      </c>
    </row>
    <row r="1388" spans="4:23" ht="27" customHeight="1" x14ac:dyDescent="0.25">
      <c r="D1388" s="14" t="s">
        <v>5180</v>
      </c>
      <c r="E1388" s="14" t="s">
        <v>3528</v>
      </c>
      <c r="F1388" s="84" t="s">
        <v>566</v>
      </c>
      <c r="G1388" s="15" t="s">
        <v>68</v>
      </c>
      <c r="H1388" s="16" t="s">
        <v>5181</v>
      </c>
      <c r="I1388" s="17"/>
      <c r="J1388" s="17"/>
      <c r="K1388" s="17"/>
      <c r="L1388" s="17"/>
      <c r="N1388" s="31">
        <v>1386</v>
      </c>
      <c r="O1388" s="32" t="s">
        <v>5182</v>
      </c>
      <c r="P1388" s="33" t="s">
        <v>42</v>
      </c>
      <c r="Q1388" s="32" t="s">
        <v>40</v>
      </c>
      <c r="R1388" s="69">
        <v>44273.864224537036</v>
      </c>
      <c r="S1388" s="35">
        <v>44356</v>
      </c>
      <c r="T1388" s="32" t="str">
        <f t="shared" si="85"/>
        <v>+0842-74083***</v>
      </c>
      <c r="U1388" s="32" t="str">
        <f t="shared" ca="1" si="86"/>
        <v>doug***@jossmail.com</v>
      </c>
      <c r="V1388" s="32">
        <f t="shared" si="87"/>
        <v>21</v>
      </c>
      <c r="W1388" s="36">
        <f t="shared" si="88"/>
        <v>0.05</v>
      </c>
    </row>
    <row r="1389" spans="4:23" ht="27" customHeight="1" x14ac:dyDescent="0.25">
      <c r="D1389" s="14" t="s">
        <v>5183</v>
      </c>
      <c r="E1389" s="14" t="s">
        <v>5184</v>
      </c>
      <c r="F1389" s="84" t="s">
        <v>143</v>
      </c>
      <c r="G1389" s="15" t="s">
        <v>27</v>
      </c>
      <c r="H1389" s="16" t="s">
        <v>5185</v>
      </c>
      <c r="I1389" s="17"/>
      <c r="J1389" s="17"/>
      <c r="K1389" s="17"/>
      <c r="L1389" s="17"/>
      <c r="N1389" s="31">
        <v>1387</v>
      </c>
      <c r="O1389" s="32" t="s">
        <v>3015</v>
      </c>
      <c r="P1389" s="33" t="s">
        <v>57</v>
      </c>
      <c r="Q1389" s="32" t="s">
        <v>32</v>
      </c>
      <c r="R1389" s="69">
        <v>44273.666921296295</v>
      </c>
      <c r="S1389" s="71">
        <v>44352</v>
      </c>
      <c r="T1389" s="32" t="str">
        <f t="shared" si="85"/>
        <v>+6285261592***</v>
      </c>
      <c r="U1389" s="32" t="str">
        <f t="shared" ca="1" si="86"/>
        <v>rigo***@jossmail.com</v>
      </c>
      <c r="V1389" s="32">
        <f t="shared" si="87"/>
        <v>21</v>
      </c>
      <c r="W1389" s="36">
        <f t="shared" si="88"/>
        <v>0.05</v>
      </c>
    </row>
    <row r="1390" spans="4:23" ht="27" customHeight="1" x14ac:dyDescent="0.25">
      <c r="D1390" s="14" t="s">
        <v>5186</v>
      </c>
      <c r="E1390" s="14" t="s">
        <v>5187</v>
      </c>
      <c r="F1390" s="84" t="s">
        <v>51</v>
      </c>
      <c r="G1390" s="15" t="s">
        <v>68</v>
      </c>
      <c r="H1390" s="16" t="s">
        <v>5188</v>
      </c>
      <c r="I1390" s="17"/>
      <c r="J1390" s="17"/>
      <c r="K1390" s="17"/>
      <c r="L1390" s="17"/>
      <c r="N1390" s="31">
        <v>1388</v>
      </c>
      <c r="O1390" s="32" t="s">
        <v>4945</v>
      </c>
      <c r="P1390" s="33" t="s">
        <v>31</v>
      </c>
      <c r="Q1390" s="32" t="s">
        <v>40</v>
      </c>
      <c r="R1390" s="69">
        <v>44273.671863425923</v>
      </c>
      <c r="S1390" s="71">
        <v>44356</v>
      </c>
      <c r="T1390" s="32" t="str">
        <f t="shared" si="85"/>
        <v>+6284272004***</v>
      </c>
      <c r="U1390" s="32" t="str">
        <f t="shared" ca="1" si="86"/>
        <v>dere***@yuhuumail.com</v>
      </c>
      <c r="V1390" s="32">
        <f t="shared" si="87"/>
        <v>21</v>
      </c>
      <c r="W1390" s="36">
        <f t="shared" si="88"/>
        <v>0.05</v>
      </c>
    </row>
    <row r="1391" spans="4:23" ht="27" customHeight="1" x14ac:dyDescent="0.25">
      <c r="D1391" s="14" t="s">
        <v>5189</v>
      </c>
      <c r="E1391" s="14" t="s">
        <v>5190</v>
      </c>
      <c r="F1391" s="84" t="s">
        <v>524</v>
      </c>
      <c r="G1391" s="15" t="s">
        <v>68</v>
      </c>
      <c r="H1391" s="16" t="s">
        <v>5191</v>
      </c>
      <c r="I1391" s="17"/>
      <c r="J1391" s="17"/>
      <c r="K1391" s="17"/>
      <c r="L1391" s="17"/>
      <c r="N1391" s="31">
        <v>1389</v>
      </c>
      <c r="O1391" s="32" t="s">
        <v>570</v>
      </c>
      <c r="P1391" s="33" t="s">
        <v>57</v>
      </c>
      <c r="Q1391" s="32" t="s">
        <v>32</v>
      </c>
      <c r="R1391" s="69">
        <v>44273.876087962963</v>
      </c>
      <c r="S1391" s="71">
        <v>44354</v>
      </c>
      <c r="T1391" s="32" t="str">
        <f t="shared" si="85"/>
        <v>+085220234***</v>
      </c>
      <c r="U1391" s="32" t="str">
        <f t="shared" ca="1" si="86"/>
        <v>aaro***@jossmail.com</v>
      </c>
      <c r="V1391" s="32">
        <f t="shared" si="87"/>
        <v>21</v>
      </c>
      <c r="W1391" s="36">
        <f t="shared" si="88"/>
        <v>0.05</v>
      </c>
    </row>
    <row r="1392" spans="4:23" ht="27" customHeight="1" x14ac:dyDescent="0.25">
      <c r="D1392" s="14" t="s">
        <v>5192</v>
      </c>
      <c r="E1392" s="14" t="s">
        <v>4386</v>
      </c>
      <c r="F1392" s="84" t="s">
        <v>710</v>
      </c>
      <c r="G1392" s="15" t="s">
        <v>68</v>
      </c>
      <c r="H1392" s="16" t="s">
        <v>5193</v>
      </c>
      <c r="I1392" s="17"/>
      <c r="J1392" s="17"/>
      <c r="K1392" s="17"/>
      <c r="L1392" s="17"/>
      <c r="N1392" s="31">
        <v>1390</v>
      </c>
      <c r="O1392" s="32" t="s">
        <v>461</v>
      </c>
      <c r="P1392" s="33" t="s">
        <v>57</v>
      </c>
      <c r="Q1392" s="32" t="s">
        <v>40</v>
      </c>
      <c r="R1392" s="69">
        <v>44273.881319444445</v>
      </c>
      <c r="S1392" s="71">
        <v>44362</v>
      </c>
      <c r="T1392" s="32" t="str">
        <f t="shared" si="85"/>
        <v>+083281179***</v>
      </c>
      <c r="U1392" s="32" t="str">
        <f t="shared" ca="1" si="86"/>
        <v>jova***@jossmail.com</v>
      </c>
      <c r="V1392" s="32">
        <f t="shared" si="87"/>
        <v>21</v>
      </c>
      <c r="W1392" s="36">
        <f t="shared" si="88"/>
        <v>0.05</v>
      </c>
    </row>
    <row r="1393" spans="4:23" ht="27" customHeight="1" x14ac:dyDescent="0.25">
      <c r="D1393" s="14" t="s">
        <v>5194</v>
      </c>
      <c r="E1393" s="14" t="s">
        <v>5195</v>
      </c>
      <c r="F1393" s="84" t="s">
        <v>407</v>
      </c>
      <c r="G1393" s="15" t="s">
        <v>68</v>
      </c>
      <c r="H1393" s="16" t="s">
        <v>5196</v>
      </c>
      <c r="I1393" s="17"/>
      <c r="J1393" s="17"/>
      <c r="K1393" s="17"/>
      <c r="L1393" s="17"/>
      <c r="N1393" s="31">
        <v>1391</v>
      </c>
      <c r="O1393" s="32" t="s">
        <v>5197</v>
      </c>
      <c r="P1393" s="33" t="s">
        <v>31</v>
      </c>
      <c r="Q1393" s="32" t="s">
        <v>32</v>
      </c>
      <c r="R1393" s="69">
        <v>44273.885034722225</v>
      </c>
      <c r="S1393" s="71">
        <v>44352</v>
      </c>
      <c r="T1393" s="32" t="str">
        <f t="shared" si="85"/>
        <v>+82295456***</v>
      </c>
      <c r="U1393" s="32" t="str">
        <f t="shared" ca="1" si="86"/>
        <v>zack***@jossmail.com</v>
      </c>
      <c r="V1393" s="32">
        <f t="shared" si="87"/>
        <v>21</v>
      </c>
      <c r="W1393" s="36">
        <f t="shared" si="88"/>
        <v>0.05</v>
      </c>
    </row>
    <row r="1394" spans="4:23" ht="27" customHeight="1" x14ac:dyDescent="0.25">
      <c r="D1394" s="14" t="s">
        <v>5198</v>
      </c>
      <c r="E1394" s="14" t="s">
        <v>414</v>
      </c>
      <c r="F1394" s="84" t="s">
        <v>1318</v>
      </c>
      <c r="G1394" s="15" t="s">
        <v>27</v>
      </c>
      <c r="H1394" s="16" t="s">
        <v>5199</v>
      </c>
      <c r="I1394" s="17"/>
      <c r="J1394" s="17"/>
      <c r="K1394" s="17"/>
      <c r="L1394" s="17"/>
      <c r="N1394" s="31">
        <v>1392</v>
      </c>
      <c r="O1394" s="32" t="s">
        <v>5200</v>
      </c>
      <c r="P1394" s="33" t="s">
        <v>57</v>
      </c>
      <c r="Q1394" s="32" t="s">
        <v>40</v>
      </c>
      <c r="R1394" s="69">
        <v>44273.892847222225</v>
      </c>
      <c r="S1394" s="71">
        <v>44362</v>
      </c>
      <c r="T1394" s="32" t="str">
        <f t="shared" si="85"/>
        <v>+0852-54761***</v>
      </c>
      <c r="U1394" s="32" t="str">
        <f t="shared" ca="1" si="86"/>
        <v>roma***@jossmail.com</v>
      </c>
      <c r="V1394" s="32">
        <f t="shared" si="87"/>
        <v>21</v>
      </c>
      <c r="W1394" s="36">
        <f t="shared" si="88"/>
        <v>0.05</v>
      </c>
    </row>
    <row r="1395" spans="4:23" ht="27" customHeight="1" x14ac:dyDescent="0.25">
      <c r="D1395" s="14" t="s">
        <v>5201</v>
      </c>
      <c r="E1395" s="14" t="s">
        <v>5202</v>
      </c>
      <c r="F1395" s="84" t="s">
        <v>847</v>
      </c>
      <c r="G1395" s="15" t="s">
        <v>27</v>
      </c>
      <c r="H1395" s="16" t="s">
        <v>5203</v>
      </c>
      <c r="I1395" s="17"/>
      <c r="J1395" s="17"/>
      <c r="K1395" s="17"/>
      <c r="L1395" s="17"/>
      <c r="N1395" s="31">
        <v>1393</v>
      </c>
      <c r="O1395" s="32" t="s">
        <v>5204</v>
      </c>
      <c r="P1395" s="33" t="s">
        <v>31</v>
      </c>
      <c r="Q1395" s="32" t="s">
        <v>32</v>
      </c>
      <c r="R1395" s="69">
        <v>44088.005509259259</v>
      </c>
      <c r="S1395" s="71">
        <v>44362</v>
      </c>
      <c r="T1395" s="32" t="str">
        <f t="shared" si="85"/>
        <v>+6285232398***</v>
      </c>
      <c r="U1395" s="32" t="str">
        <f t="shared" ca="1" si="86"/>
        <v>gabr***@jossmail.com</v>
      </c>
      <c r="V1395" s="32">
        <f t="shared" si="87"/>
        <v>20</v>
      </c>
      <c r="W1395" s="36">
        <f t="shared" si="88"/>
        <v>0.05</v>
      </c>
    </row>
    <row r="1396" spans="4:23" ht="27" customHeight="1" x14ac:dyDescent="0.25">
      <c r="D1396" s="14" t="s">
        <v>5205</v>
      </c>
      <c r="E1396" s="14" t="s">
        <v>5206</v>
      </c>
      <c r="F1396" s="84" t="s">
        <v>46</v>
      </c>
      <c r="G1396" s="15" t="s">
        <v>68</v>
      </c>
      <c r="H1396" s="16" t="s">
        <v>5207</v>
      </c>
      <c r="I1396" s="17"/>
      <c r="J1396" s="17"/>
      <c r="K1396" s="17"/>
      <c r="L1396" s="17"/>
      <c r="N1396" s="31">
        <v>1394</v>
      </c>
      <c r="O1396" s="32" t="s">
        <v>3132</v>
      </c>
      <c r="P1396" s="33" t="s">
        <v>31</v>
      </c>
      <c r="Q1396" s="32" t="s">
        <v>40</v>
      </c>
      <c r="R1396" s="69">
        <v>44110.04278935185</v>
      </c>
      <c r="S1396" s="71">
        <v>44318</v>
      </c>
      <c r="T1396" s="32" t="str">
        <f t="shared" si="85"/>
        <v>+0832-39109***</v>
      </c>
      <c r="U1396" s="32" t="str">
        <f t="shared" ca="1" si="86"/>
        <v>cloe***@yuhuumail.com</v>
      </c>
      <c r="V1396" s="32">
        <f t="shared" si="87"/>
        <v>21</v>
      </c>
      <c r="W1396" s="36">
        <f t="shared" si="88"/>
        <v>0.05</v>
      </c>
    </row>
    <row r="1397" spans="4:23" ht="27" customHeight="1" x14ac:dyDescent="0.25">
      <c r="D1397" s="14" t="s">
        <v>5208</v>
      </c>
      <c r="E1397" s="14" t="s">
        <v>5209</v>
      </c>
      <c r="F1397" s="84" t="s">
        <v>715</v>
      </c>
      <c r="G1397" s="15" t="s">
        <v>27</v>
      </c>
      <c r="H1397" s="16" t="s">
        <v>5210</v>
      </c>
      <c r="I1397" s="17"/>
      <c r="J1397" s="17"/>
      <c r="K1397" s="17"/>
      <c r="L1397" s="17"/>
      <c r="N1397" s="31">
        <v>1395</v>
      </c>
      <c r="O1397" s="32" t="s">
        <v>5211</v>
      </c>
      <c r="P1397" s="33" t="s">
        <v>31</v>
      </c>
      <c r="Q1397" s="32" t="s">
        <v>32</v>
      </c>
      <c r="R1397" s="69">
        <v>44273.904814814814</v>
      </c>
      <c r="S1397" s="71">
        <v>44354</v>
      </c>
      <c r="T1397" s="32" t="str">
        <f t="shared" si="85"/>
        <v>+6282232720***</v>
      </c>
      <c r="U1397" s="32" t="str">
        <f t="shared" ca="1" si="86"/>
        <v>nikh***@yuhuumail.com</v>
      </c>
      <c r="V1397" s="32">
        <f t="shared" si="87"/>
        <v>21</v>
      </c>
      <c r="W1397" s="36">
        <f t="shared" si="88"/>
        <v>0.05</v>
      </c>
    </row>
    <row r="1398" spans="4:23" ht="27" customHeight="1" x14ac:dyDescent="0.25">
      <c r="D1398" s="14" t="s">
        <v>5212</v>
      </c>
      <c r="E1398" s="14" t="s">
        <v>5213</v>
      </c>
      <c r="F1398" s="84" t="s">
        <v>2250</v>
      </c>
      <c r="G1398" s="15" t="s">
        <v>68</v>
      </c>
      <c r="H1398" s="16" t="s">
        <v>5214</v>
      </c>
      <c r="I1398" s="17"/>
      <c r="J1398" s="17"/>
      <c r="K1398" s="17"/>
      <c r="L1398" s="17"/>
      <c r="N1398" s="31">
        <v>1396</v>
      </c>
      <c r="O1398" s="32" t="s">
        <v>1935</v>
      </c>
      <c r="P1398" s="33" t="s">
        <v>57</v>
      </c>
      <c r="Q1398" s="32" t="s">
        <v>40</v>
      </c>
      <c r="R1398" s="69">
        <v>44273.921365740738</v>
      </c>
      <c r="S1398" s="71">
        <v>44318</v>
      </c>
      <c r="T1398" s="32" t="str">
        <f t="shared" si="85"/>
        <v>+0842 79125***</v>
      </c>
      <c r="U1398" s="32" t="str">
        <f t="shared" ca="1" si="86"/>
        <v>dami***@jossmail.com</v>
      </c>
      <c r="V1398" s="32">
        <f t="shared" si="87"/>
        <v>21</v>
      </c>
      <c r="W1398" s="36">
        <f t="shared" si="88"/>
        <v>0.05</v>
      </c>
    </row>
    <row r="1399" spans="4:23" ht="27" customHeight="1" x14ac:dyDescent="0.25">
      <c r="D1399" s="14" t="s">
        <v>5215</v>
      </c>
      <c r="E1399" s="14" t="s">
        <v>5216</v>
      </c>
      <c r="F1399" s="84" t="s">
        <v>200</v>
      </c>
      <c r="G1399" s="15" t="s">
        <v>68</v>
      </c>
      <c r="H1399" s="16" t="s">
        <v>5217</v>
      </c>
      <c r="I1399" s="17"/>
      <c r="J1399" s="17"/>
      <c r="K1399" s="17"/>
      <c r="L1399" s="17"/>
      <c r="N1399" s="31">
        <v>1397</v>
      </c>
      <c r="O1399" s="32" t="s">
        <v>120</v>
      </c>
      <c r="P1399" s="33" t="s">
        <v>31</v>
      </c>
      <c r="Q1399" s="32" t="s">
        <v>32</v>
      </c>
      <c r="R1399" s="69">
        <v>44273.923761574071</v>
      </c>
      <c r="S1399" s="71">
        <v>44356</v>
      </c>
      <c r="T1399" s="32" t="str">
        <f t="shared" si="85"/>
        <v>+6284277592***</v>
      </c>
      <c r="U1399" s="32" t="str">
        <f t="shared" ca="1" si="86"/>
        <v>keit***@yuhuumail.com</v>
      </c>
      <c r="V1399" s="32">
        <f t="shared" si="87"/>
        <v>21</v>
      </c>
      <c r="W1399" s="36">
        <f t="shared" si="88"/>
        <v>0.05</v>
      </c>
    </row>
    <row r="1400" spans="4:23" ht="27" customHeight="1" x14ac:dyDescent="0.25">
      <c r="D1400" s="14" t="s">
        <v>5218</v>
      </c>
      <c r="E1400" s="14" t="s">
        <v>1344</v>
      </c>
      <c r="F1400" s="84" t="s">
        <v>1093</v>
      </c>
      <c r="G1400" s="15" t="s">
        <v>27</v>
      </c>
      <c r="H1400" s="16" t="s">
        <v>5219</v>
      </c>
      <c r="I1400" s="17"/>
      <c r="J1400" s="17"/>
      <c r="K1400" s="17"/>
      <c r="L1400" s="17"/>
      <c r="N1400" s="31">
        <v>1398</v>
      </c>
      <c r="O1400" s="32" t="s">
        <v>5220</v>
      </c>
      <c r="P1400" s="33" t="s">
        <v>31</v>
      </c>
      <c r="Q1400" s="32" t="s">
        <v>40</v>
      </c>
      <c r="R1400" s="69">
        <v>44273.928935185184</v>
      </c>
      <c r="S1400" s="71">
        <v>44354</v>
      </c>
      <c r="T1400" s="32" t="str">
        <f t="shared" si="85"/>
        <v>+6281251946***</v>
      </c>
      <c r="U1400" s="32" t="str">
        <f t="shared" ca="1" si="86"/>
        <v>harp***@yuhuumail.com</v>
      </c>
      <c r="V1400" s="32">
        <f t="shared" si="87"/>
        <v>21</v>
      </c>
      <c r="W1400" s="36">
        <f t="shared" si="88"/>
        <v>0.05</v>
      </c>
    </row>
    <row r="1401" spans="4:23" ht="27" customHeight="1" x14ac:dyDescent="0.25">
      <c r="D1401" s="14" t="s">
        <v>5221</v>
      </c>
      <c r="E1401" s="14" t="s">
        <v>5222</v>
      </c>
      <c r="F1401" s="84" t="s">
        <v>653</v>
      </c>
      <c r="G1401" s="15" t="s">
        <v>27</v>
      </c>
      <c r="H1401" s="16" t="s">
        <v>5223</v>
      </c>
      <c r="I1401" s="17"/>
      <c r="J1401" s="17"/>
      <c r="K1401" s="17"/>
      <c r="L1401" s="17"/>
      <c r="N1401" s="31">
        <v>1399</v>
      </c>
      <c r="O1401" s="32" t="s">
        <v>5224</v>
      </c>
      <c r="P1401" s="33" t="s">
        <v>31</v>
      </c>
      <c r="Q1401" s="32" t="s">
        <v>32</v>
      </c>
      <c r="R1401" s="69">
        <v>44273.827881944446</v>
      </c>
      <c r="S1401" s="71">
        <v>44359</v>
      </c>
      <c r="T1401" s="32" t="str">
        <f t="shared" si="85"/>
        <v>+0842-48412***</v>
      </c>
      <c r="U1401" s="32" t="str">
        <f t="shared" ca="1" si="86"/>
        <v>keir***@jossmail.com</v>
      </c>
      <c r="V1401" s="32">
        <f t="shared" si="87"/>
        <v>21</v>
      </c>
      <c r="W1401" s="36">
        <f t="shared" si="88"/>
        <v>0.05</v>
      </c>
    </row>
    <row r="1402" spans="4:23" ht="27" customHeight="1" x14ac:dyDescent="0.25">
      <c r="D1402" s="14" t="s">
        <v>5225</v>
      </c>
      <c r="E1402" s="14" t="s">
        <v>5226</v>
      </c>
      <c r="F1402" s="84" t="s">
        <v>485</v>
      </c>
      <c r="G1402" s="15" t="s">
        <v>27</v>
      </c>
      <c r="H1402" s="16" t="s">
        <v>5227</v>
      </c>
      <c r="I1402" s="17"/>
      <c r="J1402" s="17"/>
      <c r="K1402" s="17"/>
      <c r="L1402" s="17"/>
      <c r="N1402" s="31">
        <v>1400</v>
      </c>
      <c r="O1402" s="32" t="s">
        <v>4982</v>
      </c>
      <c r="P1402" s="33" t="s">
        <v>31</v>
      </c>
      <c r="Q1402" s="32" t="s">
        <v>40</v>
      </c>
      <c r="R1402" s="69">
        <v>44273.924861111111</v>
      </c>
      <c r="S1402" s="71">
        <v>44354</v>
      </c>
      <c r="T1402" s="32" t="str">
        <f t="shared" si="85"/>
        <v>+822 48542***</v>
      </c>
      <c r="U1402" s="32" t="str">
        <f t="shared" ca="1" si="86"/>
        <v>aidy***@jossmail.com</v>
      </c>
      <c r="V1402" s="32">
        <f t="shared" si="87"/>
        <v>21</v>
      </c>
      <c r="W1402" s="36">
        <f t="shared" si="88"/>
        <v>0.05</v>
      </c>
    </row>
    <row r="1403" spans="4:23" ht="27" customHeight="1" x14ac:dyDescent="0.25">
      <c r="D1403" s="14" t="s">
        <v>5228</v>
      </c>
      <c r="E1403" s="14" t="s">
        <v>5229</v>
      </c>
      <c r="F1403" s="84" t="s">
        <v>386</v>
      </c>
      <c r="G1403" s="15" t="s">
        <v>27</v>
      </c>
      <c r="H1403" s="16" t="s">
        <v>5230</v>
      </c>
      <c r="I1403" s="17"/>
      <c r="J1403" s="17"/>
      <c r="K1403" s="17"/>
      <c r="L1403" s="17"/>
      <c r="N1403" s="31">
        <v>1401</v>
      </c>
      <c r="O1403" s="32" t="s">
        <v>5231</v>
      </c>
      <c r="P1403" s="33" t="s">
        <v>31</v>
      </c>
      <c r="Q1403" s="32" t="s">
        <v>32</v>
      </c>
      <c r="R1403" s="69">
        <v>44273.92559027778</v>
      </c>
      <c r="S1403" s="71">
        <v>44320</v>
      </c>
      <c r="T1403" s="32" t="str">
        <f t="shared" si="85"/>
        <v>+6283241757***</v>
      </c>
      <c r="U1403" s="32" t="str">
        <f t="shared" ca="1" si="86"/>
        <v>gian***@yuhuumail.com</v>
      </c>
      <c r="V1403" s="32">
        <f t="shared" si="87"/>
        <v>21</v>
      </c>
      <c r="W1403" s="36">
        <f t="shared" si="88"/>
        <v>0.05</v>
      </c>
    </row>
    <row r="1404" spans="4:23" ht="27" customHeight="1" x14ac:dyDescent="0.25">
      <c r="D1404" s="14" t="s">
        <v>5232</v>
      </c>
      <c r="E1404" s="14" t="s">
        <v>5233</v>
      </c>
      <c r="F1404" s="84" t="s">
        <v>952</v>
      </c>
      <c r="G1404" s="15" t="s">
        <v>27</v>
      </c>
      <c r="H1404" s="16" t="s">
        <v>5234</v>
      </c>
      <c r="I1404" s="17"/>
      <c r="J1404" s="17"/>
      <c r="K1404" s="17"/>
      <c r="L1404" s="17"/>
      <c r="N1404" s="31">
        <v>1402</v>
      </c>
      <c r="O1404" s="32" t="s">
        <v>5235</v>
      </c>
      <c r="P1404" s="33" t="s">
        <v>42</v>
      </c>
      <c r="Q1404" s="32" t="s">
        <v>40</v>
      </c>
      <c r="R1404" s="69">
        <v>44273.935567129629</v>
      </c>
      <c r="S1404" s="71">
        <v>44359</v>
      </c>
      <c r="T1404" s="32" t="str">
        <f t="shared" si="85"/>
        <v>+083292298***</v>
      </c>
      <c r="U1404" s="32" t="str">
        <f t="shared" ca="1" si="86"/>
        <v>juni***@jossmail.com</v>
      </c>
      <c r="V1404" s="32">
        <f t="shared" si="87"/>
        <v>21</v>
      </c>
      <c r="W1404" s="36">
        <f t="shared" si="88"/>
        <v>0.05</v>
      </c>
    </row>
    <row r="1405" spans="4:23" ht="27" customHeight="1" x14ac:dyDescent="0.25">
      <c r="D1405" s="14" t="s">
        <v>5236</v>
      </c>
      <c r="E1405" s="14" t="s">
        <v>5237</v>
      </c>
      <c r="F1405" s="84" t="s">
        <v>1505</v>
      </c>
      <c r="G1405" s="15" t="s">
        <v>27</v>
      </c>
      <c r="H1405" s="16" t="s">
        <v>5238</v>
      </c>
      <c r="I1405" s="17"/>
      <c r="J1405" s="17"/>
      <c r="K1405" s="17"/>
      <c r="L1405" s="17"/>
      <c r="N1405" s="31">
        <v>1403</v>
      </c>
      <c r="O1405" s="32" t="s">
        <v>4411</v>
      </c>
      <c r="P1405" s="33" t="s">
        <v>42</v>
      </c>
      <c r="Q1405" s="32" t="s">
        <v>32</v>
      </c>
      <c r="R1405" s="69">
        <v>42747.742627314816</v>
      </c>
      <c r="S1405" s="71">
        <v>44354</v>
      </c>
      <c r="T1405" s="32" t="str">
        <f t="shared" si="85"/>
        <v>+852 91443***</v>
      </c>
      <c r="U1405" s="32" t="str">
        <f t="shared" ca="1" si="86"/>
        <v>layt***@jossmail.com</v>
      </c>
      <c r="V1405" s="32">
        <f t="shared" si="87"/>
        <v>17</v>
      </c>
      <c r="W1405" s="36">
        <f t="shared" si="88"/>
        <v>2.5000000000000001E-2</v>
      </c>
    </row>
    <row r="1406" spans="4:23" ht="27" customHeight="1" x14ac:dyDescent="0.25">
      <c r="D1406" s="14" t="s">
        <v>5239</v>
      </c>
      <c r="E1406" s="14" t="s">
        <v>5240</v>
      </c>
      <c r="F1406" s="84" t="s">
        <v>887</v>
      </c>
      <c r="G1406" s="15" t="s">
        <v>68</v>
      </c>
      <c r="H1406" s="16" t="s">
        <v>5241</v>
      </c>
      <c r="I1406" s="17"/>
      <c r="J1406" s="17"/>
      <c r="K1406" s="17"/>
      <c r="L1406" s="17"/>
      <c r="N1406" s="31">
        <v>1404</v>
      </c>
      <c r="O1406" s="32" t="s">
        <v>5242</v>
      </c>
      <c r="P1406" s="33" t="s">
        <v>57</v>
      </c>
      <c r="Q1406" s="32" t="s">
        <v>40</v>
      </c>
      <c r="R1406" s="69">
        <v>44011.661423611113</v>
      </c>
      <c r="S1406" s="71">
        <v>44318</v>
      </c>
      <c r="T1406" s="32" t="str">
        <f t="shared" si="85"/>
        <v>+0812 86011***</v>
      </c>
      <c r="U1406" s="32" t="str">
        <f t="shared" ca="1" si="86"/>
        <v>moll***@yuhuumail.com</v>
      </c>
      <c r="V1406" s="32">
        <f t="shared" si="87"/>
        <v>20</v>
      </c>
      <c r="W1406" s="36">
        <f t="shared" si="88"/>
        <v>0.05</v>
      </c>
    </row>
    <row r="1407" spans="4:23" ht="27" customHeight="1" x14ac:dyDescent="0.25">
      <c r="D1407" s="14" t="s">
        <v>5243</v>
      </c>
      <c r="E1407" s="14" t="s">
        <v>3271</v>
      </c>
      <c r="F1407" s="84" t="s">
        <v>538</v>
      </c>
      <c r="G1407" s="15" t="s">
        <v>27</v>
      </c>
      <c r="H1407" s="16" t="s">
        <v>5244</v>
      </c>
      <c r="I1407" s="17"/>
      <c r="J1407" s="17"/>
      <c r="K1407" s="17"/>
      <c r="L1407" s="17"/>
      <c r="N1407" s="31">
        <v>1405</v>
      </c>
      <c r="O1407" s="32" t="s">
        <v>3436</v>
      </c>
      <c r="P1407" s="33" t="s">
        <v>31</v>
      </c>
      <c r="Q1407" s="32" t="s">
        <v>32</v>
      </c>
      <c r="R1407" s="69">
        <v>44273.906192129631</v>
      </c>
      <c r="S1407" s="71">
        <v>44362</v>
      </c>
      <c r="T1407" s="32" t="str">
        <f t="shared" si="85"/>
        <v>+85284394***</v>
      </c>
      <c r="U1407" s="32" t="str">
        <f t="shared" ca="1" si="86"/>
        <v>just***@jossmail.com</v>
      </c>
      <c r="V1407" s="32">
        <f t="shared" si="87"/>
        <v>21</v>
      </c>
      <c r="W1407" s="36">
        <f t="shared" si="88"/>
        <v>0.05</v>
      </c>
    </row>
    <row r="1408" spans="4:23" ht="27" customHeight="1" x14ac:dyDescent="0.25">
      <c r="D1408" s="14" t="s">
        <v>5245</v>
      </c>
      <c r="E1408" s="14" t="s">
        <v>3658</v>
      </c>
      <c r="F1408" s="84" t="s">
        <v>1201</v>
      </c>
      <c r="G1408" s="15" t="s">
        <v>68</v>
      </c>
      <c r="H1408" s="16" t="s">
        <v>5246</v>
      </c>
      <c r="I1408" s="17"/>
      <c r="J1408" s="17"/>
      <c r="K1408" s="17"/>
      <c r="L1408" s="17"/>
      <c r="N1408" s="31">
        <v>1406</v>
      </c>
      <c r="O1408" s="32" t="s">
        <v>5247</v>
      </c>
      <c r="P1408" s="33" t="s">
        <v>42</v>
      </c>
      <c r="Q1408" s="32" t="s">
        <v>40</v>
      </c>
      <c r="R1408" s="69">
        <v>42423.705393518518</v>
      </c>
      <c r="S1408" s="71">
        <v>44354</v>
      </c>
      <c r="T1408" s="32" t="str">
        <f t="shared" si="85"/>
        <v>+082266993***</v>
      </c>
      <c r="U1408" s="32" t="str">
        <f t="shared" ca="1" si="86"/>
        <v>arac***@jossmail.com</v>
      </c>
      <c r="V1408" s="32">
        <f t="shared" si="87"/>
        <v>16</v>
      </c>
      <c r="W1408" s="36">
        <f t="shared" si="88"/>
        <v>2.5000000000000001E-2</v>
      </c>
    </row>
    <row r="1409" spans="4:23" ht="27" customHeight="1" x14ac:dyDescent="0.25">
      <c r="D1409" s="14" t="s">
        <v>5248</v>
      </c>
      <c r="E1409" s="14" t="s">
        <v>5249</v>
      </c>
      <c r="F1409" s="84" t="s">
        <v>1093</v>
      </c>
      <c r="G1409" s="15" t="s">
        <v>68</v>
      </c>
      <c r="H1409" s="16" t="s">
        <v>5250</v>
      </c>
      <c r="I1409" s="17"/>
      <c r="J1409" s="17"/>
      <c r="K1409" s="17"/>
      <c r="L1409" s="17"/>
      <c r="N1409" s="31">
        <v>1407</v>
      </c>
      <c r="O1409" s="32" t="s">
        <v>3719</v>
      </c>
      <c r="P1409" s="33" t="s">
        <v>42</v>
      </c>
      <c r="Q1409" s="32" t="s">
        <v>32</v>
      </c>
      <c r="R1409" s="69">
        <v>44273.936053240737</v>
      </c>
      <c r="S1409" s="35">
        <v>44362</v>
      </c>
      <c r="T1409" s="32" t="str">
        <f t="shared" si="85"/>
        <v>+0832 13265***</v>
      </c>
      <c r="U1409" s="32" t="str">
        <f t="shared" ca="1" si="86"/>
        <v>maci***@yuhuumail.com</v>
      </c>
      <c r="V1409" s="32">
        <f t="shared" si="87"/>
        <v>21</v>
      </c>
      <c r="W1409" s="36">
        <f t="shared" si="88"/>
        <v>0.05</v>
      </c>
    </row>
    <row r="1410" spans="4:23" ht="27" customHeight="1" x14ac:dyDescent="0.25">
      <c r="D1410" s="14" t="s">
        <v>5251</v>
      </c>
      <c r="E1410" s="14" t="s">
        <v>2548</v>
      </c>
      <c r="F1410" s="84" t="s">
        <v>159</v>
      </c>
      <c r="G1410" s="15" t="s">
        <v>27</v>
      </c>
      <c r="H1410" s="16" t="s">
        <v>5252</v>
      </c>
      <c r="I1410" s="17"/>
      <c r="J1410" s="17"/>
      <c r="K1410" s="17"/>
      <c r="L1410" s="17"/>
      <c r="N1410" s="31">
        <v>1408</v>
      </c>
      <c r="O1410" s="32" t="s">
        <v>5253</v>
      </c>
      <c r="P1410" s="33" t="s">
        <v>31</v>
      </c>
      <c r="Q1410" s="32" t="s">
        <v>40</v>
      </c>
      <c r="R1410" s="69">
        <v>44273.968912037039</v>
      </c>
      <c r="S1410" s="35">
        <v>44362</v>
      </c>
      <c r="T1410" s="32" t="str">
        <f t="shared" si="85"/>
        <v>+84299550***</v>
      </c>
      <c r="U1410" s="32" t="str">
        <f t="shared" ca="1" si="86"/>
        <v>nels***@jossmail.com</v>
      </c>
      <c r="V1410" s="32">
        <f t="shared" si="87"/>
        <v>21</v>
      </c>
      <c r="W1410" s="36">
        <f t="shared" si="88"/>
        <v>0.05</v>
      </c>
    </row>
    <row r="1411" spans="4:23" ht="27" customHeight="1" x14ac:dyDescent="0.25">
      <c r="D1411" s="14" t="s">
        <v>5254</v>
      </c>
      <c r="E1411" s="14" t="s">
        <v>5255</v>
      </c>
      <c r="F1411" s="84" t="s">
        <v>781</v>
      </c>
      <c r="G1411" s="15" t="s">
        <v>27</v>
      </c>
      <c r="H1411" s="16" t="s">
        <v>5256</v>
      </c>
      <c r="I1411" s="17"/>
      <c r="J1411" s="17"/>
      <c r="K1411" s="17"/>
      <c r="L1411" s="17"/>
      <c r="N1411" s="31">
        <v>1409</v>
      </c>
      <c r="O1411" s="32" t="s">
        <v>5257</v>
      </c>
      <c r="P1411" s="33" t="s">
        <v>31</v>
      </c>
      <c r="Q1411" s="32" t="s">
        <v>32</v>
      </c>
      <c r="R1411" s="69">
        <v>44273.952025462961</v>
      </c>
      <c r="S1411" s="35">
        <v>44362</v>
      </c>
      <c r="T1411" s="32" t="str">
        <f t="shared" si="85"/>
        <v>+82287656***</v>
      </c>
      <c r="U1411" s="32" t="str">
        <f t="shared" ca="1" si="86"/>
        <v>lond***@jossmail.com</v>
      </c>
      <c r="V1411" s="32">
        <f t="shared" si="87"/>
        <v>21</v>
      </c>
      <c r="W1411" s="36">
        <f t="shared" si="88"/>
        <v>0.05</v>
      </c>
    </row>
    <row r="1412" spans="4:23" ht="27" customHeight="1" x14ac:dyDescent="0.25">
      <c r="D1412" s="14" t="s">
        <v>5258</v>
      </c>
      <c r="E1412" s="14" t="s">
        <v>5259</v>
      </c>
      <c r="F1412" s="84" t="s">
        <v>228</v>
      </c>
      <c r="G1412" s="15" t="s">
        <v>68</v>
      </c>
      <c r="H1412" s="16" t="s">
        <v>5260</v>
      </c>
      <c r="I1412" s="17"/>
      <c r="J1412" s="17"/>
      <c r="K1412" s="17"/>
      <c r="L1412" s="17"/>
      <c r="N1412" s="31">
        <v>1410</v>
      </c>
      <c r="O1412" s="32" t="s">
        <v>5261</v>
      </c>
      <c r="P1412" s="33" t="s">
        <v>42</v>
      </c>
      <c r="Q1412" s="32" t="s">
        <v>40</v>
      </c>
      <c r="R1412" s="69">
        <v>44273.986157407409</v>
      </c>
      <c r="S1412" s="35">
        <v>44320</v>
      </c>
      <c r="T1412" s="32" t="str">
        <f t="shared" si="85"/>
        <v>+6283252254***</v>
      </c>
      <c r="U1412" s="32" t="str">
        <f t="shared" ca="1" si="86"/>
        <v>desm***@yuhuumail.com</v>
      </c>
      <c r="V1412" s="32">
        <f t="shared" si="87"/>
        <v>21</v>
      </c>
      <c r="W1412" s="36">
        <f t="shared" si="88"/>
        <v>0.05</v>
      </c>
    </row>
    <row r="1413" spans="4:23" ht="27" customHeight="1" x14ac:dyDescent="0.25">
      <c r="D1413" s="14" t="s">
        <v>5262</v>
      </c>
      <c r="E1413" s="14" t="s">
        <v>5263</v>
      </c>
      <c r="F1413" s="84" t="s">
        <v>592</v>
      </c>
      <c r="G1413" s="15" t="s">
        <v>27</v>
      </c>
      <c r="H1413" s="16" t="s">
        <v>5264</v>
      </c>
      <c r="I1413" s="17"/>
      <c r="J1413" s="17"/>
      <c r="K1413" s="17"/>
      <c r="L1413" s="17"/>
      <c r="N1413" s="31">
        <v>1411</v>
      </c>
      <c r="O1413" s="32" t="s">
        <v>5265</v>
      </c>
      <c r="P1413" s="33" t="s">
        <v>42</v>
      </c>
      <c r="Q1413" s="32" t="s">
        <v>32</v>
      </c>
      <c r="R1413" s="69">
        <v>44274.003217592595</v>
      </c>
      <c r="S1413" s="35">
        <v>44322</v>
      </c>
      <c r="T1413" s="32" t="str">
        <f t="shared" ref="T1413:T1476" si="89">"+"&amp;_xlfn.XLOOKUP($O1413, $E$2:$E$3002, $H$2:$H$3002, "Not Found")</f>
        <v>+83287855***</v>
      </c>
      <c r="U1413" s="32" t="str">
        <f t="shared" ref="U1413:U1476" ca="1" si="90" xml:space="preserve"> LOWER(LEFT(_xlfn.XLOOKUP($O1413, $E$2:$E$3002, $D$2:$D$3002), 4))
  &amp; "***@"
  &amp; IF(RAND()&gt;0.5, "jossmail.com", "yuhuumail.com")</f>
        <v>brad***@yuhuumail.com</v>
      </c>
      <c r="V1413" s="32">
        <f t="shared" ref="V1413:V1476" si="91">DATEDIF(_xlfn.XLOOKUP($O1413, $E$2:$E$3002, $F$2:$F$3002), $R1413, "Y")</f>
        <v>21</v>
      </c>
      <c r="W1413" s="36">
        <f t="shared" ref="W1413:W1476" si="92">IF(DATEDIF($R1413, $S1413, "Y") &gt;= 3, 0.025,
   IF(DATEDIF($R1413, $S1413, "Y") &gt;= 1, 0.015, 0)) +
 IF($V1413 &gt;= 50, 0.04,
   IF($V1413 &gt;= 40, 0.03,
     IF($V1413 &gt;= 30, 0.02,
       IF($V1413 &gt;= 20, 0.05, 0))))</f>
        <v>0.05</v>
      </c>
    </row>
    <row r="1414" spans="4:23" ht="27" customHeight="1" x14ac:dyDescent="0.25">
      <c r="D1414" s="14" t="s">
        <v>5266</v>
      </c>
      <c r="E1414" s="14" t="s">
        <v>5267</v>
      </c>
      <c r="F1414" s="84" t="s">
        <v>321</v>
      </c>
      <c r="G1414" s="15" t="s">
        <v>68</v>
      </c>
      <c r="H1414" s="16" t="s">
        <v>5268</v>
      </c>
      <c r="I1414" s="17"/>
      <c r="J1414" s="17"/>
      <c r="K1414" s="17"/>
      <c r="L1414" s="17"/>
      <c r="N1414" s="31">
        <v>1412</v>
      </c>
      <c r="O1414" s="32" t="s">
        <v>2288</v>
      </c>
      <c r="P1414" s="33" t="s">
        <v>31</v>
      </c>
      <c r="Q1414" s="32" t="s">
        <v>40</v>
      </c>
      <c r="R1414" s="69">
        <v>44273.999409722222</v>
      </c>
      <c r="S1414" s="35">
        <v>44356</v>
      </c>
      <c r="T1414" s="32" t="str">
        <f t="shared" si="89"/>
        <v>+6285259714***</v>
      </c>
      <c r="U1414" s="32" t="str">
        <f t="shared" ca="1" si="90"/>
        <v>ashe***@yuhuumail.com</v>
      </c>
      <c r="V1414" s="32">
        <f t="shared" si="91"/>
        <v>21</v>
      </c>
      <c r="W1414" s="36">
        <f t="shared" si="92"/>
        <v>0.05</v>
      </c>
    </row>
    <row r="1415" spans="4:23" ht="27" customHeight="1" x14ac:dyDescent="0.25">
      <c r="D1415" s="14" t="s">
        <v>5269</v>
      </c>
      <c r="E1415" s="14" t="s">
        <v>4212</v>
      </c>
      <c r="F1415" s="84" t="s">
        <v>348</v>
      </c>
      <c r="G1415" s="15" t="s">
        <v>68</v>
      </c>
      <c r="H1415" s="16" t="s">
        <v>5270</v>
      </c>
      <c r="I1415" s="17"/>
      <c r="J1415" s="17"/>
      <c r="K1415" s="17"/>
      <c r="L1415" s="17"/>
      <c r="N1415" s="31">
        <v>1413</v>
      </c>
      <c r="O1415" s="32" t="s">
        <v>1745</v>
      </c>
      <c r="P1415" s="33" t="s">
        <v>57</v>
      </c>
      <c r="Q1415" s="32" t="s">
        <v>32</v>
      </c>
      <c r="R1415" s="69">
        <v>44274.005312499998</v>
      </c>
      <c r="S1415" s="35">
        <v>44358</v>
      </c>
      <c r="T1415" s="32" t="str">
        <f t="shared" si="89"/>
        <v>+0842 29532***</v>
      </c>
      <c r="U1415" s="32" t="str">
        <f t="shared" ca="1" si="90"/>
        <v>jaro***@jossmail.com</v>
      </c>
      <c r="V1415" s="32">
        <f t="shared" si="91"/>
        <v>21</v>
      </c>
      <c r="W1415" s="36">
        <f t="shared" si="92"/>
        <v>0.05</v>
      </c>
    </row>
    <row r="1416" spans="4:23" ht="27" customHeight="1" x14ac:dyDescent="0.25">
      <c r="D1416" s="14" t="s">
        <v>5271</v>
      </c>
      <c r="E1416" s="14" t="s">
        <v>3355</v>
      </c>
      <c r="F1416" s="84" t="s">
        <v>316</v>
      </c>
      <c r="G1416" s="15" t="s">
        <v>68</v>
      </c>
      <c r="H1416" s="16" t="s">
        <v>5272</v>
      </c>
      <c r="I1416" s="17"/>
      <c r="J1416" s="17"/>
      <c r="K1416" s="17"/>
      <c r="L1416" s="17"/>
      <c r="N1416" s="31">
        <v>1414</v>
      </c>
      <c r="O1416" s="32" t="s">
        <v>5273</v>
      </c>
      <c r="P1416" s="33" t="s">
        <v>57</v>
      </c>
      <c r="Q1416" s="32" t="s">
        <v>40</v>
      </c>
      <c r="R1416" s="69">
        <v>44274.039398148147</v>
      </c>
      <c r="S1416" s="35">
        <v>44320</v>
      </c>
      <c r="T1416" s="32" t="str">
        <f t="shared" si="89"/>
        <v>+081252705***</v>
      </c>
      <c r="U1416" s="32" t="str">
        <f t="shared" ca="1" si="90"/>
        <v>lize***@jossmail.com</v>
      </c>
      <c r="V1416" s="32">
        <f t="shared" si="91"/>
        <v>21</v>
      </c>
      <c r="W1416" s="36">
        <f t="shared" si="92"/>
        <v>0.05</v>
      </c>
    </row>
    <row r="1417" spans="4:23" ht="27" customHeight="1" x14ac:dyDescent="0.25">
      <c r="D1417" s="14" t="s">
        <v>5274</v>
      </c>
      <c r="E1417" s="14" t="s">
        <v>2006</v>
      </c>
      <c r="F1417" s="84" t="s">
        <v>200</v>
      </c>
      <c r="G1417" s="15" t="s">
        <v>27</v>
      </c>
      <c r="H1417" s="16" t="s">
        <v>5275</v>
      </c>
      <c r="I1417" s="17"/>
      <c r="J1417" s="17"/>
      <c r="K1417" s="17"/>
      <c r="L1417" s="17"/>
      <c r="N1417" s="31">
        <v>1415</v>
      </c>
      <c r="O1417" s="32" t="s">
        <v>1584</v>
      </c>
      <c r="P1417" s="33" t="s">
        <v>31</v>
      </c>
      <c r="Q1417" s="32" t="s">
        <v>32</v>
      </c>
      <c r="R1417" s="69">
        <v>44273.997465277775</v>
      </c>
      <c r="S1417" s="35">
        <v>44362</v>
      </c>
      <c r="T1417" s="32" t="str">
        <f t="shared" si="89"/>
        <v>+085222997***</v>
      </c>
      <c r="U1417" s="32" t="str">
        <f t="shared" ca="1" si="90"/>
        <v>evel***@yuhuumail.com</v>
      </c>
      <c r="V1417" s="32">
        <f t="shared" si="91"/>
        <v>21</v>
      </c>
      <c r="W1417" s="36">
        <f t="shared" si="92"/>
        <v>0.05</v>
      </c>
    </row>
    <row r="1418" spans="4:23" ht="27" customHeight="1" x14ac:dyDescent="0.25">
      <c r="D1418" s="14" t="s">
        <v>5276</v>
      </c>
      <c r="E1418" s="14" t="s">
        <v>5277</v>
      </c>
      <c r="F1418" s="84" t="s">
        <v>952</v>
      </c>
      <c r="G1418" s="15" t="s">
        <v>27</v>
      </c>
      <c r="H1418" s="16" t="s">
        <v>5278</v>
      </c>
      <c r="I1418" s="17"/>
      <c r="J1418" s="17"/>
      <c r="K1418" s="17"/>
      <c r="L1418" s="17"/>
      <c r="N1418" s="31">
        <v>1416</v>
      </c>
      <c r="O1418" s="32" t="s">
        <v>5174</v>
      </c>
      <c r="P1418" s="33" t="s">
        <v>57</v>
      </c>
      <c r="Q1418" s="32" t="s">
        <v>40</v>
      </c>
      <c r="R1418" s="69">
        <v>44274.060555555552</v>
      </c>
      <c r="S1418" s="35">
        <v>44359</v>
      </c>
      <c r="T1418" s="32" t="str">
        <f t="shared" si="89"/>
        <v>+6285228898***</v>
      </c>
      <c r="U1418" s="32" t="str">
        <f t="shared" ca="1" si="90"/>
        <v>sage***@jossmail.com</v>
      </c>
      <c r="V1418" s="32">
        <f t="shared" si="91"/>
        <v>21</v>
      </c>
      <c r="W1418" s="36">
        <f t="shared" si="92"/>
        <v>0.05</v>
      </c>
    </row>
    <row r="1419" spans="4:23" ht="27" customHeight="1" x14ac:dyDescent="0.25">
      <c r="D1419" s="14" t="s">
        <v>5279</v>
      </c>
      <c r="E1419" s="14" t="s">
        <v>5280</v>
      </c>
      <c r="F1419" s="84" t="s">
        <v>183</v>
      </c>
      <c r="G1419" s="15" t="s">
        <v>27</v>
      </c>
      <c r="H1419" s="16" t="s">
        <v>5281</v>
      </c>
      <c r="I1419" s="17"/>
      <c r="J1419" s="17"/>
      <c r="K1419" s="17"/>
      <c r="L1419" s="17"/>
      <c r="N1419" s="31">
        <v>1417</v>
      </c>
      <c r="O1419" s="32" t="s">
        <v>1053</v>
      </c>
      <c r="P1419" s="33" t="s">
        <v>57</v>
      </c>
      <c r="Q1419" s="32" t="s">
        <v>32</v>
      </c>
      <c r="R1419" s="69">
        <v>44274.04142361111</v>
      </c>
      <c r="S1419" s="35">
        <v>44317</v>
      </c>
      <c r="T1419" s="32" t="str">
        <f t="shared" si="89"/>
        <v>+0852-72613***</v>
      </c>
      <c r="U1419" s="32" t="str">
        <f t="shared" ca="1" si="90"/>
        <v>tren***@jossmail.com</v>
      </c>
      <c r="V1419" s="32">
        <f t="shared" si="91"/>
        <v>21</v>
      </c>
      <c r="W1419" s="36">
        <f t="shared" si="92"/>
        <v>0.05</v>
      </c>
    </row>
    <row r="1420" spans="4:23" ht="27" customHeight="1" x14ac:dyDescent="0.25">
      <c r="D1420" s="14" t="s">
        <v>5282</v>
      </c>
      <c r="E1420" s="14" t="s">
        <v>5283</v>
      </c>
      <c r="F1420" s="84" t="s">
        <v>969</v>
      </c>
      <c r="G1420" s="15" t="s">
        <v>27</v>
      </c>
      <c r="H1420" s="16" t="s">
        <v>5284</v>
      </c>
      <c r="I1420" s="17"/>
      <c r="J1420" s="17"/>
      <c r="K1420" s="17"/>
      <c r="L1420" s="17"/>
      <c r="N1420" s="31">
        <v>1418</v>
      </c>
      <c r="O1420" s="32" t="s">
        <v>4667</v>
      </c>
      <c r="P1420" s="33" t="s">
        <v>42</v>
      </c>
      <c r="Q1420" s="32" t="s">
        <v>40</v>
      </c>
      <c r="R1420" s="69">
        <v>44274.05878472222</v>
      </c>
      <c r="S1420" s="35">
        <v>44356</v>
      </c>
      <c r="T1420" s="32" t="str">
        <f t="shared" si="89"/>
        <v>+852 42714***</v>
      </c>
      <c r="U1420" s="32" t="str">
        <f t="shared" ca="1" si="90"/>
        <v>mira***@yuhuumail.com</v>
      </c>
      <c r="V1420" s="32">
        <f t="shared" si="91"/>
        <v>21</v>
      </c>
      <c r="W1420" s="36">
        <f t="shared" si="92"/>
        <v>0.05</v>
      </c>
    </row>
    <row r="1421" spans="4:23" ht="27" customHeight="1" x14ac:dyDescent="0.25">
      <c r="D1421" s="14" t="s">
        <v>5285</v>
      </c>
      <c r="E1421" s="14" t="s">
        <v>5286</v>
      </c>
      <c r="F1421" s="84" t="s">
        <v>670</v>
      </c>
      <c r="G1421" s="15" t="s">
        <v>68</v>
      </c>
      <c r="H1421" s="16" t="s">
        <v>5287</v>
      </c>
      <c r="I1421" s="17"/>
      <c r="J1421" s="17"/>
      <c r="K1421" s="17"/>
      <c r="L1421" s="17"/>
      <c r="N1421" s="31">
        <v>1419</v>
      </c>
      <c r="O1421" s="32" t="s">
        <v>2299</v>
      </c>
      <c r="P1421" s="33" t="s">
        <v>57</v>
      </c>
      <c r="Q1421" s="32" t="s">
        <v>32</v>
      </c>
      <c r="R1421" s="69">
        <v>44274.064930555556</v>
      </c>
      <c r="S1421" s="35">
        <v>44320</v>
      </c>
      <c r="T1421" s="32" t="str">
        <f t="shared" si="89"/>
        <v>+0822-71753***</v>
      </c>
      <c r="U1421" s="32" t="str">
        <f t="shared" ca="1" si="90"/>
        <v>mari***@jossmail.com</v>
      </c>
      <c r="V1421" s="32">
        <f t="shared" si="91"/>
        <v>21</v>
      </c>
      <c r="W1421" s="36">
        <f t="shared" si="92"/>
        <v>0.05</v>
      </c>
    </row>
    <row r="1422" spans="4:23" ht="27" customHeight="1" x14ac:dyDescent="0.25">
      <c r="D1422" s="14" t="s">
        <v>5288</v>
      </c>
      <c r="E1422" s="14" t="s">
        <v>5289</v>
      </c>
      <c r="F1422" s="84" t="s">
        <v>909</v>
      </c>
      <c r="G1422" s="15" t="s">
        <v>68</v>
      </c>
      <c r="H1422" s="16" t="s">
        <v>5290</v>
      </c>
      <c r="I1422" s="17"/>
      <c r="J1422" s="17"/>
      <c r="K1422" s="17"/>
      <c r="L1422" s="17"/>
      <c r="N1422" s="31">
        <v>1420</v>
      </c>
      <c r="O1422" s="32" t="s">
        <v>5291</v>
      </c>
      <c r="P1422" s="33" t="s">
        <v>42</v>
      </c>
      <c r="Q1422" s="32" t="s">
        <v>40</v>
      </c>
      <c r="R1422" s="69">
        <v>44274.065937500003</v>
      </c>
      <c r="S1422" s="35">
        <v>44354</v>
      </c>
      <c r="T1422" s="32" t="str">
        <f t="shared" si="89"/>
        <v>+083214744***</v>
      </c>
      <c r="U1422" s="32" t="str">
        <f t="shared" ca="1" si="90"/>
        <v>rowa***@yuhuumail.com</v>
      </c>
      <c r="V1422" s="32">
        <f t="shared" si="91"/>
        <v>21</v>
      </c>
      <c r="W1422" s="36">
        <f t="shared" si="92"/>
        <v>0.05</v>
      </c>
    </row>
    <row r="1423" spans="4:23" ht="27" customHeight="1" x14ac:dyDescent="0.25">
      <c r="D1423" s="14" t="s">
        <v>5292</v>
      </c>
      <c r="E1423" s="14" t="s">
        <v>5293</v>
      </c>
      <c r="F1423" s="84" t="s">
        <v>321</v>
      </c>
      <c r="G1423" s="15" t="s">
        <v>27</v>
      </c>
      <c r="H1423" s="16" t="s">
        <v>5294</v>
      </c>
      <c r="I1423" s="17"/>
      <c r="J1423" s="17"/>
      <c r="K1423" s="17"/>
      <c r="L1423" s="17"/>
      <c r="N1423" s="31">
        <v>1421</v>
      </c>
      <c r="O1423" s="32" t="s">
        <v>5295</v>
      </c>
      <c r="P1423" s="33" t="s">
        <v>31</v>
      </c>
      <c r="Q1423" s="32" t="s">
        <v>32</v>
      </c>
      <c r="R1423" s="69">
        <v>43721.823078703703</v>
      </c>
      <c r="S1423" s="71">
        <v>44356</v>
      </c>
      <c r="T1423" s="32" t="str">
        <f t="shared" si="89"/>
        <v>+084245681***</v>
      </c>
      <c r="U1423" s="32" t="str">
        <f t="shared" ca="1" si="90"/>
        <v>rica***@yuhuumail.com</v>
      </c>
      <c r="V1423" s="32">
        <f t="shared" si="91"/>
        <v>19</v>
      </c>
      <c r="W1423" s="36">
        <f t="shared" si="92"/>
        <v>1.4999999999999999E-2</v>
      </c>
    </row>
    <row r="1424" spans="4:23" ht="27" customHeight="1" x14ac:dyDescent="0.25">
      <c r="D1424" s="14" t="s">
        <v>5296</v>
      </c>
      <c r="E1424" s="14" t="s">
        <v>1022</v>
      </c>
      <c r="F1424" s="84" t="s">
        <v>587</v>
      </c>
      <c r="G1424" s="15" t="s">
        <v>27</v>
      </c>
      <c r="H1424" s="16" t="s">
        <v>5297</v>
      </c>
      <c r="I1424" s="17"/>
      <c r="J1424" s="17"/>
      <c r="K1424" s="17"/>
      <c r="L1424" s="17"/>
      <c r="N1424" s="31">
        <v>1422</v>
      </c>
      <c r="O1424" s="32" t="s">
        <v>4408</v>
      </c>
      <c r="P1424" s="33" t="s">
        <v>5086</v>
      </c>
      <c r="Q1424" s="32" t="s">
        <v>40</v>
      </c>
      <c r="R1424" s="69">
        <v>44274.077824074076</v>
      </c>
      <c r="S1424" s="71">
        <v>44343</v>
      </c>
      <c r="T1424" s="32" t="str">
        <f t="shared" si="89"/>
        <v>+822 21054***</v>
      </c>
      <c r="U1424" s="32" t="str">
        <f t="shared" ca="1" si="90"/>
        <v>mars***@jossmail.com</v>
      </c>
      <c r="V1424" s="32">
        <f t="shared" si="91"/>
        <v>21</v>
      </c>
      <c r="W1424" s="36">
        <f t="shared" si="92"/>
        <v>0.05</v>
      </c>
    </row>
    <row r="1425" spans="4:23" ht="27" customHeight="1" x14ac:dyDescent="0.25">
      <c r="D1425" s="14" t="s">
        <v>5298</v>
      </c>
      <c r="E1425" s="14" t="s">
        <v>5299</v>
      </c>
      <c r="F1425" s="84" t="s">
        <v>159</v>
      </c>
      <c r="G1425" s="15" t="s">
        <v>27</v>
      </c>
      <c r="H1425" s="16" t="s">
        <v>5300</v>
      </c>
      <c r="I1425" s="17"/>
      <c r="J1425" s="17"/>
      <c r="K1425" s="17"/>
      <c r="L1425" s="17"/>
      <c r="N1425" s="31">
        <v>1423</v>
      </c>
      <c r="O1425" s="32" t="s">
        <v>5301</v>
      </c>
      <c r="P1425" s="33" t="s">
        <v>5090</v>
      </c>
      <c r="Q1425" s="32" t="s">
        <v>32</v>
      </c>
      <c r="R1425" s="69">
        <v>44274.087719907409</v>
      </c>
      <c r="S1425" s="71">
        <v>44317</v>
      </c>
      <c r="T1425" s="32" t="str">
        <f t="shared" si="89"/>
        <v>+0852-70380***</v>
      </c>
      <c r="U1425" s="32" t="str">
        <f t="shared" ca="1" si="90"/>
        <v>flet***@yuhuumail.com</v>
      </c>
      <c r="V1425" s="32">
        <f t="shared" si="91"/>
        <v>21</v>
      </c>
      <c r="W1425" s="36">
        <f t="shared" si="92"/>
        <v>0.05</v>
      </c>
    </row>
    <row r="1426" spans="4:23" ht="27" customHeight="1" x14ac:dyDescent="0.25">
      <c r="D1426" s="14" t="s">
        <v>5302</v>
      </c>
      <c r="E1426" s="14" t="s">
        <v>5303</v>
      </c>
      <c r="F1426" s="84" t="s">
        <v>1088</v>
      </c>
      <c r="G1426" s="15" t="s">
        <v>27</v>
      </c>
      <c r="H1426" s="16" t="s">
        <v>5304</v>
      </c>
      <c r="I1426" s="17"/>
      <c r="J1426" s="17"/>
      <c r="K1426" s="17"/>
      <c r="L1426" s="17"/>
      <c r="N1426" s="31">
        <v>1424</v>
      </c>
      <c r="O1426" s="32" t="s">
        <v>5305</v>
      </c>
      <c r="P1426" s="33" t="s">
        <v>5094</v>
      </c>
      <c r="Q1426" s="32" t="s">
        <v>40</v>
      </c>
      <c r="R1426" s="69">
        <v>44274.202476851853</v>
      </c>
      <c r="S1426" s="71">
        <v>44356</v>
      </c>
      <c r="T1426" s="32" t="str">
        <f t="shared" si="89"/>
        <v>+0832-49077***</v>
      </c>
      <c r="U1426" s="32" t="str">
        <f t="shared" ca="1" si="90"/>
        <v>sadi***@yuhuumail.com</v>
      </c>
      <c r="V1426" s="32">
        <f t="shared" si="91"/>
        <v>21</v>
      </c>
      <c r="W1426" s="36">
        <f t="shared" si="92"/>
        <v>0.05</v>
      </c>
    </row>
    <row r="1427" spans="4:23" ht="27" customHeight="1" x14ac:dyDescent="0.25">
      <c r="D1427" s="14" t="s">
        <v>5306</v>
      </c>
      <c r="E1427" s="14" t="s">
        <v>2196</v>
      </c>
      <c r="F1427" s="84" t="s">
        <v>466</v>
      </c>
      <c r="G1427" s="15" t="s">
        <v>27</v>
      </c>
      <c r="H1427" s="16" t="s">
        <v>5307</v>
      </c>
      <c r="I1427" s="17"/>
      <c r="J1427" s="17"/>
      <c r="K1427" s="17"/>
      <c r="L1427" s="17"/>
      <c r="N1427" s="31">
        <v>1425</v>
      </c>
      <c r="O1427" s="32" t="s">
        <v>1299</v>
      </c>
      <c r="P1427" s="33" t="s">
        <v>31</v>
      </c>
      <c r="Q1427" s="32" t="s">
        <v>32</v>
      </c>
      <c r="R1427" s="69">
        <v>43379.785462962966</v>
      </c>
      <c r="S1427" s="71">
        <v>44320</v>
      </c>
      <c r="T1427" s="32" t="str">
        <f t="shared" si="89"/>
        <v>+085229314***</v>
      </c>
      <c r="U1427" s="32" t="str">
        <f t="shared" ca="1" si="90"/>
        <v>evep***@jossmail.com</v>
      </c>
      <c r="V1427" s="32">
        <f t="shared" si="91"/>
        <v>19</v>
      </c>
      <c r="W1427" s="36">
        <f t="shared" si="92"/>
        <v>1.4999999999999999E-2</v>
      </c>
    </row>
    <row r="1428" spans="4:23" ht="27" customHeight="1" x14ac:dyDescent="0.25">
      <c r="D1428" s="14" t="s">
        <v>5308</v>
      </c>
      <c r="E1428" s="14" t="s">
        <v>5309</v>
      </c>
      <c r="F1428" s="84" t="s">
        <v>422</v>
      </c>
      <c r="G1428" s="15" t="s">
        <v>27</v>
      </c>
      <c r="H1428" s="16" t="s">
        <v>5310</v>
      </c>
      <c r="I1428" s="17"/>
      <c r="J1428" s="17"/>
      <c r="K1428" s="17"/>
      <c r="L1428" s="17"/>
      <c r="N1428" s="31">
        <v>1426</v>
      </c>
      <c r="O1428" s="32" t="s">
        <v>5311</v>
      </c>
      <c r="P1428" s="33" t="s">
        <v>31</v>
      </c>
      <c r="Q1428" s="32" t="s">
        <v>40</v>
      </c>
      <c r="R1428" s="69">
        <v>44274.274097222224</v>
      </c>
      <c r="S1428" s="71">
        <v>44359</v>
      </c>
      <c r="T1428" s="32" t="str">
        <f t="shared" si="89"/>
        <v>+6282277590***</v>
      </c>
      <c r="U1428" s="32" t="str">
        <f t="shared" ca="1" si="90"/>
        <v>brie***@jossmail.com</v>
      </c>
      <c r="V1428" s="32">
        <f t="shared" si="91"/>
        <v>21</v>
      </c>
      <c r="W1428" s="36">
        <f t="shared" si="92"/>
        <v>0.05</v>
      </c>
    </row>
    <row r="1429" spans="4:23" ht="27" customHeight="1" x14ac:dyDescent="0.25">
      <c r="D1429" s="14" t="s">
        <v>5312</v>
      </c>
      <c r="E1429" s="14" t="s">
        <v>5313</v>
      </c>
      <c r="F1429" s="84" t="s">
        <v>1886</v>
      </c>
      <c r="G1429" s="15" t="s">
        <v>68</v>
      </c>
      <c r="H1429" s="16" t="s">
        <v>5314</v>
      </c>
      <c r="I1429" s="17"/>
      <c r="J1429" s="17"/>
      <c r="K1429" s="17"/>
      <c r="L1429" s="17"/>
      <c r="N1429" s="31">
        <v>1427</v>
      </c>
      <c r="O1429" s="32" t="s">
        <v>1370</v>
      </c>
      <c r="P1429" s="33" t="s">
        <v>42</v>
      </c>
      <c r="Q1429" s="32" t="s">
        <v>32</v>
      </c>
      <c r="R1429" s="69">
        <v>44274.302812499998</v>
      </c>
      <c r="S1429" s="71">
        <v>44354</v>
      </c>
      <c r="T1429" s="32" t="str">
        <f t="shared" si="89"/>
        <v>+0822 61654***</v>
      </c>
      <c r="U1429" s="32" t="str">
        <f t="shared" ca="1" si="90"/>
        <v>andr***@jossmail.com</v>
      </c>
      <c r="V1429" s="32">
        <f t="shared" si="91"/>
        <v>21</v>
      </c>
      <c r="W1429" s="36">
        <f t="shared" si="92"/>
        <v>0.05</v>
      </c>
    </row>
    <row r="1430" spans="4:23" ht="27" customHeight="1" x14ac:dyDescent="0.25">
      <c r="D1430" s="14" t="s">
        <v>5315</v>
      </c>
      <c r="E1430" s="14" t="s">
        <v>5316</v>
      </c>
      <c r="F1430" s="84" t="s">
        <v>5317</v>
      </c>
      <c r="G1430" s="15" t="s">
        <v>27</v>
      </c>
      <c r="H1430" s="16" t="s">
        <v>5318</v>
      </c>
      <c r="I1430" s="17"/>
      <c r="J1430" s="17"/>
      <c r="K1430" s="17"/>
      <c r="L1430" s="17"/>
      <c r="N1430" s="31">
        <v>1428</v>
      </c>
      <c r="O1430" s="32" t="s">
        <v>4078</v>
      </c>
      <c r="P1430" s="33" t="s">
        <v>31</v>
      </c>
      <c r="Q1430" s="32" t="s">
        <v>40</v>
      </c>
      <c r="R1430" s="69">
        <v>44274.313032407408</v>
      </c>
      <c r="S1430" s="71">
        <v>44354</v>
      </c>
      <c r="T1430" s="32" t="str">
        <f t="shared" si="89"/>
        <v>+832 90311***</v>
      </c>
      <c r="U1430" s="32" t="str">
        <f t="shared" ca="1" si="90"/>
        <v>cruz***@yuhuumail.com</v>
      </c>
      <c r="V1430" s="32">
        <f t="shared" si="91"/>
        <v>21</v>
      </c>
      <c r="W1430" s="36">
        <f t="shared" si="92"/>
        <v>0.05</v>
      </c>
    </row>
    <row r="1431" spans="4:23" ht="27" customHeight="1" x14ac:dyDescent="0.25">
      <c r="D1431" s="14" t="s">
        <v>5319</v>
      </c>
      <c r="E1431" s="14" t="s">
        <v>409</v>
      </c>
      <c r="F1431" s="84" t="s">
        <v>1288</v>
      </c>
      <c r="G1431" s="15" t="s">
        <v>27</v>
      </c>
      <c r="H1431" s="16" t="s">
        <v>5320</v>
      </c>
      <c r="I1431" s="17"/>
      <c r="J1431" s="17"/>
      <c r="K1431" s="17"/>
      <c r="L1431" s="17"/>
      <c r="N1431" s="31">
        <v>1429</v>
      </c>
      <c r="O1431" s="32" t="s">
        <v>5321</v>
      </c>
      <c r="P1431" s="33" t="s">
        <v>42</v>
      </c>
      <c r="Q1431" s="32" t="s">
        <v>32</v>
      </c>
      <c r="R1431" s="69">
        <v>43746.525821759256</v>
      </c>
      <c r="S1431" s="71">
        <v>44359</v>
      </c>
      <c r="T1431" s="32" t="str">
        <f t="shared" si="89"/>
        <v>+85277366***</v>
      </c>
      <c r="U1431" s="32" t="str">
        <f t="shared" ca="1" si="90"/>
        <v>nath***@jossmail.com</v>
      </c>
      <c r="V1431" s="32">
        <f t="shared" si="91"/>
        <v>20</v>
      </c>
      <c r="W1431" s="36">
        <f t="shared" si="92"/>
        <v>6.5000000000000002E-2</v>
      </c>
    </row>
    <row r="1432" spans="4:23" ht="27" customHeight="1" x14ac:dyDescent="0.25">
      <c r="D1432" s="14" t="s">
        <v>5322</v>
      </c>
      <c r="E1432" s="14" t="s">
        <v>5323</v>
      </c>
      <c r="F1432" s="84" t="s">
        <v>233</v>
      </c>
      <c r="G1432" s="15" t="s">
        <v>27</v>
      </c>
      <c r="H1432" s="16" t="s">
        <v>5324</v>
      </c>
      <c r="I1432" s="17"/>
      <c r="J1432" s="17"/>
      <c r="K1432" s="17"/>
      <c r="L1432" s="17"/>
      <c r="N1432" s="31">
        <v>1430</v>
      </c>
      <c r="O1432" s="32" t="s">
        <v>519</v>
      </c>
      <c r="P1432" s="33" t="s">
        <v>42</v>
      </c>
      <c r="Q1432" s="32" t="s">
        <v>40</v>
      </c>
      <c r="R1432" s="69">
        <v>44274.33326388889</v>
      </c>
      <c r="S1432" s="71">
        <v>44322</v>
      </c>
      <c r="T1432" s="32" t="str">
        <f t="shared" si="89"/>
        <v>+0812-35532***</v>
      </c>
      <c r="U1432" s="32" t="str">
        <f t="shared" ca="1" si="90"/>
        <v>kael***@yuhuumail.com</v>
      </c>
      <c r="V1432" s="32">
        <f t="shared" si="91"/>
        <v>21</v>
      </c>
      <c r="W1432" s="36">
        <f t="shared" si="92"/>
        <v>0.05</v>
      </c>
    </row>
    <row r="1433" spans="4:23" ht="27" customHeight="1" x14ac:dyDescent="0.25">
      <c r="D1433" s="14" t="s">
        <v>5325</v>
      </c>
      <c r="E1433" s="14" t="s">
        <v>3644</v>
      </c>
      <c r="F1433" s="84" t="s">
        <v>1201</v>
      </c>
      <c r="G1433" s="15" t="s">
        <v>27</v>
      </c>
      <c r="H1433" s="16" t="s">
        <v>5326</v>
      </c>
      <c r="I1433" s="17"/>
      <c r="J1433" s="17"/>
      <c r="K1433" s="17"/>
      <c r="L1433" s="17"/>
      <c r="N1433" s="31">
        <v>1431</v>
      </c>
      <c r="O1433" s="32" t="s">
        <v>5327</v>
      </c>
      <c r="P1433" s="33" t="s">
        <v>42</v>
      </c>
      <c r="Q1433" s="32" t="s">
        <v>32</v>
      </c>
      <c r="R1433" s="69">
        <v>44273.829201388886</v>
      </c>
      <c r="S1433" s="71">
        <v>44356</v>
      </c>
      <c r="T1433" s="32" t="str">
        <f t="shared" si="89"/>
        <v>+6283225680***</v>
      </c>
      <c r="U1433" s="32" t="str">
        <f t="shared" ca="1" si="90"/>
        <v>mile***@yuhuumail.com</v>
      </c>
      <c r="V1433" s="32">
        <f t="shared" si="91"/>
        <v>21</v>
      </c>
      <c r="W1433" s="36">
        <f t="shared" si="92"/>
        <v>0.05</v>
      </c>
    </row>
    <row r="1434" spans="4:23" ht="27" customHeight="1" x14ac:dyDescent="0.25">
      <c r="D1434" s="14" t="s">
        <v>5328</v>
      </c>
      <c r="E1434" s="14" t="s">
        <v>5329</v>
      </c>
      <c r="F1434" s="84" t="s">
        <v>1551</v>
      </c>
      <c r="G1434" s="15" t="s">
        <v>68</v>
      </c>
      <c r="H1434" s="16" t="s">
        <v>5330</v>
      </c>
      <c r="I1434" s="17"/>
      <c r="J1434" s="17"/>
      <c r="K1434" s="17"/>
      <c r="L1434" s="17"/>
      <c r="N1434" s="31">
        <v>1432</v>
      </c>
      <c r="O1434" s="32" t="s">
        <v>5331</v>
      </c>
      <c r="P1434" s="33" t="s">
        <v>57</v>
      </c>
      <c r="Q1434" s="32" t="s">
        <v>40</v>
      </c>
      <c r="R1434" s="69">
        <v>42403.692719907405</v>
      </c>
      <c r="S1434" s="71">
        <v>44351</v>
      </c>
      <c r="T1434" s="32" t="str">
        <f t="shared" si="89"/>
        <v>+82212445***</v>
      </c>
      <c r="U1434" s="32" t="str">
        <f t="shared" ca="1" si="90"/>
        <v>kayl***@yuhuumail.com</v>
      </c>
      <c r="V1434" s="32">
        <f t="shared" si="91"/>
        <v>16</v>
      </c>
      <c r="W1434" s="36">
        <f t="shared" si="92"/>
        <v>2.5000000000000001E-2</v>
      </c>
    </row>
    <row r="1435" spans="4:23" ht="27" customHeight="1" x14ac:dyDescent="0.25">
      <c r="D1435" s="14" t="s">
        <v>5332</v>
      </c>
      <c r="E1435" s="14" t="s">
        <v>4796</v>
      </c>
      <c r="F1435" s="84" t="s">
        <v>402</v>
      </c>
      <c r="G1435" s="15" t="s">
        <v>68</v>
      </c>
      <c r="H1435" s="16" t="s">
        <v>5333</v>
      </c>
      <c r="I1435" s="17"/>
      <c r="J1435" s="17"/>
      <c r="K1435" s="17"/>
      <c r="L1435" s="17"/>
      <c r="N1435" s="31">
        <v>1433</v>
      </c>
      <c r="O1435" s="32" t="s">
        <v>5334</v>
      </c>
      <c r="P1435" s="33" t="s">
        <v>31</v>
      </c>
      <c r="Q1435" s="32" t="s">
        <v>32</v>
      </c>
      <c r="R1435" s="69">
        <v>44274.380231481482</v>
      </c>
      <c r="S1435" s="71">
        <v>44356</v>
      </c>
      <c r="T1435" s="32" t="str">
        <f t="shared" si="89"/>
        <v>+0822-33035***</v>
      </c>
      <c r="U1435" s="32" t="str">
        <f t="shared" ca="1" si="90"/>
        <v>elea***@yuhuumail.com</v>
      </c>
      <c r="V1435" s="32">
        <f t="shared" si="91"/>
        <v>21</v>
      </c>
      <c r="W1435" s="36">
        <f t="shared" si="92"/>
        <v>0.05</v>
      </c>
    </row>
    <row r="1436" spans="4:23" ht="27" customHeight="1" x14ac:dyDescent="0.25">
      <c r="D1436" s="14" t="s">
        <v>5335</v>
      </c>
      <c r="E1436" s="14" t="s">
        <v>983</v>
      </c>
      <c r="F1436" s="84" t="s">
        <v>1563</v>
      </c>
      <c r="G1436" s="15" t="s">
        <v>68</v>
      </c>
      <c r="H1436" s="16" t="s">
        <v>5336</v>
      </c>
      <c r="I1436" s="17"/>
      <c r="J1436" s="17"/>
      <c r="K1436" s="17"/>
      <c r="L1436" s="17"/>
      <c r="N1436" s="31">
        <v>1434</v>
      </c>
      <c r="O1436" s="32" t="s">
        <v>3598</v>
      </c>
      <c r="P1436" s="33" t="s">
        <v>31</v>
      </c>
      <c r="Q1436" s="32" t="s">
        <v>40</v>
      </c>
      <c r="R1436" s="69">
        <v>43929.616967592592</v>
      </c>
      <c r="S1436" s="71">
        <v>44320</v>
      </c>
      <c r="T1436" s="32" t="str">
        <f t="shared" si="89"/>
        <v>+6285273352***</v>
      </c>
      <c r="U1436" s="32" t="str">
        <f t="shared" ca="1" si="90"/>
        <v>mara***@yuhuumail.com</v>
      </c>
      <c r="V1436" s="32">
        <f t="shared" si="91"/>
        <v>20</v>
      </c>
      <c r="W1436" s="36">
        <f t="shared" si="92"/>
        <v>6.5000000000000002E-2</v>
      </c>
    </row>
    <row r="1437" spans="4:23" ht="27" customHeight="1" x14ac:dyDescent="0.25">
      <c r="D1437" s="14" t="s">
        <v>5337</v>
      </c>
      <c r="E1437" s="14" t="s">
        <v>4919</v>
      </c>
      <c r="F1437" s="84" t="s">
        <v>444</v>
      </c>
      <c r="G1437" s="15" t="s">
        <v>27</v>
      </c>
      <c r="H1437" s="16" t="s">
        <v>5338</v>
      </c>
      <c r="I1437" s="17"/>
      <c r="J1437" s="17"/>
      <c r="K1437" s="17"/>
      <c r="L1437" s="17"/>
      <c r="N1437" s="31">
        <v>1435</v>
      </c>
      <c r="O1437" s="32" t="s">
        <v>5339</v>
      </c>
      <c r="P1437" s="33" t="s">
        <v>57</v>
      </c>
      <c r="Q1437" s="32" t="s">
        <v>32</v>
      </c>
      <c r="R1437" s="69">
        <v>44274.383113425924</v>
      </c>
      <c r="S1437" s="71">
        <v>44320</v>
      </c>
      <c r="T1437" s="32" t="str">
        <f t="shared" si="89"/>
        <v>+0832-32441***</v>
      </c>
      <c r="U1437" s="32" t="str">
        <f t="shared" ca="1" si="90"/>
        <v>daya***@yuhuumail.com</v>
      </c>
      <c r="V1437" s="32">
        <f t="shared" si="91"/>
        <v>21</v>
      </c>
      <c r="W1437" s="36">
        <f t="shared" si="92"/>
        <v>0.05</v>
      </c>
    </row>
    <row r="1438" spans="4:23" ht="27" customHeight="1" x14ac:dyDescent="0.25">
      <c r="D1438" s="14" t="s">
        <v>5340</v>
      </c>
      <c r="E1438" s="14" t="s">
        <v>1578</v>
      </c>
      <c r="F1438" s="84" t="s">
        <v>508</v>
      </c>
      <c r="G1438" s="15" t="s">
        <v>27</v>
      </c>
      <c r="H1438" s="16" t="s">
        <v>5341</v>
      </c>
      <c r="I1438" s="17"/>
      <c r="J1438" s="17"/>
      <c r="K1438" s="17"/>
      <c r="L1438" s="17"/>
      <c r="N1438" s="31">
        <v>1436</v>
      </c>
      <c r="O1438" s="32" t="s">
        <v>5342</v>
      </c>
      <c r="P1438" s="33" t="s">
        <v>42</v>
      </c>
      <c r="Q1438" s="32" t="s">
        <v>40</v>
      </c>
      <c r="R1438" s="69">
        <v>44274.384293981479</v>
      </c>
      <c r="S1438" s="71">
        <v>44320</v>
      </c>
      <c r="T1438" s="32" t="str">
        <f t="shared" si="89"/>
        <v>+0812-54491***</v>
      </c>
      <c r="U1438" s="32" t="str">
        <f t="shared" ca="1" si="90"/>
        <v>chaz***@yuhuumail.com</v>
      </c>
      <c r="V1438" s="32">
        <f t="shared" si="91"/>
        <v>21</v>
      </c>
      <c r="W1438" s="36">
        <f t="shared" si="92"/>
        <v>0.05</v>
      </c>
    </row>
    <row r="1439" spans="4:23" ht="27" customHeight="1" x14ac:dyDescent="0.25">
      <c r="D1439" s="14" t="s">
        <v>5343</v>
      </c>
      <c r="E1439" s="14" t="s">
        <v>5344</v>
      </c>
      <c r="F1439" s="84" t="s">
        <v>1716</v>
      </c>
      <c r="G1439" s="15" t="s">
        <v>68</v>
      </c>
      <c r="H1439" s="16" t="s">
        <v>5345</v>
      </c>
      <c r="I1439" s="17"/>
      <c r="J1439" s="17"/>
      <c r="K1439" s="17"/>
      <c r="L1439" s="17"/>
      <c r="N1439" s="31">
        <v>1437</v>
      </c>
      <c r="O1439" s="32" t="s">
        <v>5346</v>
      </c>
      <c r="P1439" s="33" t="s">
        <v>31</v>
      </c>
      <c r="Q1439" s="32" t="s">
        <v>32</v>
      </c>
      <c r="R1439" s="69">
        <v>44274.406585648147</v>
      </c>
      <c r="S1439" s="71">
        <v>44354</v>
      </c>
      <c r="T1439" s="32" t="str">
        <f t="shared" si="89"/>
        <v>+832 78727***</v>
      </c>
      <c r="U1439" s="32" t="str">
        <f t="shared" ca="1" si="90"/>
        <v>bray***@jossmail.com</v>
      </c>
      <c r="V1439" s="32">
        <f t="shared" si="91"/>
        <v>21</v>
      </c>
      <c r="W1439" s="36">
        <f t="shared" si="92"/>
        <v>0.05</v>
      </c>
    </row>
    <row r="1440" spans="4:23" ht="27" customHeight="1" x14ac:dyDescent="0.25">
      <c r="D1440" s="14" t="s">
        <v>5347</v>
      </c>
      <c r="E1440" s="14" t="s">
        <v>5348</v>
      </c>
      <c r="F1440" s="84" t="s">
        <v>587</v>
      </c>
      <c r="G1440" s="15" t="s">
        <v>27</v>
      </c>
      <c r="H1440" s="16" t="s">
        <v>5349</v>
      </c>
      <c r="I1440" s="17"/>
      <c r="J1440" s="17"/>
      <c r="K1440" s="17"/>
      <c r="L1440" s="17"/>
      <c r="N1440" s="31">
        <v>1438</v>
      </c>
      <c r="O1440" s="32" t="s">
        <v>5350</v>
      </c>
      <c r="P1440" s="33" t="s">
        <v>57</v>
      </c>
      <c r="Q1440" s="32" t="s">
        <v>40</v>
      </c>
      <c r="R1440" s="69">
        <v>44274.427175925928</v>
      </c>
      <c r="S1440" s="71">
        <v>44354</v>
      </c>
      <c r="T1440" s="32" t="str">
        <f t="shared" si="89"/>
        <v>+083285348***</v>
      </c>
      <c r="U1440" s="32" t="str">
        <f t="shared" ca="1" si="90"/>
        <v>skyl***@yuhuumail.com</v>
      </c>
      <c r="V1440" s="32">
        <f t="shared" si="91"/>
        <v>21</v>
      </c>
      <c r="W1440" s="36">
        <f t="shared" si="92"/>
        <v>0.05</v>
      </c>
    </row>
    <row r="1441" spans="4:23" ht="27" customHeight="1" x14ac:dyDescent="0.25">
      <c r="D1441" s="14" t="s">
        <v>5351</v>
      </c>
      <c r="E1441" s="14" t="s">
        <v>5352</v>
      </c>
      <c r="F1441" s="84" t="s">
        <v>764</v>
      </c>
      <c r="G1441" s="15" t="s">
        <v>27</v>
      </c>
      <c r="H1441" s="16" t="s">
        <v>5353</v>
      </c>
      <c r="I1441" s="17"/>
      <c r="J1441" s="17"/>
      <c r="K1441" s="17"/>
      <c r="L1441" s="17"/>
      <c r="N1441" s="31">
        <v>1439</v>
      </c>
      <c r="O1441" s="32" t="s">
        <v>1350</v>
      </c>
      <c r="P1441" s="33" t="s">
        <v>31</v>
      </c>
      <c r="Q1441" s="32" t="s">
        <v>32</v>
      </c>
      <c r="R1441" s="69">
        <v>42421.157395833332</v>
      </c>
      <c r="S1441" s="71">
        <v>44352</v>
      </c>
      <c r="T1441" s="32" t="str">
        <f t="shared" si="89"/>
        <v>+0842-70924***</v>
      </c>
      <c r="U1441" s="32" t="str">
        <f t="shared" ca="1" si="90"/>
        <v>timo***@jossmail.com</v>
      </c>
      <c r="V1441" s="32">
        <f t="shared" si="91"/>
        <v>16</v>
      </c>
      <c r="W1441" s="36">
        <f t="shared" si="92"/>
        <v>2.5000000000000001E-2</v>
      </c>
    </row>
    <row r="1442" spans="4:23" ht="27" customHeight="1" x14ac:dyDescent="0.25">
      <c r="D1442" s="14" t="s">
        <v>5354</v>
      </c>
      <c r="E1442" s="14" t="s">
        <v>2985</v>
      </c>
      <c r="F1442" s="84" t="s">
        <v>92</v>
      </c>
      <c r="G1442" s="15" t="s">
        <v>27</v>
      </c>
      <c r="H1442" s="16" t="s">
        <v>5355</v>
      </c>
      <c r="I1442" s="17"/>
      <c r="J1442" s="17"/>
      <c r="K1442" s="17"/>
      <c r="L1442" s="17"/>
      <c r="N1442" s="31">
        <v>1440</v>
      </c>
      <c r="O1442" s="32" t="s">
        <v>2372</v>
      </c>
      <c r="P1442" s="33" t="s">
        <v>57</v>
      </c>
      <c r="Q1442" s="32" t="s">
        <v>40</v>
      </c>
      <c r="R1442" s="69">
        <v>44274.436689814815</v>
      </c>
      <c r="S1442" s="71">
        <v>44362</v>
      </c>
      <c r="T1442" s="32" t="str">
        <f t="shared" si="89"/>
        <v>+82221750***</v>
      </c>
      <c r="U1442" s="32" t="str">
        <f t="shared" ca="1" si="90"/>
        <v>teag***@yuhuumail.com</v>
      </c>
      <c r="V1442" s="32">
        <f t="shared" si="91"/>
        <v>21</v>
      </c>
      <c r="W1442" s="36">
        <f t="shared" si="92"/>
        <v>0.05</v>
      </c>
    </row>
    <row r="1443" spans="4:23" ht="27" customHeight="1" x14ac:dyDescent="0.25">
      <c r="D1443" s="14" t="s">
        <v>5356</v>
      </c>
      <c r="E1443" s="14" t="s">
        <v>1694</v>
      </c>
      <c r="F1443" s="84" t="s">
        <v>781</v>
      </c>
      <c r="G1443" s="15" t="s">
        <v>27</v>
      </c>
      <c r="H1443" s="16" t="s">
        <v>5357</v>
      </c>
      <c r="I1443" s="17"/>
      <c r="J1443" s="17"/>
      <c r="K1443" s="17"/>
      <c r="L1443" s="17"/>
      <c r="N1443" s="31">
        <v>1441</v>
      </c>
      <c r="O1443" s="32" t="s">
        <v>5358</v>
      </c>
      <c r="P1443" s="33" t="s">
        <v>31</v>
      </c>
      <c r="Q1443" s="32" t="s">
        <v>32</v>
      </c>
      <c r="R1443" s="69">
        <v>44274.456643518519</v>
      </c>
      <c r="S1443" s="35">
        <v>44322</v>
      </c>
      <c r="T1443" s="32" t="str">
        <f t="shared" si="89"/>
        <v>+84267477***</v>
      </c>
      <c r="U1443" s="32" t="str">
        <f t="shared" ca="1" si="90"/>
        <v>chan***@jossmail.com</v>
      </c>
      <c r="V1443" s="32">
        <f t="shared" si="91"/>
        <v>21</v>
      </c>
      <c r="W1443" s="36">
        <f t="shared" si="92"/>
        <v>0.05</v>
      </c>
    </row>
    <row r="1444" spans="4:23" ht="27" customHeight="1" x14ac:dyDescent="0.25">
      <c r="D1444" s="14" t="s">
        <v>5359</v>
      </c>
      <c r="E1444" s="14" t="s">
        <v>5360</v>
      </c>
      <c r="F1444" s="84" t="s">
        <v>266</v>
      </c>
      <c r="G1444" s="15" t="s">
        <v>27</v>
      </c>
      <c r="H1444" s="16" t="s">
        <v>5361</v>
      </c>
      <c r="I1444" s="17"/>
      <c r="J1444" s="17"/>
      <c r="K1444" s="17"/>
      <c r="L1444" s="17"/>
      <c r="N1444" s="31">
        <v>1442</v>
      </c>
      <c r="O1444" s="32" t="s">
        <v>5362</v>
      </c>
      <c r="P1444" s="33" t="s">
        <v>42</v>
      </c>
      <c r="Q1444" s="32" t="s">
        <v>40</v>
      </c>
      <c r="R1444" s="69">
        <v>44274.466539351852</v>
      </c>
      <c r="S1444" s="35">
        <v>44362</v>
      </c>
      <c r="T1444" s="32" t="str">
        <f t="shared" si="89"/>
        <v>+081284826***</v>
      </c>
      <c r="U1444" s="32" t="str">
        <f t="shared" ca="1" si="90"/>
        <v>haid***@jossmail.com</v>
      </c>
      <c r="V1444" s="32">
        <f t="shared" si="91"/>
        <v>21</v>
      </c>
      <c r="W1444" s="36">
        <f t="shared" si="92"/>
        <v>0.05</v>
      </c>
    </row>
    <row r="1445" spans="4:23" ht="27" customHeight="1" x14ac:dyDescent="0.25">
      <c r="D1445" s="14" t="s">
        <v>5363</v>
      </c>
      <c r="E1445" s="14" t="s">
        <v>3676</v>
      </c>
      <c r="F1445" s="84" t="s">
        <v>1201</v>
      </c>
      <c r="G1445" s="15" t="s">
        <v>27</v>
      </c>
      <c r="H1445" s="16" t="s">
        <v>5364</v>
      </c>
      <c r="I1445" s="17"/>
      <c r="J1445" s="17"/>
      <c r="K1445" s="17"/>
      <c r="L1445" s="17"/>
      <c r="N1445" s="31">
        <v>1443</v>
      </c>
      <c r="O1445" s="32" t="s">
        <v>406</v>
      </c>
      <c r="P1445" s="33" t="s">
        <v>31</v>
      </c>
      <c r="Q1445" s="32" t="s">
        <v>32</v>
      </c>
      <c r="R1445" s="69">
        <v>44274.477523148147</v>
      </c>
      <c r="S1445" s="35">
        <v>44318</v>
      </c>
      <c r="T1445" s="32" t="str">
        <f t="shared" si="89"/>
        <v>+0842-87299***</v>
      </c>
      <c r="U1445" s="32" t="str">
        <f t="shared" ca="1" si="90"/>
        <v>rory***@yuhuumail.com</v>
      </c>
      <c r="V1445" s="32">
        <f t="shared" si="91"/>
        <v>21</v>
      </c>
      <c r="W1445" s="36">
        <f t="shared" si="92"/>
        <v>0.05</v>
      </c>
    </row>
    <row r="1446" spans="4:23" ht="27" customHeight="1" x14ac:dyDescent="0.25">
      <c r="D1446" s="14" t="s">
        <v>5365</v>
      </c>
      <c r="E1446" s="14" t="s">
        <v>5366</v>
      </c>
      <c r="F1446" s="84" t="s">
        <v>614</v>
      </c>
      <c r="G1446" s="15" t="s">
        <v>68</v>
      </c>
      <c r="H1446" s="16" t="s">
        <v>5367</v>
      </c>
      <c r="I1446" s="17"/>
      <c r="J1446" s="17"/>
      <c r="K1446" s="17"/>
      <c r="L1446" s="17"/>
      <c r="N1446" s="31">
        <v>1444</v>
      </c>
      <c r="O1446" s="32" t="s">
        <v>5368</v>
      </c>
      <c r="P1446" s="33" t="s">
        <v>31</v>
      </c>
      <c r="Q1446" s="32" t="s">
        <v>40</v>
      </c>
      <c r="R1446" s="69">
        <v>44274.490590277775</v>
      </c>
      <c r="S1446" s="35">
        <v>44318</v>
      </c>
      <c r="T1446" s="32" t="str">
        <f t="shared" si="89"/>
        <v>+083233939***</v>
      </c>
      <c r="U1446" s="32" t="str">
        <f t="shared" ca="1" si="90"/>
        <v>lill***@yuhuumail.com</v>
      </c>
      <c r="V1446" s="32">
        <f t="shared" si="91"/>
        <v>21</v>
      </c>
      <c r="W1446" s="36">
        <f t="shared" si="92"/>
        <v>0.05</v>
      </c>
    </row>
    <row r="1447" spans="4:23" ht="27" customHeight="1" x14ac:dyDescent="0.25">
      <c r="D1447" s="14" t="s">
        <v>5369</v>
      </c>
      <c r="E1447" s="14" t="s">
        <v>5370</v>
      </c>
      <c r="F1447" s="84" t="s">
        <v>129</v>
      </c>
      <c r="G1447" s="15" t="s">
        <v>68</v>
      </c>
      <c r="H1447" s="16" t="s">
        <v>5371</v>
      </c>
      <c r="I1447" s="17"/>
      <c r="J1447" s="17"/>
      <c r="K1447" s="17"/>
      <c r="L1447" s="17"/>
      <c r="N1447" s="31">
        <v>1445</v>
      </c>
      <c r="O1447" s="32" t="s">
        <v>5372</v>
      </c>
      <c r="P1447" s="33" t="s">
        <v>31</v>
      </c>
      <c r="Q1447" s="32" t="s">
        <v>32</v>
      </c>
      <c r="R1447" s="69">
        <v>44274.488819444443</v>
      </c>
      <c r="S1447" s="35">
        <v>44356</v>
      </c>
      <c r="T1447" s="32" t="str">
        <f t="shared" si="89"/>
        <v>+84237946***</v>
      </c>
      <c r="U1447" s="32" t="str">
        <f t="shared" ca="1" si="90"/>
        <v>russ***@yuhuumail.com</v>
      </c>
      <c r="V1447" s="32">
        <f t="shared" si="91"/>
        <v>21</v>
      </c>
      <c r="W1447" s="36">
        <f t="shared" si="92"/>
        <v>0.05</v>
      </c>
    </row>
    <row r="1448" spans="4:23" ht="27" customHeight="1" x14ac:dyDescent="0.25">
      <c r="D1448" s="14" t="s">
        <v>5373</v>
      </c>
      <c r="E1448" s="14" t="s">
        <v>5071</v>
      </c>
      <c r="F1448" s="84" t="s">
        <v>206</v>
      </c>
      <c r="G1448" s="15" t="s">
        <v>27</v>
      </c>
      <c r="H1448" s="16" t="s">
        <v>5374</v>
      </c>
      <c r="I1448" s="17"/>
      <c r="J1448" s="17"/>
      <c r="K1448" s="17"/>
      <c r="L1448" s="17"/>
      <c r="N1448" s="31">
        <v>1446</v>
      </c>
      <c r="O1448" s="32" t="s">
        <v>5195</v>
      </c>
      <c r="P1448" s="33" t="s">
        <v>31</v>
      </c>
      <c r="Q1448" s="32" t="s">
        <v>40</v>
      </c>
      <c r="R1448" s="69">
        <v>44274.524571759262</v>
      </c>
      <c r="S1448" s="35">
        <v>44358</v>
      </c>
      <c r="T1448" s="32" t="str">
        <f t="shared" si="89"/>
        <v>+0812-99873***</v>
      </c>
      <c r="U1448" s="32" t="str">
        <f t="shared" ca="1" si="90"/>
        <v>jayd***@jossmail.com</v>
      </c>
      <c r="V1448" s="32">
        <f t="shared" si="91"/>
        <v>21</v>
      </c>
      <c r="W1448" s="36">
        <f t="shared" si="92"/>
        <v>0.05</v>
      </c>
    </row>
    <row r="1449" spans="4:23" ht="27" customHeight="1" x14ac:dyDescent="0.25">
      <c r="D1449" s="14" t="s">
        <v>5375</v>
      </c>
      <c r="E1449" s="14" t="s">
        <v>2999</v>
      </c>
      <c r="F1449" s="84" t="s">
        <v>92</v>
      </c>
      <c r="G1449" s="15" t="s">
        <v>27</v>
      </c>
      <c r="H1449" s="16" t="s">
        <v>5376</v>
      </c>
      <c r="I1449" s="17"/>
      <c r="J1449" s="17"/>
      <c r="K1449" s="17"/>
      <c r="L1449" s="17"/>
      <c r="N1449" s="31">
        <v>1447</v>
      </c>
      <c r="O1449" s="32" t="s">
        <v>5377</v>
      </c>
      <c r="P1449" s="33" t="s">
        <v>31</v>
      </c>
      <c r="Q1449" s="32" t="s">
        <v>32</v>
      </c>
      <c r="R1449" s="69">
        <v>44274.518159722225</v>
      </c>
      <c r="S1449" s="35">
        <v>44355</v>
      </c>
      <c r="T1449" s="32" t="str">
        <f t="shared" si="89"/>
        <v>+6282226564***</v>
      </c>
      <c r="U1449" s="32" t="str">
        <f t="shared" ca="1" si="90"/>
        <v>gunn***@yuhuumail.com</v>
      </c>
      <c r="V1449" s="32">
        <f t="shared" si="91"/>
        <v>21</v>
      </c>
      <c r="W1449" s="36">
        <f t="shared" si="92"/>
        <v>0.05</v>
      </c>
    </row>
    <row r="1450" spans="4:23" ht="27" customHeight="1" x14ac:dyDescent="0.25">
      <c r="D1450" s="14" t="s">
        <v>5378</v>
      </c>
      <c r="E1450" s="14" t="s">
        <v>4195</v>
      </c>
      <c r="F1450" s="84" t="s">
        <v>348</v>
      </c>
      <c r="G1450" s="15" t="s">
        <v>27</v>
      </c>
      <c r="H1450" s="16" t="s">
        <v>5379</v>
      </c>
      <c r="I1450" s="17"/>
      <c r="J1450" s="17"/>
      <c r="K1450" s="17"/>
      <c r="L1450" s="17"/>
      <c r="N1450" s="31">
        <v>1448</v>
      </c>
      <c r="O1450" s="32" t="s">
        <v>825</v>
      </c>
      <c r="P1450" s="33" t="s">
        <v>57</v>
      </c>
      <c r="Q1450" s="32" t="s">
        <v>40</v>
      </c>
      <c r="R1450" s="69">
        <v>44274.531342592592</v>
      </c>
      <c r="S1450" s="35">
        <v>44318</v>
      </c>
      <c r="T1450" s="32" t="str">
        <f t="shared" si="89"/>
        <v>+82295367***</v>
      </c>
      <c r="U1450" s="32" t="str">
        <f t="shared" ca="1" si="90"/>
        <v>alic***@jossmail.com</v>
      </c>
      <c r="V1450" s="32">
        <f t="shared" si="91"/>
        <v>21</v>
      </c>
      <c r="W1450" s="36">
        <f t="shared" si="92"/>
        <v>0.05</v>
      </c>
    </row>
    <row r="1451" spans="4:23" ht="27" customHeight="1" x14ac:dyDescent="0.25">
      <c r="D1451" s="14" t="s">
        <v>5380</v>
      </c>
      <c r="E1451" s="14" t="s">
        <v>5381</v>
      </c>
      <c r="F1451" s="84" t="s">
        <v>627</v>
      </c>
      <c r="G1451" s="15" t="s">
        <v>68</v>
      </c>
      <c r="H1451" s="16" t="s">
        <v>5382</v>
      </c>
      <c r="I1451" s="17"/>
      <c r="J1451" s="17"/>
      <c r="K1451" s="17"/>
      <c r="L1451" s="17"/>
      <c r="N1451" s="31">
        <v>1449</v>
      </c>
      <c r="O1451" s="32" t="s">
        <v>2618</v>
      </c>
      <c r="P1451" s="33" t="s">
        <v>31</v>
      </c>
      <c r="Q1451" s="32" t="s">
        <v>32</v>
      </c>
      <c r="R1451" s="69">
        <v>44274.562152777777</v>
      </c>
      <c r="S1451" s="35">
        <v>44362</v>
      </c>
      <c r="T1451" s="32" t="str">
        <f t="shared" si="89"/>
        <v>+083276518***</v>
      </c>
      <c r="U1451" s="32" t="str">
        <f t="shared" ca="1" si="90"/>
        <v>nick***@yuhuumail.com</v>
      </c>
      <c r="V1451" s="32">
        <f t="shared" si="91"/>
        <v>21</v>
      </c>
      <c r="W1451" s="36">
        <f t="shared" si="92"/>
        <v>0.05</v>
      </c>
    </row>
    <row r="1452" spans="4:23" ht="27" customHeight="1" x14ac:dyDescent="0.25">
      <c r="D1452" s="14" t="s">
        <v>5383</v>
      </c>
      <c r="E1452" s="14" t="s">
        <v>5384</v>
      </c>
      <c r="F1452" s="84" t="s">
        <v>490</v>
      </c>
      <c r="G1452" s="15" t="s">
        <v>27</v>
      </c>
      <c r="H1452" s="16" t="s">
        <v>5385</v>
      </c>
      <c r="I1452" s="17"/>
      <c r="J1452" s="17"/>
      <c r="K1452" s="17"/>
      <c r="L1452" s="17"/>
      <c r="N1452" s="31">
        <v>1450</v>
      </c>
      <c r="O1452" s="32" t="s">
        <v>4037</v>
      </c>
      <c r="P1452" s="33" t="s">
        <v>31</v>
      </c>
      <c r="Q1452" s="32" t="s">
        <v>40</v>
      </c>
      <c r="R1452" s="69">
        <v>44274.553576388891</v>
      </c>
      <c r="S1452" s="35">
        <v>44354</v>
      </c>
      <c r="T1452" s="32" t="str">
        <f t="shared" si="89"/>
        <v>+6281221485***</v>
      </c>
      <c r="U1452" s="32" t="str">
        <f t="shared" ca="1" si="90"/>
        <v>arab***@yuhuumail.com</v>
      </c>
      <c r="V1452" s="32">
        <f t="shared" si="91"/>
        <v>21</v>
      </c>
      <c r="W1452" s="36">
        <f t="shared" si="92"/>
        <v>0.05</v>
      </c>
    </row>
    <row r="1453" spans="4:23" ht="27" customHeight="1" x14ac:dyDescent="0.25">
      <c r="D1453" s="14" t="s">
        <v>5386</v>
      </c>
      <c r="E1453" s="14" t="s">
        <v>5132</v>
      </c>
      <c r="F1453" s="84" t="s">
        <v>121</v>
      </c>
      <c r="G1453" s="15" t="s">
        <v>27</v>
      </c>
      <c r="H1453" s="16" t="s">
        <v>5387</v>
      </c>
      <c r="I1453" s="17"/>
      <c r="J1453" s="17"/>
      <c r="K1453" s="17"/>
      <c r="L1453" s="17"/>
      <c r="N1453" s="31">
        <v>1451</v>
      </c>
      <c r="O1453" s="32" t="s">
        <v>3729</v>
      </c>
      <c r="P1453" s="33" t="s">
        <v>42</v>
      </c>
      <c r="Q1453" s="32" t="s">
        <v>32</v>
      </c>
      <c r="R1453" s="69">
        <v>44274.591134259259</v>
      </c>
      <c r="S1453" s="35">
        <v>44318</v>
      </c>
      <c r="T1453" s="32" t="str">
        <f t="shared" si="89"/>
        <v>+0812 81926***</v>
      </c>
      <c r="U1453" s="32" t="str">
        <f t="shared" ca="1" si="90"/>
        <v>cait***@yuhuumail.com</v>
      </c>
      <c r="V1453" s="32">
        <f t="shared" si="91"/>
        <v>21</v>
      </c>
      <c r="W1453" s="36">
        <f t="shared" si="92"/>
        <v>0.05</v>
      </c>
    </row>
    <row r="1454" spans="4:23" ht="27" customHeight="1" x14ac:dyDescent="0.25">
      <c r="D1454" s="14" t="s">
        <v>5388</v>
      </c>
      <c r="E1454" s="14" t="s">
        <v>3759</v>
      </c>
      <c r="F1454" s="84" t="s">
        <v>471</v>
      </c>
      <c r="G1454" s="15" t="s">
        <v>68</v>
      </c>
      <c r="H1454" s="16" t="s">
        <v>5389</v>
      </c>
      <c r="I1454" s="17"/>
      <c r="J1454" s="17"/>
      <c r="K1454" s="17"/>
      <c r="L1454" s="17"/>
      <c r="N1454" s="31">
        <v>1452</v>
      </c>
      <c r="O1454" s="32" t="s">
        <v>2361</v>
      </c>
      <c r="P1454" s="33" t="s">
        <v>42</v>
      </c>
      <c r="Q1454" s="32" t="s">
        <v>40</v>
      </c>
      <c r="R1454" s="69">
        <v>43947.476041666669</v>
      </c>
      <c r="S1454" s="35">
        <v>44324</v>
      </c>
      <c r="T1454" s="32" t="str">
        <f t="shared" si="89"/>
        <v>+6285256166***</v>
      </c>
      <c r="U1454" s="32" t="str">
        <f t="shared" ca="1" si="90"/>
        <v>dako***@yuhuumail.com</v>
      </c>
      <c r="V1454" s="32">
        <f t="shared" si="91"/>
        <v>20</v>
      </c>
      <c r="W1454" s="36">
        <f t="shared" si="92"/>
        <v>6.5000000000000002E-2</v>
      </c>
    </row>
    <row r="1455" spans="4:23" ht="27" customHeight="1" x14ac:dyDescent="0.25">
      <c r="D1455" s="14" t="s">
        <v>5390</v>
      </c>
      <c r="E1455" s="14" t="s">
        <v>2678</v>
      </c>
      <c r="F1455" s="84" t="s">
        <v>183</v>
      </c>
      <c r="G1455" s="15" t="s">
        <v>27</v>
      </c>
      <c r="H1455" s="16" t="s">
        <v>5391</v>
      </c>
      <c r="I1455" s="17"/>
      <c r="J1455" s="17"/>
      <c r="K1455" s="17"/>
      <c r="L1455" s="17"/>
      <c r="N1455" s="31">
        <v>1453</v>
      </c>
      <c r="O1455" s="32" t="s">
        <v>5392</v>
      </c>
      <c r="P1455" s="33" t="s">
        <v>31</v>
      </c>
      <c r="Q1455" s="32" t="s">
        <v>32</v>
      </c>
      <c r="R1455" s="69">
        <v>44270.572418981479</v>
      </c>
      <c r="S1455" s="35">
        <v>44359</v>
      </c>
      <c r="T1455" s="32" t="str">
        <f t="shared" si="89"/>
        <v>+6285282181***</v>
      </c>
      <c r="U1455" s="32" t="str">
        <f t="shared" ca="1" si="90"/>
        <v>will***@yuhuumail.com</v>
      </c>
      <c r="V1455" s="32">
        <f t="shared" si="91"/>
        <v>21</v>
      </c>
      <c r="W1455" s="36">
        <f t="shared" si="92"/>
        <v>0.05</v>
      </c>
    </row>
    <row r="1456" spans="4:23" ht="27" customHeight="1" x14ac:dyDescent="0.25">
      <c r="D1456" s="14" t="s">
        <v>5393</v>
      </c>
      <c r="E1456" s="14" t="s">
        <v>3640</v>
      </c>
      <c r="F1456" s="84" t="s">
        <v>1201</v>
      </c>
      <c r="G1456" s="15" t="s">
        <v>27</v>
      </c>
      <c r="H1456" s="16" t="s">
        <v>5394</v>
      </c>
      <c r="I1456" s="17"/>
      <c r="J1456" s="17"/>
      <c r="K1456" s="17"/>
      <c r="L1456" s="17"/>
      <c r="N1456" s="31">
        <v>1454</v>
      </c>
      <c r="O1456" s="32" t="s">
        <v>5395</v>
      </c>
      <c r="P1456" s="33" t="s">
        <v>42</v>
      </c>
      <c r="Q1456" s="32" t="s">
        <v>40</v>
      </c>
      <c r="R1456" s="69">
        <v>43099.616388888891</v>
      </c>
      <c r="S1456" s="35">
        <v>44356</v>
      </c>
      <c r="T1456" s="32" t="str">
        <f t="shared" si="89"/>
        <v>+085287487***</v>
      </c>
      <c r="U1456" s="32" t="str">
        <f t="shared" ca="1" si="90"/>
        <v>peyt***@yuhuumail.com</v>
      </c>
      <c r="V1456" s="32">
        <f t="shared" si="91"/>
        <v>18</v>
      </c>
      <c r="W1456" s="36">
        <f t="shared" si="92"/>
        <v>2.5000000000000001E-2</v>
      </c>
    </row>
    <row r="1457" spans="4:23" ht="27" customHeight="1" x14ac:dyDescent="0.25">
      <c r="D1457" s="14" t="s">
        <v>5396</v>
      </c>
      <c r="E1457" s="14" t="s">
        <v>5397</v>
      </c>
      <c r="F1457" s="84" t="s">
        <v>670</v>
      </c>
      <c r="G1457" s="15" t="s">
        <v>27</v>
      </c>
      <c r="H1457" s="16" t="s">
        <v>5398</v>
      </c>
      <c r="I1457" s="17"/>
      <c r="J1457" s="17"/>
      <c r="K1457" s="17"/>
      <c r="L1457" s="17"/>
      <c r="N1457" s="31">
        <v>1455</v>
      </c>
      <c r="O1457" s="32" t="s">
        <v>4384</v>
      </c>
      <c r="P1457" s="33" t="s">
        <v>42</v>
      </c>
      <c r="Q1457" s="32" t="s">
        <v>32</v>
      </c>
      <c r="R1457" s="69">
        <v>44274.603425925925</v>
      </c>
      <c r="S1457" s="71">
        <v>44318</v>
      </c>
      <c r="T1457" s="32" t="str">
        <f t="shared" si="89"/>
        <v>+0822-46528***</v>
      </c>
      <c r="U1457" s="32" t="str">
        <f t="shared" ca="1" si="90"/>
        <v>daya***@jossmail.com</v>
      </c>
      <c r="V1457" s="32">
        <f t="shared" si="91"/>
        <v>21</v>
      </c>
      <c r="W1457" s="36">
        <f t="shared" si="92"/>
        <v>0.05</v>
      </c>
    </row>
    <row r="1458" spans="4:23" ht="27" customHeight="1" x14ac:dyDescent="0.25">
      <c r="D1458" s="14" t="s">
        <v>5399</v>
      </c>
      <c r="E1458" s="14" t="s">
        <v>874</v>
      </c>
      <c r="F1458" s="84" t="s">
        <v>719</v>
      </c>
      <c r="G1458" s="15" t="s">
        <v>27</v>
      </c>
      <c r="H1458" s="16" t="s">
        <v>5400</v>
      </c>
      <c r="I1458" s="17"/>
      <c r="J1458" s="17"/>
      <c r="K1458" s="17"/>
      <c r="L1458" s="17"/>
      <c r="N1458" s="31">
        <v>1456</v>
      </c>
      <c r="O1458" s="32" t="s">
        <v>5401</v>
      </c>
      <c r="P1458" s="33" t="s">
        <v>57</v>
      </c>
      <c r="Q1458" s="32" t="s">
        <v>40</v>
      </c>
      <c r="R1458" s="69">
        <v>44274.612824074073</v>
      </c>
      <c r="S1458" s="71">
        <v>44354</v>
      </c>
      <c r="T1458" s="32" t="str">
        <f t="shared" si="89"/>
        <v>+0842 12316***</v>
      </c>
      <c r="U1458" s="32" t="str">
        <f t="shared" ca="1" si="90"/>
        <v>coll***@yuhuumail.com</v>
      </c>
      <c r="V1458" s="32">
        <f t="shared" si="91"/>
        <v>21</v>
      </c>
      <c r="W1458" s="36">
        <f t="shared" si="92"/>
        <v>0.05</v>
      </c>
    </row>
    <row r="1459" spans="4:23" ht="27" customHeight="1" x14ac:dyDescent="0.25">
      <c r="D1459" s="14" t="s">
        <v>5402</v>
      </c>
      <c r="E1459" s="14" t="s">
        <v>2002</v>
      </c>
      <c r="F1459" s="84" t="s">
        <v>200</v>
      </c>
      <c r="G1459" s="15" t="s">
        <v>27</v>
      </c>
      <c r="H1459" s="16" t="s">
        <v>5403</v>
      </c>
      <c r="I1459" s="17"/>
      <c r="J1459" s="17"/>
      <c r="K1459" s="17"/>
      <c r="L1459" s="17"/>
      <c r="N1459" s="31">
        <v>1457</v>
      </c>
      <c r="O1459" s="32" t="s">
        <v>4359</v>
      </c>
      <c r="P1459" s="33" t="s">
        <v>31</v>
      </c>
      <c r="Q1459" s="32" t="s">
        <v>32</v>
      </c>
      <c r="R1459" s="69">
        <v>43018.621724537035</v>
      </c>
      <c r="S1459" s="71">
        <v>44322</v>
      </c>
      <c r="T1459" s="32" t="str">
        <f t="shared" si="89"/>
        <v>+6283251943***</v>
      </c>
      <c r="U1459" s="32" t="str">
        <f t="shared" ca="1" si="90"/>
        <v>elia***@jossmail.com</v>
      </c>
      <c r="V1459" s="32">
        <f t="shared" si="91"/>
        <v>18</v>
      </c>
      <c r="W1459" s="36">
        <f t="shared" si="92"/>
        <v>2.5000000000000001E-2</v>
      </c>
    </row>
    <row r="1460" spans="4:23" ht="27" customHeight="1" x14ac:dyDescent="0.25">
      <c r="D1460" s="14" t="s">
        <v>5404</v>
      </c>
      <c r="E1460" s="14" t="s">
        <v>4686</v>
      </c>
      <c r="F1460" s="84" t="s">
        <v>261</v>
      </c>
      <c r="G1460" s="15" t="s">
        <v>68</v>
      </c>
      <c r="H1460" s="16" t="s">
        <v>5405</v>
      </c>
      <c r="I1460" s="17"/>
      <c r="J1460" s="17"/>
      <c r="K1460" s="17"/>
      <c r="L1460" s="17"/>
      <c r="N1460" s="31">
        <v>1458</v>
      </c>
      <c r="O1460" s="32" t="s">
        <v>5406</v>
      </c>
      <c r="P1460" s="33" t="s">
        <v>31</v>
      </c>
      <c r="Q1460" s="32" t="s">
        <v>40</v>
      </c>
      <c r="R1460" s="69">
        <v>44274.615312499998</v>
      </c>
      <c r="S1460" s="71">
        <v>44362</v>
      </c>
      <c r="T1460" s="32" t="str">
        <f t="shared" si="89"/>
        <v>+6282221477***</v>
      </c>
      <c r="U1460" s="32" t="str">
        <f t="shared" ca="1" si="90"/>
        <v>dona***@yuhuumail.com</v>
      </c>
      <c r="V1460" s="32">
        <f t="shared" si="91"/>
        <v>21</v>
      </c>
      <c r="W1460" s="36">
        <f t="shared" si="92"/>
        <v>0.05</v>
      </c>
    </row>
    <row r="1461" spans="4:23" ht="27" customHeight="1" x14ac:dyDescent="0.25">
      <c r="D1461" s="14" t="s">
        <v>5407</v>
      </c>
      <c r="E1461" s="14" t="s">
        <v>5408</v>
      </c>
      <c r="F1461" s="84" t="s">
        <v>169</v>
      </c>
      <c r="G1461" s="15" t="s">
        <v>68</v>
      </c>
      <c r="H1461" s="16" t="s">
        <v>5409</v>
      </c>
      <c r="I1461" s="17"/>
      <c r="J1461" s="17"/>
      <c r="K1461" s="17"/>
      <c r="L1461" s="17"/>
      <c r="N1461" s="31">
        <v>1459</v>
      </c>
      <c r="O1461" s="32" t="s">
        <v>5410</v>
      </c>
      <c r="P1461" s="33" t="s">
        <v>31</v>
      </c>
      <c r="Q1461" s="32" t="s">
        <v>32</v>
      </c>
      <c r="R1461" s="69">
        <v>44274.628692129627</v>
      </c>
      <c r="S1461" s="71">
        <v>44362</v>
      </c>
      <c r="T1461" s="32" t="str">
        <f t="shared" si="89"/>
        <v>+0832 23279***</v>
      </c>
      <c r="U1461" s="32" t="str">
        <f t="shared" ca="1" si="90"/>
        <v>jade***@jossmail.com</v>
      </c>
      <c r="V1461" s="32">
        <f t="shared" si="91"/>
        <v>21</v>
      </c>
      <c r="W1461" s="36">
        <f t="shared" si="92"/>
        <v>0.05</v>
      </c>
    </row>
    <row r="1462" spans="4:23" ht="27" customHeight="1" x14ac:dyDescent="0.25">
      <c r="D1462" s="14" t="s">
        <v>5411</v>
      </c>
      <c r="E1462" s="14" t="s">
        <v>995</v>
      </c>
      <c r="F1462" s="84" t="s">
        <v>1169</v>
      </c>
      <c r="G1462" s="15" t="s">
        <v>27</v>
      </c>
      <c r="H1462" s="16" t="s">
        <v>5412</v>
      </c>
      <c r="I1462" s="17"/>
      <c r="J1462" s="17"/>
      <c r="K1462" s="17"/>
      <c r="L1462" s="17"/>
      <c r="N1462" s="31">
        <v>1460</v>
      </c>
      <c r="O1462" s="32" t="s">
        <v>2706</v>
      </c>
      <c r="P1462" s="33" t="s">
        <v>57</v>
      </c>
      <c r="Q1462" s="32" t="s">
        <v>40</v>
      </c>
      <c r="R1462" s="69">
        <v>44274.630127314813</v>
      </c>
      <c r="S1462" s="71">
        <v>44362</v>
      </c>
      <c r="T1462" s="32" t="str">
        <f t="shared" si="89"/>
        <v>+084221478***</v>
      </c>
      <c r="U1462" s="32" t="str">
        <f t="shared" ca="1" si="90"/>
        <v>jasm***@jossmail.com</v>
      </c>
      <c r="V1462" s="32">
        <f t="shared" si="91"/>
        <v>21</v>
      </c>
      <c r="W1462" s="36">
        <f t="shared" si="92"/>
        <v>0.05</v>
      </c>
    </row>
    <row r="1463" spans="4:23" ht="27" customHeight="1" x14ac:dyDescent="0.25">
      <c r="D1463" s="14" t="s">
        <v>5413</v>
      </c>
      <c r="E1463" s="14" t="s">
        <v>5265</v>
      </c>
      <c r="F1463" s="84" t="s">
        <v>407</v>
      </c>
      <c r="G1463" s="15" t="s">
        <v>68</v>
      </c>
      <c r="H1463" s="16" t="s">
        <v>5414</v>
      </c>
      <c r="I1463" s="17"/>
      <c r="J1463" s="17"/>
      <c r="K1463" s="17"/>
      <c r="L1463" s="17"/>
      <c r="N1463" s="31">
        <v>1461</v>
      </c>
      <c r="O1463" s="32" t="s">
        <v>5415</v>
      </c>
      <c r="P1463" s="33" t="s">
        <v>31</v>
      </c>
      <c r="Q1463" s="32" t="s">
        <v>32</v>
      </c>
      <c r="R1463" s="69">
        <v>44274.641030092593</v>
      </c>
      <c r="S1463" s="71">
        <v>44362</v>
      </c>
      <c r="T1463" s="32" t="str">
        <f t="shared" si="89"/>
        <v>+6282240523***</v>
      </c>
      <c r="U1463" s="32" t="str">
        <f t="shared" ca="1" si="90"/>
        <v>jazl***@yuhuumail.com</v>
      </c>
      <c r="V1463" s="32">
        <f t="shared" si="91"/>
        <v>21</v>
      </c>
      <c r="W1463" s="36">
        <f t="shared" si="92"/>
        <v>0.05</v>
      </c>
    </row>
    <row r="1464" spans="4:23" ht="27" customHeight="1" x14ac:dyDescent="0.25">
      <c r="D1464" s="14" t="s">
        <v>5416</v>
      </c>
      <c r="E1464" s="14" t="s">
        <v>5147</v>
      </c>
      <c r="F1464" s="84" t="s">
        <v>121</v>
      </c>
      <c r="G1464" s="15" t="s">
        <v>68</v>
      </c>
      <c r="H1464" s="16" t="s">
        <v>5417</v>
      </c>
      <c r="I1464" s="17"/>
      <c r="J1464" s="17"/>
      <c r="K1464" s="17"/>
      <c r="L1464" s="17"/>
      <c r="N1464" s="31">
        <v>1462</v>
      </c>
      <c r="O1464" s="32" t="s">
        <v>5418</v>
      </c>
      <c r="P1464" s="33" t="s">
        <v>57</v>
      </c>
      <c r="Q1464" s="32" t="s">
        <v>40</v>
      </c>
      <c r="R1464" s="69">
        <v>44274.637430555558</v>
      </c>
      <c r="S1464" s="71">
        <v>44352</v>
      </c>
      <c r="T1464" s="32" t="str">
        <f t="shared" si="89"/>
        <v>+0822 41052***</v>
      </c>
      <c r="U1464" s="32" t="str">
        <f t="shared" ca="1" si="90"/>
        <v>jaid***@yuhuumail.com</v>
      </c>
      <c r="V1464" s="32">
        <f t="shared" si="91"/>
        <v>20</v>
      </c>
      <c r="W1464" s="36">
        <f t="shared" si="92"/>
        <v>0.05</v>
      </c>
    </row>
    <row r="1465" spans="4:23" ht="27" customHeight="1" x14ac:dyDescent="0.25">
      <c r="D1465" s="14" t="s">
        <v>5419</v>
      </c>
      <c r="E1465" s="14" t="s">
        <v>5420</v>
      </c>
      <c r="F1465" s="84" t="s">
        <v>107</v>
      </c>
      <c r="G1465" s="15" t="s">
        <v>27</v>
      </c>
      <c r="H1465" s="16" t="s">
        <v>5421</v>
      </c>
      <c r="I1465" s="17"/>
      <c r="J1465" s="17"/>
      <c r="K1465" s="17"/>
      <c r="L1465" s="17"/>
      <c r="N1465" s="31">
        <v>1463</v>
      </c>
      <c r="O1465" s="32" t="s">
        <v>4108</v>
      </c>
      <c r="P1465" s="33" t="s">
        <v>42</v>
      </c>
      <c r="Q1465" s="32" t="s">
        <v>32</v>
      </c>
      <c r="R1465" s="69">
        <v>44272.768182870372</v>
      </c>
      <c r="S1465" s="71">
        <v>44320</v>
      </c>
      <c r="T1465" s="32" t="str">
        <f t="shared" si="89"/>
        <v>+6283227708***</v>
      </c>
      <c r="U1465" s="32" t="str">
        <f t="shared" ca="1" si="90"/>
        <v>joel***@jossmail.com</v>
      </c>
      <c r="V1465" s="32">
        <f t="shared" si="91"/>
        <v>20</v>
      </c>
      <c r="W1465" s="36">
        <f t="shared" si="92"/>
        <v>0.05</v>
      </c>
    </row>
    <row r="1466" spans="4:23" ht="27" customHeight="1" x14ac:dyDescent="0.25">
      <c r="D1466" s="14" t="s">
        <v>5422</v>
      </c>
      <c r="E1466" s="14" t="s">
        <v>3038</v>
      </c>
      <c r="F1466" s="84" t="s">
        <v>485</v>
      </c>
      <c r="G1466" s="15" t="s">
        <v>27</v>
      </c>
      <c r="H1466" s="16" t="s">
        <v>5423</v>
      </c>
      <c r="I1466" s="17"/>
      <c r="J1466" s="17"/>
      <c r="K1466" s="17"/>
      <c r="L1466" s="17"/>
      <c r="N1466" s="31">
        <v>1464</v>
      </c>
      <c r="O1466" s="32" t="s">
        <v>3584</v>
      </c>
      <c r="P1466" s="33" t="s">
        <v>42</v>
      </c>
      <c r="Q1466" s="32" t="s">
        <v>40</v>
      </c>
      <c r="R1466" s="69">
        <v>44274.52648148148</v>
      </c>
      <c r="S1466" s="71">
        <v>44362</v>
      </c>
      <c r="T1466" s="32" t="str">
        <f t="shared" si="89"/>
        <v>+84284498***</v>
      </c>
      <c r="U1466" s="32" t="str">
        <f t="shared" ca="1" si="90"/>
        <v>kamr***@jossmail.com</v>
      </c>
      <c r="V1466" s="32">
        <f t="shared" si="91"/>
        <v>20</v>
      </c>
      <c r="W1466" s="36">
        <f t="shared" si="92"/>
        <v>0.05</v>
      </c>
    </row>
    <row r="1467" spans="4:23" ht="27" customHeight="1" x14ac:dyDescent="0.25">
      <c r="D1467" s="14" t="s">
        <v>5424</v>
      </c>
      <c r="E1467" s="14" t="s">
        <v>2513</v>
      </c>
      <c r="F1467" s="84" t="s">
        <v>159</v>
      </c>
      <c r="G1467" s="15" t="s">
        <v>27</v>
      </c>
      <c r="H1467" s="16" t="s">
        <v>5425</v>
      </c>
      <c r="I1467" s="17"/>
      <c r="J1467" s="17"/>
      <c r="K1467" s="17"/>
      <c r="L1467" s="17"/>
      <c r="N1467" s="31">
        <v>1465</v>
      </c>
      <c r="O1467" s="32" t="s">
        <v>5426</v>
      </c>
      <c r="P1467" s="33" t="s">
        <v>31</v>
      </c>
      <c r="Q1467" s="32" t="s">
        <v>32</v>
      </c>
      <c r="R1467" s="69">
        <v>44274.671967592592</v>
      </c>
      <c r="S1467" s="71">
        <v>44359</v>
      </c>
      <c r="T1467" s="32" t="str">
        <f t="shared" si="89"/>
        <v>+82273880***</v>
      </c>
      <c r="U1467" s="32" t="str">
        <f t="shared" ca="1" si="90"/>
        <v>jazl***@yuhuumail.com</v>
      </c>
      <c r="V1467" s="32">
        <f t="shared" si="91"/>
        <v>20</v>
      </c>
      <c r="W1467" s="36">
        <f t="shared" si="92"/>
        <v>0.05</v>
      </c>
    </row>
    <row r="1468" spans="4:23" ht="27" customHeight="1" x14ac:dyDescent="0.25">
      <c r="D1468" s="14" t="s">
        <v>5427</v>
      </c>
      <c r="E1468" s="14" t="s">
        <v>5428</v>
      </c>
      <c r="F1468" s="84" t="s">
        <v>149</v>
      </c>
      <c r="G1468" s="15" t="s">
        <v>68</v>
      </c>
      <c r="H1468" s="16" t="s">
        <v>5429</v>
      </c>
      <c r="I1468" s="17"/>
      <c r="J1468" s="17"/>
      <c r="K1468" s="17"/>
      <c r="L1468" s="17"/>
      <c r="N1468" s="31">
        <v>1466</v>
      </c>
      <c r="O1468" s="32" t="s">
        <v>4041</v>
      </c>
      <c r="P1468" s="33" t="s">
        <v>57</v>
      </c>
      <c r="Q1468" s="32" t="s">
        <v>40</v>
      </c>
      <c r="R1468" s="69">
        <v>44270.836423611108</v>
      </c>
      <c r="S1468" s="71">
        <v>44320</v>
      </c>
      <c r="T1468" s="32" t="str">
        <f t="shared" si="89"/>
        <v>+6283282102***</v>
      </c>
      <c r="U1468" s="32" t="str">
        <f t="shared" ca="1" si="90"/>
        <v>sien***@yuhuumail.com</v>
      </c>
      <c r="V1468" s="32">
        <f t="shared" si="91"/>
        <v>20</v>
      </c>
      <c r="W1468" s="36">
        <f t="shared" si="92"/>
        <v>0.05</v>
      </c>
    </row>
    <row r="1469" spans="4:23" ht="27" customHeight="1" x14ac:dyDescent="0.25">
      <c r="D1469" s="14" t="s">
        <v>5430</v>
      </c>
      <c r="E1469" s="14" t="s">
        <v>2106</v>
      </c>
      <c r="F1469" s="84" t="s">
        <v>1572</v>
      </c>
      <c r="G1469" s="15" t="s">
        <v>27</v>
      </c>
      <c r="H1469" s="16" t="s">
        <v>5431</v>
      </c>
      <c r="I1469" s="17"/>
      <c r="J1469" s="17"/>
      <c r="K1469" s="17"/>
      <c r="L1469" s="17"/>
      <c r="N1469" s="31">
        <v>1467</v>
      </c>
      <c r="O1469" s="32" t="s">
        <v>1260</v>
      </c>
      <c r="P1469" s="33" t="s">
        <v>31</v>
      </c>
      <c r="Q1469" s="32" t="s">
        <v>32</v>
      </c>
      <c r="R1469" s="69">
        <v>44268.655902777777</v>
      </c>
      <c r="S1469" s="71">
        <v>44359</v>
      </c>
      <c r="T1469" s="32" t="str">
        <f t="shared" si="89"/>
        <v>+0852 22217***</v>
      </c>
      <c r="U1469" s="32" t="str">
        <f t="shared" ca="1" si="90"/>
        <v>roge***@yuhuumail.com</v>
      </c>
      <c r="V1469" s="32">
        <f t="shared" si="91"/>
        <v>20</v>
      </c>
      <c r="W1469" s="36">
        <f t="shared" si="92"/>
        <v>0.05</v>
      </c>
    </row>
    <row r="1470" spans="4:23" ht="27" customHeight="1" x14ac:dyDescent="0.25">
      <c r="D1470" s="14" t="s">
        <v>5432</v>
      </c>
      <c r="E1470" s="14" t="s">
        <v>5433</v>
      </c>
      <c r="F1470" s="84" t="s">
        <v>266</v>
      </c>
      <c r="G1470" s="15" t="s">
        <v>27</v>
      </c>
      <c r="H1470" s="16" t="s">
        <v>5434</v>
      </c>
      <c r="I1470" s="17"/>
      <c r="J1470" s="17"/>
      <c r="K1470" s="17"/>
      <c r="L1470" s="17"/>
      <c r="N1470" s="31">
        <v>1468</v>
      </c>
      <c r="O1470" s="32" t="s">
        <v>4917</v>
      </c>
      <c r="P1470" s="33" t="s">
        <v>42</v>
      </c>
      <c r="Q1470" s="32" t="s">
        <v>40</v>
      </c>
      <c r="R1470" s="69">
        <v>44274.682164351849</v>
      </c>
      <c r="S1470" s="71">
        <v>44354</v>
      </c>
      <c r="T1470" s="32" t="str">
        <f t="shared" si="89"/>
        <v>+85298142***</v>
      </c>
      <c r="U1470" s="32" t="str">
        <f t="shared" ca="1" si="90"/>
        <v>seth***@yuhuumail.com</v>
      </c>
      <c r="V1470" s="32">
        <f t="shared" si="91"/>
        <v>20</v>
      </c>
      <c r="W1470" s="36">
        <f t="shared" si="92"/>
        <v>0.05</v>
      </c>
    </row>
    <row r="1471" spans="4:23" ht="27" customHeight="1" x14ac:dyDescent="0.25">
      <c r="D1471" s="14" t="s">
        <v>5435</v>
      </c>
      <c r="E1471" s="14" t="s">
        <v>1074</v>
      </c>
      <c r="F1471" s="84" t="s">
        <v>764</v>
      </c>
      <c r="G1471" s="15" t="s">
        <v>27</v>
      </c>
      <c r="H1471" s="16" t="s">
        <v>5436</v>
      </c>
      <c r="I1471" s="17"/>
      <c r="J1471" s="17"/>
      <c r="K1471" s="17"/>
      <c r="L1471" s="17"/>
      <c r="N1471" s="31">
        <v>1469</v>
      </c>
      <c r="O1471" s="32" t="s">
        <v>5437</v>
      </c>
      <c r="P1471" s="33" t="s">
        <v>31</v>
      </c>
      <c r="Q1471" s="32" t="s">
        <v>32</v>
      </c>
      <c r="R1471" s="69">
        <v>44274.699108796296</v>
      </c>
      <c r="S1471" s="71">
        <v>44318</v>
      </c>
      <c r="T1471" s="32" t="str">
        <f t="shared" si="89"/>
        <v>+0842-97695***</v>
      </c>
      <c r="U1471" s="32" t="str">
        <f t="shared" ca="1" si="90"/>
        <v>maia***@yuhuumail.com</v>
      </c>
      <c r="V1471" s="32">
        <f t="shared" si="91"/>
        <v>20</v>
      </c>
      <c r="W1471" s="36">
        <f t="shared" si="92"/>
        <v>0.05</v>
      </c>
    </row>
    <row r="1472" spans="4:23" ht="27" customHeight="1" x14ac:dyDescent="0.25">
      <c r="D1472" s="14" t="s">
        <v>5438</v>
      </c>
      <c r="E1472" s="14" t="s">
        <v>3704</v>
      </c>
      <c r="F1472" s="84" t="s">
        <v>1201</v>
      </c>
      <c r="G1472" s="15" t="s">
        <v>27</v>
      </c>
      <c r="H1472" s="16" t="s">
        <v>5439</v>
      </c>
      <c r="I1472" s="17"/>
      <c r="J1472" s="17"/>
      <c r="K1472" s="17"/>
      <c r="L1472" s="17"/>
      <c r="N1472" s="31">
        <v>1470</v>
      </c>
      <c r="O1472" s="32" t="s">
        <v>4949</v>
      </c>
      <c r="P1472" s="33" t="s">
        <v>57</v>
      </c>
      <c r="Q1472" s="32" t="s">
        <v>40</v>
      </c>
      <c r="R1472" s="69">
        <v>44274.683807870373</v>
      </c>
      <c r="S1472" s="71">
        <v>44320</v>
      </c>
      <c r="T1472" s="32" t="str">
        <f t="shared" si="89"/>
        <v>+0812-38855***</v>
      </c>
      <c r="U1472" s="32" t="str">
        <f t="shared" ca="1" si="90"/>
        <v>prin***@yuhuumail.com</v>
      </c>
      <c r="V1472" s="32">
        <f t="shared" si="91"/>
        <v>20</v>
      </c>
      <c r="W1472" s="36">
        <f t="shared" si="92"/>
        <v>0.05</v>
      </c>
    </row>
    <row r="1473" spans="4:23" ht="27" customHeight="1" x14ac:dyDescent="0.25">
      <c r="D1473" s="14" t="s">
        <v>5440</v>
      </c>
      <c r="E1473" s="14" t="s">
        <v>5441</v>
      </c>
      <c r="F1473" s="84" t="s">
        <v>143</v>
      </c>
      <c r="G1473" s="15" t="s">
        <v>27</v>
      </c>
      <c r="H1473" s="16" t="s">
        <v>5442</v>
      </c>
      <c r="I1473" s="17"/>
      <c r="J1473" s="17"/>
      <c r="K1473" s="17"/>
      <c r="L1473" s="17"/>
      <c r="N1473" s="31">
        <v>1471</v>
      </c>
      <c r="O1473" s="32" t="s">
        <v>5170</v>
      </c>
      <c r="P1473" s="33" t="s">
        <v>57</v>
      </c>
      <c r="Q1473" s="32" t="s">
        <v>32</v>
      </c>
      <c r="R1473" s="69">
        <v>44274.67324074074</v>
      </c>
      <c r="S1473" s="71">
        <v>44354</v>
      </c>
      <c r="T1473" s="32" t="str">
        <f t="shared" si="89"/>
        <v>+6282283122***</v>
      </c>
      <c r="U1473" s="32" t="str">
        <f t="shared" ca="1" si="90"/>
        <v>dema***@yuhuumail.com</v>
      </c>
      <c r="V1473" s="32">
        <f t="shared" si="91"/>
        <v>20</v>
      </c>
      <c r="W1473" s="36">
        <f t="shared" si="92"/>
        <v>0.05</v>
      </c>
    </row>
    <row r="1474" spans="4:23" ht="27" customHeight="1" x14ac:dyDescent="0.25">
      <c r="D1474" s="14" t="s">
        <v>5443</v>
      </c>
      <c r="E1474" s="14" t="s">
        <v>2184</v>
      </c>
      <c r="F1474" s="84" t="s">
        <v>1886</v>
      </c>
      <c r="G1474" s="15" t="s">
        <v>27</v>
      </c>
      <c r="H1474" s="16" t="s">
        <v>5444</v>
      </c>
      <c r="I1474" s="17"/>
      <c r="J1474" s="17"/>
      <c r="K1474" s="17"/>
      <c r="L1474" s="17"/>
      <c r="N1474" s="31">
        <v>1472</v>
      </c>
      <c r="O1474" s="32" t="s">
        <v>1005</v>
      </c>
      <c r="P1474" s="33" t="s">
        <v>57</v>
      </c>
      <c r="Q1474" s="32" t="s">
        <v>40</v>
      </c>
      <c r="R1474" s="69">
        <v>44274.712916666664</v>
      </c>
      <c r="S1474" s="71">
        <v>44352</v>
      </c>
      <c r="T1474" s="32" t="str">
        <f t="shared" si="89"/>
        <v>+085232284***</v>
      </c>
      <c r="U1474" s="32" t="str">
        <f t="shared" ca="1" si="90"/>
        <v>urij***@yuhuumail.com</v>
      </c>
      <c r="V1474" s="32">
        <f t="shared" si="91"/>
        <v>20</v>
      </c>
      <c r="W1474" s="36">
        <f t="shared" si="92"/>
        <v>0.05</v>
      </c>
    </row>
    <row r="1475" spans="4:23" ht="27" customHeight="1" x14ac:dyDescent="0.25">
      <c r="D1475" s="14" t="s">
        <v>5445</v>
      </c>
      <c r="E1475" s="14" t="s">
        <v>608</v>
      </c>
      <c r="F1475" s="84" t="s">
        <v>107</v>
      </c>
      <c r="G1475" s="15" t="s">
        <v>27</v>
      </c>
      <c r="H1475" s="16" t="s">
        <v>5446</v>
      </c>
      <c r="I1475" s="17"/>
      <c r="J1475" s="17"/>
      <c r="K1475" s="17"/>
      <c r="L1475" s="17"/>
      <c r="N1475" s="31">
        <v>1473</v>
      </c>
      <c r="O1475" s="32" t="s">
        <v>5447</v>
      </c>
      <c r="P1475" s="33" t="s">
        <v>42</v>
      </c>
      <c r="Q1475" s="32" t="s">
        <v>32</v>
      </c>
      <c r="R1475" s="69">
        <v>44274.726099537038</v>
      </c>
      <c r="S1475" s="71">
        <v>44362</v>
      </c>
      <c r="T1475" s="32" t="str">
        <f t="shared" si="89"/>
        <v>+0852-94819***</v>
      </c>
      <c r="U1475" s="32" t="str">
        <f t="shared" ca="1" si="90"/>
        <v>alex***@yuhuumail.com</v>
      </c>
      <c r="V1475" s="32">
        <f t="shared" si="91"/>
        <v>20</v>
      </c>
      <c r="W1475" s="36">
        <f t="shared" si="92"/>
        <v>0.05</v>
      </c>
    </row>
    <row r="1476" spans="4:23" ht="27" customHeight="1" x14ac:dyDescent="0.25">
      <c r="D1476" s="14" t="s">
        <v>5448</v>
      </c>
      <c r="E1476" s="14" t="s">
        <v>4003</v>
      </c>
      <c r="F1476" s="84" t="s">
        <v>194</v>
      </c>
      <c r="G1476" s="15" t="s">
        <v>68</v>
      </c>
      <c r="H1476" s="16" t="s">
        <v>5449</v>
      </c>
      <c r="I1476" s="17"/>
      <c r="J1476" s="17"/>
      <c r="K1476" s="17"/>
      <c r="L1476" s="17"/>
      <c r="N1476" s="31">
        <v>1474</v>
      </c>
      <c r="O1476" s="32" t="s">
        <v>5206</v>
      </c>
      <c r="P1476" s="33" t="s">
        <v>31</v>
      </c>
      <c r="Q1476" s="32" t="s">
        <v>40</v>
      </c>
      <c r="R1476" s="69">
        <v>44274.725439814814</v>
      </c>
      <c r="S1476" s="71">
        <v>44354</v>
      </c>
      <c r="T1476" s="32" t="str">
        <f t="shared" si="89"/>
        <v>+0852 79344***</v>
      </c>
      <c r="U1476" s="32" t="str">
        <f t="shared" ca="1" si="90"/>
        <v>mari***@yuhuumail.com</v>
      </c>
      <c r="V1476" s="32">
        <f t="shared" si="91"/>
        <v>20</v>
      </c>
      <c r="W1476" s="36">
        <f t="shared" si="92"/>
        <v>0.05</v>
      </c>
    </row>
    <row r="1477" spans="4:23" ht="27" customHeight="1" x14ac:dyDescent="0.25">
      <c r="D1477" s="14" t="s">
        <v>5450</v>
      </c>
      <c r="E1477" s="14" t="s">
        <v>5451</v>
      </c>
      <c r="F1477" s="84" t="s">
        <v>129</v>
      </c>
      <c r="G1477" s="15" t="s">
        <v>27</v>
      </c>
      <c r="H1477" s="16" t="s">
        <v>5452</v>
      </c>
      <c r="I1477" s="17"/>
      <c r="J1477" s="17"/>
      <c r="K1477" s="17"/>
      <c r="L1477" s="17"/>
      <c r="N1477" s="31">
        <v>1475</v>
      </c>
      <c r="O1477" s="32" t="s">
        <v>917</v>
      </c>
      <c r="P1477" s="33" t="s">
        <v>31</v>
      </c>
      <c r="Q1477" s="32" t="s">
        <v>32</v>
      </c>
      <c r="R1477" s="69">
        <v>44274.734050925923</v>
      </c>
      <c r="S1477" s="35">
        <v>44318</v>
      </c>
      <c r="T1477" s="32" t="str">
        <f t="shared" ref="T1477:T1502" si="93">"+"&amp;_xlfn.XLOOKUP($O1477, $E$2:$E$3002, $H$2:$H$3002, "Not Found")</f>
        <v>+6283272781***</v>
      </c>
      <c r="U1477" s="32" t="str">
        <f t="shared" ref="U1477:U1502" ca="1" si="94" xml:space="preserve"> LOWER(LEFT(_xlfn.XLOOKUP($O1477, $E$2:$E$3002, $D$2:$D$3002), 4))
  &amp; "***@"
  &amp; IF(RAND()&gt;0.5, "jossmail.com", "yuhuumail.com")</f>
        <v>xiom***@jossmail.com</v>
      </c>
      <c r="V1477" s="32">
        <f t="shared" ref="V1477:V1502" si="95">DATEDIF(_xlfn.XLOOKUP($O1477, $E$2:$E$3002, $F$2:$F$3002), $R1477, "Y")</f>
        <v>20</v>
      </c>
      <c r="W1477" s="36">
        <f t="shared" ref="W1477:W1502" si="96">IF(DATEDIF($R1477, $S1477, "Y") &gt;= 3, 0.025,
   IF(DATEDIF($R1477, $S1477, "Y") &gt;= 1, 0.015, 0)) +
 IF($V1477 &gt;= 50, 0.04,
   IF($V1477 &gt;= 40, 0.03,
     IF($V1477 &gt;= 30, 0.02,
       IF($V1477 &gt;= 20, 0.05, 0))))</f>
        <v>0.05</v>
      </c>
    </row>
    <row r="1478" spans="4:23" ht="27" customHeight="1" x14ac:dyDescent="0.25">
      <c r="D1478" s="14" t="s">
        <v>5453</v>
      </c>
      <c r="E1478" s="14" t="s">
        <v>5454</v>
      </c>
      <c r="F1478" s="84" t="s">
        <v>887</v>
      </c>
      <c r="G1478" s="15" t="s">
        <v>27</v>
      </c>
      <c r="H1478" s="16" t="s">
        <v>5455</v>
      </c>
      <c r="I1478" s="17"/>
      <c r="J1478" s="17"/>
      <c r="K1478" s="17"/>
      <c r="L1478" s="17"/>
      <c r="N1478" s="31">
        <v>1476</v>
      </c>
      <c r="O1478" s="32" t="s">
        <v>4921</v>
      </c>
      <c r="P1478" s="33" t="s">
        <v>31</v>
      </c>
      <c r="Q1478" s="32" t="s">
        <v>40</v>
      </c>
      <c r="R1478" s="69">
        <v>44274.767523148148</v>
      </c>
      <c r="S1478" s="35">
        <v>44356</v>
      </c>
      <c r="T1478" s="32" t="str">
        <f t="shared" si="93"/>
        <v>+85218795***</v>
      </c>
      <c r="U1478" s="32" t="str">
        <f t="shared" ca="1" si="94"/>
        <v>shan***@jossmail.com</v>
      </c>
      <c r="V1478" s="32">
        <f t="shared" si="95"/>
        <v>20</v>
      </c>
      <c r="W1478" s="36">
        <f t="shared" si="96"/>
        <v>0.05</v>
      </c>
    </row>
    <row r="1479" spans="4:23" ht="27" customHeight="1" x14ac:dyDescent="0.25">
      <c r="D1479" s="14" t="s">
        <v>5456</v>
      </c>
      <c r="E1479" s="14" t="s">
        <v>2374</v>
      </c>
      <c r="F1479" s="84" t="s">
        <v>372</v>
      </c>
      <c r="G1479" s="15" t="s">
        <v>27</v>
      </c>
      <c r="H1479" s="16" t="s">
        <v>5457</v>
      </c>
      <c r="I1479" s="17"/>
      <c r="J1479" s="17"/>
      <c r="K1479" s="17"/>
      <c r="L1479" s="17"/>
      <c r="N1479" s="31">
        <v>1477</v>
      </c>
      <c r="O1479" s="32" t="s">
        <v>5458</v>
      </c>
      <c r="P1479" s="33" t="s">
        <v>42</v>
      </c>
      <c r="Q1479" s="32" t="s">
        <v>32</v>
      </c>
      <c r="R1479" s="69">
        <v>44274.773541666669</v>
      </c>
      <c r="S1479" s="35">
        <v>44352</v>
      </c>
      <c r="T1479" s="32" t="str">
        <f t="shared" si="93"/>
        <v>+0832-96525***</v>
      </c>
      <c r="U1479" s="32" t="str">
        <f t="shared" ca="1" si="94"/>
        <v>ashl***@jossmail.com</v>
      </c>
      <c r="V1479" s="32">
        <f t="shared" si="95"/>
        <v>20</v>
      </c>
      <c r="W1479" s="36">
        <f t="shared" si="96"/>
        <v>0.05</v>
      </c>
    </row>
    <row r="1480" spans="4:23" ht="27" customHeight="1" x14ac:dyDescent="0.25">
      <c r="D1480" s="14" t="s">
        <v>5459</v>
      </c>
      <c r="E1480" s="14" t="s">
        <v>5460</v>
      </c>
      <c r="F1480" s="84" t="s">
        <v>321</v>
      </c>
      <c r="G1480" s="15" t="s">
        <v>27</v>
      </c>
      <c r="H1480" s="16" t="s">
        <v>5461</v>
      </c>
      <c r="I1480" s="17"/>
      <c r="J1480" s="17"/>
      <c r="K1480" s="17"/>
      <c r="L1480" s="17"/>
      <c r="N1480" s="31">
        <v>1478</v>
      </c>
      <c r="O1480" s="32" t="s">
        <v>3634</v>
      </c>
      <c r="P1480" s="33" t="s">
        <v>5086</v>
      </c>
      <c r="Q1480" s="32" t="s">
        <v>40</v>
      </c>
      <c r="R1480" s="69">
        <v>44273.720833333333</v>
      </c>
      <c r="S1480" s="35">
        <v>44356</v>
      </c>
      <c r="T1480" s="32" t="str">
        <f t="shared" si="93"/>
        <v>+0832 59125***</v>
      </c>
      <c r="U1480" s="32" t="str">
        <f t="shared" ca="1" si="94"/>
        <v>jord***@jossmail.com</v>
      </c>
      <c r="V1480" s="32">
        <f t="shared" si="95"/>
        <v>20</v>
      </c>
      <c r="W1480" s="36">
        <f t="shared" si="96"/>
        <v>0.05</v>
      </c>
    </row>
    <row r="1481" spans="4:23" ht="27" customHeight="1" x14ac:dyDescent="0.25">
      <c r="D1481" s="14" t="s">
        <v>5462</v>
      </c>
      <c r="E1481" s="14" t="s">
        <v>5463</v>
      </c>
      <c r="F1481" s="84" t="s">
        <v>969</v>
      </c>
      <c r="G1481" s="15" t="s">
        <v>27</v>
      </c>
      <c r="H1481" s="16" t="s">
        <v>5464</v>
      </c>
      <c r="I1481" s="17"/>
      <c r="J1481" s="17"/>
      <c r="K1481" s="17"/>
      <c r="L1481" s="17"/>
      <c r="N1481" s="31">
        <v>1479</v>
      </c>
      <c r="O1481" s="32" t="s">
        <v>1559</v>
      </c>
      <c r="P1481" s="33" t="s">
        <v>5090</v>
      </c>
      <c r="Q1481" s="32" t="s">
        <v>32</v>
      </c>
      <c r="R1481" s="69">
        <v>44266.993784722225</v>
      </c>
      <c r="S1481" s="35">
        <v>44352</v>
      </c>
      <c r="T1481" s="32" t="str">
        <f t="shared" si="93"/>
        <v>+0842 91194***</v>
      </c>
      <c r="U1481" s="32" t="str">
        <f t="shared" ca="1" si="94"/>
        <v>kell***@jossmail.com</v>
      </c>
      <c r="V1481" s="32">
        <f t="shared" si="95"/>
        <v>20</v>
      </c>
      <c r="W1481" s="36">
        <f t="shared" si="96"/>
        <v>0.05</v>
      </c>
    </row>
    <row r="1482" spans="4:23" ht="27" customHeight="1" x14ac:dyDescent="0.25">
      <c r="D1482" s="14" t="s">
        <v>5465</v>
      </c>
      <c r="E1482" s="14" t="s">
        <v>1713</v>
      </c>
      <c r="F1482" s="84" t="s">
        <v>211</v>
      </c>
      <c r="G1482" s="15" t="s">
        <v>68</v>
      </c>
      <c r="H1482" s="16" t="s">
        <v>5466</v>
      </c>
      <c r="I1482" s="17"/>
      <c r="J1482" s="17"/>
      <c r="K1482" s="17"/>
      <c r="L1482" s="17"/>
      <c r="N1482" s="31">
        <v>1480</v>
      </c>
      <c r="O1482" s="32" t="s">
        <v>5467</v>
      </c>
      <c r="P1482" s="33" t="s">
        <v>5094</v>
      </c>
      <c r="Q1482" s="32" t="s">
        <v>40</v>
      </c>
      <c r="R1482" s="69">
        <v>44274.781342592592</v>
      </c>
      <c r="S1482" s="35">
        <v>44318</v>
      </c>
      <c r="T1482" s="32" t="str">
        <f t="shared" si="93"/>
        <v>+0832 59973***</v>
      </c>
      <c r="U1482" s="32" t="str">
        <f t="shared" ca="1" si="94"/>
        <v>loga***@yuhuumail.com</v>
      </c>
      <c r="V1482" s="32">
        <f t="shared" si="95"/>
        <v>20</v>
      </c>
      <c r="W1482" s="36">
        <f t="shared" si="96"/>
        <v>0.05</v>
      </c>
    </row>
    <row r="1483" spans="4:23" ht="27" customHeight="1" x14ac:dyDescent="0.25">
      <c r="D1483" s="14" t="s">
        <v>5468</v>
      </c>
      <c r="E1483" s="14" t="s">
        <v>5469</v>
      </c>
      <c r="F1483" s="84" t="s">
        <v>386</v>
      </c>
      <c r="G1483" s="15" t="s">
        <v>27</v>
      </c>
      <c r="H1483" s="16" t="s">
        <v>5470</v>
      </c>
      <c r="I1483" s="17"/>
      <c r="J1483" s="17"/>
      <c r="K1483" s="17"/>
      <c r="L1483" s="17"/>
      <c r="N1483" s="31">
        <v>1481</v>
      </c>
      <c r="O1483" s="32" t="s">
        <v>5471</v>
      </c>
      <c r="P1483" s="33" t="s">
        <v>31</v>
      </c>
      <c r="Q1483" s="32" t="s">
        <v>32</v>
      </c>
      <c r="R1483" s="69">
        <v>44274.782986111109</v>
      </c>
      <c r="S1483" s="35">
        <v>44352</v>
      </c>
      <c r="T1483" s="32" t="str">
        <f t="shared" si="93"/>
        <v>+084253445***</v>
      </c>
      <c r="U1483" s="32" t="str">
        <f t="shared" ca="1" si="94"/>
        <v>juli***@yuhuumail.com</v>
      </c>
      <c r="V1483" s="32">
        <f t="shared" si="95"/>
        <v>20</v>
      </c>
      <c r="W1483" s="36">
        <f t="shared" si="96"/>
        <v>0.05</v>
      </c>
    </row>
    <row r="1484" spans="4:23" ht="27" customHeight="1" x14ac:dyDescent="0.25">
      <c r="D1484" s="14" t="s">
        <v>5472</v>
      </c>
      <c r="E1484" s="14" t="s">
        <v>2474</v>
      </c>
      <c r="F1484" s="84" t="s">
        <v>114</v>
      </c>
      <c r="G1484" s="15" t="s">
        <v>27</v>
      </c>
      <c r="H1484" s="16" t="s">
        <v>5473</v>
      </c>
      <c r="I1484" s="17"/>
      <c r="J1484" s="17"/>
      <c r="K1484" s="17"/>
      <c r="L1484" s="17"/>
      <c r="N1484" s="31">
        <v>1482</v>
      </c>
      <c r="O1484" s="32" t="s">
        <v>3946</v>
      </c>
      <c r="P1484" s="33" t="s">
        <v>42</v>
      </c>
      <c r="Q1484" s="32" t="s">
        <v>40</v>
      </c>
      <c r="R1484" s="69">
        <v>44094.305659722224</v>
      </c>
      <c r="S1484" s="35">
        <v>44352</v>
      </c>
      <c r="T1484" s="32" t="str">
        <f t="shared" si="93"/>
        <v>+6281297753***</v>
      </c>
      <c r="U1484" s="32" t="str">
        <f t="shared" ca="1" si="94"/>
        <v>ethe***@jossmail.com</v>
      </c>
      <c r="V1484" s="32">
        <f t="shared" si="95"/>
        <v>19</v>
      </c>
      <c r="W1484" s="36">
        <f t="shared" si="96"/>
        <v>0</v>
      </c>
    </row>
    <row r="1485" spans="4:23" ht="27" customHeight="1" x14ac:dyDescent="0.25">
      <c r="D1485" s="14" t="s">
        <v>5474</v>
      </c>
      <c r="E1485" s="14" t="s">
        <v>655</v>
      </c>
      <c r="F1485" s="84" t="s">
        <v>1919</v>
      </c>
      <c r="G1485" s="15" t="s">
        <v>27</v>
      </c>
      <c r="H1485" s="16" t="s">
        <v>5475</v>
      </c>
      <c r="I1485" s="17"/>
      <c r="J1485" s="17"/>
      <c r="K1485" s="17"/>
      <c r="L1485" s="17"/>
      <c r="N1485" s="31">
        <v>1483</v>
      </c>
      <c r="O1485" s="32" t="s">
        <v>1138</v>
      </c>
      <c r="P1485" s="33" t="s">
        <v>31</v>
      </c>
      <c r="Q1485" s="32" t="s">
        <v>32</v>
      </c>
      <c r="R1485" s="69">
        <v>43527.598090277781</v>
      </c>
      <c r="S1485" s="35">
        <v>44361</v>
      </c>
      <c r="T1485" s="32" t="str">
        <f t="shared" si="93"/>
        <v>+81248425***</v>
      </c>
      <c r="U1485" s="32" t="str">
        <f t="shared" ca="1" si="94"/>
        <v>kara***@yuhuumail.com</v>
      </c>
      <c r="V1485" s="32">
        <f t="shared" si="95"/>
        <v>18</v>
      </c>
      <c r="W1485" s="36">
        <f t="shared" si="96"/>
        <v>1.4999999999999999E-2</v>
      </c>
    </row>
    <row r="1486" spans="4:23" ht="27" customHeight="1" x14ac:dyDescent="0.25">
      <c r="D1486" s="14" t="s">
        <v>5476</v>
      </c>
      <c r="E1486" s="14" t="s">
        <v>5477</v>
      </c>
      <c r="F1486" s="84" t="s">
        <v>302</v>
      </c>
      <c r="G1486" s="15" t="s">
        <v>68</v>
      </c>
      <c r="H1486" s="16" t="s">
        <v>5478</v>
      </c>
      <c r="I1486" s="17"/>
      <c r="J1486" s="17"/>
      <c r="K1486" s="17"/>
      <c r="L1486" s="17"/>
      <c r="N1486" s="31">
        <v>1484</v>
      </c>
      <c r="O1486" s="32" t="s">
        <v>4807</v>
      </c>
      <c r="P1486" s="33" t="s">
        <v>31</v>
      </c>
      <c r="Q1486" s="32" t="s">
        <v>40</v>
      </c>
      <c r="R1486" s="69">
        <v>44274.79010416667</v>
      </c>
      <c r="S1486" s="35">
        <v>44356</v>
      </c>
      <c r="T1486" s="32" t="str">
        <f t="shared" si="93"/>
        <v>+0842 79790***</v>
      </c>
      <c r="U1486" s="32" t="str">
        <f t="shared" ca="1" si="94"/>
        <v>heze***@jossmail.com</v>
      </c>
      <c r="V1486" s="32">
        <f t="shared" si="95"/>
        <v>20</v>
      </c>
      <c r="W1486" s="36">
        <f t="shared" si="96"/>
        <v>0.05</v>
      </c>
    </row>
    <row r="1487" spans="4:23" ht="27" customHeight="1" x14ac:dyDescent="0.25">
      <c r="D1487" s="14" t="s">
        <v>5479</v>
      </c>
      <c r="E1487" s="14" t="s">
        <v>5480</v>
      </c>
      <c r="F1487" s="84" t="s">
        <v>159</v>
      </c>
      <c r="G1487" s="15" t="s">
        <v>27</v>
      </c>
      <c r="H1487" s="16" t="s">
        <v>5481</v>
      </c>
      <c r="I1487" s="17"/>
      <c r="J1487" s="17"/>
      <c r="K1487" s="17"/>
      <c r="L1487" s="17"/>
      <c r="N1487" s="31">
        <v>1485</v>
      </c>
      <c r="O1487" s="32" t="s">
        <v>5482</v>
      </c>
      <c r="P1487" s="33" t="s">
        <v>31</v>
      </c>
      <c r="Q1487" s="32" t="s">
        <v>32</v>
      </c>
      <c r="R1487" s="69">
        <v>44274.803981481484</v>
      </c>
      <c r="S1487" s="35">
        <v>44351</v>
      </c>
      <c r="T1487" s="32" t="str">
        <f t="shared" si="93"/>
        <v>+83252179***</v>
      </c>
      <c r="U1487" s="32" t="str">
        <f t="shared" ca="1" si="94"/>
        <v>rona***@jossmail.com</v>
      </c>
      <c r="V1487" s="32">
        <f t="shared" si="95"/>
        <v>20</v>
      </c>
      <c r="W1487" s="36">
        <f t="shared" si="96"/>
        <v>0.05</v>
      </c>
    </row>
    <row r="1488" spans="4:23" ht="27" customHeight="1" x14ac:dyDescent="0.25">
      <c r="D1488" s="14" t="s">
        <v>5483</v>
      </c>
      <c r="E1488" s="14" t="s">
        <v>5484</v>
      </c>
      <c r="F1488" s="84" t="s">
        <v>556</v>
      </c>
      <c r="G1488" s="15" t="s">
        <v>27</v>
      </c>
      <c r="H1488" s="16" t="s">
        <v>5485</v>
      </c>
      <c r="I1488" s="17"/>
      <c r="J1488" s="17"/>
      <c r="K1488" s="17"/>
      <c r="L1488" s="17"/>
      <c r="N1488" s="31">
        <v>1486</v>
      </c>
      <c r="O1488" s="32" t="s">
        <v>5486</v>
      </c>
      <c r="P1488" s="33" t="s">
        <v>31</v>
      </c>
      <c r="Q1488" s="32" t="s">
        <v>40</v>
      </c>
      <c r="R1488" s="69">
        <v>44274.828993055555</v>
      </c>
      <c r="S1488" s="35">
        <v>44362</v>
      </c>
      <c r="T1488" s="32" t="str">
        <f t="shared" si="93"/>
        <v>+082266487***</v>
      </c>
      <c r="U1488" s="32" t="str">
        <f t="shared" ca="1" si="94"/>
        <v>kend***@yuhuumail.com</v>
      </c>
      <c r="V1488" s="32">
        <f t="shared" si="95"/>
        <v>20</v>
      </c>
      <c r="W1488" s="36">
        <f t="shared" si="96"/>
        <v>0.05</v>
      </c>
    </row>
    <row r="1489" spans="4:23" ht="27" customHeight="1" x14ac:dyDescent="0.25">
      <c r="D1489" s="14" t="s">
        <v>5487</v>
      </c>
      <c r="E1489" s="14" t="s">
        <v>5488</v>
      </c>
      <c r="F1489" s="84" t="s">
        <v>359</v>
      </c>
      <c r="G1489" s="15" t="s">
        <v>27</v>
      </c>
      <c r="H1489" s="16" t="s">
        <v>5489</v>
      </c>
      <c r="I1489" s="17"/>
      <c r="J1489" s="17"/>
      <c r="K1489" s="17"/>
      <c r="L1489" s="17"/>
      <c r="N1489" s="31">
        <v>1487</v>
      </c>
      <c r="O1489" s="32" t="s">
        <v>5490</v>
      </c>
      <c r="P1489" s="33" t="s">
        <v>42</v>
      </c>
      <c r="Q1489" s="32" t="s">
        <v>32</v>
      </c>
      <c r="R1489" s="69">
        <v>44274.848726851851</v>
      </c>
      <c r="S1489" s="35">
        <v>44352</v>
      </c>
      <c r="T1489" s="32" t="str">
        <f t="shared" si="93"/>
        <v>+0822-94737***</v>
      </c>
      <c r="U1489" s="32" t="str">
        <f t="shared" ca="1" si="94"/>
        <v>made***@jossmail.com</v>
      </c>
      <c r="V1489" s="32">
        <f t="shared" si="95"/>
        <v>20</v>
      </c>
      <c r="W1489" s="36">
        <f t="shared" si="96"/>
        <v>0.05</v>
      </c>
    </row>
    <row r="1490" spans="4:23" ht="27" customHeight="1" x14ac:dyDescent="0.25">
      <c r="D1490" s="14" t="s">
        <v>5491</v>
      </c>
      <c r="E1490" s="14" t="s">
        <v>5492</v>
      </c>
      <c r="F1490" s="84" t="s">
        <v>2773</v>
      </c>
      <c r="G1490" s="15" t="s">
        <v>27</v>
      </c>
      <c r="H1490" s="16" t="s">
        <v>5493</v>
      </c>
      <c r="I1490" s="17"/>
      <c r="J1490" s="17"/>
      <c r="K1490" s="17"/>
      <c r="L1490" s="17"/>
      <c r="N1490" s="31">
        <v>1488</v>
      </c>
      <c r="O1490" s="32" t="s">
        <v>2972</v>
      </c>
      <c r="P1490" s="33" t="s">
        <v>57</v>
      </c>
      <c r="Q1490" s="32" t="s">
        <v>40</v>
      </c>
      <c r="R1490" s="69">
        <v>44274.84175925926</v>
      </c>
      <c r="S1490" s="35">
        <v>44320</v>
      </c>
      <c r="T1490" s="32" t="str">
        <f t="shared" si="93"/>
        <v>+082253887***</v>
      </c>
      <c r="U1490" s="32" t="str">
        <f t="shared" ca="1" si="94"/>
        <v>tess***@jossmail.com</v>
      </c>
      <c r="V1490" s="32">
        <f t="shared" si="95"/>
        <v>20</v>
      </c>
      <c r="W1490" s="36">
        <f t="shared" si="96"/>
        <v>0.05</v>
      </c>
    </row>
    <row r="1491" spans="4:23" ht="27" customHeight="1" x14ac:dyDescent="0.25">
      <c r="D1491" s="14" t="s">
        <v>5494</v>
      </c>
      <c r="E1491" s="14" t="s">
        <v>5495</v>
      </c>
      <c r="F1491" s="84" t="s">
        <v>587</v>
      </c>
      <c r="G1491" s="15" t="s">
        <v>27</v>
      </c>
      <c r="H1491" s="16" t="s">
        <v>5496</v>
      </c>
      <c r="I1491" s="17"/>
      <c r="J1491" s="17"/>
      <c r="K1491" s="17"/>
      <c r="L1491" s="17"/>
      <c r="N1491" s="31">
        <v>1489</v>
      </c>
      <c r="O1491" s="32" t="s">
        <v>3432</v>
      </c>
      <c r="P1491" s="33" t="s">
        <v>57</v>
      </c>
      <c r="Q1491" s="32" t="s">
        <v>32</v>
      </c>
      <c r="R1491" s="69">
        <v>44274.889548611114</v>
      </c>
      <c r="S1491" s="71">
        <v>44354</v>
      </c>
      <c r="T1491" s="32" t="str">
        <f t="shared" si="93"/>
        <v>+81250304***</v>
      </c>
      <c r="U1491" s="32" t="str">
        <f t="shared" ca="1" si="94"/>
        <v>alan***@jossmail.com</v>
      </c>
      <c r="V1491" s="32">
        <f t="shared" si="95"/>
        <v>20</v>
      </c>
      <c r="W1491" s="36">
        <f t="shared" si="96"/>
        <v>0.05</v>
      </c>
    </row>
    <row r="1492" spans="4:23" ht="27" customHeight="1" x14ac:dyDescent="0.25">
      <c r="D1492" s="14" t="s">
        <v>5497</v>
      </c>
      <c r="E1492" s="14" t="s">
        <v>4549</v>
      </c>
      <c r="F1492" s="84" t="s">
        <v>1118</v>
      </c>
      <c r="G1492" s="15" t="s">
        <v>27</v>
      </c>
      <c r="H1492" s="16" t="s">
        <v>5498</v>
      </c>
      <c r="I1492" s="17"/>
      <c r="J1492" s="17"/>
      <c r="K1492" s="17"/>
      <c r="L1492" s="17"/>
      <c r="N1492" s="31">
        <v>1490</v>
      </c>
      <c r="O1492" s="32" t="s">
        <v>5499</v>
      </c>
      <c r="P1492" s="33" t="s">
        <v>31</v>
      </c>
      <c r="Q1492" s="32" t="s">
        <v>40</v>
      </c>
      <c r="R1492" s="69">
        <v>44274.889675925922</v>
      </c>
      <c r="S1492" s="71">
        <v>44356</v>
      </c>
      <c r="T1492" s="32" t="str">
        <f t="shared" si="93"/>
        <v>+82230948***</v>
      </c>
      <c r="U1492" s="32" t="str">
        <f t="shared" ca="1" si="94"/>
        <v>made***@jossmail.com</v>
      </c>
      <c r="V1492" s="32">
        <f t="shared" si="95"/>
        <v>20</v>
      </c>
      <c r="W1492" s="36">
        <f t="shared" si="96"/>
        <v>0.05</v>
      </c>
    </row>
    <row r="1493" spans="4:23" ht="27" customHeight="1" x14ac:dyDescent="0.25">
      <c r="D1493" s="14" t="s">
        <v>5500</v>
      </c>
      <c r="E1493" s="14" t="s">
        <v>1043</v>
      </c>
      <c r="F1493" s="84" t="s">
        <v>587</v>
      </c>
      <c r="G1493" s="15" t="s">
        <v>68</v>
      </c>
      <c r="H1493" s="16" t="s">
        <v>5501</v>
      </c>
      <c r="I1493" s="17"/>
      <c r="J1493" s="17"/>
      <c r="K1493" s="17"/>
      <c r="L1493" s="17"/>
      <c r="N1493" s="31">
        <v>1491</v>
      </c>
      <c r="O1493" s="32" t="s">
        <v>5138</v>
      </c>
      <c r="P1493" s="33" t="s">
        <v>31</v>
      </c>
      <c r="Q1493" s="32" t="s">
        <v>32</v>
      </c>
      <c r="R1493" s="69">
        <v>43708.477337962962</v>
      </c>
      <c r="S1493" s="71">
        <v>44359</v>
      </c>
      <c r="T1493" s="32" t="str">
        <f t="shared" si="93"/>
        <v>+0822-72242***</v>
      </c>
      <c r="U1493" s="32" t="str">
        <f t="shared" ca="1" si="94"/>
        <v>giov***@yuhuumail.com</v>
      </c>
      <c r="V1493" s="32">
        <f t="shared" si="95"/>
        <v>18</v>
      </c>
      <c r="W1493" s="36">
        <f t="shared" si="96"/>
        <v>1.4999999999999999E-2</v>
      </c>
    </row>
    <row r="1494" spans="4:23" ht="27" customHeight="1" x14ac:dyDescent="0.25">
      <c r="D1494" s="14" t="s">
        <v>5502</v>
      </c>
      <c r="E1494" s="14" t="s">
        <v>5503</v>
      </c>
      <c r="F1494" s="84" t="s">
        <v>280</v>
      </c>
      <c r="G1494" s="15" t="s">
        <v>27</v>
      </c>
      <c r="H1494" s="16" t="s">
        <v>5504</v>
      </c>
      <c r="I1494" s="17"/>
      <c r="J1494" s="17"/>
      <c r="K1494" s="17"/>
      <c r="L1494" s="17"/>
      <c r="N1494" s="31">
        <v>1492</v>
      </c>
      <c r="O1494" s="32" t="s">
        <v>2257</v>
      </c>
      <c r="P1494" s="33" t="s">
        <v>31</v>
      </c>
      <c r="Q1494" s="32" t="s">
        <v>40</v>
      </c>
      <c r="R1494" s="69">
        <v>44274.915868055556</v>
      </c>
      <c r="S1494" s="71">
        <v>44356</v>
      </c>
      <c r="T1494" s="32" t="str">
        <f t="shared" si="93"/>
        <v>+081214917***</v>
      </c>
      <c r="U1494" s="32" t="str">
        <f t="shared" ca="1" si="94"/>
        <v>giul***@yuhuumail.com</v>
      </c>
      <c r="V1494" s="32">
        <f t="shared" si="95"/>
        <v>20</v>
      </c>
      <c r="W1494" s="36">
        <f t="shared" si="96"/>
        <v>0.05</v>
      </c>
    </row>
    <row r="1495" spans="4:23" ht="27" customHeight="1" x14ac:dyDescent="0.25">
      <c r="D1495" s="14" t="s">
        <v>5505</v>
      </c>
      <c r="E1495" s="14" t="s">
        <v>4280</v>
      </c>
      <c r="F1495" s="84" t="s">
        <v>348</v>
      </c>
      <c r="G1495" s="15" t="s">
        <v>27</v>
      </c>
      <c r="H1495" s="16" t="s">
        <v>5506</v>
      </c>
      <c r="I1495" s="17"/>
      <c r="J1495" s="17"/>
      <c r="K1495" s="17"/>
      <c r="L1495" s="17"/>
      <c r="N1495" s="31">
        <v>1493</v>
      </c>
      <c r="O1495" s="32" t="s">
        <v>45</v>
      </c>
      <c r="P1495" s="33" t="s">
        <v>42</v>
      </c>
      <c r="Q1495" s="32" t="s">
        <v>32</v>
      </c>
      <c r="R1495" s="69">
        <v>44274.92046296296</v>
      </c>
      <c r="S1495" s="71">
        <v>44359</v>
      </c>
      <c r="T1495" s="32" t="str">
        <f t="shared" si="93"/>
        <v>+083256333***</v>
      </c>
      <c r="U1495" s="32" t="str">
        <f t="shared" ca="1" si="94"/>
        <v>alex***@yuhuumail.com</v>
      </c>
      <c r="V1495" s="32">
        <f t="shared" si="95"/>
        <v>20</v>
      </c>
      <c r="W1495" s="36">
        <f t="shared" si="96"/>
        <v>0.05</v>
      </c>
    </row>
    <row r="1496" spans="4:23" ht="27" customHeight="1" x14ac:dyDescent="0.25">
      <c r="D1496" s="14" t="s">
        <v>5507</v>
      </c>
      <c r="E1496" s="14" t="s">
        <v>2431</v>
      </c>
      <c r="F1496" s="84" t="s">
        <v>114</v>
      </c>
      <c r="G1496" s="15" t="s">
        <v>68</v>
      </c>
      <c r="H1496" s="16" t="s">
        <v>5508</v>
      </c>
      <c r="I1496" s="17"/>
      <c r="J1496" s="17"/>
      <c r="K1496" s="17"/>
      <c r="L1496" s="17"/>
      <c r="N1496" s="31">
        <v>1494</v>
      </c>
      <c r="O1496" s="32" t="s">
        <v>5509</v>
      </c>
      <c r="P1496" s="33" t="s">
        <v>42</v>
      </c>
      <c r="Q1496" s="32" t="s">
        <v>40</v>
      </c>
      <c r="R1496" s="69">
        <v>44274.936400462961</v>
      </c>
      <c r="S1496" s="71">
        <v>44352</v>
      </c>
      <c r="T1496" s="32" t="str">
        <f t="shared" si="93"/>
        <v>+082286885***</v>
      </c>
      <c r="U1496" s="32" t="str">
        <f t="shared" ca="1" si="94"/>
        <v>milo***@yuhuumail.com</v>
      </c>
      <c r="V1496" s="32">
        <f t="shared" si="95"/>
        <v>20</v>
      </c>
      <c r="W1496" s="36">
        <f t="shared" si="96"/>
        <v>0.05</v>
      </c>
    </row>
    <row r="1497" spans="4:23" ht="27" customHeight="1" x14ac:dyDescent="0.25">
      <c r="D1497" s="14" t="s">
        <v>5510</v>
      </c>
      <c r="E1497" s="14" t="s">
        <v>5511</v>
      </c>
      <c r="F1497" s="84" t="s">
        <v>51</v>
      </c>
      <c r="G1497" s="15" t="s">
        <v>68</v>
      </c>
      <c r="H1497" s="16" t="s">
        <v>5512</v>
      </c>
      <c r="I1497" s="17"/>
      <c r="J1497" s="17"/>
      <c r="K1497" s="17"/>
      <c r="L1497" s="17"/>
      <c r="N1497" s="31">
        <v>1495</v>
      </c>
      <c r="O1497" s="32" t="s">
        <v>2575</v>
      </c>
      <c r="P1497" s="33" t="s">
        <v>31</v>
      </c>
      <c r="Q1497" s="32" t="s">
        <v>32</v>
      </c>
      <c r="R1497" s="69">
        <v>44274.957499999997</v>
      </c>
      <c r="S1497" s="71">
        <v>44359</v>
      </c>
      <c r="T1497" s="32" t="str">
        <f t="shared" si="93"/>
        <v>+0822-58984***</v>
      </c>
      <c r="U1497" s="32" t="str">
        <f t="shared" ca="1" si="94"/>
        <v>geor***@yuhuumail.com</v>
      </c>
      <c r="V1497" s="32">
        <f t="shared" si="95"/>
        <v>20</v>
      </c>
      <c r="W1497" s="36">
        <f t="shared" si="96"/>
        <v>0.05</v>
      </c>
    </row>
    <row r="1498" spans="4:23" ht="27" customHeight="1" x14ac:dyDescent="0.25">
      <c r="D1498" s="14" t="s">
        <v>5513</v>
      </c>
      <c r="E1498" s="14" t="s">
        <v>3320</v>
      </c>
      <c r="F1498" s="84" t="s">
        <v>538</v>
      </c>
      <c r="G1498" s="15" t="s">
        <v>27</v>
      </c>
      <c r="H1498" s="16" t="s">
        <v>5514</v>
      </c>
      <c r="I1498" s="17"/>
      <c r="J1498" s="17"/>
      <c r="K1498" s="17"/>
      <c r="L1498" s="17"/>
      <c r="N1498" s="31">
        <v>1496</v>
      </c>
      <c r="O1498" s="32" t="s">
        <v>2759</v>
      </c>
      <c r="P1498" s="33" t="s">
        <v>31</v>
      </c>
      <c r="Q1498" s="32" t="s">
        <v>40</v>
      </c>
      <c r="R1498" s="69">
        <v>44274.972638888888</v>
      </c>
      <c r="S1498" s="71">
        <v>44318</v>
      </c>
      <c r="T1498" s="32" t="str">
        <f t="shared" si="93"/>
        <v>+0852-90642***</v>
      </c>
      <c r="U1498" s="32" t="str">
        <f t="shared" ca="1" si="94"/>
        <v>aeda***@yuhuumail.com</v>
      </c>
      <c r="V1498" s="32">
        <f t="shared" si="95"/>
        <v>20</v>
      </c>
      <c r="W1498" s="36">
        <f t="shared" si="96"/>
        <v>0.05</v>
      </c>
    </row>
    <row r="1499" spans="4:23" ht="27" customHeight="1" x14ac:dyDescent="0.25">
      <c r="D1499" s="14" t="s">
        <v>5515</v>
      </c>
      <c r="E1499" s="14" t="s">
        <v>4227</v>
      </c>
      <c r="F1499" s="84" t="s">
        <v>348</v>
      </c>
      <c r="G1499" s="15" t="s">
        <v>27</v>
      </c>
      <c r="H1499" s="16" t="s">
        <v>5516</v>
      </c>
      <c r="I1499" s="17"/>
      <c r="J1499" s="17"/>
      <c r="K1499" s="17"/>
      <c r="L1499" s="17"/>
      <c r="N1499" s="31">
        <v>1497</v>
      </c>
      <c r="O1499" s="32" t="s">
        <v>5517</v>
      </c>
      <c r="P1499" s="33" t="s">
        <v>31</v>
      </c>
      <c r="Q1499" s="32" t="s">
        <v>32</v>
      </c>
      <c r="R1499" s="69">
        <v>44274.974004629628</v>
      </c>
      <c r="S1499" s="71">
        <v>44359</v>
      </c>
      <c r="T1499" s="32" t="str">
        <f t="shared" si="93"/>
        <v>+0822-51189***</v>
      </c>
      <c r="U1499" s="32" t="str">
        <f t="shared" ca="1" si="94"/>
        <v>gian***@yuhuumail.com</v>
      </c>
      <c r="V1499" s="32">
        <f t="shared" si="95"/>
        <v>20</v>
      </c>
      <c r="W1499" s="36">
        <f t="shared" si="96"/>
        <v>0.05</v>
      </c>
    </row>
    <row r="1500" spans="4:23" ht="27" customHeight="1" x14ac:dyDescent="0.25">
      <c r="D1500" s="14" t="s">
        <v>5518</v>
      </c>
      <c r="E1500" s="14" t="s">
        <v>4649</v>
      </c>
      <c r="F1500" s="84" t="s">
        <v>261</v>
      </c>
      <c r="G1500" s="15" t="s">
        <v>27</v>
      </c>
      <c r="H1500" s="16" t="s">
        <v>5519</v>
      </c>
      <c r="I1500" s="17"/>
      <c r="J1500" s="17"/>
      <c r="K1500" s="17"/>
      <c r="L1500" s="17"/>
      <c r="N1500" s="31">
        <v>1498</v>
      </c>
      <c r="O1500" s="32" t="s">
        <v>5520</v>
      </c>
      <c r="P1500" s="33" t="s">
        <v>5086</v>
      </c>
      <c r="Q1500" s="32" t="s">
        <v>40</v>
      </c>
      <c r="R1500" s="69">
        <v>44274.997824074075</v>
      </c>
      <c r="S1500" s="71">
        <v>44356</v>
      </c>
      <c r="T1500" s="32" t="str">
        <f t="shared" si="93"/>
        <v>+83220742***</v>
      </c>
      <c r="U1500" s="32" t="str">
        <f t="shared" ca="1" si="94"/>
        <v>karm***@yuhuumail.com</v>
      </c>
      <c r="V1500" s="32">
        <f t="shared" si="95"/>
        <v>20</v>
      </c>
      <c r="W1500" s="36">
        <f t="shared" si="96"/>
        <v>0.05</v>
      </c>
    </row>
    <row r="1501" spans="4:23" ht="27" customHeight="1" x14ac:dyDescent="0.25">
      <c r="D1501" s="14" t="s">
        <v>5521</v>
      </c>
      <c r="E1501" s="14" t="s">
        <v>5522</v>
      </c>
      <c r="F1501" s="84" t="s">
        <v>524</v>
      </c>
      <c r="G1501" s="15" t="s">
        <v>27</v>
      </c>
      <c r="H1501" s="16" t="s">
        <v>5523</v>
      </c>
      <c r="I1501" s="17"/>
      <c r="J1501" s="17"/>
      <c r="K1501" s="17"/>
      <c r="L1501" s="17"/>
      <c r="N1501" s="31">
        <v>1499</v>
      </c>
      <c r="O1501" s="32" t="s">
        <v>5524</v>
      </c>
      <c r="P1501" s="33" t="s">
        <v>5090</v>
      </c>
      <c r="Q1501" s="32" t="s">
        <v>32</v>
      </c>
      <c r="R1501" s="69">
        <v>44274.987071759257</v>
      </c>
      <c r="S1501" s="71">
        <v>44320</v>
      </c>
      <c r="T1501" s="32" t="str">
        <f t="shared" si="93"/>
        <v>+0822 24598***</v>
      </c>
      <c r="U1501" s="32" t="str">
        <f t="shared" ca="1" si="94"/>
        <v>josl***@yuhuumail.com</v>
      </c>
      <c r="V1501" s="32">
        <f t="shared" si="95"/>
        <v>20</v>
      </c>
      <c r="W1501" s="36">
        <f t="shared" si="96"/>
        <v>0.05</v>
      </c>
    </row>
    <row r="1502" spans="4:23" ht="27" customHeight="1" x14ac:dyDescent="0.25">
      <c r="D1502" s="14" t="s">
        <v>5525</v>
      </c>
      <c r="E1502" s="14" t="s">
        <v>2906</v>
      </c>
      <c r="F1502" s="84" t="s">
        <v>92</v>
      </c>
      <c r="G1502" s="15" t="s">
        <v>27</v>
      </c>
      <c r="H1502" s="16" t="s">
        <v>5526</v>
      </c>
      <c r="I1502" s="17"/>
      <c r="J1502" s="17"/>
      <c r="K1502" s="17"/>
      <c r="L1502" s="17"/>
      <c r="N1502" s="72">
        <v>1500</v>
      </c>
      <c r="O1502" s="73" t="s">
        <v>2025</v>
      </c>
      <c r="P1502" s="74" t="s">
        <v>5094</v>
      </c>
      <c r="Q1502" s="73" t="s">
        <v>40</v>
      </c>
      <c r="R1502" s="75">
        <v>44274.97550925926</v>
      </c>
      <c r="S1502" s="76">
        <v>44358</v>
      </c>
      <c r="T1502" s="32" t="str">
        <f t="shared" si="93"/>
        <v>+0832 93514***</v>
      </c>
      <c r="U1502" s="32" t="str">
        <f t="shared" ca="1" si="94"/>
        <v>desm***@yuhuumail.com</v>
      </c>
      <c r="V1502" s="32">
        <f t="shared" si="95"/>
        <v>20</v>
      </c>
      <c r="W1502" s="36">
        <f t="shared" si="96"/>
        <v>0.05</v>
      </c>
    </row>
    <row r="1503" spans="4:23" ht="27" customHeight="1" x14ac:dyDescent="0.25">
      <c r="D1503" s="14" t="s">
        <v>5527</v>
      </c>
      <c r="E1503" s="14" t="s">
        <v>699</v>
      </c>
      <c r="F1503" s="84" t="s">
        <v>551</v>
      </c>
      <c r="G1503" s="15" t="s">
        <v>27</v>
      </c>
      <c r="H1503" s="16" t="s">
        <v>5528</v>
      </c>
      <c r="I1503" s="17"/>
      <c r="J1503" s="17"/>
      <c r="K1503" s="17"/>
      <c r="L1503" s="17"/>
      <c r="T1503" s="13"/>
      <c r="U1503" s="13"/>
      <c r="V1503" s="13"/>
      <c r="W1503" s="13"/>
    </row>
    <row r="1504" spans="4:23" ht="27" customHeight="1" x14ac:dyDescent="0.25">
      <c r="D1504" s="14" t="s">
        <v>5529</v>
      </c>
      <c r="E1504" s="14" t="s">
        <v>5530</v>
      </c>
      <c r="F1504" s="84" t="s">
        <v>422</v>
      </c>
      <c r="G1504" s="15" t="s">
        <v>68</v>
      </c>
      <c r="H1504" s="16" t="s">
        <v>5531</v>
      </c>
      <c r="I1504" s="17"/>
      <c r="J1504" s="17"/>
      <c r="K1504" s="17"/>
      <c r="L1504" s="17"/>
      <c r="T1504" s="13"/>
      <c r="U1504" s="13"/>
      <c r="V1504" s="13"/>
      <c r="W1504" s="13"/>
    </row>
    <row r="1505" spans="4:23" ht="27" customHeight="1" x14ac:dyDescent="0.25">
      <c r="D1505" s="14" t="s">
        <v>5532</v>
      </c>
      <c r="E1505" s="14" t="s">
        <v>64</v>
      </c>
      <c r="F1505" s="84" t="s">
        <v>1037</v>
      </c>
      <c r="G1505" s="15" t="s">
        <v>27</v>
      </c>
      <c r="H1505" s="16" t="s">
        <v>5533</v>
      </c>
      <c r="I1505" s="17"/>
      <c r="J1505" s="17"/>
      <c r="K1505" s="17"/>
      <c r="L1505" s="17"/>
      <c r="T1505" s="13"/>
      <c r="U1505" s="13"/>
      <c r="V1505" s="13"/>
      <c r="W1505" s="13"/>
    </row>
    <row r="1506" spans="4:23" ht="27" customHeight="1" x14ac:dyDescent="0.25">
      <c r="D1506" s="14" t="s">
        <v>5534</v>
      </c>
      <c r="E1506" s="14" t="s">
        <v>4589</v>
      </c>
      <c r="F1506" s="84" t="s">
        <v>1118</v>
      </c>
      <c r="G1506" s="15" t="s">
        <v>27</v>
      </c>
      <c r="H1506" s="16" t="s">
        <v>5535</v>
      </c>
      <c r="I1506" s="17"/>
      <c r="J1506" s="17"/>
      <c r="K1506" s="17"/>
      <c r="L1506" s="17"/>
      <c r="T1506" s="13"/>
      <c r="U1506" s="13"/>
      <c r="V1506" s="13"/>
      <c r="W1506" s="13"/>
    </row>
    <row r="1507" spans="4:23" ht="27" customHeight="1" x14ac:dyDescent="0.25">
      <c r="D1507" s="14" t="s">
        <v>5536</v>
      </c>
      <c r="E1507" s="14" t="s">
        <v>5537</v>
      </c>
      <c r="F1507" s="84" t="s">
        <v>422</v>
      </c>
      <c r="G1507" s="15" t="s">
        <v>27</v>
      </c>
      <c r="H1507" s="16" t="s">
        <v>5538</v>
      </c>
      <c r="I1507" s="17"/>
      <c r="J1507" s="17"/>
      <c r="K1507" s="17"/>
      <c r="L1507" s="17"/>
      <c r="T1507" s="13"/>
      <c r="U1507" s="13"/>
      <c r="V1507" s="13"/>
      <c r="W1507" s="13"/>
    </row>
    <row r="1508" spans="4:23" ht="27" customHeight="1" x14ac:dyDescent="0.25">
      <c r="D1508" s="14" t="s">
        <v>5539</v>
      </c>
      <c r="E1508" s="14" t="s">
        <v>5540</v>
      </c>
      <c r="F1508" s="84" t="s">
        <v>887</v>
      </c>
      <c r="G1508" s="15" t="s">
        <v>27</v>
      </c>
      <c r="H1508" s="16" t="s">
        <v>5541</v>
      </c>
      <c r="I1508" s="17"/>
      <c r="J1508" s="17"/>
      <c r="K1508" s="17"/>
      <c r="L1508" s="17"/>
      <c r="T1508" s="13"/>
      <c r="U1508" s="13"/>
      <c r="V1508" s="13"/>
      <c r="W1508" s="13"/>
    </row>
    <row r="1509" spans="4:23" ht="27" customHeight="1" x14ac:dyDescent="0.25">
      <c r="D1509" s="14" t="s">
        <v>5542</v>
      </c>
      <c r="E1509" s="14" t="s">
        <v>2176</v>
      </c>
      <c r="F1509" s="84" t="s">
        <v>1886</v>
      </c>
      <c r="G1509" s="15" t="s">
        <v>27</v>
      </c>
      <c r="H1509" s="16" t="s">
        <v>5543</v>
      </c>
      <c r="I1509" s="17"/>
      <c r="J1509" s="17"/>
      <c r="K1509" s="17"/>
      <c r="L1509" s="17"/>
      <c r="T1509" s="13"/>
      <c r="U1509" s="13"/>
      <c r="V1509" s="13"/>
      <c r="W1509" s="13"/>
    </row>
    <row r="1510" spans="4:23" ht="27" customHeight="1" x14ac:dyDescent="0.25">
      <c r="D1510" s="14" t="s">
        <v>5544</v>
      </c>
      <c r="E1510" s="14" t="s">
        <v>4155</v>
      </c>
      <c r="F1510" s="84" t="s">
        <v>239</v>
      </c>
      <c r="G1510" s="15" t="s">
        <v>27</v>
      </c>
      <c r="H1510" s="16" t="s">
        <v>5545</v>
      </c>
      <c r="I1510" s="17"/>
      <c r="J1510" s="17"/>
      <c r="K1510" s="17"/>
      <c r="L1510" s="17"/>
      <c r="T1510" s="13"/>
      <c r="U1510" s="13"/>
      <c r="V1510" s="13"/>
      <c r="W1510" s="13"/>
    </row>
    <row r="1511" spans="4:23" ht="27" customHeight="1" x14ac:dyDescent="0.25">
      <c r="D1511" s="14" t="s">
        <v>5546</v>
      </c>
      <c r="E1511" s="14" t="s">
        <v>3227</v>
      </c>
      <c r="F1511" s="84" t="s">
        <v>1473</v>
      </c>
      <c r="G1511" s="15" t="s">
        <v>27</v>
      </c>
      <c r="H1511" s="16" t="s">
        <v>5547</v>
      </c>
      <c r="I1511" s="17"/>
      <c r="J1511" s="17"/>
      <c r="K1511" s="17"/>
      <c r="L1511" s="17"/>
      <c r="T1511" s="13"/>
      <c r="U1511" s="13"/>
      <c r="V1511" s="13"/>
      <c r="W1511" s="13"/>
    </row>
    <row r="1512" spans="4:23" ht="27" customHeight="1" x14ac:dyDescent="0.25">
      <c r="D1512" s="14" t="s">
        <v>5548</v>
      </c>
      <c r="E1512" s="14" t="s">
        <v>5085</v>
      </c>
      <c r="F1512" s="84" t="s">
        <v>206</v>
      </c>
      <c r="G1512" s="15" t="s">
        <v>68</v>
      </c>
      <c r="H1512" s="16" t="s">
        <v>5549</v>
      </c>
      <c r="I1512" s="17"/>
      <c r="J1512" s="17"/>
      <c r="K1512" s="17"/>
      <c r="L1512" s="17"/>
      <c r="T1512" s="13"/>
      <c r="U1512" s="13"/>
      <c r="V1512" s="13"/>
      <c r="W1512" s="13"/>
    </row>
    <row r="1513" spans="4:23" ht="27" customHeight="1" x14ac:dyDescent="0.25">
      <c r="D1513" s="14" t="s">
        <v>5550</v>
      </c>
      <c r="E1513" s="14" t="s">
        <v>5551</v>
      </c>
      <c r="F1513" s="84" t="s">
        <v>781</v>
      </c>
      <c r="G1513" s="15" t="s">
        <v>27</v>
      </c>
      <c r="H1513" s="16" t="s">
        <v>5552</v>
      </c>
      <c r="I1513" s="17"/>
      <c r="J1513" s="17"/>
      <c r="K1513" s="17"/>
      <c r="L1513" s="17"/>
      <c r="T1513" s="13"/>
      <c r="U1513" s="13"/>
      <c r="V1513" s="13"/>
      <c r="W1513" s="13"/>
    </row>
    <row r="1514" spans="4:23" ht="27" customHeight="1" x14ac:dyDescent="0.25">
      <c r="D1514" s="14" t="s">
        <v>5553</v>
      </c>
      <c r="E1514" s="14" t="s">
        <v>3672</v>
      </c>
      <c r="F1514" s="84" t="s">
        <v>1201</v>
      </c>
      <c r="G1514" s="15" t="s">
        <v>27</v>
      </c>
      <c r="H1514" s="16" t="s">
        <v>5554</v>
      </c>
      <c r="I1514" s="17"/>
      <c r="J1514" s="17"/>
      <c r="K1514" s="17"/>
      <c r="L1514" s="17"/>
      <c r="T1514" s="13"/>
      <c r="U1514" s="13"/>
      <c r="V1514" s="13"/>
      <c r="W1514" s="13"/>
    </row>
    <row r="1515" spans="4:23" ht="27" customHeight="1" x14ac:dyDescent="0.25">
      <c r="D1515" s="14" t="s">
        <v>5555</v>
      </c>
      <c r="E1515" s="14" t="s">
        <v>1847</v>
      </c>
      <c r="F1515" s="84" t="s">
        <v>149</v>
      </c>
      <c r="G1515" s="15" t="s">
        <v>68</v>
      </c>
      <c r="H1515" s="16" t="s">
        <v>5556</v>
      </c>
      <c r="I1515" s="17"/>
      <c r="J1515" s="17"/>
      <c r="K1515" s="17"/>
      <c r="L1515" s="17"/>
      <c r="T1515" s="13"/>
      <c r="U1515" s="13"/>
      <c r="V1515" s="13"/>
      <c r="W1515" s="13"/>
    </row>
    <row r="1516" spans="4:23" ht="27" customHeight="1" x14ac:dyDescent="0.25">
      <c r="D1516" s="14" t="s">
        <v>5557</v>
      </c>
      <c r="E1516" s="14" t="s">
        <v>799</v>
      </c>
      <c r="F1516" s="84" t="s">
        <v>939</v>
      </c>
      <c r="G1516" s="15" t="s">
        <v>27</v>
      </c>
      <c r="H1516" s="16" t="s">
        <v>5558</v>
      </c>
      <c r="I1516" s="17"/>
      <c r="J1516" s="17"/>
      <c r="K1516" s="17"/>
      <c r="L1516" s="17"/>
      <c r="T1516" s="13"/>
      <c r="U1516" s="13"/>
      <c r="V1516" s="13"/>
      <c r="W1516" s="13"/>
    </row>
    <row r="1517" spans="4:23" ht="27" customHeight="1" x14ac:dyDescent="0.25">
      <c r="D1517" s="14" t="s">
        <v>5559</v>
      </c>
      <c r="E1517" s="14" t="s">
        <v>5560</v>
      </c>
      <c r="F1517" s="84" t="s">
        <v>597</v>
      </c>
      <c r="G1517" s="15" t="s">
        <v>27</v>
      </c>
      <c r="H1517" s="16" t="s">
        <v>5561</v>
      </c>
      <c r="I1517" s="17"/>
      <c r="J1517" s="17"/>
      <c r="K1517" s="17"/>
      <c r="L1517" s="17"/>
      <c r="T1517" s="13"/>
      <c r="U1517" s="13"/>
      <c r="V1517" s="13"/>
      <c r="W1517" s="13"/>
    </row>
    <row r="1518" spans="4:23" ht="27" customHeight="1" x14ac:dyDescent="0.25">
      <c r="D1518" s="14" t="s">
        <v>5562</v>
      </c>
      <c r="E1518" s="14" t="s">
        <v>5563</v>
      </c>
      <c r="F1518" s="84" t="s">
        <v>80</v>
      </c>
      <c r="G1518" s="15" t="s">
        <v>27</v>
      </c>
      <c r="H1518" s="16" t="s">
        <v>5564</v>
      </c>
      <c r="I1518" s="17"/>
      <c r="J1518" s="17"/>
      <c r="K1518" s="17"/>
      <c r="L1518" s="17"/>
      <c r="T1518" s="13"/>
      <c r="U1518" s="13"/>
      <c r="V1518" s="13"/>
      <c r="W1518" s="13"/>
    </row>
    <row r="1519" spans="4:23" ht="27" customHeight="1" x14ac:dyDescent="0.25">
      <c r="D1519" s="14" t="s">
        <v>5565</v>
      </c>
      <c r="E1519" s="14" t="s">
        <v>827</v>
      </c>
      <c r="F1519" s="84" t="s">
        <v>251</v>
      </c>
      <c r="G1519" s="15" t="s">
        <v>68</v>
      </c>
      <c r="H1519" s="16" t="s">
        <v>5566</v>
      </c>
      <c r="I1519" s="17"/>
      <c r="J1519" s="17"/>
      <c r="K1519" s="17"/>
      <c r="L1519" s="17"/>
      <c r="T1519" s="13"/>
      <c r="U1519" s="13"/>
      <c r="V1519" s="13"/>
      <c r="W1519" s="13"/>
    </row>
    <row r="1520" spans="4:23" ht="27" customHeight="1" x14ac:dyDescent="0.25">
      <c r="D1520" s="14" t="s">
        <v>5567</v>
      </c>
      <c r="E1520" s="14" t="s">
        <v>4367</v>
      </c>
      <c r="F1520" s="84" t="s">
        <v>710</v>
      </c>
      <c r="G1520" s="15" t="s">
        <v>27</v>
      </c>
      <c r="H1520" s="16" t="s">
        <v>5568</v>
      </c>
      <c r="I1520" s="17"/>
      <c r="J1520" s="17"/>
      <c r="K1520" s="17"/>
      <c r="L1520" s="17"/>
      <c r="T1520" s="13"/>
      <c r="U1520" s="13"/>
      <c r="V1520" s="13"/>
      <c r="W1520" s="13"/>
    </row>
    <row r="1521" spans="4:23" ht="27" customHeight="1" x14ac:dyDescent="0.25">
      <c r="D1521" s="14" t="s">
        <v>5569</v>
      </c>
      <c r="E1521" s="14" t="s">
        <v>2899</v>
      </c>
      <c r="F1521" s="84" t="s">
        <v>92</v>
      </c>
      <c r="G1521" s="15" t="s">
        <v>27</v>
      </c>
      <c r="H1521" s="16" t="s">
        <v>5570</v>
      </c>
      <c r="I1521" s="17"/>
      <c r="J1521" s="17"/>
      <c r="K1521" s="17"/>
      <c r="L1521" s="17"/>
      <c r="T1521" s="13"/>
      <c r="U1521" s="13"/>
      <c r="V1521" s="13"/>
      <c r="W1521" s="13"/>
    </row>
    <row r="1522" spans="4:23" ht="27" customHeight="1" x14ac:dyDescent="0.25">
      <c r="D1522" s="14" t="s">
        <v>5571</v>
      </c>
      <c r="E1522" s="14" t="s">
        <v>5572</v>
      </c>
      <c r="F1522" s="84" t="s">
        <v>614</v>
      </c>
      <c r="G1522" s="15" t="s">
        <v>68</v>
      </c>
      <c r="H1522" s="16" t="s">
        <v>5573</v>
      </c>
      <c r="I1522" s="17"/>
      <c r="J1522" s="17"/>
      <c r="K1522" s="17"/>
      <c r="L1522" s="17"/>
      <c r="T1522" s="13"/>
      <c r="U1522" s="13"/>
      <c r="V1522" s="13"/>
      <c r="W1522" s="13"/>
    </row>
    <row r="1523" spans="4:23" ht="27" customHeight="1" x14ac:dyDescent="0.25">
      <c r="D1523" s="14" t="s">
        <v>5574</v>
      </c>
      <c r="E1523" s="14" t="s">
        <v>5074</v>
      </c>
      <c r="F1523" s="84" t="s">
        <v>206</v>
      </c>
      <c r="G1523" s="15" t="s">
        <v>27</v>
      </c>
      <c r="H1523" s="16" t="s">
        <v>5575</v>
      </c>
      <c r="I1523" s="17"/>
      <c r="J1523" s="17"/>
      <c r="K1523" s="17"/>
      <c r="L1523" s="17"/>
      <c r="T1523" s="13"/>
      <c r="U1523" s="13"/>
      <c r="V1523" s="13"/>
      <c r="W1523" s="13"/>
    </row>
    <row r="1524" spans="4:23" ht="27" customHeight="1" x14ac:dyDescent="0.25">
      <c r="D1524" s="14" t="s">
        <v>5576</v>
      </c>
      <c r="E1524" s="14" t="s">
        <v>5577</v>
      </c>
      <c r="F1524" s="84" t="s">
        <v>149</v>
      </c>
      <c r="G1524" s="15" t="s">
        <v>27</v>
      </c>
      <c r="H1524" s="16" t="s">
        <v>5578</v>
      </c>
      <c r="I1524" s="17"/>
      <c r="J1524" s="17"/>
      <c r="K1524" s="17"/>
      <c r="L1524" s="17"/>
      <c r="T1524" s="13"/>
      <c r="U1524" s="13"/>
      <c r="V1524" s="13"/>
      <c r="W1524" s="13"/>
    </row>
    <row r="1525" spans="4:23" ht="27" customHeight="1" x14ac:dyDescent="0.25">
      <c r="D1525" s="14" t="s">
        <v>5579</v>
      </c>
      <c r="E1525" s="14" t="s">
        <v>5580</v>
      </c>
      <c r="F1525" s="84" t="s">
        <v>266</v>
      </c>
      <c r="G1525" s="15" t="s">
        <v>27</v>
      </c>
      <c r="H1525" s="16" t="s">
        <v>5581</v>
      </c>
      <c r="I1525" s="17"/>
      <c r="J1525" s="17"/>
      <c r="K1525" s="17"/>
      <c r="L1525" s="17"/>
      <c r="T1525" s="13"/>
      <c r="U1525" s="13"/>
      <c r="V1525" s="13"/>
      <c r="W1525" s="13"/>
    </row>
    <row r="1526" spans="4:23" ht="27" customHeight="1" x14ac:dyDescent="0.25">
      <c r="D1526" s="14" t="s">
        <v>5582</v>
      </c>
      <c r="E1526" s="14" t="s">
        <v>2963</v>
      </c>
      <c r="F1526" s="84" t="s">
        <v>92</v>
      </c>
      <c r="G1526" s="15" t="s">
        <v>27</v>
      </c>
      <c r="H1526" s="16" t="s">
        <v>5583</v>
      </c>
      <c r="I1526" s="17"/>
      <c r="J1526" s="17"/>
      <c r="K1526" s="17"/>
      <c r="L1526" s="17"/>
      <c r="T1526" s="13"/>
      <c r="U1526" s="13"/>
      <c r="V1526" s="13"/>
      <c r="W1526" s="13"/>
    </row>
    <row r="1527" spans="4:23" ht="27" customHeight="1" x14ac:dyDescent="0.25">
      <c r="D1527" s="14" t="s">
        <v>5584</v>
      </c>
      <c r="E1527" s="14" t="s">
        <v>5585</v>
      </c>
      <c r="F1527" s="84" t="s">
        <v>343</v>
      </c>
      <c r="G1527" s="15" t="s">
        <v>27</v>
      </c>
      <c r="H1527" s="16" t="s">
        <v>5586</v>
      </c>
      <c r="I1527" s="17"/>
      <c r="J1527" s="17"/>
      <c r="K1527" s="17"/>
      <c r="L1527" s="17"/>
      <c r="T1527" s="13"/>
      <c r="U1527" s="13"/>
      <c r="V1527" s="13"/>
      <c r="W1527" s="13"/>
    </row>
    <row r="1528" spans="4:23" ht="27" customHeight="1" x14ac:dyDescent="0.25">
      <c r="D1528" s="14" t="s">
        <v>5587</v>
      </c>
      <c r="E1528" s="14" t="s">
        <v>5059</v>
      </c>
      <c r="F1528" s="84" t="s">
        <v>206</v>
      </c>
      <c r="G1528" s="15" t="s">
        <v>68</v>
      </c>
      <c r="H1528" s="16" t="s">
        <v>5588</v>
      </c>
      <c r="I1528" s="17"/>
      <c r="J1528" s="17"/>
      <c r="K1528" s="17"/>
      <c r="L1528" s="17"/>
      <c r="T1528" s="13"/>
      <c r="U1528" s="13"/>
      <c r="V1528" s="13"/>
      <c r="W1528" s="13"/>
    </row>
    <row r="1529" spans="4:23" ht="27" customHeight="1" x14ac:dyDescent="0.25">
      <c r="D1529" s="14" t="s">
        <v>5589</v>
      </c>
      <c r="E1529" s="14" t="s">
        <v>2319</v>
      </c>
      <c r="F1529" s="84" t="s">
        <v>597</v>
      </c>
      <c r="G1529" s="15" t="s">
        <v>68</v>
      </c>
      <c r="H1529" s="16" t="s">
        <v>5590</v>
      </c>
      <c r="I1529" s="17"/>
      <c r="J1529" s="17"/>
      <c r="K1529" s="17"/>
      <c r="L1529" s="17"/>
      <c r="T1529" s="13"/>
      <c r="U1529" s="13"/>
      <c r="V1529" s="13"/>
      <c r="W1529" s="13"/>
    </row>
    <row r="1530" spans="4:23" ht="27" customHeight="1" x14ac:dyDescent="0.25">
      <c r="D1530" s="14" t="s">
        <v>5591</v>
      </c>
      <c r="E1530" s="14" t="s">
        <v>5592</v>
      </c>
      <c r="F1530" s="84" t="s">
        <v>952</v>
      </c>
      <c r="G1530" s="15" t="s">
        <v>68</v>
      </c>
      <c r="H1530" s="16" t="s">
        <v>5593</v>
      </c>
      <c r="I1530" s="17"/>
      <c r="J1530" s="17"/>
      <c r="K1530" s="17"/>
      <c r="L1530" s="17"/>
      <c r="T1530" s="13"/>
      <c r="U1530" s="13"/>
      <c r="V1530" s="13"/>
      <c r="W1530" s="13"/>
    </row>
    <row r="1531" spans="4:23" ht="27" customHeight="1" x14ac:dyDescent="0.25">
      <c r="D1531" s="14" t="s">
        <v>5594</v>
      </c>
      <c r="E1531" s="14" t="s">
        <v>5595</v>
      </c>
      <c r="F1531" s="84" t="s">
        <v>51</v>
      </c>
      <c r="G1531" s="15" t="s">
        <v>27</v>
      </c>
      <c r="H1531" s="16" t="s">
        <v>5596</v>
      </c>
      <c r="I1531" s="17"/>
      <c r="J1531" s="17"/>
      <c r="K1531" s="17"/>
      <c r="L1531" s="17"/>
      <c r="T1531" s="13"/>
      <c r="U1531" s="13"/>
      <c r="V1531" s="13"/>
      <c r="W1531" s="13"/>
    </row>
    <row r="1532" spans="4:23" ht="27" customHeight="1" x14ac:dyDescent="0.25">
      <c r="D1532" s="14" t="s">
        <v>5597</v>
      </c>
      <c r="E1532" s="14" t="s">
        <v>5598</v>
      </c>
      <c r="F1532" s="84" t="s">
        <v>5599</v>
      </c>
      <c r="G1532" s="15" t="s">
        <v>68</v>
      </c>
      <c r="H1532" s="16" t="s">
        <v>5600</v>
      </c>
      <c r="I1532" s="17"/>
      <c r="J1532" s="17"/>
      <c r="K1532" s="17"/>
      <c r="L1532" s="17"/>
      <c r="T1532" s="13"/>
      <c r="U1532" s="13"/>
      <c r="V1532" s="13"/>
      <c r="W1532" s="13"/>
    </row>
    <row r="1533" spans="4:23" ht="27" customHeight="1" x14ac:dyDescent="0.25">
      <c r="D1533" s="14" t="s">
        <v>5601</v>
      </c>
      <c r="E1533" s="14" t="s">
        <v>5602</v>
      </c>
      <c r="F1533" s="84" t="s">
        <v>129</v>
      </c>
      <c r="G1533" s="15" t="s">
        <v>27</v>
      </c>
      <c r="H1533" s="16" t="s">
        <v>5603</v>
      </c>
      <c r="I1533" s="17"/>
      <c r="J1533" s="17"/>
      <c r="K1533" s="17"/>
      <c r="L1533" s="17"/>
      <c r="T1533" s="13"/>
      <c r="U1533" s="13"/>
      <c r="V1533" s="13"/>
      <c r="W1533" s="13"/>
    </row>
    <row r="1534" spans="4:23" ht="27" customHeight="1" x14ac:dyDescent="0.25">
      <c r="D1534" s="14" t="s">
        <v>5604</v>
      </c>
      <c r="E1534" s="14" t="s">
        <v>4084</v>
      </c>
      <c r="F1534" s="84" t="s">
        <v>239</v>
      </c>
      <c r="G1534" s="15" t="s">
        <v>68</v>
      </c>
      <c r="H1534" s="16" t="s">
        <v>5605</v>
      </c>
      <c r="I1534" s="17"/>
      <c r="J1534" s="17"/>
      <c r="K1534" s="17"/>
      <c r="L1534" s="17"/>
      <c r="T1534" s="13"/>
      <c r="U1534" s="13"/>
      <c r="V1534" s="13"/>
      <c r="W1534" s="13"/>
    </row>
    <row r="1535" spans="4:23" ht="27" customHeight="1" x14ac:dyDescent="0.25">
      <c r="D1535" s="14" t="s">
        <v>5606</v>
      </c>
      <c r="E1535" s="14" t="s">
        <v>4163</v>
      </c>
      <c r="F1535" s="84" t="s">
        <v>239</v>
      </c>
      <c r="G1535" s="15" t="s">
        <v>27</v>
      </c>
      <c r="H1535" s="16" t="s">
        <v>5607</v>
      </c>
      <c r="I1535" s="17"/>
      <c r="J1535" s="17"/>
      <c r="K1535" s="17"/>
      <c r="L1535" s="17"/>
      <c r="T1535" s="13"/>
      <c r="U1535" s="13"/>
      <c r="V1535" s="13"/>
      <c r="W1535" s="13"/>
    </row>
    <row r="1536" spans="4:23" ht="27" customHeight="1" x14ac:dyDescent="0.25">
      <c r="D1536" s="14" t="s">
        <v>5608</v>
      </c>
      <c r="E1536" s="14" t="s">
        <v>292</v>
      </c>
      <c r="F1536" s="84" t="s">
        <v>2250</v>
      </c>
      <c r="G1536" s="15" t="s">
        <v>27</v>
      </c>
      <c r="H1536" s="16" t="s">
        <v>5609</v>
      </c>
      <c r="I1536" s="17"/>
      <c r="J1536" s="17"/>
      <c r="K1536" s="17"/>
      <c r="L1536" s="17"/>
      <c r="T1536" s="13"/>
      <c r="U1536" s="13"/>
      <c r="V1536" s="13"/>
      <c r="W1536" s="13"/>
    </row>
    <row r="1537" spans="4:23" ht="27" customHeight="1" x14ac:dyDescent="0.25">
      <c r="D1537" s="14" t="s">
        <v>5610</v>
      </c>
      <c r="E1537" s="14" t="s">
        <v>5611</v>
      </c>
      <c r="F1537" s="84" t="s">
        <v>422</v>
      </c>
      <c r="G1537" s="15" t="s">
        <v>27</v>
      </c>
      <c r="H1537" s="16" t="s">
        <v>5612</v>
      </c>
      <c r="I1537" s="17"/>
      <c r="J1537" s="17"/>
      <c r="K1537" s="17"/>
      <c r="L1537" s="17"/>
      <c r="T1537" s="13"/>
      <c r="U1537" s="13"/>
      <c r="V1537" s="13"/>
      <c r="W1537" s="13"/>
    </row>
    <row r="1538" spans="4:23" ht="27" customHeight="1" x14ac:dyDescent="0.25">
      <c r="D1538" s="14" t="s">
        <v>5613</v>
      </c>
      <c r="E1538" s="14" t="s">
        <v>5614</v>
      </c>
      <c r="F1538" s="84" t="s">
        <v>1505</v>
      </c>
      <c r="G1538" s="15" t="s">
        <v>27</v>
      </c>
      <c r="H1538" s="16" t="s">
        <v>5615</v>
      </c>
      <c r="I1538" s="17"/>
      <c r="J1538" s="17"/>
      <c r="K1538" s="17"/>
      <c r="L1538" s="17"/>
      <c r="T1538" s="13"/>
      <c r="U1538" s="13"/>
      <c r="V1538" s="13"/>
      <c r="W1538" s="13"/>
    </row>
    <row r="1539" spans="4:23" ht="27" customHeight="1" x14ac:dyDescent="0.25">
      <c r="D1539" s="14" t="s">
        <v>5616</v>
      </c>
      <c r="E1539" s="14" t="s">
        <v>1459</v>
      </c>
      <c r="F1539" s="84" t="s">
        <v>417</v>
      </c>
      <c r="G1539" s="15" t="s">
        <v>27</v>
      </c>
      <c r="H1539" s="16" t="s">
        <v>5617</v>
      </c>
      <c r="I1539" s="17"/>
      <c r="J1539" s="17"/>
      <c r="K1539" s="17"/>
      <c r="L1539" s="17"/>
      <c r="T1539" s="13"/>
      <c r="U1539" s="13"/>
      <c r="V1539" s="13"/>
      <c r="W1539" s="13"/>
    </row>
    <row r="1540" spans="4:23" ht="27" customHeight="1" x14ac:dyDescent="0.25">
      <c r="D1540" s="14" t="s">
        <v>5618</v>
      </c>
      <c r="E1540" s="14" t="s">
        <v>5619</v>
      </c>
      <c r="F1540" s="84" t="s">
        <v>485</v>
      </c>
      <c r="G1540" s="15" t="s">
        <v>27</v>
      </c>
      <c r="H1540" s="16" t="s">
        <v>5620</v>
      </c>
      <c r="I1540" s="17"/>
      <c r="J1540" s="17"/>
      <c r="K1540" s="17"/>
      <c r="L1540" s="17"/>
      <c r="T1540" s="13"/>
      <c r="U1540" s="13"/>
      <c r="V1540" s="13"/>
      <c r="W1540" s="13"/>
    </row>
    <row r="1541" spans="4:23" ht="27" customHeight="1" x14ac:dyDescent="0.25">
      <c r="D1541" s="14" t="s">
        <v>5621</v>
      </c>
      <c r="E1541" s="14" t="s">
        <v>1203</v>
      </c>
      <c r="F1541" s="84" t="s">
        <v>490</v>
      </c>
      <c r="G1541" s="15" t="s">
        <v>27</v>
      </c>
      <c r="H1541" s="16" t="s">
        <v>5622</v>
      </c>
      <c r="I1541" s="17"/>
      <c r="J1541" s="17"/>
      <c r="K1541" s="17"/>
      <c r="L1541" s="17"/>
      <c r="T1541" s="13"/>
      <c r="U1541" s="13"/>
      <c r="V1541" s="13"/>
      <c r="W1541" s="13"/>
    </row>
    <row r="1542" spans="4:23" ht="27" customHeight="1" x14ac:dyDescent="0.25">
      <c r="D1542" s="14" t="s">
        <v>5623</v>
      </c>
      <c r="E1542" s="14" t="s">
        <v>3005</v>
      </c>
      <c r="F1542" s="84" t="s">
        <v>92</v>
      </c>
      <c r="G1542" s="15" t="s">
        <v>68</v>
      </c>
      <c r="H1542" s="16" t="s">
        <v>5624</v>
      </c>
      <c r="I1542" s="17"/>
      <c r="J1542" s="17"/>
      <c r="K1542" s="17"/>
      <c r="L1542" s="17"/>
      <c r="T1542" s="13"/>
      <c r="U1542" s="13"/>
      <c r="V1542" s="13"/>
      <c r="W1542" s="13"/>
    </row>
    <row r="1543" spans="4:23" ht="27" customHeight="1" x14ac:dyDescent="0.25">
      <c r="D1543" s="14" t="s">
        <v>5625</v>
      </c>
      <c r="E1543" s="14" t="s">
        <v>5626</v>
      </c>
      <c r="F1543" s="84" t="s">
        <v>561</v>
      </c>
      <c r="G1543" s="15" t="s">
        <v>27</v>
      </c>
      <c r="H1543" s="16" t="s">
        <v>5627</v>
      </c>
      <c r="I1543" s="17"/>
      <c r="J1543" s="17"/>
      <c r="K1543" s="17"/>
      <c r="L1543" s="17"/>
      <c r="T1543" s="13"/>
      <c r="U1543" s="13"/>
      <c r="V1543" s="13"/>
      <c r="W1543" s="13"/>
    </row>
    <row r="1544" spans="4:23" ht="27" customHeight="1" x14ac:dyDescent="0.25">
      <c r="D1544" s="14" t="s">
        <v>5628</v>
      </c>
      <c r="E1544" s="14" t="s">
        <v>4370</v>
      </c>
      <c r="F1544" s="84" t="s">
        <v>710</v>
      </c>
      <c r="G1544" s="15" t="s">
        <v>27</v>
      </c>
      <c r="H1544" s="16" t="s">
        <v>5629</v>
      </c>
      <c r="I1544" s="17"/>
      <c r="J1544" s="17"/>
      <c r="K1544" s="17"/>
      <c r="L1544" s="17"/>
      <c r="T1544" s="13"/>
      <c r="U1544" s="13"/>
      <c r="V1544" s="13"/>
      <c r="W1544" s="13"/>
    </row>
    <row r="1545" spans="4:23" ht="27" customHeight="1" x14ac:dyDescent="0.25">
      <c r="D1545" s="14" t="s">
        <v>5630</v>
      </c>
      <c r="E1545" s="14" t="s">
        <v>1532</v>
      </c>
      <c r="F1545" s="84" t="s">
        <v>256</v>
      </c>
      <c r="G1545" s="15" t="s">
        <v>68</v>
      </c>
      <c r="H1545" s="16" t="s">
        <v>5631</v>
      </c>
      <c r="I1545" s="17"/>
      <c r="J1545" s="17"/>
      <c r="K1545" s="17"/>
      <c r="L1545" s="17"/>
      <c r="T1545" s="13"/>
      <c r="U1545" s="13"/>
      <c r="V1545" s="13"/>
      <c r="W1545" s="13"/>
    </row>
    <row r="1546" spans="4:23" ht="27" customHeight="1" x14ac:dyDescent="0.25">
      <c r="D1546" s="14" t="s">
        <v>5632</v>
      </c>
      <c r="E1546" s="14" t="s">
        <v>3734</v>
      </c>
      <c r="F1546" s="84" t="s">
        <v>471</v>
      </c>
      <c r="G1546" s="15" t="s">
        <v>27</v>
      </c>
      <c r="H1546" s="16" t="s">
        <v>5633</v>
      </c>
      <c r="I1546" s="17"/>
      <c r="J1546" s="17"/>
      <c r="K1546" s="17"/>
      <c r="L1546" s="17"/>
      <c r="T1546" s="13"/>
      <c r="U1546" s="13"/>
      <c r="V1546" s="13"/>
      <c r="W1546" s="13"/>
    </row>
    <row r="1547" spans="4:23" ht="27" customHeight="1" x14ac:dyDescent="0.25">
      <c r="D1547" s="14" t="s">
        <v>5634</v>
      </c>
      <c r="E1547" s="14" t="s">
        <v>383</v>
      </c>
      <c r="F1547" s="84" t="s">
        <v>2718</v>
      </c>
      <c r="G1547" s="15" t="s">
        <v>68</v>
      </c>
      <c r="H1547" s="16" t="s">
        <v>5635</v>
      </c>
      <c r="I1547" s="17"/>
      <c r="J1547" s="17"/>
      <c r="K1547" s="17"/>
      <c r="L1547" s="17"/>
      <c r="T1547" s="13"/>
      <c r="U1547" s="13"/>
      <c r="V1547" s="13"/>
      <c r="W1547" s="13"/>
    </row>
    <row r="1548" spans="4:23" ht="27" customHeight="1" x14ac:dyDescent="0.25">
      <c r="D1548" s="14" t="s">
        <v>5636</v>
      </c>
      <c r="E1548" s="14" t="s">
        <v>1187</v>
      </c>
      <c r="F1548" s="84" t="s">
        <v>490</v>
      </c>
      <c r="G1548" s="15" t="s">
        <v>68</v>
      </c>
      <c r="H1548" s="16" t="s">
        <v>5637</v>
      </c>
      <c r="I1548" s="17"/>
      <c r="J1548" s="17"/>
      <c r="K1548" s="17"/>
      <c r="L1548" s="17"/>
      <c r="T1548" s="13"/>
      <c r="U1548" s="13"/>
      <c r="V1548" s="13"/>
      <c r="W1548" s="13"/>
    </row>
    <row r="1549" spans="4:23" ht="27" customHeight="1" x14ac:dyDescent="0.25">
      <c r="D1549" s="14" t="s">
        <v>5638</v>
      </c>
      <c r="E1549" s="14" t="s">
        <v>5639</v>
      </c>
      <c r="F1549" s="84" t="s">
        <v>296</v>
      </c>
      <c r="G1549" s="15" t="s">
        <v>68</v>
      </c>
      <c r="H1549" s="16" t="s">
        <v>5640</v>
      </c>
      <c r="I1549" s="17"/>
      <c r="J1549" s="17"/>
      <c r="K1549" s="17"/>
      <c r="L1549" s="17"/>
      <c r="T1549" s="13"/>
      <c r="U1549" s="13"/>
      <c r="V1549" s="13"/>
      <c r="W1549" s="13"/>
    </row>
    <row r="1550" spans="4:23" ht="27" customHeight="1" x14ac:dyDescent="0.25">
      <c r="D1550" s="14" t="s">
        <v>5641</v>
      </c>
      <c r="E1550" s="14" t="s">
        <v>5642</v>
      </c>
      <c r="F1550" s="84" t="s">
        <v>266</v>
      </c>
      <c r="G1550" s="15" t="s">
        <v>27</v>
      </c>
      <c r="H1550" s="16" t="s">
        <v>5643</v>
      </c>
      <c r="I1550" s="17"/>
      <c r="J1550" s="17"/>
      <c r="K1550" s="17"/>
      <c r="L1550" s="17"/>
      <c r="T1550" s="13"/>
      <c r="U1550" s="13"/>
      <c r="V1550" s="13"/>
      <c r="W1550" s="13"/>
    </row>
    <row r="1551" spans="4:23" ht="27" customHeight="1" x14ac:dyDescent="0.25">
      <c r="D1551" s="14" t="s">
        <v>5644</v>
      </c>
      <c r="E1551" s="14" t="s">
        <v>2536</v>
      </c>
      <c r="F1551" s="84" t="s">
        <v>159</v>
      </c>
      <c r="G1551" s="15" t="s">
        <v>27</v>
      </c>
      <c r="H1551" s="16" t="s">
        <v>5645</v>
      </c>
      <c r="I1551" s="17"/>
      <c r="J1551" s="17"/>
      <c r="K1551" s="17"/>
      <c r="L1551" s="17"/>
      <c r="T1551" s="13"/>
      <c r="U1551" s="13"/>
      <c r="V1551" s="13"/>
      <c r="W1551" s="13"/>
    </row>
    <row r="1552" spans="4:23" ht="27" customHeight="1" x14ac:dyDescent="0.25">
      <c r="D1552" s="14" t="s">
        <v>5646</v>
      </c>
      <c r="E1552" s="14" t="s">
        <v>2389</v>
      </c>
      <c r="F1552" s="84" t="s">
        <v>372</v>
      </c>
      <c r="G1552" s="15" t="s">
        <v>68</v>
      </c>
      <c r="H1552" s="16" t="s">
        <v>5647</v>
      </c>
      <c r="I1552" s="17"/>
      <c r="J1552" s="17"/>
      <c r="K1552" s="17"/>
      <c r="L1552" s="17"/>
      <c r="T1552" s="13"/>
      <c r="U1552" s="13"/>
      <c r="V1552" s="13"/>
      <c r="W1552" s="13"/>
    </row>
    <row r="1553" spans="4:23" ht="27" customHeight="1" x14ac:dyDescent="0.25">
      <c r="D1553" s="14" t="s">
        <v>5648</v>
      </c>
      <c r="E1553" s="14" t="s">
        <v>5649</v>
      </c>
      <c r="F1553" s="84" t="s">
        <v>466</v>
      </c>
      <c r="G1553" s="15" t="s">
        <v>27</v>
      </c>
      <c r="H1553" s="16" t="s">
        <v>5650</v>
      </c>
      <c r="I1553" s="17"/>
      <c r="J1553" s="17"/>
      <c r="K1553" s="17"/>
      <c r="L1553" s="17"/>
      <c r="T1553" s="13"/>
      <c r="U1553" s="13"/>
      <c r="V1553" s="13"/>
      <c r="W1553" s="13"/>
    </row>
    <row r="1554" spans="4:23" ht="27" customHeight="1" x14ac:dyDescent="0.25">
      <c r="D1554" s="14" t="s">
        <v>5651</v>
      </c>
      <c r="E1554" s="14" t="s">
        <v>634</v>
      </c>
      <c r="F1554" s="84" t="s">
        <v>3253</v>
      </c>
      <c r="G1554" s="15" t="s">
        <v>68</v>
      </c>
      <c r="H1554" s="16" t="s">
        <v>5652</v>
      </c>
      <c r="I1554" s="17"/>
      <c r="J1554" s="17"/>
      <c r="K1554" s="17"/>
      <c r="L1554" s="17"/>
      <c r="T1554" s="13"/>
      <c r="U1554" s="13"/>
      <c r="V1554" s="13"/>
      <c r="W1554" s="13"/>
    </row>
    <row r="1555" spans="4:23" ht="27" customHeight="1" x14ac:dyDescent="0.25">
      <c r="D1555" s="14" t="s">
        <v>5653</v>
      </c>
      <c r="E1555" s="14" t="s">
        <v>4455</v>
      </c>
      <c r="F1555" s="84" t="s">
        <v>1535</v>
      </c>
      <c r="G1555" s="15" t="s">
        <v>27</v>
      </c>
      <c r="H1555" s="16" t="s">
        <v>5654</v>
      </c>
      <c r="I1555" s="17"/>
      <c r="J1555" s="17"/>
      <c r="K1555" s="17"/>
      <c r="L1555" s="17"/>
      <c r="T1555" s="13"/>
      <c r="U1555" s="13"/>
      <c r="V1555" s="13"/>
      <c r="W1555" s="13"/>
    </row>
    <row r="1556" spans="4:23" ht="27" customHeight="1" x14ac:dyDescent="0.25">
      <c r="D1556" s="14" t="s">
        <v>5655</v>
      </c>
      <c r="E1556" s="14" t="s">
        <v>1843</v>
      </c>
      <c r="F1556" s="84" t="s">
        <v>149</v>
      </c>
      <c r="G1556" s="15" t="s">
        <v>27</v>
      </c>
      <c r="H1556" s="16" t="s">
        <v>5656</v>
      </c>
      <c r="I1556" s="17"/>
      <c r="J1556" s="17"/>
      <c r="K1556" s="17"/>
      <c r="L1556" s="17"/>
      <c r="T1556" s="13"/>
      <c r="U1556" s="13"/>
      <c r="V1556" s="13"/>
      <c r="W1556" s="13"/>
    </row>
    <row r="1557" spans="4:23" ht="27" customHeight="1" x14ac:dyDescent="0.25">
      <c r="D1557" s="14" t="s">
        <v>5657</v>
      </c>
      <c r="E1557" s="14" t="s">
        <v>5658</v>
      </c>
      <c r="F1557" s="84" t="s">
        <v>302</v>
      </c>
      <c r="G1557" s="15" t="s">
        <v>68</v>
      </c>
      <c r="H1557" s="16" t="s">
        <v>5659</v>
      </c>
      <c r="I1557" s="17"/>
      <c r="J1557" s="17"/>
      <c r="K1557" s="17"/>
      <c r="L1557" s="17"/>
      <c r="T1557" s="13"/>
      <c r="U1557" s="13"/>
      <c r="V1557" s="13"/>
      <c r="W1557" s="13"/>
    </row>
    <row r="1558" spans="4:23" ht="27" customHeight="1" x14ac:dyDescent="0.25">
      <c r="D1558" s="14" t="s">
        <v>5660</v>
      </c>
      <c r="E1558" s="14" t="s">
        <v>5661</v>
      </c>
      <c r="F1558" s="84" t="s">
        <v>302</v>
      </c>
      <c r="G1558" s="15" t="s">
        <v>27</v>
      </c>
      <c r="H1558" s="16" t="s">
        <v>5662</v>
      </c>
      <c r="I1558" s="17"/>
      <c r="J1558" s="17"/>
      <c r="K1558" s="17"/>
      <c r="L1558" s="17"/>
      <c r="T1558" s="13"/>
      <c r="U1558" s="13"/>
      <c r="V1558" s="13"/>
      <c r="W1558" s="13"/>
    </row>
    <row r="1559" spans="4:23" ht="27" customHeight="1" x14ac:dyDescent="0.25">
      <c r="D1559" s="14" t="s">
        <v>5663</v>
      </c>
      <c r="E1559" s="14" t="s">
        <v>5664</v>
      </c>
      <c r="F1559" s="84" t="s">
        <v>46</v>
      </c>
      <c r="G1559" s="15" t="s">
        <v>68</v>
      </c>
      <c r="H1559" s="16" t="s">
        <v>5665</v>
      </c>
      <c r="I1559" s="17"/>
      <c r="J1559" s="17"/>
      <c r="K1559" s="17"/>
      <c r="L1559" s="17"/>
      <c r="T1559" s="13"/>
      <c r="U1559" s="13"/>
      <c r="V1559" s="13"/>
      <c r="W1559" s="13"/>
    </row>
    <row r="1560" spans="4:23" ht="27" customHeight="1" x14ac:dyDescent="0.25">
      <c r="D1560" s="14" t="s">
        <v>5666</v>
      </c>
      <c r="E1560" s="14" t="s">
        <v>5667</v>
      </c>
      <c r="F1560" s="84" t="s">
        <v>296</v>
      </c>
      <c r="G1560" s="15" t="s">
        <v>27</v>
      </c>
      <c r="H1560" s="16" t="s">
        <v>5668</v>
      </c>
      <c r="I1560" s="17"/>
      <c r="J1560" s="17"/>
      <c r="K1560" s="17"/>
      <c r="L1560" s="17"/>
      <c r="T1560" s="13"/>
      <c r="U1560" s="13"/>
      <c r="V1560" s="13"/>
      <c r="W1560" s="13"/>
    </row>
    <row r="1561" spans="4:23" ht="27" customHeight="1" x14ac:dyDescent="0.25">
      <c r="D1561" s="14" t="s">
        <v>5669</v>
      </c>
      <c r="E1561" s="14" t="s">
        <v>5670</v>
      </c>
      <c r="F1561" s="84" t="s">
        <v>969</v>
      </c>
      <c r="G1561" s="15" t="s">
        <v>27</v>
      </c>
      <c r="H1561" s="16" t="s">
        <v>5671</v>
      </c>
      <c r="I1561" s="17"/>
      <c r="J1561" s="17"/>
      <c r="K1561" s="17"/>
      <c r="L1561" s="17"/>
      <c r="T1561" s="13"/>
      <c r="U1561" s="13"/>
      <c r="V1561" s="13"/>
      <c r="W1561" s="13"/>
    </row>
    <row r="1562" spans="4:23" ht="27" customHeight="1" x14ac:dyDescent="0.25">
      <c r="D1562" s="14" t="s">
        <v>5672</v>
      </c>
      <c r="E1562" s="14" t="s">
        <v>5673</v>
      </c>
      <c r="F1562" s="84" t="s">
        <v>551</v>
      </c>
      <c r="G1562" s="15" t="s">
        <v>27</v>
      </c>
      <c r="H1562" s="16" t="s">
        <v>5674</v>
      </c>
      <c r="I1562" s="17"/>
      <c r="J1562" s="17"/>
      <c r="K1562" s="17"/>
      <c r="L1562" s="17"/>
      <c r="T1562" s="13"/>
      <c r="U1562" s="13"/>
      <c r="V1562" s="13"/>
      <c r="W1562" s="13"/>
    </row>
    <row r="1563" spans="4:23" ht="27" customHeight="1" x14ac:dyDescent="0.25">
      <c r="D1563" s="14" t="s">
        <v>5675</v>
      </c>
      <c r="E1563" s="14" t="s">
        <v>5676</v>
      </c>
      <c r="F1563" s="84" t="s">
        <v>169</v>
      </c>
      <c r="G1563" s="15" t="s">
        <v>27</v>
      </c>
      <c r="H1563" s="16" t="s">
        <v>5677</v>
      </c>
      <c r="I1563" s="17"/>
      <c r="J1563" s="17"/>
      <c r="K1563" s="17"/>
      <c r="L1563" s="17"/>
      <c r="T1563" s="13"/>
      <c r="U1563" s="13"/>
      <c r="V1563" s="13"/>
      <c r="W1563" s="13"/>
    </row>
    <row r="1564" spans="4:23" ht="27" customHeight="1" x14ac:dyDescent="0.25">
      <c r="D1564" s="14" t="s">
        <v>5678</v>
      </c>
      <c r="E1564" s="14" t="s">
        <v>5679</v>
      </c>
      <c r="F1564" s="84" t="s">
        <v>233</v>
      </c>
      <c r="G1564" s="15" t="s">
        <v>27</v>
      </c>
      <c r="H1564" s="16" t="s">
        <v>5680</v>
      </c>
      <c r="I1564" s="17"/>
      <c r="J1564" s="17"/>
      <c r="K1564" s="17"/>
      <c r="L1564" s="17"/>
      <c r="T1564" s="13"/>
      <c r="U1564" s="13"/>
      <c r="V1564" s="13"/>
      <c r="W1564" s="13"/>
    </row>
    <row r="1565" spans="4:23" ht="27" customHeight="1" x14ac:dyDescent="0.25">
      <c r="D1565" s="14" t="s">
        <v>5681</v>
      </c>
      <c r="E1565" s="14" t="s">
        <v>2562</v>
      </c>
      <c r="F1565" s="84" t="s">
        <v>159</v>
      </c>
      <c r="G1565" s="15" t="s">
        <v>27</v>
      </c>
      <c r="H1565" s="16" t="s">
        <v>5682</v>
      </c>
      <c r="I1565" s="17"/>
      <c r="J1565" s="17"/>
      <c r="K1565" s="17"/>
      <c r="L1565" s="17"/>
      <c r="T1565" s="13"/>
      <c r="U1565" s="13"/>
      <c r="V1565" s="13"/>
      <c r="W1565" s="13"/>
    </row>
    <row r="1566" spans="4:23" ht="27" customHeight="1" x14ac:dyDescent="0.25">
      <c r="D1566" s="14" t="s">
        <v>5683</v>
      </c>
      <c r="E1566" s="14" t="s">
        <v>4039</v>
      </c>
      <c r="F1566" s="84" t="s">
        <v>194</v>
      </c>
      <c r="G1566" s="15" t="s">
        <v>27</v>
      </c>
      <c r="H1566" s="16" t="s">
        <v>5684</v>
      </c>
      <c r="I1566" s="17"/>
      <c r="J1566" s="17"/>
      <c r="K1566" s="17"/>
      <c r="L1566" s="17"/>
      <c r="T1566" s="13"/>
      <c r="U1566" s="13"/>
      <c r="V1566" s="13"/>
      <c r="W1566" s="13"/>
    </row>
    <row r="1567" spans="4:23" ht="27" customHeight="1" x14ac:dyDescent="0.25">
      <c r="D1567" s="14" t="s">
        <v>5685</v>
      </c>
      <c r="E1567" s="14" t="s">
        <v>5686</v>
      </c>
      <c r="F1567" s="84" t="s">
        <v>422</v>
      </c>
      <c r="G1567" s="15" t="s">
        <v>27</v>
      </c>
      <c r="H1567" s="16" t="s">
        <v>5687</v>
      </c>
      <c r="I1567" s="17"/>
      <c r="J1567" s="17"/>
      <c r="K1567" s="17"/>
      <c r="L1567" s="17"/>
      <c r="T1567" s="13"/>
      <c r="U1567" s="13"/>
      <c r="V1567" s="13"/>
      <c r="W1567" s="13"/>
    </row>
    <row r="1568" spans="4:23" ht="27" customHeight="1" x14ac:dyDescent="0.25">
      <c r="D1568" s="14" t="s">
        <v>5688</v>
      </c>
      <c r="E1568" s="14" t="s">
        <v>5689</v>
      </c>
      <c r="F1568" s="84" t="s">
        <v>2773</v>
      </c>
      <c r="G1568" s="15" t="s">
        <v>27</v>
      </c>
      <c r="H1568" s="16" t="s">
        <v>5690</v>
      </c>
      <c r="I1568" s="17"/>
      <c r="J1568" s="17"/>
      <c r="K1568" s="17"/>
      <c r="L1568" s="17"/>
      <c r="T1568" s="13"/>
      <c r="U1568" s="13"/>
      <c r="V1568" s="13"/>
      <c r="W1568" s="13"/>
    </row>
    <row r="1569" spans="4:23" ht="27" customHeight="1" x14ac:dyDescent="0.25">
      <c r="D1569" s="14" t="s">
        <v>5691</v>
      </c>
      <c r="E1569" s="14" t="s">
        <v>5692</v>
      </c>
      <c r="F1569" s="84" t="s">
        <v>490</v>
      </c>
      <c r="G1569" s="15" t="s">
        <v>27</v>
      </c>
      <c r="H1569" s="16" t="s">
        <v>5693</v>
      </c>
      <c r="I1569" s="17"/>
      <c r="J1569" s="17"/>
      <c r="K1569" s="17"/>
      <c r="L1569" s="17"/>
      <c r="T1569" s="13"/>
      <c r="U1569" s="13"/>
      <c r="V1569" s="13"/>
      <c r="W1569" s="13"/>
    </row>
    <row r="1570" spans="4:23" ht="27" customHeight="1" x14ac:dyDescent="0.25">
      <c r="D1570" s="14" t="s">
        <v>5694</v>
      </c>
      <c r="E1570" s="14" t="s">
        <v>5695</v>
      </c>
      <c r="F1570" s="84" t="s">
        <v>2773</v>
      </c>
      <c r="G1570" s="15" t="s">
        <v>27</v>
      </c>
      <c r="H1570" s="16" t="s">
        <v>5696</v>
      </c>
      <c r="I1570" s="17"/>
      <c r="J1570" s="17"/>
      <c r="K1570" s="17"/>
      <c r="L1570" s="17"/>
      <c r="T1570" s="13"/>
      <c r="U1570" s="13"/>
      <c r="V1570" s="13"/>
      <c r="W1570" s="13"/>
    </row>
    <row r="1571" spans="4:23" ht="27" customHeight="1" x14ac:dyDescent="0.25">
      <c r="D1571" s="14" t="s">
        <v>5697</v>
      </c>
      <c r="E1571" s="14" t="s">
        <v>4732</v>
      </c>
      <c r="F1571" s="84" t="s">
        <v>402</v>
      </c>
      <c r="G1571" s="15" t="s">
        <v>27</v>
      </c>
      <c r="H1571" s="16" t="s">
        <v>5698</v>
      </c>
      <c r="I1571" s="17"/>
      <c r="J1571" s="17"/>
      <c r="K1571" s="17"/>
      <c r="L1571" s="17"/>
      <c r="T1571" s="13"/>
      <c r="U1571" s="13"/>
      <c r="V1571" s="13"/>
      <c r="W1571" s="13"/>
    </row>
    <row r="1572" spans="4:23" ht="27" customHeight="1" x14ac:dyDescent="0.25">
      <c r="D1572" s="14" t="s">
        <v>5699</v>
      </c>
      <c r="E1572" s="14" t="s">
        <v>5700</v>
      </c>
      <c r="F1572" s="84" t="s">
        <v>386</v>
      </c>
      <c r="G1572" s="15" t="s">
        <v>27</v>
      </c>
      <c r="H1572" s="16" t="s">
        <v>5701</v>
      </c>
      <c r="I1572" s="17"/>
      <c r="J1572" s="17"/>
      <c r="K1572" s="17"/>
      <c r="L1572" s="17"/>
      <c r="T1572" s="13"/>
      <c r="U1572" s="13"/>
      <c r="V1572" s="13"/>
      <c r="W1572" s="13"/>
    </row>
    <row r="1573" spans="4:23" ht="27" customHeight="1" x14ac:dyDescent="0.25">
      <c r="D1573" s="14" t="s">
        <v>5702</v>
      </c>
      <c r="E1573" s="14" t="s">
        <v>5703</v>
      </c>
      <c r="F1573" s="84" t="s">
        <v>1563</v>
      </c>
      <c r="G1573" s="15" t="s">
        <v>68</v>
      </c>
      <c r="H1573" s="16" t="s">
        <v>5704</v>
      </c>
      <c r="I1573" s="17"/>
      <c r="J1573" s="17"/>
      <c r="K1573" s="17"/>
      <c r="L1573" s="17"/>
      <c r="T1573" s="13"/>
      <c r="U1573" s="13"/>
      <c r="V1573" s="13"/>
      <c r="W1573" s="13"/>
    </row>
    <row r="1574" spans="4:23" ht="27" customHeight="1" x14ac:dyDescent="0.25">
      <c r="D1574" s="14" t="s">
        <v>5705</v>
      </c>
      <c r="E1574" s="14" t="s">
        <v>5706</v>
      </c>
      <c r="F1574" s="84" t="s">
        <v>137</v>
      </c>
      <c r="G1574" s="15" t="s">
        <v>68</v>
      </c>
      <c r="H1574" s="16" t="s">
        <v>5707</v>
      </c>
      <c r="I1574" s="17"/>
      <c r="J1574" s="17"/>
      <c r="K1574" s="17"/>
      <c r="L1574" s="17"/>
      <c r="T1574" s="13"/>
      <c r="U1574" s="13"/>
      <c r="V1574" s="13"/>
      <c r="W1574" s="13"/>
    </row>
    <row r="1575" spans="4:23" ht="27" customHeight="1" x14ac:dyDescent="0.25">
      <c r="D1575" s="14" t="s">
        <v>5708</v>
      </c>
      <c r="E1575" s="14" t="s">
        <v>5709</v>
      </c>
      <c r="F1575" s="84" t="s">
        <v>233</v>
      </c>
      <c r="G1575" s="15" t="s">
        <v>68</v>
      </c>
      <c r="H1575" s="16" t="s">
        <v>5710</v>
      </c>
      <c r="I1575" s="17"/>
      <c r="J1575" s="17"/>
      <c r="K1575" s="17"/>
      <c r="L1575" s="17"/>
      <c r="T1575" s="13"/>
      <c r="U1575" s="13"/>
      <c r="V1575" s="13"/>
      <c r="W1575" s="13"/>
    </row>
    <row r="1576" spans="4:23" ht="27" customHeight="1" x14ac:dyDescent="0.25">
      <c r="D1576" s="14" t="s">
        <v>5711</v>
      </c>
      <c r="E1576" s="14" t="s">
        <v>2080</v>
      </c>
      <c r="F1576" s="84" t="s">
        <v>934</v>
      </c>
      <c r="G1576" s="15" t="s">
        <v>27</v>
      </c>
      <c r="H1576" s="16" t="s">
        <v>5712</v>
      </c>
      <c r="I1576" s="17"/>
      <c r="J1576" s="17"/>
      <c r="K1576" s="17"/>
      <c r="L1576" s="17"/>
      <c r="T1576" s="13"/>
      <c r="U1576" s="13"/>
      <c r="V1576" s="13"/>
      <c r="W1576" s="13"/>
    </row>
    <row r="1577" spans="4:23" ht="27" customHeight="1" x14ac:dyDescent="0.25">
      <c r="D1577" s="14" t="s">
        <v>5713</v>
      </c>
      <c r="E1577" s="14" t="s">
        <v>3231</v>
      </c>
      <c r="F1577" s="84" t="s">
        <v>1473</v>
      </c>
      <c r="G1577" s="15" t="s">
        <v>68</v>
      </c>
      <c r="H1577" s="16" t="s">
        <v>5714</v>
      </c>
      <c r="I1577" s="17"/>
      <c r="J1577" s="17"/>
      <c r="K1577" s="17"/>
      <c r="L1577" s="17"/>
      <c r="T1577" s="13"/>
      <c r="U1577" s="13"/>
      <c r="V1577" s="13"/>
      <c r="W1577" s="13"/>
    </row>
    <row r="1578" spans="4:23" ht="27" customHeight="1" x14ac:dyDescent="0.25">
      <c r="D1578" s="14" t="s">
        <v>5715</v>
      </c>
      <c r="E1578" s="14" t="s">
        <v>5716</v>
      </c>
      <c r="F1578" s="84" t="s">
        <v>233</v>
      </c>
      <c r="G1578" s="15" t="s">
        <v>27</v>
      </c>
      <c r="H1578" s="16" t="s">
        <v>5717</v>
      </c>
      <c r="I1578" s="17"/>
      <c r="J1578" s="17"/>
      <c r="K1578" s="17"/>
      <c r="L1578" s="17"/>
      <c r="T1578" s="13"/>
      <c r="U1578" s="13"/>
      <c r="V1578" s="13"/>
      <c r="W1578" s="13"/>
    </row>
    <row r="1579" spans="4:23" ht="27" customHeight="1" x14ac:dyDescent="0.25">
      <c r="D1579" s="14" t="s">
        <v>5718</v>
      </c>
      <c r="E1579" s="14" t="s">
        <v>5486</v>
      </c>
      <c r="F1579" s="84" t="s">
        <v>46</v>
      </c>
      <c r="G1579" s="15" t="s">
        <v>27</v>
      </c>
      <c r="H1579" s="16" t="s">
        <v>5719</v>
      </c>
      <c r="I1579" s="17"/>
      <c r="J1579" s="17"/>
      <c r="K1579" s="17"/>
      <c r="L1579" s="17"/>
      <c r="T1579" s="13"/>
      <c r="U1579" s="13"/>
      <c r="V1579" s="13"/>
      <c r="W1579" s="13"/>
    </row>
    <row r="1580" spans="4:23" ht="27" customHeight="1" x14ac:dyDescent="0.25">
      <c r="D1580" s="14" t="s">
        <v>5720</v>
      </c>
      <c r="E1580" s="14" t="s">
        <v>5721</v>
      </c>
      <c r="F1580" s="84" t="s">
        <v>188</v>
      </c>
      <c r="G1580" s="15" t="s">
        <v>68</v>
      </c>
      <c r="H1580" s="16" t="s">
        <v>5722</v>
      </c>
      <c r="I1580" s="17"/>
      <c r="J1580" s="17"/>
      <c r="K1580" s="17"/>
      <c r="L1580" s="17"/>
      <c r="T1580" s="13"/>
      <c r="U1580" s="13"/>
      <c r="V1580" s="13"/>
      <c r="W1580" s="13"/>
    </row>
    <row r="1581" spans="4:23" ht="27" customHeight="1" x14ac:dyDescent="0.25">
      <c r="D1581" s="14" t="s">
        <v>5723</v>
      </c>
      <c r="E1581" s="14" t="s">
        <v>5724</v>
      </c>
      <c r="F1581" s="84" t="s">
        <v>969</v>
      </c>
      <c r="G1581" s="15" t="s">
        <v>27</v>
      </c>
      <c r="H1581" s="16" t="s">
        <v>5725</v>
      </c>
      <c r="I1581" s="17"/>
      <c r="J1581" s="17"/>
      <c r="K1581" s="17"/>
      <c r="L1581" s="17"/>
      <c r="T1581" s="13"/>
      <c r="U1581" s="13"/>
      <c r="V1581" s="13"/>
      <c r="W1581" s="13"/>
    </row>
    <row r="1582" spans="4:23" ht="27" customHeight="1" x14ac:dyDescent="0.25">
      <c r="D1582" s="14" t="s">
        <v>5726</v>
      </c>
      <c r="E1582" s="14" t="s">
        <v>5727</v>
      </c>
      <c r="F1582" s="84" t="s">
        <v>614</v>
      </c>
      <c r="G1582" s="15" t="s">
        <v>27</v>
      </c>
      <c r="H1582" s="16" t="s">
        <v>5728</v>
      </c>
      <c r="I1582" s="17"/>
      <c r="J1582" s="17"/>
      <c r="K1582" s="17"/>
      <c r="L1582" s="17"/>
      <c r="T1582" s="13"/>
      <c r="U1582" s="13"/>
      <c r="V1582" s="13"/>
      <c r="W1582" s="13"/>
    </row>
    <row r="1583" spans="4:23" ht="27" customHeight="1" x14ac:dyDescent="0.25">
      <c r="D1583" s="14" t="s">
        <v>5729</v>
      </c>
      <c r="E1583" s="14" t="s">
        <v>5358</v>
      </c>
      <c r="F1583" s="84" t="s">
        <v>407</v>
      </c>
      <c r="G1583" s="15" t="s">
        <v>27</v>
      </c>
      <c r="H1583" s="16" t="s">
        <v>5730</v>
      </c>
      <c r="I1583" s="17"/>
      <c r="J1583" s="17"/>
      <c r="K1583" s="17"/>
      <c r="L1583" s="17"/>
      <c r="T1583" s="13"/>
      <c r="U1583" s="13"/>
      <c r="V1583" s="13"/>
      <c r="W1583" s="13"/>
    </row>
    <row r="1584" spans="4:23" ht="27" customHeight="1" x14ac:dyDescent="0.25">
      <c r="D1584" s="14" t="s">
        <v>5731</v>
      </c>
      <c r="E1584" s="14" t="s">
        <v>5732</v>
      </c>
      <c r="F1584" s="84" t="s">
        <v>847</v>
      </c>
      <c r="G1584" s="15" t="s">
        <v>68</v>
      </c>
      <c r="H1584" s="16" t="s">
        <v>5733</v>
      </c>
      <c r="I1584" s="17"/>
      <c r="J1584" s="17"/>
      <c r="K1584" s="17"/>
      <c r="L1584" s="17"/>
      <c r="T1584" s="13"/>
      <c r="U1584" s="13"/>
      <c r="V1584" s="13"/>
      <c r="W1584" s="13"/>
    </row>
    <row r="1585" spans="4:23" ht="27" customHeight="1" x14ac:dyDescent="0.25">
      <c r="D1585" s="14" t="s">
        <v>5734</v>
      </c>
      <c r="E1585" s="14" t="s">
        <v>5735</v>
      </c>
      <c r="F1585" s="84" t="s">
        <v>551</v>
      </c>
      <c r="G1585" s="15" t="s">
        <v>68</v>
      </c>
      <c r="H1585" s="16" t="s">
        <v>5736</v>
      </c>
      <c r="I1585" s="17"/>
      <c r="J1585" s="17"/>
      <c r="K1585" s="17"/>
      <c r="L1585" s="17"/>
      <c r="T1585" s="13"/>
      <c r="U1585" s="13"/>
      <c r="V1585" s="13"/>
      <c r="W1585" s="13"/>
    </row>
    <row r="1586" spans="4:23" ht="27" customHeight="1" x14ac:dyDescent="0.25">
      <c r="D1586" s="14" t="s">
        <v>5737</v>
      </c>
      <c r="E1586" s="14" t="s">
        <v>4186</v>
      </c>
      <c r="F1586" s="84" t="s">
        <v>239</v>
      </c>
      <c r="G1586" s="15" t="s">
        <v>27</v>
      </c>
      <c r="H1586" s="16" t="s">
        <v>5738</v>
      </c>
      <c r="I1586" s="17"/>
      <c r="J1586" s="17"/>
      <c r="K1586" s="17"/>
      <c r="L1586" s="17"/>
      <c r="T1586" s="13"/>
      <c r="U1586" s="13"/>
      <c r="V1586" s="13"/>
      <c r="W1586" s="13"/>
    </row>
    <row r="1587" spans="4:23" ht="27" customHeight="1" x14ac:dyDescent="0.25">
      <c r="D1587" s="14" t="s">
        <v>5739</v>
      </c>
      <c r="E1587" s="14" t="s">
        <v>5740</v>
      </c>
      <c r="F1587" s="84" t="s">
        <v>417</v>
      </c>
      <c r="G1587" s="15" t="s">
        <v>27</v>
      </c>
      <c r="H1587" s="16" t="s">
        <v>5741</v>
      </c>
      <c r="I1587" s="17"/>
      <c r="J1587" s="17"/>
      <c r="K1587" s="17"/>
      <c r="L1587" s="17"/>
      <c r="T1587" s="13"/>
      <c r="U1587" s="13"/>
      <c r="V1587" s="13"/>
      <c r="W1587" s="13"/>
    </row>
    <row r="1588" spans="4:23" ht="27" customHeight="1" x14ac:dyDescent="0.25">
      <c r="D1588" s="14" t="s">
        <v>5742</v>
      </c>
      <c r="E1588" s="14" t="s">
        <v>4527</v>
      </c>
      <c r="F1588" s="84" t="s">
        <v>1118</v>
      </c>
      <c r="G1588" s="15" t="s">
        <v>68</v>
      </c>
      <c r="H1588" s="16" t="s">
        <v>5743</v>
      </c>
      <c r="I1588" s="17"/>
      <c r="J1588" s="17"/>
      <c r="K1588" s="17"/>
      <c r="L1588" s="17"/>
      <c r="T1588" s="13"/>
      <c r="U1588" s="13"/>
      <c r="V1588" s="13"/>
      <c r="W1588" s="13"/>
    </row>
    <row r="1589" spans="4:23" ht="27" customHeight="1" x14ac:dyDescent="0.25">
      <c r="D1589" s="14" t="s">
        <v>5744</v>
      </c>
      <c r="E1589" s="14" t="s">
        <v>4231</v>
      </c>
      <c r="F1589" s="84" t="s">
        <v>348</v>
      </c>
      <c r="G1589" s="15" t="s">
        <v>27</v>
      </c>
      <c r="H1589" s="16" t="s">
        <v>5745</v>
      </c>
      <c r="I1589" s="17"/>
      <c r="J1589" s="17"/>
      <c r="K1589" s="17"/>
      <c r="L1589" s="17"/>
      <c r="T1589" s="13"/>
      <c r="U1589" s="13"/>
      <c r="V1589" s="13"/>
      <c r="W1589" s="13"/>
    </row>
    <row r="1590" spans="4:23" ht="27" customHeight="1" x14ac:dyDescent="0.25">
      <c r="D1590" s="14" t="s">
        <v>5746</v>
      </c>
      <c r="E1590" s="14" t="s">
        <v>4539</v>
      </c>
      <c r="F1590" s="84" t="s">
        <v>1118</v>
      </c>
      <c r="G1590" s="15" t="s">
        <v>68</v>
      </c>
      <c r="H1590" s="16" t="s">
        <v>5747</v>
      </c>
      <c r="I1590" s="17"/>
      <c r="J1590" s="17"/>
      <c r="K1590" s="17"/>
      <c r="L1590" s="17"/>
      <c r="T1590" s="13"/>
      <c r="U1590" s="13"/>
      <c r="V1590" s="13"/>
      <c r="W1590" s="13"/>
    </row>
    <row r="1591" spans="4:23" ht="27" customHeight="1" x14ac:dyDescent="0.25">
      <c r="D1591" s="14" t="s">
        <v>5748</v>
      </c>
      <c r="E1591" s="14" t="s">
        <v>1792</v>
      </c>
      <c r="F1591" s="84" t="s">
        <v>847</v>
      </c>
      <c r="G1591" s="15" t="s">
        <v>68</v>
      </c>
      <c r="H1591" s="16" t="s">
        <v>5749</v>
      </c>
      <c r="I1591" s="17"/>
      <c r="J1591" s="17"/>
      <c r="K1591" s="17"/>
      <c r="L1591" s="17"/>
      <c r="T1591" s="13"/>
      <c r="U1591" s="13"/>
      <c r="V1591" s="13"/>
      <c r="W1591" s="13"/>
    </row>
    <row r="1592" spans="4:23" ht="27" customHeight="1" x14ac:dyDescent="0.25">
      <c r="D1592" s="14" t="s">
        <v>5750</v>
      </c>
      <c r="E1592" s="14" t="s">
        <v>4792</v>
      </c>
      <c r="F1592" s="84" t="s">
        <v>402</v>
      </c>
      <c r="G1592" s="15" t="s">
        <v>27</v>
      </c>
      <c r="H1592" s="16" t="s">
        <v>5751</v>
      </c>
      <c r="I1592" s="17"/>
      <c r="J1592" s="17"/>
      <c r="K1592" s="17"/>
      <c r="L1592" s="17"/>
      <c r="T1592" s="13"/>
      <c r="U1592" s="13"/>
      <c r="V1592" s="13"/>
      <c r="W1592" s="13"/>
    </row>
    <row r="1593" spans="4:23" ht="27" customHeight="1" x14ac:dyDescent="0.25">
      <c r="D1593" s="14" t="s">
        <v>5752</v>
      </c>
      <c r="E1593" s="14" t="s">
        <v>931</v>
      </c>
      <c r="F1593" s="84" t="s">
        <v>653</v>
      </c>
      <c r="G1593" s="15" t="s">
        <v>68</v>
      </c>
      <c r="H1593" s="16" t="s">
        <v>5753</v>
      </c>
      <c r="I1593" s="17"/>
      <c r="J1593" s="17"/>
      <c r="K1593" s="17"/>
      <c r="L1593" s="17"/>
      <c r="T1593" s="13"/>
      <c r="U1593" s="13"/>
      <c r="V1593" s="13"/>
      <c r="W1593" s="13"/>
    </row>
    <row r="1594" spans="4:23" ht="27" customHeight="1" x14ac:dyDescent="0.25">
      <c r="D1594" s="14" t="s">
        <v>5754</v>
      </c>
      <c r="E1594" s="14" t="s">
        <v>5755</v>
      </c>
      <c r="F1594" s="84" t="s">
        <v>92</v>
      </c>
      <c r="G1594" s="15" t="s">
        <v>68</v>
      </c>
      <c r="H1594" s="16" t="s">
        <v>5756</v>
      </c>
      <c r="I1594" s="17"/>
      <c r="J1594" s="17"/>
      <c r="K1594" s="17"/>
      <c r="L1594" s="17"/>
      <c r="T1594" s="13"/>
      <c r="U1594" s="13"/>
      <c r="V1594" s="13"/>
      <c r="W1594" s="13"/>
    </row>
    <row r="1595" spans="4:23" ht="27" customHeight="1" x14ac:dyDescent="0.25">
      <c r="D1595" s="14" t="s">
        <v>5757</v>
      </c>
      <c r="E1595" s="14" t="s">
        <v>5758</v>
      </c>
      <c r="F1595" s="84" t="s">
        <v>934</v>
      </c>
      <c r="G1595" s="15" t="s">
        <v>27</v>
      </c>
      <c r="H1595" s="16" t="s">
        <v>5759</v>
      </c>
      <c r="I1595" s="17"/>
      <c r="J1595" s="17"/>
      <c r="K1595" s="17"/>
      <c r="L1595" s="17"/>
      <c r="T1595" s="13"/>
      <c r="U1595" s="13"/>
      <c r="V1595" s="13"/>
      <c r="W1595" s="13"/>
    </row>
    <row r="1596" spans="4:23" ht="27" customHeight="1" x14ac:dyDescent="0.25">
      <c r="D1596" s="14" t="s">
        <v>5760</v>
      </c>
      <c r="E1596" s="14" t="s">
        <v>5761</v>
      </c>
      <c r="F1596" s="84" t="s">
        <v>143</v>
      </c>
      <c r="G1596" s="15" t="s">
        <v>27</v>
      </c>
      <c r="H1596" s="16" t="s">
        <v>5762</v>
      </c>
      <c r="I1596" s="17"/>
      <c r="J1596" s="17"/>
      <c r="K1596" s="17"/>
      <c r="L1596" s="17"/>
      <c r="T1596" s="13"/>
      <c r="U1596" s="13"/>
      <c r="V1596" s="13"/>
      <c r="W1596" s="13"/>
    </row>
    <row r="1597" spans="4:23" ht="27" customHeight="1" x14ac:dyDescent="0.25">
      <c r="D1597" s="14" t="s">
        <v>5763</v>
      </c>
      <c r="E1597" s="14" t="s">
        <v>5764</v>
      </c>
      <c r="F1597" s="84" t="s">
        <v>302</v>
      </c>
      <c r="G1597" s="15" t="s">
        <v>27</v>
      </c>
      <c r="H1597" s="16" t="s">
        <v>5765</v>
      </c>
      <c r="I1597" s="17"/>
      <c r="J1597" s="17"/>
      <c r="K1597" s="17"/>
      <c r="L1597" s="17"/>
      <c r="T1597" s="13"/>
      <c r="U1597" s="13"/>
      <c r="V1597" s="13"/>
      <c r="W1597" s="13"/>
    </row>
    <row r="1598" spans="4:23" ht="27" customHeight="1" x14ac:dyDescent="0.25">
      <c r="D1598" s="14" t="s">
        <v>5766</v>
      </c>
      <c r="E1598" s="14" t="s">
        <v>5154</v>
      </c>
      <c r="F1598" s="84" t="s">
        <v>121</v>
      </c>
      <c r="G1598" s="15" t="s">
        <v>68</v>
      </c>
      <c r="H1598" s="16" t="s">
        <v>5767</v>
      </c>
      <c r="I1598" s="17"/>
      <c r="J1598" s="17"/>
      <c r="K1598" s="17"/>
      <c r="L1598" s="17"/>
      <c r="T1598" s="13"/>
      <c r="U1598" s="13"/>
      <c r="V1598" s="13"/>
      <c r="W1598" s="13"/>
    </row>
    <row r="1599" spans="4:23" ht="27" customHeight="1" x14ac:dyDescent="0.25">
      <c r="D1599" s="14" t="s">
        <v>5768</v>
      </c>
      <c r="E1599" s="14" t="s">
        <v>2970</v>
      </c>
      <c r="F1599" s="84" t="s">
        <v>92</v>
      </c>
      <c r="G1599" s="15" t="s">
        <v>27</v>
      </c>
      <c r="H1599" s="16" t="s">
        <v>5769</v>
      </c>
      <c r="I1599" s="17"/>
      <c r="J1599" s="17"/>
      <c r="K1599" s="17"/>
      <c r="L1599" s="17"/>
      <c r="T1599" s="13"/>
      <c r="U1599" s="13"/>
      <c r="V1599" s="13"/>
      <c r="W1599" s="13"/>
    </row>
    <row r="1600" spans="4:23" ht="27" customHeight="1" x14ac:dyDescent="0.25">
      <c r="D1600" s="14" t="s">
        <v>5770</v>
      </c>
      <c r="E1600" s="14" t="s">
        <v>5771</v>
      </c>
      <c r="F1600" s="84" t="s">
        <v>614</v>
      </c>
      <c r="G1600" s="15" t="s">
        <v>27</v>
      </c>
      <c r="H1600" s="16" t="s">
        <v>5772</v>
      </c>
      <c r="I1600" s="17"/>
      <c r="J1600" s="17"/>
      <c r="K1600" s="17"/>
      <c r="L1600" s="17"/>
      <c r="T1600" s="13"/>
      <c r="U1600" s="13"/>
      <c r="V1600" s="13"/>
      <c r="W1600" s="13"/>
    </row>
    <row r="1601" spans="4:23" ht="27" customHeight="1" x14ac:dyDescent="0.25">
      <c r="D1601" s="14" t="s">
        <v>5773</v>
      </c>
      <c r="E1601" s="14" t="s">
        <v>761</v>
      </c>
      <c r="F1601" s="84" t="s">
        <v>2997</v>
      </c>
      <c r="G1601" s="15" t="s">
        <v>27</v>
      </c>
      <c r="H1601" s="16" t="s">
        <v>5774</v>
      </c>
      <c r="I1601" s="17"/>
      <c r="J1601" s="17"/>
      <c r="K1601" s="17"/>
      <c r="L1601" s="17"/>
      <c r="T1601" s="13"/>
      <c r="U1601" s="13"/>
      <c r="V1601" s="13"/>
      <c r="W1601" s="13"/>
    </row>
    <row r="1602" spans="4:23" ht="27" customHeight="1" x14ac:dyDescent="0.25">
      <c r="D1602" s="14" t="s">
        <v>5775</v>
      </c>
      <c r="E1602" s="14" t="s">
        <v>4999</v>
      </c>
      <c r="F1602" s="84" t="s">
        <v>206</v>
      </c>
      <c r="G1602" s="15" t="s">
        <v>68</v>
      </c>
      <c r="H1602" s="16" t="s">
        <v>5776</v>
      </c>
      <c r="I1602" s="17"/>
      <c r="J1602" s="17"/>
      <c r="K1602" s="17"/>
      <c r="L1602" s="17"/>
      <c r="T1602" s="13"/>
      <c r="U1602" s="13"/>
      <c r="V1602" s="13"/>
      <c r="W1602" s="13"/>
    </row>
    <row r="1603" spans="4:23" ht="27" customHeight="1" x14ac:dyDescent="0.25">
      <c r="D1603" s="14" t="s">
        <v>5777</v>
      </c>
      <c r="E1603" s="14" t="s">
        <v>2485</v>
      </c>
      <c r="F1603" s="84" t="s">
        <v>114</v>
      </c>
      <c r="G1603" s="15" t="s">
        <v>27</v>
      </c>
      <c r="H1603" s="16" t="s">
        <v>5778</v>
      </c>
      <c r="I1603" s="17"/>
      <c r="J1603" s="17"/>
      <c r="K1603" s="17"/>
      <c r="L1603" s="17"/>
      <c r="T1603" s="13"/>
      <c r="U1603" s="13"/>
      <c r="V1603" s="13"/>
      <c r="W1603" s="13"/>
    </row>
    <row r="1604" spans="4:23" ht="27" customHeight="1" x14ac:dyDescent="0.25">
      <c r="D1604" s="14" t="s">
        <v>5779</v>
      </c>
      <c r="E1604" s="14" t="s">
        <v>5780</v>
      </c>
      <c r="F1604" s="84" t="s">
        <v>3253</v>
      </c>
      <c r="G1604" s="15" t="s">
        <v>27</v>
      </c>
      <c r="H1604" s="16" t="s">
        <v>5781</v>
      </c>
      <c r="I1604" s="17"/>
      <c r="J1604" s="17"/>
      <c r="K1604" s="17"/>
      <c r="L1604" s="17"/>
      <c r="T1604" s="13"/>
      <c r="U1604" s="13"/>
      <c r="V1604" s="13"/>
      <c r="W1604" s="13"/>
    </row>
    <row r="1605" spans="4:23" ht="27" customHeight="1" x14ac:dyDescent="0.25">
      <c r="D1605" s="14" t="s">
        <v>5782</v>
      </c>
      <c r="E1605" s="14" t="s">
        <v>5783</v>
      </c>
      <c r="F1605" s="84" t="s">
        <v>952</v>
      </c>
      <c r="G1605" s="15" t="s">
        <v>27</v>
      </c>
      <c r="H1605" s="16" t="s">
        <v>5784</v>
      </c>
      <c r="I1605" s="17"/>
      <c r="J1605" s="17"/>
      <c r="K1605" s="17"/>
      <c r="L1605" s="17"/>
      <c r="T1605" s="13"/>
      <c r="U1605" s="13"/>
      <c r="V1605" s="13"/>
      <c r="W1605" s="13"/>
    </row>
    <row r="1606" spans="4:23" ht="27" customHeight="1" x14ac:dyDescent="0.25">
      <c r="D1606" s="14" t="s">
        <v>5785</v>
      </c>
      <c r="E1606" s="14" t="s">
        <v>2204</v>
      </c>
      <c r="F1606" s="84" t="s">
        <v>466</v>
      </c>
      <c r="G1606" s="15" t="s">
        <v>27</v>
      </c>
      <c r="H1606" s="16" t="s">
        <v>5786</v>
      </c>
      <c r="I1606" s="17"/>
      <c r="J1606" s="17"/>
      <c r="K1606" s="17"/>
      <c r="L1606" s="17"/>
      <c r="T1606" s="13"/>
      <c r="U1606" s="13"/>
      <c r="V1606" s="13"/>
      <c r="W1606" s="13"/>
    </row>
    <row r="1607" spans="4:23" ht="27" customHeight="1" x14ac:dyDescent="0.25">
      <c r="D1607" s="14" t="s">
        <v>5787</v>
      </c>
      <c r="E1607" s="14" t="s">
        <v>5788</v>
      </c>
      <c r="F1607" s="84" t="s">
        <v>764</v>
      </c>
      <c r="G1607" s="15" t="s">
        <v>27</v>
      </c>
      <c r="H1607" s="16" t="s">
        <v>5789</v>
      </c>
      <c r="I1607" s="17"/>
      <c r="J1607" s="17"/>
      <c r="K1607" s="17"/>
      <c r="L1607" s="17"/>
      <c r="T1607" s="13"/>
      <c r="U1607" s="13"/>
      <c r="V1607" s="13"/>
      <c r="W1607" s="13"/>
    </row>
    <row r="1608" spans="4:23" ht="27" customHeight="1" x14ac:dyDescent="0.25">
      <c r="D1608" s="14" t="s">
        <v>5790</v>
      </c>
      <c r="E1608" s="14" t="s">
        <v>5791</v>
      </c>
      <c r="F1608" s="84" t="s">
        <v>149</v>
      </c>
      <c r="G1608" s="15" t="s">
        <v>68</v>
      </c>
      <c r="H1608" s="16" t="s">
        <v>5792</v>
      </c>
      <c r="I1608" s="17"/>
      <c r="J1608" s="17"/>
      <c r="K1608" s="17"/>
      <c r="L1608" s="17"/>
      <c r="T1608" s="13"/>
      <c r="U1608" s="13"/>
      <c r="V1608" s="13"/>
      <c r="W1608" s="13"/>
    </row>
    <row r="1609" spans="4:23" ht="27" customHeight="1" x14ac:dyDescent="0.25">
      <c r="D1609" s="14" t="s">
        <v>5793</v>
      </c>
      <c r="E1609" s="14" t="s">
        <v>4334</v>
      </c>
      <c r="F1609" s="84" t="s">
        <v>710</v>
      </c>
      <c r="G1609" s="15" t="s">
        <v>27</v>
      </c>
      <c r="H1609" s="16" t="s">
        <v>5794</v>
      </c>
      <c r="I1609" s="17"/>
      <c r="J1609" s="17"/>
      <c r="K1609" s="17"/>
      <c r="L1609" s="17"/>
      <c r="T1609" s="13"/>
      <c r="U1609" s="13"/>
      <c r="V1609" s="13"/>
      <c r="W1609" s="13"/>
    </row>
    <row r="1610" spans="4:23" ht="27" customHeight="1" x14ac:dyDescent="0.25">
      <c r="D1610" s="14" t="s">
        <v>5795</v>
      </c>
      <c r="E1610" s="14" t="s">
        <v>5796</v>
      </c>
      <c r="F1610" s="84" t="s">
        <v>280</v>
      </c>
      <c r="G1610" s="15" t="s">
        <v>68</v>
      </c>
      <c r="H1610" s="16" t="s">
        <v>5797</v>
      </c>
      <c r="I1610" s="17"/>
      <c r="J1610" s="17"/>
      <c r="K1610" s="17"/>
      <c r="L1610" s="17"/>
      <c r="T1610" s="13"/>
      <c r="U1610" s="13"/>
      <c r="V1610" s="13"/>
      <c r="W1610" s="13"/>
    </row>
    <row r="1611" spans="4:23" ht="27" customHeight="1" x14ac:dyDescent="0.25">
      <c r="D1611" s="14" t="s">
        <v>5798</v>
      </c>
      <c r="E1611" s="14" t="s">
        <v>5799</v>
      </c>
      <c r="F1611" s="84" t="s">
        <v>602</v>
      </c>
      <c r="G1611" s="15" t="s">
        <v>27</v>
      </c>
      <c r="H1611" s="16" t="s">
        <v>5800</v>
      </c>
      <c r="I1611" s="17"/>
      <c r="J1611" s="17"/>
      <c r="K1611" s="17"/>
      <c r="L1611" s="17"/>
      <c r="T1611" s="13"/>
      <c r="U1611" s="13"/>
      <c r="V1611" s="13"/>
      <c r="W1611" s="13"/>
    </row>
    <row r="1612" spans="4:23" ht="27" customHeight="1" x14ac:dyDescent="0.25">
      <c r="D1612" s="14" t="s">
        <v>5801</v>
      </c>
      <c r="E1612" s="14" t="s">
        <v>4817</v>
      </c>
      <c r="F1612" s="84" t="s">
        <v>402</v>
      </c>
      <c r="G1612" s="15" t="s">
        <v>27</v>
      </c>
      <c r="H1612" s="16" t="s">
        <v>5802</v>
      </c>
      <c r="I1612" s="17"/>
      <c r="J1612" s="17"/>
      <c r="K1612" s="17"/>
      <c r="L1612" s="17"/>
      <c r="T1612" s="13"/>
      <c r="U1612" s="13"/>
      <c r="V1612" s="13"/>
      <c r="W1612" s="13"/>
    </row>
    <row r="1613" spans="4:23" ht="27" customHeight="1" x14ac:dyDescent="0.25">
      <c r="D1613" s="14" t="s">
        <v>5803</v>
      </c>
      <c r="E1613" s="14" t="s">
        <v>5804</v>
      </c>
      <c r="F1613" s="84" t="s">
        <v>321</v>
      </c>
      <c r="G1613" s="15" t="s">
        <v>27</v>
      </c>
      <c r="H1613" s="16" t="s">
        <v>5805</v>
      </c>
      <c r="I1613" s="17"/>
      <c r="J1613" s="17"/>
      <c r="K1613" s="17"/>
      <c r="L1613" s="17"/>
      <c r="T1613" s="13"/>
      <c r="U1613" s="13"/>
      <c r="V1613" s="13"/>
      <c r="W1613" s="13"/>
    </row>
    <row r="1614" spans="4:23" ht="27" customHeight="1" x14ac:dyDescent="0.25">
      <c r="D1614" s="14" t="s">
        <v>5806</v>
      </c>
      <c r="E1614" s="14" t="s">
        <v>4340</v>
      </c>
      <c r="F1614" s="84" t="s">
        <v>710</v>
      </c>
      <c r="G1614" s="15" t="s">
        <v>27</v>
      </c>
      <c r="H1614" s="16" t="s">
        <v>5807</v>
      </c>
      <c r="I1614" s="17"/>
      <c r="J1614" s="17"/>
      <c r="K1614" s="17"/>
      <c r="L1614" s="17"/>
      <c r="T1614" s="13"/>
      <c r="U1614" s="13"/>
      <c r="V1614" s="13"/>
      <c r="W1614" s="13"/>
    </row>
    <row r="1615" spans="4:23" ht="27" customHeight="1" x14ac:dyDescent="0.25">
      <c r="D1615" s="14" t="s">
        <v>5808</v>
      </c>
      <c r="E1615" s="14" t="s">
        <v>2378</v>
      </c>
      <c r="F1615" s="84" t="s">
        <v>372</v>
      </c>
      <c r="G1615" s="15" t="s">
        <v>27</v>
      </c>
      <c r="H1615" s="16" t="s">
        <v>5809</v>
      </c>
      <c r="I1615" s="17"/>
      <c r="J1615" s="17"/>
      <c r="K1615" s="17"/>
      <c r="L1615" s="17"/>
      <c r="T1615" s="13"/>
      <c r="U1615" s="13"/>
      <c r="V1615" s="13"/>
      <c r="W1615" s="13"/>
    </row>
    <row r="1616" spans="4:23" ht="27" customHeight="1" x14ac:dyDescent="0.25">
      <c r="D1616" s="14" t="s">
        <v>5810</v>
      </c>
      <c r="E1616" s="14" t="s">
        <v>5811</v>
      </c>
      <c r="F1616" s="84" t="s">
        <v>51</v>
      </c>
      <c r="G1616" s="15" t="s">
        <v>68</v>
      </c>
      <c r="H1616" s="16" t="s">
        <v>5812</v>
      </c>
      <c r="I1616" s="17"/>
      <c r="J1616" s="17"/>
      <c r="K1616" s="17"/>
      <c r="L1616" s="17"/>
      <c r="T1616" s="13"/>
      <c r="U1616" s="13"/>
      <c r="V1616" s="13"/>
      <c r="W1616" s="13"/>
    </row>
    <row r="1617" spans="4:23" ht="27" customHeight="1" x14ac:dyDescent="0.25">
      <c r="D1617" s="14" t="s">
        <v>5813</v>
      </c>
      <c r="E1617" s="14" t="s">
        <v>4024</v>
      </c>
      <c r="F1617" s="84" t="s">
        <v>194</v>
      </c>
      <c r="G1617" s="15" t="s">
        <v>68</v>
      </c>
      <c r="H1617" s="16" t="s">
        <v>5814</v>
      </c>
      <c r="I1617" s="17"/>
      <c r="J1617" s="17"/>
      <c r="K1617" s="17"/>
      <c r="L1617" s="17"/>
      <c r="T1617" s="13"/>
      <c r="U1617" s="13"/>
      <c r="V1617" s="13"/>
      <c r="W1617" s="13"/>
    </row>
    <row r="1618" spans="4:23" ht="27" customHeight="1" x14ac:dyDescent="0.25">
      <c r="D1618" s="14" t="s">
        <v>5815</v>
      </c>
      <c r="E1618" s="14" t="s">
        <v>5816</v>
      </c>
      <c r="F1618" s="84" t="s">
        <v>909</v>
      </c>
      <c r="G1618" s="15" t="s">
        <v>27</v>
      </c>
      <c r="H1618" s="16" t="s">
        <v>5817</v>
      </c>
      <c r="I1618" s="17"/>
      <c r="J1618" s="17"/>
      <c r="K1618" s="17"/>
      <c r="L1618" s="17"/>
      <c r="T1618" s="13"/>
      <c r="U1618" s="13"/>
      <c r="V1618" s="13"/>
      <c r="W1618" s="13"/>
    </row>
    <row r="1619" spans="4:23" ht="27" customHeight="1" x14ac:dyDescent="0.25">
      <c r="D1619" s="14" t="s">
        <v>5818</v>
      </c>
      <c r="E1619" s="14" t="s">
        <v>5819</v>
      </c>
      <c r="F1619" s="84" t="s">
        <v>321</v>
      </c>
      <c r="G1619" s="15" t="s">
        <v>68</v>
      </c>
      <c r="H1619" s="16" t="s">
        <v>5820</v>
      </c>
      <c r="I1619" s="17"/>
      <c r="J1619" s="17"/>
      <c r="K1619" s="17"/>
      <c r="L1619" s="17"/>
      <c r="T1619" s="13"/>
      <c r="U1619" s="13"/>
      <c r="V1619" s="13"/>
      <c r="W1619" s="13"/>
    </row>
    <row r="1620" spans="4:23" ht="27" customHeight="1" x14ac:dyDescent="0.25">
      <c r="D1620" s="14" t="s">
        <v>5821</v>
      </c>
      <c r="E1620" s="14" t="s">
        <v>5822</v>
      </c>
      <c r="F1620" s="84" t="s">
        <v>1342</v>
      </c>
      <c r="G1620" s="15" t="s">
        <v>27</v>
      </c>
      <c r="H1620" s="16" t="s">
        <v>5823</v>
      </c>
      <c r="I1620" s="17"/>
      <c r="J1620" s="17"/>
      <c r="K1620" s="17"/>
      <c r="L1620" s="17"/>
      <c r="T1620" s="13"/>
      <c r="U1620" s="13"/>
      <c r="V1620" s="13"/>
      <c r="W1620" s="13"/>
    </row>
    <row r="1621" spans="4:23" ht="27" customHeight="1" x14ac:dyDescent="0.25">
      <c r="D1621" s="14" t="s">
        <v>5824</v>
      </c>
      <c r="E1621" s="14" t="s">
        <v>5825</v>
      </c>
      <c r="F1621" s="84" t="s">
        <v>5826</v>
      </c>
      <c r="G1621" s="15" t="s">
        <v>27</v>
      </c>
      <c r="H1621" s="16" t="s">
        <v>5827</v>
      </c>
      <c r="I1621" s="17"/>
      <c r="J1621" s="17"/>
      <c r="K1621" s="17"/>
      <c r="L1621" s="17"/>
      <c r="T1621" s="13"/>
      <c r="U1621" s="13"/>
      <c r="V1621" s="13"/>
      <c r="W1621" s="13"/>
    </row>
    <row r="1622" spans="4:23" ht="27" customHeight="1" x14ac:dyDescent="0.25">
      <c r="D1622" s="14" t="s">
        <v>5828</v>
      </c>
      <c r="E1622" s="14" t="s">
        <v>2814</v>
      </c>
      <c r="F1622" s="84" t="s">
        <v>422</v>
      </c>
      <c r="G1622" s="15" t="s">
        <v>68</v>
      </c>
      <c r="H1622" s="16" t="s">
        <v>5829</v>
      </c>
      <c r="I1622" s="17"/>
      <c r="J1622" s="17"/>
      <c r="K1622" s="17"/>
      <c r="L1622" s="17"/>
      <c r="T1622" s="13"/>
      <c r="U1622" s="13"/>
      <c r="V1622" s="13"/>
      <c r="W1622" s="13"/>
    </row>
    <row r="1623" spans="4:23" ht="27" customHeight="1" x14ac:dyDescent="0.25">
      <c r="D1623" s="14" t="s">
        <v>5830</v>
      </c>
      <c r="E1623" s="14" t="s">
        <v>5831</v>
      </c>
      <c r="F1623" s="84" t="s">
        <v>381</v>
      </c>
      <c r="G1623" s="15" t="s">
        <v>27</v>
      </c>
      <c r="H1623" s="16" t="s">
        <v>5832</v>
      </c>
      <c r="I1623" s="17"/>
      <c r="J1623" s="17"/>
      <c r="K1623" s="17"/>
      <c r="L1623" s="17"/>
      <c r="T1623" s="13"/>
      <c r="U1623" s="13"/>
      <c r="V1623" s="13"/>
      <c r="W1623" s="13"/>
    </row>
    <row r="1624" spans="4:23" ht="27" customHeight="1" x14ac:dyDescent="0.25">
      <c r="D1624" s="14" t="s">
        <v>5833</v>
      </c>
      <c r="E1624" s="14" t="s">
        <v>5834</v>
      </c>
      <c r="F1624" s="84" t="s">
        <v>1820</v>
      </c>
      <c r="G1624" s="15" t="s">
        <v>27</v>
      </c>
      <c r="H1624" s="16" t="s">
        <v>5835</v>
      </c>
      <c r="I1624" s="17"/>
      <c r="J1624" s="17"/>
      <c r="K1624" s="17"/>
      <c r="L1624" s="17"/>
      <c r="T1624" s="13"/>
      <c r="U1624" s="13"/>
      <c r="V1624" s="13"/>
      <c r="W1624" s="13"/>
    </row>
    <row r="1625" spans="4:23" ht="27" customHeight="1" x14ac:dyDescent="0.25">
      <c r="D1625" s="14" t="s">
        <v>5836</v>
      </c>
      <c r="E1625" s="14" t="s">
        <v>5837</v>
      </c>
      <c r="F1625" s="84" t="s">
        <v>1626</v>
      </c>
      <c r="G1625" s="15" t="s">
        <v>68</v>
      </c>
      <c r="H1625" s="16" t="s">
        <v>5838</v>
      </c>
      <c r="I1625" s="17"/>
      <c r="J1625" s="17"/>
      <c r="K1625" s="17"/>
      <c r="L1625" s="17"/>
      <c r="T1625" s="13"/>
      <c r="U1625" s="13"/>
      <c r="V1625" s="13"/>
      <c r="W1625" s="13"/>
    </row>
    <row r="1626" spans="4:23" ht="27" customHeight="1" x14ac:dyDescent="0.25">
      <c r="D1626" s="14" t="s">
        <v>5839</v>
      </c>
      <c r="E1626" s="14" t="s">
        <v>2503</v>
      </c>
      <c r="F1626" s="84" t="s">
        <v>114</v>
      </c>
      <c r="G1626" s="15" t="s">
        <v>27</v>
      </c>
      <c r="H1626" s="16" t="s">
        <v>5840</v>
      </c>
      <c r="I1626" s="17"/>
      <c r="J1626" s="17"/>
      <c r="K1626" s="17"/>
      <c r="L1626" s="17"/>
      <c r="T1626" s="13"/>
      <c r="U1626" s="13"/>
      <c r="V1626" s="13"/>
      <c r="W1626" s="13"/>
    </row>
    <row r="1627" spans="4:23" ht="27" customHeight="1" x14ac:dyDescent="0.25">
      <c r="D1627" s="14" t="s">
        <v>5841</v>
      </c>
      <c r="E1627" s="14" t="s">
        <v>1686</v>
      </c>
      <c r="F1627" s="84" t="s">
        <v>781</v>
      </c>
      <c r="G1627" s="15" t="s">
        <v>68</v>
      </c>
      <c r="H1627" s="16" t="s">
        <v>5842</v>
      </c>
      <c r="I1627" s="17"/>
      <c r="J1627" s="17"/>
      <c r="K1627" s="17"/>
      <c r="L1627" s="17"/>
      <c r="T1627" s="13"/>
      <c r="U1627" s="13"/>
      <c r="V1627" s="13"/>
      <c r="W1627" s="13"/>
    </row>
    <row r="1628" spans="4:23" ht="27" customHeight="1" x14ac:dyDescent="0.25">
      <c r="D1628" s="14" t="s">
        <v>5843</v>
      </c>
      <c r="E1628" s="14" t="s">
        <v>4361</v>
      </c>
      <c r="F1628" s="84" t="s">
        <v>710</v>
      </c>
      <c r="G1628" s="15" t="s">
        <v>27</v>
      </c>
      <c r="H1628" s="16" t="s">
        <v>5844</v>
      </c>
      <c r="I1628" s="17"/>
      <c r="J1628" s="17"/>
      <c r="K1628" s="17"/>
      <c r="L1628" s="17"/>
      <c r="T1628" s="13"/>
      <c r="U1628" s="13"/>
      <c r="V1628" s="13"/>
      <c r="W1628" s="13"/>
    </row>
    <row r="1629" spans="4:23" ht="27" customHeight="1" x14ac:dyDescent="0.25">
      <c r="D1629" s="14" t="s">
        <v>5845</v>
      </c>
      <c r="E1629" s="14" t="s">
        <v>5846</v>
      </c>
      <c r="F1629" s="84" t="s">
        <v>653</v>
      </c>
      <c r="G1629" s="15" t="s">
        <v>27</v>
      </c>
      <c r="H1629" s="16" t="s">
        <v>5847</v>
      </c>
      <c r="I1629" s="17"/>
      <c r="J1629" s="17"/>
      <c r="K1629" s="17"/>
      <c r="L1629" s="17"/>
      <c r="T1629" s="13"/>
      <c r="U1629" s="13"/>
      <c r="V1629" s="13"/>
      <c r="W1629" s="13"/>
    </row>
    <row r="1630" spans="4:23" ht="27" customHeight="1" x14ac:dyDescent="0.25">
      <c r="D1630" s="14" t="s">
        <v>5848</v>
      </c>
      <c r="E1630" s="14" t="s">
        <v>5849</v>
      </c>
      <c r="F1630" s="84" t="s">
        <v>900</v>
      </c>
      <c r="G1630" s="15" t="s">
        <v>27</v>
      </c>
      <c r="H1630" s="16" t="s">
        <v>5850</v>
      </c>
      <c r="I1630" s="17"/>
      <c r="J1630" s="17"/>
      <c r="K1630" s="17"/>
      <c r="L1630" s="17"/>
      <c r="T1630" s="13"/>
      <c r="U1630" s="13"/>
      <c r="V1630" s="13"/>
      <c r="W1630" s="13"/>
    </row>
    <row r="1631" spans="4:23" ht="27" customHeight="1" x14ac:dyDescent="0.25">
      <c r="D1631" s="14" t="s">
        <v>5851</v>
      </c>
      <c r="E1631" s="14" t="s">
        <v>4682</v>
      </c>
      <c r="F1631" s="84" t="s">
        <v>261</v>
      </c>
      <c r="G1631" s="15" t="s">
        <v>68</v>
      </c>
      <c r="H1631" s="16" t="s">
        <v>5852</v>
      </c>
      <c r="I1631" s="17"/>
      <c r="J1631" s="17"/>
      <c r="K1631" s="17"/>
      <c r="L1631" s="17"/>
      <c r="T1631" s="13"/>
      <c r="U1631" s="13"/>
      <c r="V1631" s="13"/>
      <c r="W1631" s="13"/>
    </row>
    <row r="1632" spans="4:23" ht="27" customHeight="1" x14ac:dyDescent="0.25">
      <c r="D1632" s="14" t="s">
        <v>5853</v>
      </c>
      <c r="E1632" s="14" t="s">
        <v>5127</v>
      </c>
      <c r="F1632" s="84" t="s">
        <v>206</v>
      </c>
      <c r="G1632" s="15" t="s">
        <v>68</v>
      </c>
      <c r="H1632" s="16" t="s">
        <v>5854</v>
      </c>
      <c r="I1632" s="17"/>
      <c r="J1632" s="17"/>
      <c r="K1632" s="17"/>
      <c r="L1632" s="17"/>
      <c r="T1632" s="13"/>
      <c r="U1632" s="13"/>
      <c r="V1632" s="13"/>
      <c r="W1632" s="13"/>
    </row>
    <row r="1633" spans="4:23" ht="27" customHeight="1" x14ac:dyDescent="0.25">
      <c r="D1633" s="14" t="s">
        <v>5855</v>
      </c>
      <c r="E1633" s="14" t="s">
        <v>5856</v>
      </c>
      <c r="F1633" s="84" t="s">
        <v>381</v>
      </c>
      <c r="G1633" s="15" t="s">
        <v>27</v>
      </c>
      <c r="H1633" s="16" t="s">
        <v>5857</v>
      </c>
      <c r="I1633" s="17"/>
      <c r="J1633" s="17"/>
      <c r="K1633" s="17"/>
      <c r="L1633" s="17"/>
      <c r="T1633" s="13"/>
      <c r="U1633" s="13"/>
      <c r="V1633" s="13"/>
      <c r="W1633" s="13"/>
    </row>
    <row r="1634" spans="4:23" ht="27" customHeight="1" x14ac:dyDescent="0.25">
      <c r="D1634" s="14" t="s">
        <v>5858</v>
      </c>
      <c r="E1634" s="14" t="s">
        <v>1998</v>
      </c>
      <c r="F1634" s="84" t="s">
        <v>200</v>
      </c>
      <c r="G1634" s="15" t="s">
        <v>27</v>
      </c>
      <c r="H1634" s="16" t="s">
        <v>5859</v>
      </c>
      <c r="I1634" s="17"/>
      <c r="J1634" s="17"/>
      <c r="K1634" s="17"/>
      <c r="L1634" s="17"/>
      <c r="T1634" s="13"/>
      <c r="U1634" s="13"/>
      <c r="V1634" s="13"/>
      <c r="W1634" s="13"/>
    </row>
    <row r="1635" spans="4:23" ht="27" customHeight="1" x14ac:dyDescent="0.25">
      <c r="D1635" s="14" t="s">
        <v>5860</v>
      </c>
      <c r="E1635" s="14" t="s">
        <v>3307</v>
      </c>
      <c r="F1635" s="84" t="s">
        <v>538</v>
      </c>
      <c r="G1635" s="15" t="s">
        <v>27</v>
      </c>
      <c r="H1635" s="16" t="s">
        <v>5861</v>
      </c>
      <c r="I1635" s="17"/>
      <c r="J1635" s="17"/>
      <c r="K1635" s="17"/>
      <c r="L1635" s="17"/>
      <c r="T1635" s="13"/>
      <c r="U1635" s="13"/>
      <c r="V1635" s="13"/>
      <c r="W1635" s="13"/>
    </row>
    <row r="1636" spans="4:23" ht="27" customHeight="1" x14ac:dyDescent="0.25">
      <c r="D1636" s="14" t="s">
        <v>5862</v>
      </c>
      <c r="E1636" s="14" t="s">
        <v>5863</v>
      </c>
      <c r="F1636" s="84" t="s">
        <v>183</v>
      </c>
      <c r="G1636" s="15" t="s">
        <v>27</v>
      </c>
      <c r="H1636" s="16" t="s">
        <v>5864</v>
      </c>
      <c r="I1636" s="17"/>
      <c r="J1636" s="17"/>
      <c r="K1636" s="17"/>
      <c r="L1636" s="17"/>
      <c r="T1636" s="13"/>
      <c r="U1636" s="13"/>
      <c r="V1636" s="13"/>
      <c r="W1636" s="13"/>
    </row>
    <row r="1637" spans="4:23" ht="27" customHeight="1" x14ac:dyDescent="0.25">
      <c r="D1637" s="14" t="s">
        <v>5865</v>
      </c>
      <c r="E1637" s="14" t="s">
        <v>1315</v>
      </c>
      <c r="F1637" s="84" t="s">
        <v>359</v>
      </c>
      <c r="G1637" s="15" t="s">
        <v>27</v>
      </c>
      <c r="H1637" s="16" t="s">
        <v>5866</v>
      </c>
      <c r="I1637" s="17"/>
      <c r="J1637" s="17"/>
      <c r="K1637" s="17"/>
      <c r="L1637" s="17"/>
      <c r="T1637" s="13"/>
      <c r="U1637" s="13"/>
      <c r="V1637" s="13"/>
      <c r="W1637" s="13"/>
    </row>
    <row r="1638" spans="4:23" ht="27" customHeight="1" x14ac:dyDescent="0.25">
      <c r="D1638" s="14" t="s">
        <v>5867</v>
      </c>
      <c r="E1638" s="14" t="s">
        <v>3238</v>
      </c>
      <c r="F1638" s="84" t="s">
        <v>1473</v>
      </c>
      <c r="G1638" s="15" t="s">
        <v>27</v>
      </c>
      <c r="H1638" s="16" t="s">
        <v>5868</v>
      </c>
      <c r="I1638" s="17"/>
      <c r="J1638" s="17"/>
      <c r="K1638" s="17"/>
      <c r="L1638" s="17"/>
      <c r="T1638" s="13"/>
      <c r="U1638" s="13"/>
      <c r="V1638" s="13"/>
      <c r="W1638" s="13"/>
    </row>
    <row r="1639" spans="4:23" ht="27" customHeight="1" x14ac:dyDescent="0.25">
      <c r="D1639" s="14" t="s">
        <v>5869</v>
      </c>
      <c r="E1639" s="14" t="s">
        <v>5870</v>
      </c>
      <c r="F1639" s="84" t="s">
        <v>614</v>
      </c>
      <c r="G1639" s="15" t="s">
        <v>27</v>
      </c>
      <c r="H1639" s="16" t="s">
        <v>5871</v>
      </c>
      <c r="I1639" s="17"/>
      <c r="J1639" s="17"/>
      <c r="K1639" s="17"/>
      <c r="L1639" s="17"/>
      <c r="T1639" s="13"/>
      <c r="U1639" s="13"/>
      <c r="V1639" s="13"/>
      <c r="W1639" s="13"/>
    </row>
    <row r="1640" spans="4:23" ht="27" customHeight="1" x14ac:dyDescent="0.25">
      <c r="D1640" s="14" t="s">
        <v>5872</v>
      </c>
      <c r="E1640" s="14" t="s">
        <v>3636</v>
      </c>
      <c r="F1640" s="84" t="s">
        <v>1201</v>
      </c>
      <c r="G1640" s="15" t="s">
        <v>27</v>
      </c>
      <c r="H1640" s="16" t="s">
        <v>5873</v>
      </c>
      <c r="I1640" s="17"/>
      <c r="J1640" s="17"/>
      <c r="K1640" s="17"/>
      <c r="L1640" s="17"/>
      <c r="T1640" s="13"/>
      <c r="U1640" s="13"/>
      <c r="V1640" s="13"/>
      <c r="W1640" s="13"/>
    </row>
    <row r="1641" spans="4:23" ht="27" customHeight="1" x14ac:dyDescent="0.25">
      <c r="D1641" s="14" t="s">
        <v>5874</v>
      </c>
      <c r="E1641" s="14" t="s">
        <v>5875</v>
      </c>
      <c r="F1641" s="84" t="s">
        <v>302</v>
      </c>
      <c r="G1641" s="15" t="s">
        <v>27</v>
      </c>
      <c r="H1641" s="16" t="s">
        <v>5876</v>
      </c>
      <c r="I1641" s="17"/>
      <c r="J1641" s="17"/>
      <c r="K1641" s="17"/>
      <c r="L1641" s="17"/>
      <c r="T1641" s="13"/>
      <c r="U1641" s="13"/>
      <c r="V1641" s="13"/>
      <c r="W1641" s="13"/>
    </row>
    <row r="1642" spans="4:23" ht="27" customHeight="1" x14ac:dyDescent="0.25">
      <c r="D1642" s="14" t="s">
        <v>5877</v>
      </c>
      <c r="E1642" s="14" t="s">
        <v>3661</v>
      </c>
      <c r="F1642" s="84" t="s">
        <v>1201</v>
      </c>
      <c r="G1642" s="15" t="s">
        <v>27</v>
      </c>
      <c r="H1642" s="16" t="s">
        <v>5878</v>
      </c>
      <c r="I1642" s="17"/>
      <c r="J1642" s="17"/>
      <c r="K1642" s="17"/>
      <c r="L1642" s="17"/>
      <c r="T1642" s="13"/>
      <c r="U1642" s="13"/>
      <c r="V1642" s="13"/>
      <c r="W1642" s="13"/>
    </row>
    <row r="1643" spans="4:23" ht="27" customHeight="1" x14ac:dyDescent="0.25">
      <c r="D1643" s="14" t="s">
        <v>5879</v>
      </c>
      <c r="E1643" s="14" t="s">
        <v>166</v>
      </c>
      <c r="F1643" s="84" t="s">
        <v>4620</v>
      </c>
      <c r="G1643" s="15" t="s">
        <v>27</v>
      </c>
      <c r="H1643" s="16" t="s">
        <v>5880</v>
      </c>
      <c r="I1643" s="17"/>
      <c r="J1643" s="17"/>
      <c r="K1643" s="17"/>
      <c r="L1643" s="17"/>
      <c r="T1643" s="13"/>
      <c r="U1643" s="13"/>
      <c r="V1643" s="13"/>
      <c r="W1643" s="13"/>
    </row>
    <row r="1644" spans="4:23" ht="27" customHeight="1" x14ac:dyDescent="0.25">
      <c r="D1644" s="14" t="s">
        <v>5881</v>
      </c>
      <c r="E1644" s="14" t="s">
        <v>3203</v>
      </c>
      <c r="F1644" s="84" t="s">
        <v>453</v>
      </c>
      <c r="G1644" s="15" t="s">
        <v>27</v>
      </c>
      <c r="H1644" s="16" t="s">
        <v>5882</v>
      </c>
      <c r="I1644" s="17"/>
      <c r="J1644" s="17"/>
      <c r="K1644" s="17"/>
      <c r="L1644" s="17"/>
      <c r="T1644" s="13"/>
      <c r="U1644" s="13"/>
      <c r="V1644" s="13"/>
      <c r="W1644" s="13"/>
    </row>
    <row r="1645" spans="4:23" ht="27" customHeight="1" x14ac:dyDescent="0.25">
      <c r="D1645" s="14" t="s">
        <v>5883</v>
      </c>
      <c r="E1645" s="14" t="s">
        <v>4294</v>
      </c>
      <c r="F1645" s="84" t="s">
        <v>348</v>
      </c>
      <c r="G1645" s="15" t="s">
        <v>27</v>
      </c>
      <c r="H1645" s="16" t="s">
        <v>5884</v>
      </c>
      <c r="I1645" s="17"/>
      <c r="J1645" s="17"/>
      <c r="K1645" s="17"/>
      <c r="L1645" s="17"/>
      <c r="T1645" s="13"/>
      <c r="U1645" s="13"/>
      <c r="V1645" s="13"/>
      <c r="W1645" s="13"/>
    </row>
    <row r="1646" spans="4:23" ht="27" customHeight="1" x14ac:dyDescent="0.25">
      <c r="D1646" s="14" t="s">
        <v>5885</v>
      </c>
      <c r="E1646" s="14" t="s">
        <v>4929</v>
      </c>
      <c r="F1646" s="84" t="s">
        <v>444</v>
      </c>
      <c r="G1646" s="15" t="s">
        <v>27</v>
      </c>
      <c r="H1646" s="16" t="s">
        <v>5886</v>
      </c>
      <c r="I1646" s="17"/>
      <c r="J1646" s="17"/>
      <c r="K1646" s="17"/>
      <c r="L1646" s="17"/>
      <c r="T1646" s="13"/>
      <c r="U1646" s="13"/>
      <c r="V1646" s="13"/>
      <c r="W1646" s="13"/>
    </row>
    <row r="1647" spans="4:23" ht="27" customHeight="1" x14ac:dyDescent="0.25">
      <c r="D1647" s="14" t="s">
        <v>5887</v>
      </c>
      <c r="E1647" s="14" t="s">
        <v>4932</v>
      </c>
      <c r="F1647" s="84" t="s">
        <v>444</v>
      </c>
      <c r="G1647" s="15" t="s">
        <v>27</v>
      </c>
      <c r="H1647" s="16" t="s">
        <v>5888</v>
      </c>
      <c r="I1647" s="17"/>
      <c r="J1647" s="17"/>
      <c r="K1647" s="17"/>
      <c r="L1647" s="17"/>
      <c r="T1647" s="13"/>
      <c r="U1647" s="13"/>
      <c r="V1647" s="13"/>
      <c r="W1647" s="13"/>
    </row>
    <row r="1648" spans="4:23" ht="27" customHeight="1" x14ac:dyDescent="0.25">
      <c r="D1648" s="14" t="s">
        <v>5889</v>
      </c>
      <c r="E1648" s="14" t="s">
        <v>5890</v>
      </c>
      <c r="F1648" s="84" t="s">
        <v>233</v>
      </c>
      <c r="G1648" s="15" t="s">
        <v>27</v>
      </c>
      <c r="H1648" s="16" t="s">
        <v>5891</v>
      </c>
      <c r="I1648" s="17"/>
      <c r="J1648" s="17"/>
      <c r="K1648" s="17"/>
      <c r="L1648" s="17"/>
      <c r="T1648" s="13"/>
      <c r="U1648" s="13"/>
      <c r="V1648" s="13"/>
      <c r="W1648" s="13"/>
    </row>
    <row r="1649" spans="4:23" ht="27" customHeight="1" x14ac:dyDescent="0.25">
      <c r="D1649" s="14" t="s">
        <v>5892</v>
      </c>
      <c r="E1649" s="14" t="s">
        <v>3862</v>
      </c>
      <c r="F1649" s="84" t="s">
        <v>61</v>
      </c>
      <c r="G1649" s="15" t="s">
        <v>27</v>
      </c>
      <c r="H1649" s="16" t="s">
        <v>5893</v>
      </c>
      <c r="I1649" s="17"/>
      <c r="J1649" s="17"/>
      <c r="K1649" s="17"/>
      <c r="L1649" s="17"/>
      <c r="T1649" s="13"/>
      <c r="U1649" s="13"/>
      <c r="V1649" s="13"/>
      <c r="W1649" s="13"/>
    </row>
    <row r="1650" spans="4:23" ht="27" customHeight="1" x14ac:dyDescent="0.25">
      <c r="D1650" s="14" t="s">
        <v>5894</v>
      </c>
      <c r="E1650" s="14" t="s">
        <v>5895</v>
      </c>
      <c r="F1650" s="84" t="s">
        <v>524</v>
      </c>
      <c r="G1650" s="15" t="s">
        <v>68</v>
      </c>
      <c r="H1650" s="16" t="s">
        <v>5896</v>
      </c>
      <c r="I1650" s="17"/>
      <c r="J1650" s="17"/>
      <c r="K1650" s="17"/>
      <c r="L1650" s="17"/>
      <c r="T1650" s="13"/>
      <c r="U1650" s="13"/>
      <c r="V1650" s="13"/>
      <c r="W1650" s="13"/>
    </row>
    <row r="1651" spans="4:23" ht="27" customHeight="1" x14ac:dyDescent="0.25">
      <c r="D1651" s="14" t="s">
        <v>5897</v>
      </c>
      <c r="E1651" s="14" t="s">
        <v>540</v>
      </c>
      <c r="F1651" s="84" t="s">
        <v>439</v>
      </c>
      <c r="G1651" s="15" t="s">
        <v>27</v>
      </c>
      <c r="H1651" s="16" t="s">
        <v>5898</v>
      </c>
      <c r="I1651" s="17"/>
      <c r="J1651" s="17"/>
      <c r="K1651" s="17"/>
      <c r="L1651" s="17"/>
      <c r="T1651" s="13"/>
      <c r="U1651" s="13"/>
      <c r="V1651" s="13"/>
      <c r="W1651" s="13"/>
    </row>
    <row r="1652" spans="4:23" ht="27" customHeight="1" x14ac:dyDescent="0.25">
      <c r="D1652" s="14" t="s">
        <v>5899</v>
      </c>
      <c r="E1652" s="14" t="s">
        <v>208</v>
      </c>
      <c r="F1652" s="84" t="s">
        <v>1392</v>
      </c>
      <c r="G1652" s="15" t="s">
        <v>68</v>
      </c>
      <c r="H1652" s="16" t="s">
        <v>5900</v>
      </c>
      <c r="I1652" s="17"/>
      <c r="J1652" s="17"/>
      <c r="K1652" s="17"/>
      <c r="L1652" s="17"/>
      <c r="T1652" s="13"/>
      <c r="U1652" s="13"/>
      <c r="V1652" s="13"/>
      <c r="W1652" s="13"/>
    </row>
    <row r="1653" spans="4:23" ht="27" customHeight="1" x14ac:dyDescent="0.25">
      <c r="D1653" s="14" t="s">
        <v>5901</v>
      </c>
      <c r="E1653" s="14" t="s">
        <v>2222</v>
      </c>
      <c r="F1653" s="84" t="s">
        <v>466</v>
      </c>
      <c r="G1653" s="15" t="s">
        <v>68</v>
      </c>
      <c r="H1653" s="16" t="s">
        <v>5902</v>
      </c>
      <c r="I1653" s="17"/>
      <c r="J1653" s="17"/>
      <c r="K1653" s="17"/>
      <c r="L1653" s="17"/>
      <c r="T1653" s="13"/>
      <c r="U1653" s="13"/>
      <c r="V1653" s="13"/>
      <c r="W1653" s="13"/>
    </row>
    <row r="1654" spans="4:23" ht="27" customHeight="1" x14ac:dyDescent="0.25">
      <c r="D1654" s="14" t="s">
        <v>5903</v>
      </c>
      <c r="E1654" s="14" t="s">
        <v>1654</v>
      </c>
      <c r="F1654" s="84" t="s">
        <v>952</v>
      </c>
      <c r="G1654" s="15" t="s">
        <v>27</v>
      </c>
      <c r="H1654" s="16" t="s">
        <v>5904</v>
      </c>
      <c r="I1654" s="17"/>
      <c r="J1654" s="17"/>
      <c r="K1654" s="17"/>
      <c r="L1654" s="17"/>
      <c r="T1654" s="13"/>
      <c r="U1654" s="13"/>
      <c r="V1654" s="13"/>
      <c r="W1654" s="13"/>
    </row>
    <row r="1655" spans="4:23" ht="27" customHeight="1" x14ac:dyDescent="0.25">
      <c r="D1655" s="14" t="s">
        <v>5905</v>
      </c>
      <c r="E1655" s="14" t="s">
        <v>5140</v>
      </c>
      <c r="F1655" s="84" t="s">
        <v>121</v>
      </c>
      <c r="G1655" s="15" t="s">
        <v>27</v>
      </c>
      <c r="H1655" s="16" t="s">
        <v>5906</v>
      </c>
      <c r="I1655" s="17"/>
      <c r="J1655" s="17"/>
      <c r="K1655" s="17"/>
      <c r="L1655" s="17"/>
      <c r="T1655" s="13"/>
      <c r="U1655" s="13"/>
      <c r="V1655" s="13"/>
      <c r="W1655" s="13"/>
    </row>
    <row r="1656" spans="4:23" ht="27" customHeight="1" x14ac:dyDescent="0.25">
      <c r="D1656" s="14" t="s">
        <v>5907</v>
      </c>
      <c r="E1656" s="14" t="s">
        <v>3717</v>
      </c>
      <c r="F1656" s="84" t="s">
        <v>471</v>
      </c>
      <c r="G1656" s="15" t="s">
        <v>68</v>
      </c>
      <c r="H1656" s="16" t="s">
        <v>5908</v>
      </c>
      <c r="I1656" s="17"/>
      <c r="J1656" s="17"/>
      <c r="K1656" s="17"/>
      <c r="L1656" s="17"/>
      <c r="T1656" s="13"/>
      <c r="U1656" s="13"/>
      <c r="V1656" s="13"/>
      <c r="W1656" s="13"/>
    </row>
    <row r="1657" spans="4:23" ht="27" customHeight="1" x14ac:dyDescent="0.25">
      <c r="D1657" s="14" t="s">
        <v>5909</v>
      </c>
      <c r="E1657" s="14" t="s">
        <v>5910</v>
      </c>
      <c r="F1657" s="84" t="s">
        <v>909</v>
      </c>
      <c r="G1657" s="15" t="s">
        <v>27</v>
      </c>
      <c r="H1657" s="16" t="s">
        <v>5911</v>
      </c>
      <c r="I1657" s="17"/>
      <c r="J1657" s="17"/>
      <c r="K1657" s="17"/>
      <c r="L1657" s="17"/>
      <c r="T1657" s="13"/>
      <c r="U1657" s="13"/>
      <c r="V1657" s="13"/>
      <c r="W1657" s="13"/>
    </row>
    <row r="1658" spans="4:23" ht="27" customHeight="1" x14ac:dyDescent="0.25">
      <c r="D1658" s="14" t="s">
        <v>5912</v>
      </c>
      <c r="E1658" s="14" t="s">
        <v>1545</v>
      </c>
      <c r="F1658" s="84" t="s">
        <v>256</v>
      </c>
      <c r="G1658" s="15" t="s">
        <v>68</v>
      </c>
      <c r="H1658" s="16" t="s">
        <v>5913</v>
      </c>
      <c r="I1658" s="17"/>
      <c r="J1658" s="17"/>
      <c r="K1658" s="17"/>
      <c r="L1658" s="17"/>
      <c r="T1658" s="13"/>
      <c r="U1658" s="13"/>
      <c r="V1658" s="13"/>
      <c r="W1658" s="13"/>
    </row>
    <row r="1659" spans="4:23" ht="27" customHeight="1" x14ac:dyDescent="0.25">
      <c r="D1659" s="14" t="s">
        <v>5914</v>
      </c>
      <c r="E1659" s="14" t="s">
        <v>1243</v>
      </c>
      <c r="F1659" s="84" t="s">
        <v>674</v>
      </c>
      <c r="G1659" s="15" t="s">
        <v>27</v>
      </c>
      <c r="H1659" s="16" t="s">
        <v>5915</v>
      </c>
      <c r="I1659" s="17"/>
      <c r="J1659" s="17"/>
      <c r="K1659" s="17"/>
      <c r="L1659" s="17"/>
      <c r="T1659" s="13"/>
      <c r="U1659" s="13"/>
      <c r="V1659" s="13"/>
      <c r="W1659" s="13"/>
    </row>
    <row r="1660" spans="4:23" ht="27" customHeight="1" x14ac:dyDescent="0.25">
      <c r="D1660" s="14" t="s">
        <v>5916</v>
      </c>
      <c r="E1660" s="14" t="s">
        <v>5917</v>
      </c>
      <c r="F1660" s="84" t="s">
        <v>321</v>
      </c>
      <c r="G1660" s="15" t="s">
        <v>27</v>
      </c>
      <c r="H1660" s="16" t="s">
        <v>5918</v>
      </c>
      <c r="I1660" s="17"/>
      <c r="J1660" s="17"/>
      <c r="K1660" s="17"/>
      <c r="L1660" s="17"/>
      <c r="T1660" s="13"/>
      <c r="U1660" s="13"/>
      <c r="V1660" s="13"/>
      <c r="W1660" s="13"/>
    </row>
    <row r="1661" spans="4:23" ht="27" customHeight="1" x14ac:dyDescent="0.25">
      <c r="D1661" s="14" t="s">
        <v>5919</v>
      </c>
      <c r="E1661" s="14" t="s">
        <v>5920</v>
      </c>
      <c r="F1661" s="84" t="s">
        <v>302</v>
      </c>
      <c r="G1661" s="15" t="s">
        <v>27</v>
      </c>
      <c r="H1661" s="16" t="s">
        <v>5921</v>
      </c>
      <c r="I1661" s="17"/>
      <c r="J1661" s="17"/>
      <c r="K1661" s="17"/>
      <c r="L1661" s="17"/>
      <c r="T1661" s="13"/>
      <c r="U1661" s="13"/>
      <c r="V1661" s="13"/>
      <c r="W1661" s="13"/>
    </row>
    <row r="1662" spans="4:23" ht="27" customHeight="1" x14ac:dyDescent="0.25">
      <c r="D1662" s="14" t="s">
        <v>5922</v>
      </c>
      <c r="E1662" s="14" t="s">
        <v>2027</v>
      </c>
      <c r="F1662" s="84" t="s">
        <v>412</v>
      </c>
      <c r="G1662" s="15" t="s">
        <v>68</v>
      </c>
      <c r="H1662" s="16" t="s">
        <v>5923</v>
      </c>
      <c r="I1662" s="17"/>
      <c r="J1662" s="17"/>
      <c r="K1662" s="17"/>
      <c r="L1662" s="17"/>
      <c r="T1662" s="13"/>
      <c r="U1662" s="13"/>
      <c r="V1662" s="13"/>
      <c r="W1662" s="13"/>
    </row>
    <row r="1663" spans="4:23" ht="27" customHeight="1" x14ac:dyDescent="0.25">
      <c r="D1663" s="14" t="s">
        <v>5924</v>
      </c>
      <c r="E1663" s="14" t="s">
        <v>638</v>
      </c>
      <c r="F1663" s="84" t="s">
        <v>3253</v>
      </c>
      <c r="G1663" s="15" t="s">
        <v>27</v>
      </c>
      <c r="H1663" s="16" t="s">
        <v>5925</v>
      </c>
      <c r="I1663" s="17"/>
      <c r="J1663" s="17"/>
      <c r="K1663" s="17"/>
      <c r="L1663" s="17"/>
      <c r="T1663" s="13"/>
      <c r="U1663" s="13"/>
      <c r="V1663" s="13"/>
      <c r="W1663" s="13"/>
    </row>
    <row r="1664" spans="4:23" ht="27" customHeight="1" x14ac:dyDescent="0.25">
      <c r="D1664" s="14" t="s">
        <v>5926</v>
      </c>
      <c r="E1664" s="14" t="s">
        <v>1914</v>
      </c>
      <c r="F1664" s="84" t="s">
        <v>381</v>
      </c>
      <c r="G1664" s="15" t="s">
        <v>68</v>
      </c>
      <c r="H1664" s="16" t="s">
        <v>5927</v>
      </c>
      <c r="I1664" s="17"/>
      <c r="J1664" s="17"/>
      <c r="K1664" s="17"/>
      <c r="L1664" s="17"/>
      <c r="T1664" s="13"/>
      <c r="U1664" s="13"/>
      <c r="V1664" s="13"/>
      <c r="W1664" s="13"/>
    </row>
    <row r="1665" spans="4:23" ht="27" customHeight="1" x14ac:dyDescent="0.25">
      <c r="D1665" s="14" t="s">
        <v>5928</v>
      </c>
      <c r="E1665" s="14" t="s">
        <v>4088</v>
      </c>
      <c r="F1665" s="84" t="s">
        <v>239</v>
      </c>
      <c r="G1665" s="15" t="s">
        <v>27</v>
      </c>
      <c r="H1665" s="16" t="s">
        <v>5929</v>
      </c>
      <c r="I1665" s="17"/>
      <c r="J1665" s="17"/>
      <c r="K1665" s="17"/>
      <c r="L1665" s="17"/>
      <c r="T1665" s="13"/>
      <c r="U1665" s="13"/>
      <c r="V1665" s="13"/>
      <c r="W1665" s="13"/>
    </row>
    <row r="1666" spans="4:23" ht="27" customHeight="1" x14ac:dyDescent="0.25">
      <c r="D1666" s="14" t="s">
        <v>5930</v>
      </c>
      <c r="E1666" s="14" t="s">
        <v>5931</v>
      </c>
      <c r="F1666" s="84" t="s">
        <v>266</v>
      </c>
      <c r="G1666" s="15" t="s">
        <v>68</v>
      </c>
      <c r="H1666" s="16" t="s">
        <v>5932</v>
      </c>
      <c r="I1666" s="17"/>
      <c r="J1666" s="17"/>
      <c r="K1666" s="17"/>
      <c r="L1666" s="17"/>
      <c r="T1666" s="13"/>
      <c r="U1666" s="13"/>
      <c r="V1666" s="13"/>
      <c r="W1666" s="13"/>
    </row>
    <row r="1667" spans="4:23" ht="27" customHeight="1" x14ac:dyDescent="0.25">
      <c r="D1667" s="14" t="s">
        <v>5933</v>
      </c>
      <c r="E1667" s="14" t="s">
        <v>5934</v>
      </c>
      <c r="F1667" s="84" t="s">
        <v>233</v>
      </c>
      <c r="G1667" s="15" t="s">
        <v>68</v>
      </c>
      <c r="H1667" s="16" t="s">
        <v>5935</v>
      </c>
      <c r="I1667" s="17"/>
      <c r="J1667" s="17"/>
      <c r="K1667" s="17"/>
      <c r="L1667" s="17"/>
      <c r="T1667" s="13"/>
      <c r="U1667" s="13"/>
      <c r="V1667" s="13"/>
      <c r="W1667" s="13"/>
    </row>
    <row r="1668" spans="4:23" ht="27" customHeight="1" x14ac:dyDescent="0.25">
      <c r="D1668" s="14" t="s">
        <v>5936</v>
      </c>
      <c r="E1668" s="14" t="s">
        <v>4508</v>
      </c>
      <c r="F1668" s="84" t="s">
        <v>1118</v>
      </c>
      <c r="G1668" s="15" t="s">
        <v>68</v>
      </c>
      <c r="H1668" s="16" t="s">
        <v>5937</v>
      </c>
      <c r="I1668" s="17"/>
      <c r="J1668" s="17"/>
      <c r="K1668" s="17"/>
      <c r="L1668" s="17"/>
      <c r="T1668" s="13"/>
      <c r="U1668" s="13"/>
      <c r="V1668" s="13"/>
      <c r="W1668" s="13"/>
    </row>
    <row r="1669" spans="4:23" ht="27" customHeight="1" x14ac:dyDescent="0.25">
      <c r="D1669" s="14" t="s">
        <v>5938</v>
      </c>
      <c r="E1669" s="14" t="s">
        <v>5939</v>
      </c>
      <c r="F1669" s="84" t="s">
        <v>969</v>
      </c>
      <c r="G1669" s="15" t="s">
        <v>68</v>
      </c>
      <c r="H1669" s="16" t="s">
        <v>5940</v>
      </c>
      <c r="I1669" s="17"/>
      <c r="J1669" s="17"/>
      <c r="K1669" s="17"/>
      <c r="L1669" s="17"/>
      <c r="T1669" s="13"/>
      <c r="U1669" s="13"/>
      <c r="V1669" s="13"/>
      <c r="W1669" s="13"/>
    </row>
    <row r="1670" spans="4:23" ht="27" customHeight="1" x14ac:dyDescent="0.25">
      <c r="D1670" s="14" t="s">
        <v>5941</v>
      </c>
      <c r="E1670" s="14" t="s">
        <v>5942</v>
      </c>
      <c r="F1670" s="84" t="s">
        <v>1886</v>
      </c>
      <c r="G1670" s="15" t="s">
        <v>68</v>
      </c>
      <c r="H1670" s="16" t="s">
        <v>5943</v>
      </c>
      <c r="I1670" s="17"/>
      <c r="J1670" s="17"/>
      <c r="K1670" s="17"/>
      <c r="L1670" s="17"/>
      <c r="T1670" s="13"/>
      <c r="U1670" s="13"/>
      <c r="V1670" s="13"/>
      <c r="W1670" s="13"/>
    </row>
    <row r="1671" spans="4:23" ht="27" customHeight="1" x14ac:dyDescent="0.25">
      <c r="D1671" s="14" t="s">
        <v>5944</v>
      </c>
      <c r="E1671" s="14" t="s">
        <v>879</v>
      </c>
      <c r="F1671" s="84" t="s">
        <v>719</v>
      </c>
      <c r="G1671" s="15" t="s">
        <v>27</v>
      </c>
      <c r="H1671" s="16" t="s">
        <v>5945</v>
      </c>
      <c r="I1671" s="17"/>
      <c r="J1671" s="17"/>
      <c r="K1671" s="17"/>
      <c r="L1671" s="17"/>
      <c r="T1671" s="13"/>
      <c r="U1671" s="13"/>
      <c r="V1671" s="13"/>
      <c r="W1671" s="13"/>
    </row>
    <row r="1672" spans="4:23" ht="27" customHeight="1" x14ac:dyDescent="0.25">
      <c r="D1672" s="14" t="s">
        <v>5946</v>
      </c>
      <c r="E1672" s="14" t="s">
        <v>5947</v>
      </c>
      <c r="F1672" s="84" t="s">
        <v>1505</v>
      </c>
      <c r="G1672" s="15" t="s">
        <v>68</v>
      </c>
      <c r="H1672" s="16" t="s">
        <v>5948</v>
      </c>
      <c r="I1672" s="17"/>
      <c r="J1672" s="17"/>
      <c r="K1672" s="17"/>
      <c r="L1672" s="17"/>
      <c r="T1672" s="13"/>
      <c r="U1672" s="13"/>
      <c r="V1672" s="13"/>
      <c r="W1672" s="13"/>
    </row>
    <row r="1673" spans="4:23" ht="27" customHeight="1" x14ac:dyDescent="0.25">
      <c r="D1673" s="14" t="s">
        <v>5949</v>
      </c>
      <c r="E1673" s="14" t="s">
        <v>5950</v>
      </c>
      <c r="F1673" s="84" t="s">
        <v>386</v>
      </c>
      <c r="G1673" s="15" t="s">
        <v>68</v>
      </c>
      <c r="H1673" s="16" t="s">
        <v>5951</v>
      </c>
      <c r="I1673" s="17"/>
      <c r="J1673" s="17"/>
      <c r="K1673" s="17"/>
      <c r="L1673" s="17"/>
      <c r="T1673" s="13"/>
      <c r="U1673" s="13"/>
      <c r="V1673" s="13"/>
      <c r="W1673" s="13"/>
    </row>
    <row r="1674" spans="4:23" ht="27" customHeight="1" x14ac:dyDescent="0.25">
      <c r="D1674" s="14" t="s">
        <v>5952</v>
      </c>
      <c r="E1674" s="14" t="s">
        <v>5953</v>
      </c>
      <c r="F1674" s="84" t="s">
        <v>266</v>
      </c>
      <c r="G1674" s="15" t="s">
        <v>27</v>
      </c>
      <c r="H1674" s="16" t="s">
        <v>5954</v>
      </c>
      <c r="I1674" s="17"/>
      <c r="J1674" s="17"/>
      <c r="K1674" s="17"/>
      <c r="L1674" s="17"/>
      <c r="T1674" s="13"/>
      <c r="U1674" s="13"/>
      <c r="V1674" s="13"/>
      <c r="W1674" s="13"/>
    </row>
    <row r="1675" spans="4:23" ht="27" customHeight="1" x14ac:dyDescent="0.25">
      <c r="D1675" s="14" t="s">
        <v>5955</v>
      </c>
      <c r="E1675" s="14" t="s">
        <v>190</v>
      </c>
      <c r="F1675" s="84" t="s">
        <v>3709</v>
      </c>
      <c r="G1675" s="15" t="s">
        <v>68</v>
      </c>
      <c r="H1675" s="16" t="s">
        <v>5956</v>
      </c>
      <c r="I1675" s="17"/>
      <c r="J1675" s="17"/>
      <c r="K1675" s="17"/>
      <c r="L1675" s="17"/>
      <c r="T1675" s="13"/>
      <c r="U1675" s="13"/>
      <c r="V1675" s="13"/>
      <c r="W1675" s="13"/>
    </row>
    <row r="1676" spans="4:23" ht="27" customHeight="1" x14ac:dyDescent="0.25">
      <c r="D1676" s="14" t="s">
        <v>5957</v>
      </c>
      <c r="E1676" s="14" t="s">
        <v>774</v>
      </c>
      <c r="F1676" s="84" t="s">
        <v>1342</v>
      </c>
      <c r="G1676" s="15" t="s">
        <v>27</v>
      </c>
      <c r="H1676" s="16" t="s">
        <v>5958</v>
      </c>
      <c r="I1676" s="17"/>
      <c r="J1676" s="17"/>
      <c r="K1676" s="17"/>
      <c r="L1676" s="17"/>
      <c r="T1676" s="13"/>
      <c r="U1676" s="13"/>
      <c r="V1676" s="13"/>
      <c r="W1676" s="13"/>
    </row>
    <row r="1677" spans="4:23" ht="27" customHeight="1" x14ac:dyDescent="0.25">
      <c r="D1677" s="14" t="s">
        <v>5959</v>
      </c>
      <c r="E1677" s="14" t="s">
        <v>5960</v>
      </c>
      <c r="F1677" s="84" t="s">
        <v>587</v>
      </c>
      <c r="G1677" s="15" t="s">
        <v>68</v>
      </c>
      <c r="H1677" s="16" t="s">
        <v>5961</v>
      </c>
      <c r="I1677" s="17"/>
      <c r="J1677" s="17"/>
      <c r="K1677" s="17"/>
      <c r="L1677" s="17"/>
      <c r="T1677" s="13"/>
      <c r="U1677" s="13"/>
      <c r="V1677" s="13"/>
      <c r="W1677" s="13"/>
    </row>
    <row r="1678" spans="4:23" ht="27" customHeight="1" x14ac:dyDescent="0.25">
      <c r="D1678" s="14" t="s">
        <v>5962</v>
      </c>
      <c r="E1678" s="14" t="s">
        <v>5963</v>
      </c>
      <c r="F1678" s="84" t="s">
        <v>233</v>
      </c>
      <c r="G1678" s="15" t="s">
        <v>27</v>
      </c>
      <c r="H1678" s="16" t="s">
        <v>5964</v>
      </c>
      <c r="I1678" s="17"/>
      <c r="J1678" s="17"/>
      <c r="K1678" s="17"/>
      <c r="L1678" s="17"/>
      <c r="T1678" s="13"/>
      <c r="U1678" s="13"/>
      <c r="V1678" s="13"/>
      <c r="W1678" s="13"/>
    </row>
    <row r="1679" spans="4:23" ht="27" customHeight="1" x14ac:dyDescent="0.25">
      <c r="D1679" s="14" t="s">
        <v>5965</v>
      </c>
      <c r="E1679" s="14" t="s">
        <v>5166</v>
      </c>
      <c r="F1679" s="84" t="s">
        <v>121</v>
      </c>
      <c r="G1679" s="15" t="s">
        <v>27</v>
      </c>
      <c r="H1679" s="16" t="s">
        <v>5966</v>
      </c>
      <c r="I1679" s="17"/>
      <c r="J1679" s="17"/>
      <c r="K1679" s="17"/>
      <c r="L1679" s="17"/>
      <c r="T1679" s="13"/>
      <c r="U1679" s="13"/>
      <c r="V1679" s="13"/>
      <c r="W1679" s="13"/>
    </row>
    <row r="1680" spans="4:23" ht="27" customHeight="1" x14ac:dyDescent="0.25">
      <c r="D1680" s="14" t="s">
        <v>5967</v>
      </c>
      <c r="E1680" s="14" t="s">
        <v>5968</v>
      </c>
      <c r="F1680" s="84" t="s">
        <v>587</v>
      </c>
      <c r="G1680" s="15" t="s">
        <v>68</v>
      </c>
      <c r="H1680" s="16" t="s">
        <v>5969</v>
      </c>
      <c r="I1680" s="17"/>
      <c r="J1680" s="17"/>
      <c r="K1680" s="17"/>
      <c r="L1680" s="17"/>
      <c r="T1680" s="13"/>
      <c r="U1680" s="13"/>
      <c r="V1680" s="13"/>
      <c r="W1680" s="13"/>
    </row>
    <row r="1681" spans="4:23" ht="27" customHeight="1" x14ac:dyDescent="0.25">
      <c r="D1681" s="14" t="s">
        <v>5970</v>
      </c>
      <c r="E1681" s="14" t="s">
        <v>5971</v>
      </c>
      <c r="F1681" s="84" t="s">
        <v>92</v>
      </c>
      <c r="G1681" s="15" t="s">
        <v>27</v>
      </c>
      <c r="H1681" s="16" t="s">
        <v>5972</v>
      </c>
      <c r="I1681" s="17"/>
      <c r="J1681" s="17"/>
      <c r="K1681" s="17"/>
      <c r="L1681" s="17"/>
      <c r="T1681" s="13"/>
      <c r="U1681" s="13"/>
      <c r="V1681" s="13"/>
      <c r="W1681" s="13"/>
    </row>
    <row r="1682" spans="4:23" ht="27" customHeight="1" x14ac:dyDescent="0.25">
      <c r="D1682" s="14" t="s">
        <v>5973</v>
      </c>
      <c r="E1682" s="14" t="s">
        <v>4257</v>
      </c>
      <c r="F1682" s="84" t="s">
        <v>348</v>
      </c>
      <c r="G1682" s="15" t="s">
        <v>27</v>
      </c>
      <c r="H1682" s="16" t="s">
        <v>5974</v>
      </c>
      <c r="I1682" s="17"/>
      <c r="J1682" s="17"/>
      <c r="K1682" s="17"/>
      <c r="L1682" s="17"/>
      <c r="T1682" s="13"/>
      <c r="U1682" s="13"/>
      <c r="V1682" s="13"/>
      <c r="W1682" s="13"/>
    </row>
    <row r="1683" spans="4:23" ht="27" customHeight="1" x14ac:dyDescent="0.25">
      <c r="D1683" s="14" t="s">
        <v>5975</v>
      </c>
      <c r="E1683" s="14" t="s">
        <v>5976</v>
      </c>
      <c r="F1683" s="84" t="s">
        <v>266</v>
      </c>
      <c r="G1683" s="15" t="s">
        <v>27</v>
      </c>
      <c r="H1683" s="16" t="s">
        <v>5977</v>
      </c>
      <c r="I1683" s="17"/>
      <c r="J1683" s="17"/>
      <c r="K1683" s="17"/>
      <c r="L1683" s="17"/>
      <c r="T1683" s="13"/>
      <c r="U1683" s="13"/>
      <c r="V1683" s="13"/>
      <c r="W1683" s="13"/>
    </row>
    <row r="1684" spans="4:23" ht="27" customHeight="1" x14ac:dyDescent="0.25">
      <c r="D1684" s="14" t="s">
        <v>5978</v>
      </c>
      <c r="E1684" s="14" t="s">
        <v>5979</v>
      </c>
      <c r="F1684" s="84" t="s">
        <v>114</v>
      </c>
      <c r="G1684" s="15" t="s">
        <v>27</v>
      </c>
      <c r="H1684" s="16" t="s">
        <v>5980</v>
      </c>
      <c r="I1684" s="17"/>
      <c r="J1684" s="17"/>
      <c r="K1684" s="17"/>
      <c r="L1684" s="17"/>
      <c r="T1684" s="13"/>
      <c r="U1684" s="13"/>
      <c r="V1684" s="13"/>
      <c r="W1684" s="13"/>
    </row>
    <row r="1685" spans="4:23" ht="27" customHeight="1" x14ac:dyDescent="0.25">
      <c r="D1685" s="14" t="s">
        <v>5981</v>
      </c>
      <c r="E1685" s="14" t="s">
        <v>2393</v>
      </c>
      <c r="F1685" s="84" t="s">
        <v>372</v>
      </c>
      <c r="G1685" s="15" t="s">
        <v>27</v>
      </c>
      <c r="H1685" s="16" t="s">
        <v>5982</v>
      </c>
      <c r="I1685" s="17"/>
      <c r="J1685" s="17"/>
      <c r="K1685" s="17"/>
      <c r="L1685" s="17"/>
      <c r="T1685" s="13"/>
      <c r="U1685" s="13"/>
      <c r="V1685" s="13"/>
      <c r="W1685" s="13"/>
    </row>
    <row r="1686" spans="4:23" ht="27" customHeight="1" x14ac:dyDescent="0.25">
      <c r="D1686" s="14" t="s">
        <v>5983</v>
      </c>
      <c r="E1686" s="14" t="s">
        <v>5984</v>
      </c>
      <c r="F1686" s="84" t="s">
        <v>5985</v>
      </c>
      <c r="G1686" s="15" t="s">
        <v>27</v>
      </c>
      <c r="H1686" s="16" t="s">
        <v>5986</v>
      </c>
      <c r="I1686" s="17"/>
      <c r="J1686" s="17"/>
      <c r="K1686" s="17"/>
      <c r="L1686" s="17"/>
      <c r="T1686" s="13"/>
      <c r="U1686" s="13"/>
      <c r="V1686" s="13"/>
      <c r="W1686" s="13"/>
    </row>
    <row r="1687" spans="4:23" ht="27" customHeight="1" x14ac:dyDescent="0.25">
      <c r="D1687" s="14" t="s">
        <v>5987</v>
      </c>
      <c r="E1687" s="14" t="s">
        <v>5988</v>
      </c>
      <c r="F1687" s="84" t="s">
        <v>233</v>
      </c>
      <c r="G1687" s="15" t="s">
        <v>27</v>
      </c>
      <c r="H1687" s="16" t="s">
        <v>5989</v>
      </c>
      <c r="I1687" s="17"/>
      <c r="J1687" s="17"/>
      <c r="K1687" s="17"/>
      <c r="L1687" s="17"/>
      <c r="T1687" s="13"/>
      <c r="U1687" s="13"/>
      <c r="V1687" s="13"/>
      <c r="W1687" s="13"/>
    </row>
    <row r="1688" spans="4:23" ht="27" customHeight="1" x14ac:dyDescent="0.25">
      <c r="D1688" s="14" t="s">
        <v>5990</v>
      </c>
      <c r="E1688" s="14" t="s">
        <v>5991</v>
      </c>
      <c r="F1688" s="84" t="s">
        <v>302</v>
      </c>
      <c r="G1688" s="15" t="s">
        <v>27</v>
      </c>
      <c r="H1688" s="16" t="s">
        <v>5992</v>
      </c>
      <c r="I1688" s="17"/>
      <c r="J1688" s="17"/>
      <c r="K1688" s="17"/>
      <c r="L1688" s="17"/>
      <c r="T1688" s="13"/>
      <c r="U1688" s="13"/>
      <c r="V1688" s="13"/>
      <c r="W1688" s="13"/>
    </row>
    <row r="1689" spans="4:23" ht="27" customHeight="1" x14ac:dyDescent="0.25">
      <c r="D1689" s="14" t="s">
        <v>5993</v>
      </c>
      <c r="E1689" s="14" t="s">
        <v>3187</v>
      </c>
      <c r="F1689" s="84" t="s">
        <v>453</v>
      </c>
      <c r="G1689" s="15" t="s">
        <v>27</v>
      </c>
      <c r="H1689" s="16" t="s">
        <v>5994</v>
      </c>
      <c r="I1689" s="17"/>
      <c r="J1689" s="17"/>
      <c r="K1689" s="17"/>
      <c r="L1689" s="17"/>
      <c r="T1689" s="13"/>
      <c r="U1689" s="13"/>
      <c r="V1689" s="13"/>
      <c r="W1689" s="13"/>
    </row>
    <row r="1690" spans="4:23" ht="27" customHeight="1" x14ac:dyDescent="0.25">
      <c r="D1690" s="14" t="s">
        <v>5995</v>
      </c>
      <c r="E1690" s="14" t="s">
        <v>1872</v>
      </c>
      <c r="F1690" s="84" t="s">
        <v>149</v>
      </c>
      <c r="G1690" s="15" t="s">
        <v>27</v>
      </c>
      <c r="H1690" s="16" t="s">
        <v>5996</v>
      </c>
      <c r="I1690" s="17"/>
      <c r="J1690" s="17"/>
      <c r="K1690" s="17"/>
      <c r="L1690" s="17"/>
      <c r="T1690" s="13"/>
      <c r="U1690" s="13"/>
      <c r="V1690" s="13"/>
      <c r="W1690" s="13"/>
    </row>
    <row r="1691" spans="4:23" ht="27" customHeight="1" x14ac:dyDescent="0.25">
      <c r="D1691" s="14" t="s">
        <v>5997</v>
      </c>
      <c r="E1691" s="14" t="s">
        <v>4076</v>
      </c>
      <c r="F1691" s="84" t="s">
        <v>239</v>
      </c>
      <c r="G1691" s="15" t="s">
        <v>27</v>
      </c>
      <c r="H1691" s="16" t="s">
        <v>5998</v>
      </c>
      <c r="I1691" s="17"/>
      <c r="J1691" s="17"/>
      <c r="K1691" s="17"/>
      <c r="L1691" s="17"/>
      <c r="T1691" s="13"/>
      <c r="U1691" s="13"/>
      <c r="V1691" s="13"/>
      <c r="W1691" s="13"/>
    </row>
    <row r="1692" spans="4:23" ht="27" customHeight="1" x14ac:dyDescent="0.25">
      <c r="D1692" s="14" t="s">
        <v>5999</v>
      </c>
      <c r="E1692" s="14" t="s">
        <v>6000</v>
      </c>
      <c r="F1692" s="84" t="s">
        <v>1093</v>
      </c>
      <c r="G1692" s="15" t="s">
        <v>27</v>
      </c>
      <c r="H1692" s="16" t="s">
        <v>6001</v>
      </c>
      <c r="I1692" s="17"/>
      <c r="J1692" s="17"/>
      <c r="K1692" s="17"/>
      <c r="L1692" s="17"/>
      <c r="T1692" s="13"/>
      <c r="U1692" s="13"/>
      <c r="V1692" s="13"/>
      <c r="W1692" s="13"/>
    </row>
    <row r="1693" spans="4:23" ht="27" customHeight="1" x14ac:dyDescent="0.25">
      <c r="D1693" s="14" t="s">
        <v>6002</v>
      </c>
      <c r="E1693" s="14" t="s">
        <v>6003</v>
      </c>
      <c r="F1693" s="84" t="s">
        <v>92</v>
      </c>
      <c r="G1693" s="15" t="s">
        <v>68</v>
      </c>
      <c r="H1693" s="16" t="s">
        <v>6004</v>
      </c>
      <c r="I1693" s="17"/>
      <c r="J1693" s="17"/>
      <c r="K1693" s="17"/>
      <c r="L1693" s="17"/>
      <c r="T1693" s="13"/>
      <c r="U1693" s="13"/>
      <c r="V1693" s="13"/>
      <c r="W1693" s="13"/>
    </row>
    <row r="1694" spans="4:23" ht="27" customHeight="1" x14ac:dyDescent="0.25">
      <c r="D1694" s="14" t="s">
        <v>6005</v>
      </c>
      <c r="E1694" s="14" t="s">
        <v>6006</v>
      </c>
      <c r="F1694" s="84" t="s">
        <v>422</v>
      </c>
      <c r="G1694" s="15" t="s">
        <v>68</v>
      </c>
      <c r="H1694" s="16" t="s">
        <v>6007</v>
      </c>
      <c r="I1694" s="17"/>
      <c r="J1694" s="17"/>
      <c r="K1694" s="17"/>
      <c r="L1694" s="17"/>
      <c r="T1694" s="13"/>
      <c r="U1694" s="13"/>
      <c r="V1694" s="13"/>
      <c r="W1694" s="13"/>
    </row>
    <row r="1695" spans="4:23" ht="27" customHeight="1" x14ac:dyDescent="0.25">
      <c r="D1695" s="14" t="s">
        <v>6008</v>
      </c>
      <c r="E1695" s="14" t="s">
        <v>6009</v>
      </c>
      <c r="F1695" s="84" t="s">
        <v>524</v>
      </c>
      <c r="G1695" s="15" t="s">
        <v>27</v>
      </c>
      <c r="H1695" s="16" t="s">
        <v>6010</v>
      </c>
      <c r="I1695" s="17"/>
      <c r="J1695" s="17"/>
      <c r="K1695" s="17"/>
      <c r="L1695" s="17"/>
      <c r="T1695" s="13"/>
      <c r="U1695" s="13"/>
      <c r="V1695" s="13"/>
      <c r="W1695" s="13"/>
    </row>
    <row r="1696" spans="4:23" ht="27" customHeight="1" x14ac:dyDescent="0.25">
      <c r="D1696" s="14" t="s">
        <v>6011</v>
      </c>
      <c r="E1696" s="14" t="s">
        <v>6012</v>
      </c>
      <c r="F1696" s="84" t="s">
        <v>233</v>
      </c>
      <c r="G1696" s="15" t="s">
        <v>27</v>
      </c>
      <c r="H1696" s="16" t="s">
        <v>6013</v>
      </c>
      <c r="I1696" s="17"/>
      <c r="J1696" s="17"/>
      <c r="K1696" s="17"/>
      <c r="L1696" s="17"/>
      <c r="T1696" s="13"/>
      <c r="U1696" s="13"/>
      <c r="V1696" s="13"/>
      <c r="W1696" s="13"/>
    </row>
    <row r="1697" spans="4:23" ht="27" customHeight="1" x14ac:dyDescent="0.25">
      <c r="D1697" s="14" t="s">
        <v>6014</v>
      </c>
      <c r="E1697" s="14" t="s">
        <v>659</v>
      </c>
      <c r="F1697" s="84" t="s">
        <v>1919</v>
      </c>
      <c r="G1697" s="15" t="s">
        <v>27</v>
      </c>
      <c r="H1697" s="16" t="s">
        <v>6015</v>
      </c>
      <c r="I1697" s="17"/>
      <c r="J1697" s="17"/>
      <c r="K1697" s="17"/>
      <c r="L1697" s="17"/>
      <c r="T1697" s="13"/>
      <c r="U1697" s="13"/>
      <c r="V1697" s="13"/>
      <c r="W1697" s="13"/>
    </row>
    <row r="1698" spans="4:23" ht="27" customHeight="1" x14ac:dyDescent="0.25">
      <c r="D1698" s="14" t="s">
        <v>6016</v>
      </c>
      <c r="E1698" s="14" t="s">
        <v>6017</v>
      </c>
      <c r="F1698" s="84" t="s">
        <v>321</v>
      </c>
      <c r="G1698" s="15" t="s">
        <v>27</v>
      </c>
      <c r="H1698" s="16" t="s">
        <v>6018</v>
      </c>
      <c r="I1698" s="17"/>
      <c r="J1698" s="17"/>
      <c r="K1698" s="17"/>
      <c r="L1698" s="17"/>
      <c r="T1698" s="13"/>
      <c r="U1698" s="13"/>
      <c r="V1698" s="13"/>
      <c r="W1698" s="13"/>
    </row>
    <row r="1699" spans="4:23" ht="27" customHeight="1" x14ac:dyDescent="0.25">
      <c r="D1699" s="14" t="s">
        <v>6019</v>
      </c>
      <c r="E1699" s="14" t="s">
        <v>6020</v>
      </c>
      <c r="F1699" s="84" t="s">
        <v>129</v>
      </c>
      <c r="G1699" s="15" t="s">
        <v>27</v>
      </c>
      <c r="H1699" s="16" t="s">
        <v>6021</v>
      </c>
      <c r="I1699" s="17"/>
      <c r="J1699" s="17"/>
      <c r="K1699" s="17"/>
      <c r="L1699" s="17"/>
      <c r="T1699" s="13"/>
      <c r="U1699" s="13"/>
      <c r="V1699" s="13"/>
      <c r="W1699" s="13"/>
    </row>
    <row r="1700" spans="4:23" ht="27" customHeight="1" x14ac:dyDescent="0.25">
      <c r="D1700" s="14" t="s">
        <v>6022</v>
      </c>
      <c r="E1700" s="14" t="s">
        <v>4494</v>
      </c>
      <c r="F1700" s="84" t="s">
        <v>1118</v>
      </c>
      <c r="G1700" s="15" t="s">
        <v>27</v>
      </c>
      <c r="H1700" s="16" t="s">
        <v>6023</v>
      </c>
      <c r="I1700" s="17"/>
      <c r="J1700" s="17"/>
      <c r="K1700" s="17"/>
      <c r="L1700" s="17"/>
      <c r="T1700" s="13"/>
      <c r="U1700" s="13"/>
      <c r="V1700" s="13"/>
      <c r="W1700" s="13"/>
    </row>
    <row r="1701" spans="4:23" ht="27" customHeight="1" x14ac:dyDescent="0.25">
      <c r="D1701" s="14" t="s">
        <v>6024</v>
      </c>
      <c r="E1701" s="14" t="s">
        <v>6025</v>
      </c>
      <c r="F1701" s="84" t="s">
        <v>614</v>
      </c>
      <c r="G1701" s="15" t="s">
        <v>27</v>
      </c>
      <c r="H1701" s="16" t="s">
        <v>6026</v>
      </c>
      <c r="I1701" s="17"/>
      <c r="J1701" s="17"/>
      <c r="K1701" s="17"/>
      <c r="L1701" s="17"/>
      <c r="T1701" s="13"/>
      <c r="U1701" s="13"/>
      <c r="V1701" s="13"/>
      <c r="W1701" s="13"/>
    </row>
    <row r="1702" spans="4:23" ht="27" customHeight="1" x14ac:dyDescent="0.25">
      <c r="D1702" s="14" t="s">
        <v>6027</v>
      </c>
      <c r="E1702" s="14" t="s">
        <v>3696</v>
      </c>
      <c r="F1702" s="84" t="s">
        <v>1201</v>
      </c>
      <c r="G1702" s="15" t="s">
        <v>68</v>
      </c>
      <c r="H1702" s="16" t="s">
        <v>6028</v>
      </c>
      <c r="I1702" s="17"/>
      <c r="J1702" s="17"/>
      <c r="K1702" s="17"/>
      <c r="L1702" s="17"/>
      <c r="T1702" s="13"/>
      <c r="U1702" s="13"/>
      <c r="V1702" s="13"/>
      <c r="W1702" s="13"/>
    </row>
    <row r="1703" spans="4:23" ht="27" customHeight="1" x14ac:dyDescent="0.25">
      <c r="D1703" s="14" t="s">
        <v>6029</v>
      </c>
      <c r="E1703" s="14" t="s">
        <v>6030</v>
      </c>
      <c r="F1703" s="84" t="s">
        <v>143</v>
      </c>
      <c r="G1703" s="15" t="s">
        <v>68</v>
      </c>
      <c r="H1703" s="16" t="s">
        <v>6031</v>
      </c>
      <c r="I1703" s="17"/>
      <c r="J1703" s="17"/>
      <c r="K1703" s="17"/>
      <c r="L1703" s="17"/>
      <c r="T1703" s="13"/>
      <c r="U1703" s="13"/>
      <c r="V1703" s="13"/>
      <c r="W1703" s="13"/>
    </row>
    <row r="1704" spans="4:23" ht="27" customHeight="1" x14ac:dyDescent="0.25">
      <c r="D1704" s="14" t="s">
        <v>6032</v>
      </c>
      <c r="E1704" s="14" t="s">
        <v>6033</v>
      </c>
      <c r="F1704" s="84" t="s">
        <v>290</v>
      </c>
      <c r="G1704" s="15" t="s">
        <v>68</v>
      </c>
      <c r="H1704" s="16" t="s">
        <v>6034</v>
      </c>
      <c r="I1704" s="17"/>
      <c r="J1704" s="17"/>
      <c r="K1704" s="17"/>
      <c r="L1704" s="17"/>
      <c r="T1704" s="13"/>
      <c r="U1704" s="13"/>
      <c r="V1704" s="13"/>
      <c r="W1704" s="13"/>
    </row>
    <row r="1705" spans="4:23" ht="27" customHeight="1" x14ac:dyDescent="0.25">
      <c r="D1705" s="14" t="s">
        <v>6035</v>
      </c>
      <c r="E1705" s="14" t="s">
        <v>6036</v>
      </c>
      <c r="F1705" s="84" t="s">
        <v>909</v>
      </c>
      <c r="G1705" s="15" t="s">
        <v>27</v>
      </c>
      <c r="H1705" s="16" t="s">
        <v>6037</v>
      </c>
      <c r="I1705" s="17"/>
      <c r="J1705" s="17"/>
      <c r="K1705" s="17"/>
      <c r="L1705" s="17"/>
      <c r="T1705" s="13"/>
      <c r="U1705" s="13"/>
      <c r="V1705" s="13"/>
      <c r="W1705" s="13"/>
    </row>
    <row r="1706" spans="4:23" ht="27" customHeight="1" x14ac:dyDescent="0.25">
      <c r="D1706" s="14" t="s">
        <v>6038</v>
      </c>
      <c r="E1706" s="14" t="s">
        <v>3224</v>
      </c>
      <c r="F1706" s="84" t="s">
        <v>1473</v>
      </c>
      <c r="G1706" s="15" t="s">
        <v>68</v>
      </c>
      <c r="H1706" s="16" t="s">
        <v>6039</v>
      </c>
      <c r="I1706" s="17"/>
      <c r="J1706" s="17"/>
      <c r="K1706" s="17"/>
      <c r="L1706" s="17"/>
      <c r="T1706" s="13"/>
      <c r="U1706" s="13"/>
      <c r="V1706" s="13"/>
      <c r="W1706" s="13"/>
    </row>
    <row r="1707" spans="4:23" ht="27" customHeight="1" x14ac:dyDescent="0.25">
      <c r="D1707" s="14" t="s">
        <v>6040</v>
      </c>
      <c r="E1707" s="14" t="s">
        <v>6041</v>
      </c>
      <c r="F1707" s="84" t="s">
        <v>343</v>
      </c>
      <c r="G1707" s="15" t="s">
        <v>27</v>
      </c>
      <c r="H1707" s="16" t="s">
        <v>6042</v>
      </c>
      <c r="I1707" s="17"/>
      <c r="J1707" s="17"/>
      <c r="K1707" s="17"/>
      <c r="L1707" s="17"/>
      <c r="T1707" s="13"/>
      <c r="U1707" s="13"/>
      <c r="V1707" s="13"/>
      <c r="W1707" s="13"/>
    </row>
    <row r="1708" spans="4:23" ht="27" customHeight="1" x14ac:dyDescent="0.25">
      <c r="D1708" s="14" t="s">
        <v>6043</v>
      </c>
      <c r="E1708" s="14" t="s">
        <v>6044</v>
      </c>
      <c r="F1708" s="84" t="s">
        <v>524</v>
      </c>
      <c r="G1708" s="15" t="s">
        <v>68</v>
      </c>
      <c r="H1708" s="16" t="s">
        <v>6045</v>
      </c>
      <c r="I1708" s="17"/>
      <c r="J1708" s="17"/>
      <c r="K1708" s="17"/>
      <c r="L1708" s="17"/>
      <c r="T1708" s="13"/>
      <c r="U1708" s="13"/>
      <c r="V1708" s="13"/>
      <c r="W1708" s="13"/>
    </row>
    <row r="1709" spans="4:23" ht="27" customHeight="1" x14ac:dyDescent="0.25">
      <c r="D1709" s="14" t="s">
        <v>6046</v>
      </c>
      <c r="E1709" s="14" t="s">
        <v>6047</v>
      </c>
      <c r="F1709" s="84" t="s">
        <v>1626</v>
      </c>
      <c r="G1709" s="15" t="s">
        <v>27</v>
      </c>
      <c r="H1709" s="16" t="s">
        <v>6048</v>
      </c>
      <c r="I1709" s="17"/>
      <c r="J1709" s="17"/>
      <c r="K1709" s="17"/>
      <c r="L1709" s="17"/>
      <c r="T1709" s="13"/>
      <c r="U1709" s="13"/>
      <c r="V1709" s="13"/>
      <c r="W1709" s="13"/>
    </row>
    <row r="1710" spans="4:23" ht="27" customHeight="1" x14ac:dyDescent="0.25">
      <c r="D1710" s="14" t="s">
        <v>6049</v>
      </c>
      <c r="E1710" s="14" t="s">
        <v>4006</v>
      </c>
      <c r="F1710" s="84" t="s">
        <v>194</v>
      </c>
      <c r="G1710" s="15" t="s">
        <v>27</v>
      </c>
      <c r="H1710" s="16" t="s">
        <v>6050</v>
      </c>
      <c r="I1710" s="17"/>
      <c r="J1710" s="17"/>
      <c r="K1710" s="17"/>
      <c r="L1710" s="17"/>
      <c r="T1710" s="13"/>
      <c r="U1710" s="13"/>
      <c r="V1710" s="13"/>
      <c r="W1710" s="13"/>
    </row>
    <row r="1711" spans="4:23" ht="27" customHeight="1" x14ac:dyDescent="0.25">
      <c r="D1711" s="14" t="s">
        <v>6051</v>
      </c>
      <c r="E1711" s="14" t="s">
        <v>6052</v>
      </c>
      <c r="F1711" s="84" t="s">
        <v>614</v>
      </c>
      <c r="G1711" s="15" t="s">
        <v>27</v>
      </c>
      <c r="H1711" s="16" t="s">
        <v>6053</v>
      </c>
      <c r="I1711" s="17"/>
      <c r="J1711" s="17"/>
      <c r="K1711" s="17"/>
      <c r="L1711" s="17"/>
      <c r="T1711" s="13"/>
      <c r="U1711" s="13"/>
      <c r="V1711" s="13"/>
      <c r="W1711" s="13"/>
    </row>
    <row r="1712" spans="4:23" ht="27" customHeight="1" x14ac:dyDescent="0.25">
      <c r="D1712" s="14" t="s">
        <v>6054</v>
      </c>
      <c r="E1712" s="14" t="s">
        <v>6055</v>
      </c>
      <c r="F1712" s="84" t="s">
        <v>175</v>
      </c>
      <c r="G1712" s="15" t="s">
        <v>27</v>
      </c>
      <c r="H1712" s="16" t="s">
        <v>6056</v>
      </c>
      <c r="I1712" s="17"/>
      <c r="J1712" s="17"/>
      <c r="K1712" s="17"/>
      <c r="L1712" s="17"/>
      <c r="T1712" s="13"/>
      <c r="U1712" s="13"/>
      <c r="V1712" s="13"/>
      <c r="W1712" s="13"/>
    </row>
    <row r="1713" spans="4:23" ht="27" customHeight="1" x14ac:dyDescent="0.25">
      <c r="D1713" s="14" t="s">
        <v>6057</v>
      </c>
      <c r="E1713" s="14" t="s">
        <v>6058</v>
      </c>
      <c r="F1713" s="84" t="s">
        <v>129</v>
      </c>
      <c r="G1713" s="15" t="s">
        <v>27</v>
      </c>
      <c r="H1713" s="16" t="s">
        <v>6059</v>
      </c>
      <c r="I1713" s="17"/>
      <c r="J1713" s="17"/>
      <c r="K1713" s="17"/>
      <c r="L1713" s="17"/>
      <c r="T1713" s="13"/>
      <c r="U1713" s="13"/>
      <c r="V1713" s="13"/>
      <c r="W1713" s="13"/>
    </row>
    <row r="1714" spans="4:23" ht="27" customHeight="1" x14ac:dyDescent="0.25">
      <c r="D1714" s="14" t="s">
        <v>6060</v>
      </c>
      <c r="E1714" s="14" t="s">
        <v>3327</v>
      </c>
      <c r="F1714" s="84" t="s">
        <v>538</v>
      </c>
      <c r="G1714" s="15" t="s">
        <v>27</v>
      </c>
      <c r="H1714" s="16" t="s">
        <v>6061</v>
      </c>
      <c r="I1714" s="17"/>
      <c r="J1714" s="17"/>
      <c r="K1714" s="17"/>
      <c r="L1714" s="17"/>
      <c r="T1714" s="13"/>
      <c r="U1714" s="13"/>
      <c r="V1714" s="13"/>
      <c r="W1714" s="13"/>
    </row>
    <row r="1715" spans="4:23" ht="27" customHeight="1" x14ac:dyDescent="0.25">
      <c r="D1715" s="14" t="s">
        <v>6062</v>
      </c>
      <c r="E1715" s="14" t="s">
        <v>2102</v>
      </c>
      <c r="F1715" s="84" t="s">
        <v>1572</v>
      </c>
      <c r="G1715" s="15" t="s">
        <v>27</v>
      </c>
      <c r="H1715" s="16" t="s">
        <v>6063</v>
      </c>
      <c r="I1715" s="17"/>
      <c r="J1715" s="17"/>
      <c r="K1715" s="17"/>
      <c r="L1715" s="17"/>
      <c r="T1715" s="13"/>
      <c r="U1715" s="13"/>
      <c r="V1715" s="13"/>
      <c r="W1715" s="13"/>
    </row>
    <row r="1716" spans="4:23" ht="27" customHeight="1" x14ac:dyDescent="0.25">
      <c r="D1716" s="14" t="s">
        <v>6064</v>
      </c>
      <c r="E1716" s="14" t="s">
        <v>2341</v>
      </c>
      <c r="F1716" s="84" t="s">
        <v>597</v>
      </c>
      <c r="G1716" s="15" t="s">
        <v>27</v>
      </c>
      <c r="H1716" s="16" t="s">
        <v>6065</v>
      </c>
      <c r="I1716" s="17"/>
      <c r="J1716" s="17"/>
      <c r="K1716" s="17"/>
      <c r="L1716" s="17"/>
      <c r="T1716" s="13"/>
      <c r="U1716" s="13"/>
      <c r="V1716" s="13"/>
      <c r="W1716" s="13"/>
    </row>
    <row r="1717" spans="4:23" ht="27" customHeight="1" x14ac:dyDescent="0.25">
      <c r="D1717" s="14" t="s">
        <v>6066</v>
      </c>
      <c r="E1717" s="14" t="s">
        <v>5224</v>
      </c>
      <c r="F1717" s="84" t="s">
        <v>121</v>
      </c>
      <c r="G1717" s="15" t="s">
        <v>27</v>
      </c>
      <c r="H1717" s="16" t="s">
        <v>6067</v>
      </c>
      <c r="I1717" s="17"/>
      <c r="J1717" s="17"/>
      <c r="K1717" s="17"/>
      <c r="L1717" s="17"/>
      <c r="T1717" s="13"/>
      <c r="U1717" s="13"/>
      <c r="V1717" s="13"/>
      <c r="W1717" s="13"/>
    </row>
    <row r="1718" spans="4:23" ht="27" customHeight="1" x14ac:dyDescent="0.25">
      <c r="D1718" s="14" t="s">
        <v>6068</v>
      </c>
      <c r="E1718" s="14" t="s">
        <v>6069</v>
      </c>
      <c r="F1718" s="84" t="s">
        <v>969</v>
      </c>
      <c r="G1718" s="15" t="s">
        <v>68</v>
      </c>
      <c r="H1718" s="16" t="s">
        <v>6070</v>
      </c>
      <c r="I1718" s="17"/>
      <c r="J1718" s="17"/>
      <c r="K1718" s="17"/>
      <c r="L1718" s="17"/>
      <c r="T1718" s="13"/>
      <c r="U1718" s="13"/>
      <c r="V1718" s="13"/>
      <c r="W1718" s="13"/>
    </row>
    <row r="1719" spans="4:23" ht="27" customHeight="1" x14ac:dyDescent="0.25">
      <c r="D1719" s="14" t="s">
        <v>6071</v>
      </c>
      <c r="E1719" s="14" t="s">
        <v>6072</v>
      </c>
      <c r="F1719" s="84" t="s">
        <v>92</v>
      </c>
      <c r="G1719" s="15" t="s">
        <v>27</v>
      </c>
      <c r="H1719" s="16" t="s">
        <v>6073</v>
      </c>
      <c r="I1719" s="17"/>
      <c r="J1719" s="17"/>
      <c r="K1719" s="17"/>
      <c r="L1719" s="17"/>
      <c r="T1719" s="13"/>
      <c r="U1719" s="13"/>
      <c r="V1719" s="13"/>
      <c r="W1719" s="13"/>
    </row>
    <row r="1720" spans="4:23" ht="27" customHeight="1" x14ac:dyDescent="0.25">
      <c r="D1720" s="14" t="s">
        <v>6074</v>
      </c>
      <c r="E1720" s="14" t="s">
        <v>6075</v>
      </c>
      <c r="F1720" s="84" t="s">
        <v>233</v>
      </c>
      <c r="G1720" s="15" t="s">
        <v>68</v>
      </c>
      <c r="H1720" s="16" t="s">
        <v>6076</v>
      </c>
      <c r="I1720" s="17"/>
      <c r="J1720" s="17"/>
      <c r="K1720" s="17"/>
      <c r="L1720" s="17"/>
      <c r="T1720" s="13"/>
      <c r="U1720" s="13"/>
      <c r="V1720" s="13"/>
      <c r="W1720" s="13"/>
    </row>
    <row r="1721" spans="4:23" ht="27" customHeight="1" x14ac:dyDescent="0.25">
      <c r="D1721" s="14" t="s">
        <v>6077</v>
      </c>
      <c r="E1721" s="14" t="s">
        <v>6078</v>
      </c>
      <c r="F1721" s="84" t="s">
        <v>2247</v>
      </c>
      <c r="G1721" s="15" t="s">
        <v>27</v>
      </c>
      <c r="H1721" s="16" t="s">
        <v>6079</v>
      </c>
      <c r="I1721" s="17"/>
      <c r="J1721" s="17"/>
      <c r="K1721" s="17"/>
      <c r="L1721" s="17"/>
      <c r="T1721" s="13"/>
      <c r="U1721" s="13"/>
      <c r="V1721" s="13"/>
      <c r="W1721" s="13"/>
    </row>
    <row r="1722" spans="4:23" ht="27" customHeight="1" x14ac:dyDescent="0.25">
      <c r="D1722" s="14" t="s">
        <v>6080</v>
      </c>
      <c r="E1722" s="14" t="s">
        <v>1774</v>
      </c>
      <c r="F1722" s="84" t="s">
        <v>211</v>
      </c>
      <c r="G1722" s="15" t="s">
        <v>27</v>
      </c>
      <c r="H1722" s="16" t="s">
        <v>6081</v>
      </c>
      <c r="I1722" s="17"/>
      <c r="J1722" s="17"/>
      <c r="K1722" s="17"/>
      <c r="L1722" s="17"/>
      <c r="T1722" s="13"/>
      <c r="U1722" s="13"/>
      <c r="V1722" s="13"/>
      <c r="W1722" s="13"/>
    </row>
    <row r="1723" spans="4:23" ht="27" customHeight="1" x14ac:dyDescent="0.25">
      <c r="D1723" s="14" t="s">
        <v>6082</v>
      </c>
      <c r="E1723" s="14" t="s">
        <v>4735</v>
      </c>
      <c r="F1723" s="84" t="s">
        <v>402</v>
      </c>
      <c r="G1723" s="15" t="s">
        <v>27</v>
      </c>
      <c r="H1723" s="16" t="s">
        <v>6083</v>
      </c>
      <c r="I1723" s="17"/>
      <c r="J1723" s="17"/>
      <c r="K1723" s="17"/>
      <c r="L1723" s="17"/>
      <c r="T1723" s="13"/>
      <c r="U1723" s="13"/>
      <c r="V1723" s="13"/>
      <c r="W1723" s="13"/>
    </row>
    <row r="1724" spans="4:23" ht="27" customHeight="1" x14ac:dyDescent="0.25">
      <c r="D1724" s="14" t="s">
        <v>6084</v>
      </c>
      <c r="E1724" s="14" t="s">
        <v>6085</v>
      </c>
      <c r="F1724" s="84" t="s">
        <v>524</v>
      </c>
      <c r="G1724" s="15" t="s">
        <v>68</v>
      </c>
      <c r="H1724" s="16" t="s">
        <v>6086</v>
      </c>
      <c r="I1724" s="17"/>
      <c r="J1724" s="17"/>
      <c r="K1724" s="17"/>
      <c r="L1724" s="17"/>
      <c r="T1724" s="13"/>
      <c r="U1724" s="13"/>
      <c r="V1724" s="13"/>
      <c r="W1724" s="13"/>
    </row>
    <row r="1725" spans="4:23" ht="27" customHeight="1" x14ac:dyDescent="0.25">
      <c r="D1725" s="14" t="s">
        <v>6087</v>
      </c>
      <c r="E1725" s="14" t="s">
        <v>6088</v>
      </c>
      <c r="F1725" s="84" t="s">
        <v>1886</v>
      </c>
      <c r="G1725" s="15" t="s">
        <v>27</v>
      </c>
      <c r="H1725" s="16" t="s">
        <v>6089</v>
      </c>
      <c r="I1725" s="17"/>
      <c r="J1725" s="17"/>
      <c r="K1725" s="17"/>
      <c r="L1725" s="17"/>
      <c r="T1725" s="13"/>
      <c r="U1725" s="13"/>
      <c r="V1725" s="13"/>
      <c r="W1725" s="13"/>
    </row>
    <row r="1726" spans="4:23" ht="27" customHeight="1" x14ac:dyDescent="0.25">
      <c r="D1726" s="14" t="s">
        <v>6090</v>
      </c>
      <c r="E1726" s="14" t="s">
        <v>146</v>
      </c>
      <c r="F1726" s="84" t="s">
        <v>1729</v>
      </c>
      <c r="G1726" s="15" t="s">
        <v>68</v>
      </c>
      <c r="H1726" s="16" t="s">
        <v>6091</v>
      </c>
      <c r="I1726" s="17"/>
      <c r="J1726" s="17"/>
      <c r="K1726" s="17"/>
      <c r="L1726" s="17"/>
      <c r="T1726" s="13"/>
      <c r="U1726" s="13"/>
      <c r="V1726" s="13"/>
      <c r="W1726" s="13"/>
    </row>
    <row r="1727" spans="4:23" ht="27" customHeight="1" x14ac:dyDescent="0.25">
      <c r="D1727" s="14" t="s">
        <v>6092</v>
      </c>
      <c r="E1727" s="14" t="s">
        <v>6093</v>
      </c>
      <c r="F1727" s="84" t="s">
        <v>159</v>
      </c>
      <c r="G1727" s="15" t="s">
        <v>27</v>
      </c>
      <c r="H1727" s="16" t="s">
        <v>6094</v>
      </c>
      <c r="I1727" s="17"/>
      <c r="J1727" s="17"/>
      <c r="K1727" s="17"/>
      <c r="L1727" s="17"/>
      <c r="T1727" s="13"/>
      <c r="U1727" s="13"/>
      <c r="V1727" s="13"/>
      <c r="W1727" s="13"/>
    </row>
    <row r="1728" spans="4:23" ht="27" customHeight="1" x14ac:dyDescent="0.25">
      <c r="D1728" s="14" t="s">
        <v>6095</v>
      </c>
      <c r="E1728" s="14" t="s">
        <v>6096</v>
      </c>
      <c r="F1728" s="84" t="s">
        <v>909</v>
      </c>
      <c r="G1728" s="15" t="s">
        <v>27</v>
      </c>
      <c r="H1728" s="16" t="s">
        <v>6097</v>
      </c>
      <c r="I1728" s="17"/>
      <c r="J1728" s="17"/>
      <c r="K1728" s="17"/>
      <c r="L1728" s="17"/>
      <c r="T1728" s="13"/>
      <c r="U1728" s="13"/>
      <c r="V1728" s="13"/>
      <c r="W1728" s="13"/>
    </row>
    <row r="1729" spans="4:23" ht="27" customHeight="1" x14ac:dyDescent="0.25">
      <c r="D1729" s="14" t="s">
        <v>6098</v>
      </c>
      <c r="E1729" s="14" t="s">
        <v>753</v>
      </c>
      <c r="F1729" s="84" t="s">
        <v>805</v>
      </c>
      <c r="G1729" s="15" t="s">
        <v>68</v>
      </c>
      <c r="H1729" s="16" t="s">
        <v>6099</v>
      </c>
      <c r="I1729" s="17"/>
      <c r="J1729" s="17"/>
      <c r="K1729" s="17"/>
      <c r="L1729" s="17"/>
      <c r="T1729" s="13"/>
      <c r="U1729" s="13"/>
      <c r="V1729" s="13"/>
      <c r="W1729" s="13"/>
    </row>
    <row r="1730" spans="4:23" ht="27" customHeight="1" x14ac:dyDescent="0.25">
      <c r="D1730" s="14" t="s">
        <v>6100</v>
      </c>
      <c r="E1730" s="14" t="s">
        <v>6101</v>
      </c>
      <c r="F1730" s="84" t="s">
        <v>372</v>
      </c>
      <c r="G1730" s="15" t="s">
        <v>27</v>
      </c>
      <c r="H1730" s="16" t="s">
        <v>6102</v>
      </c>
      <c r="I1730" s="17"/>
      <c r="J1730" s="17"/>
      <c r="K1730" s="17"/>
      <c r="L1730" s="17"/>
      <c r="T1730" s="13"/>
      <c r="U1730" s="13"/>
      <c r="V1730" s="13"/>
      <c r="W1730" s="13"/>
    </row>
    <row r="1731" spans="4:23" ht="27" customHeight="1" x14ac:dyDescent="0.25">
      <c r="D1731" s="14" t="s">
        <v>6103</v>
      </c>
      <c r="E1731" s="14" t="s">
        <v>6104</v>
      </c>
      <c r="F1731" s="84" t="s">
        <v>359</v>
      </c>
      <c r="G1731" s="15" t="s">
        <v>68</v>
      </c>
      <c r="H1731" s="16" t="s">
        <v>6105</v>
      </c>
      <c r="I1731" s="17"/>
      <c r="J1731" s="17"/>
      <c r="K1731" s="17"/>
      <c r="L1731" s="17"/>
      <c r="T1731" s="13"/>
      <c r="U1731" s="13"/>
      <c r="V1731" s="13"/>
      <c r="W1731" s="13"/>
    </row>
    <row r="1732" spans="4:23" ht="27" customHeight="1" x14ac:dyDescent="0.25">
      <c r="D1732" s="14" t="s">
        <v>6106</v>
      </c>
      <c r="E1732" s="14" t="s">
        <v>5426</v>
      </c>
      <c r="F1732" s="84" t="s">
        <v>46</v>
      </c>
      <c r="G1732" s="15" t="s">
        <v>68</v>
      </c>
      <c r="H1732" s="16" t="s">
        <v>6107</v>
      </c>
      <c r="I1732" s="17"/>
      <c r="J1732" s="17"/>
      <c r="K1732" s="17"/>
      <c r="L1732" s="17"/>
      <c r="T1732" s="13"/>
      <c r="U1732" s="13"/>
      <c r="V1732" s="13"/>
      <c r="W1732" s="13"/>
    </row>
    <row r="1733" spans="4:23" ht="27" customHeight="1" x14ac:dyDescent="0.25">
      <c r="D1733" s="14" t="s">
        <v>6108</v>
      </c>
      <c r="E1733" s="14" t="s">
        <v>4531</v>
      </c>
      <c r="F1733" s="84" t="s">
        <v>1118</v>
      </c>
      <c r="G1733" s="15" t="s">
        <v>68</v>
      </c>
      <c r="H1733" s="16" t="s">
        <v>6109</v>
      </c>
      <c r="I1733" s="17"/>
      <c r="J1733" s="17"/>
      <c r="K1733" s="17"/>
      <c r="L1733" s="17"/>
      <c r="T1733" s="13"/>
      <c r="U1733" s="13"/>
      <c r="V1733" s="13"/>
      <c r="W1733" s="13"/>
    </row>
    <row r="1734" spans="4:23" ht="27" customHeight="1" x14ac:dyDescent="0.25">
      <c r="D1734" s="14" t="s">
        <v>6110</v>
      </c>
      <c r="E1734" s="14" t="s">
        <v>3856</v>
      </c>
      <c r="F1734" s="84" t="s">
        <v>61</v>
      </c>
      <c r="G1734" s="15" t="s">
        <v>68</v>
      </c>
      <c r="H1734" s="16" t="s">
        <v>6111</v>
      </c>
      <c r="I1734" s="17"/>
      <c r="J1734" s="17"/>
      <c r="K1734" s="17"/>
      <c r="L1734" s="17"/>
      <c r="T1734" s="13"/>
      <c r="U1734" s="13"/>
      <c r="V1734" s="13"/>
      <c r="W1734" s="13"/>
    </row>
    <row r="1735" spans="4:23" ht="27" customHeight="1" x14ac:dyDescent="0.25">
      <c r="D1735" s="14" t="s">
        <v>6112</v>
      </c>
      <c r="E1735" s="14" t="s">
        <v>6113</v>
      </c>
      <c r="F1735" s="84" t="s">
        <v>1572</v>
      </c>
      <c r="G1735" s="15" t="s">
        <v>68</v>
      </c>
      <c r="H1735" s="16" t="s">
        <v>6114</v>
      </c>
      <c r="I1735" s="17"/>
      <c r="J1735" s="17"/>
      <c r="K1735" s="17"/>
      <c r="L1735" s="17"/>
      <c r="T1735" s="13"/>
      <c r="U1735" s="13"/>
      <c r="V1735" s="13"/>
      <c r="W1735" s="13"/>
    </row>
    <row r="1736" spans="4:23" ht="27" customHeight="1" x14ac:dyDescent="0.25">
      <c r="D1736" s="14" t="s">
        <v>6115</v>
      </c>
      <c r="E1736" s="14" t="s">
        <v>6116</v>
      </c>
      <c r="F1736" s="84" t="s">
        <v>490</v>
      </c>
      <c r="G1736" s="15" t="s">
        <v>68</v>
      </c>
      <c r="H1736" s="16" t="s">
        <v>6117</v>
      </c>
      <c r="I1736" s="17"/>
      <c r="J1736" s="17"/>
      <c r="K1736" s="17"/>
      <c r="L1736" s="17"/>
      <c r="T1736" s="13"/>
      <c r="U1736" s="13"/>
      <c r="V1736" s="13"/>
      <c r="W1736" s="13"/>
    </row>
    <row r="1737" spans="4:23" ht="27" customHeight="1" x14ac:dyDescent="0.25">
      <c r="D1737" s="14" t="s">
        <v>6118</v>
      </c>
      <c r="E1737" s="14" t="s">
        <v>6119</v>
      </c>
      <c r="F1737" s="84" t="s">
        <v>129</v>
      </c>
      <c r="G1737" s="15" t="s">
        <v>68</v>
      </c>
      <c r="H1737" s="16" t="s">
        <v>6120</v>
      </c>
      <c r="I1737" s="17"/>
      <c r="J1737" s="17"/>
      <c r="K1737" s="17"/>
      <c r="L1737" s="17"/>
      <c r="T1737" s="13"/>
      <c r="U1737" s="13"/>
      <c r="V1737" s="13"/>
      <c r="W1737" s="13"/>
    </row>
    <row r="1738" spans="4:23" ht="27" customHeight="1" x14ac:dyDescent="0.25">
      <c r="D1738" s="14" t="s">
        <v>6121</v>
      </c>
      <c r="E1738" s="14" t="s">
        <v>2712</v>
      </c>
      <c r="F1738" s="84" t="s">
        <v>592</v>
      </c>
      <c r="G1738" s="15" t="s">
        <v>27</v>
      </c>
      <c r="H1738" s="16" t="s">
        <v>6122</v>
      </c>
      <c r="I1738" s="17"/>
      <c r="J1738" s="17"/>
      <c r="K1738" s="17"/>
      <c r="L1738" s="17"/>
      <c r="T1738" s="13"/>
      <c r="U1738" s="13"/>
      <c r="V1738" s="13"/>
      <c r="W1738" s="13"/>
    </row>
    <row r="1739" spans="4:23" ht="27" customHeight="1" x14ac:dyDescent="0.25">
      <c r="D1739" s="14" t="s">
        <v>6123</v>
      </c>
      <c r="E1739" s="14" t="s">
        <v>2240</v>
      </c>
      <c r="F1739" s="84" t="s">
        <v>466</v>
      </c>
      <c r="G1739" s="15" t="s">
        <v>27</v>
      </c>
      <c r="H1739" s="16" t="s">
        <v>6124</v>
      </c>
      <c r="I1739" s="17"/>
      <c r="J1739" s="17"/>
      <c r="K1739" s="17"/>
      <c r="L1739" s="17"/>
      <c r="T1739" s="13"/>
      <c r="U1739" s="13"/>
      <c r="V1739" s="13"/>
      <c r="W1739" s="13"/>
    </row>
    <row r="1740" spans="4:23" ht="27" customHeight="1" x14ac:dyDescent="0.25">
      <c r="D1740" s="14" t="s">
        <v>6125</v>
      </c>
      <c r="E1740" s="14" t="s">
        <v>6126</v>
      </c>
      <c r="F1740" s="84" t="s">
        <v>280</v>
      </c>
      <c r="G1740" s="15" t="s">
        <v>27</v>
      </c>
      <c r="H1740" s="16" t="s">
        <v>6127</v>
      </c>
      <c r="I1740" s="17"/>
      <c r="J1740" s="17"/>
      <c r="K1740" s="17"/>
      <c r="L1740" s="17"/>
      <c r="T1740" s="13"/>
      <c r="U1740" s="13"/>
      <c r="V1740" s="13"/>
      <c r="W1740" s="13"/>
    </row>
    <row r="1741" spans="4:23" ht="27" customHeight="1" x14ac:dyDescent="0.25">
      <c r="D1741" s="14" t="s">
        <v>6128</v>
      </c>
      <c r="E1741" s="14" t="s">
        <v>6129</v>
      </c>
      <c r="F1741" s="84" t="s">
        <v>129</v>
      </c>
      <c r="G1741" s="15" t="s">
        <v>27</v>
      </c>
      <c r="H1741" s="16" t="s">
        <v>6130</v>
      </c>
      <c r="I1741" s="17"/>
      <c r="J1741" s="17"/>
      <c r="K1741" s="17"/>
      <c r="L1741" s="17"/>
      <c r="T1741" s="13"/>
      <c r="U1741" s="13"/>
      <c r="V1741" s="13"/>
      <c r="W1741" s="13"/>
    </row>
    <row r="1742" spans="4:23" ht="27" customHeight="1" x14ac:dyDescent="0.25">
      <c r="D1742" s="14" t="s">
        <v>6131</v>
      </c>
      <c r="E1742" s="14" t="s">
        <v>2528</v>
      </c>
      <c r="F1742" s="84" t="s">
        <v>159</v>
      </c>
      <c r="G1742" s="15" t="s">
        <v>27</v>
      </c>
      <c r="H1742" s="16" t="s">
        <v>6132</v>
      </c>
      <c r="I1742" s="17"/>
      <c r="J1742" s="17"/>
      <c r="K1742" s="17"/>
      <c r="L1742" s="17"/>
      <c r="T1742" s="13"/>
      <c r="U1742" s="13"/>
      <c r="V1742" s="13"/>
      <c r="W1742" s="13"/>
    </row>
    <row r="1743" spans="4:23" ht="27" customHeight="1" x14ac:dyDescent="0.25">
      <c r="D1743" s="14" t="s">
        <v>6133</v>
      </c>
      <c r="E1743" s="14" t="s">
        <v>4907</v>
      </c>
      <c r="F1743" s="84" t="s">
        <v>444</v>
      </c>
      <c r="G1743" s="15" t="s">
        <v>68</v>
      </c>
      <c r="H1743" s="16" t="s">
        <v>6134</v>
      </c>
      <c r="I1743" s="17"/>
      <c r="J1743" s="17"/>
      <c r="K1743" s="17"/>
      <c r="L1743" s="17"/>
      <c r="T1743" s="13"/>
      <c r="U1743" s="13"/>
      <c r="V1743" s="13"/>
      <c r="W1743" s="13"/>
    </row>
    <row r="1744" spans="4:23" ht="27" customHeight="1" x14ac:dyDescent="0.25">
      <c r="D1744" s="14" t="s">
        <v>6135</v>
      </c>
      <c r="E1744" s="14" t="s">
        <v>6136</v>
      </c>
      <c r="F1744" s="84" t="s">
        <v>175</v>
      </c>
      <c r="G1744" s="15" t="s">
        <v>27</v>
      </c>
      <c r="H1744" s="16" t="s">
        <v>6137</v>
      </c>
      <c r="I1744" s="17"/>
      <c r="J1744" s="17"/>
      <c r="K1744" s="17"/>
      <c r="L1744" s="17"/>
      <c r="T1744" s="13"/>
      <c r="U1744" s="13"/>
      <c r="V1744" s="13"/>
      <c r="W1744" s="13"/>
    </row>
    <row r="1745" spans="4:23" ht="27" customHeight="1" x14ac:dyDescent="0.25">
      <c r="D1745" s="14" t="s">
        <v>6138</v>
      </c>
      <c r="E1745" s="14" t="s">
        <v>5081</v>
      </c>
      <c r="F1745" s="84" t="s">
        <v>206</v>
      </c>
      <c r="G1745" s="15" t="s">
        <v>27</v>
      </c>
      <c r="H1745" s="16" t="s">
        <v>6139</v>
      </c>
      <c r="I1745" s="17"/>
      <c r="J1745" s="17"/>
      <c r="K1745" s="17"/>
      <c r="L1745" s="17"/>
      <c r="T1745" s="13"/>
      <c r="U1745" s="13"/>
      <c r="V1745" s="13"/>
      <c r="W1745" s="13"/>
    </row>
    <row r="1746" spans="4:23" ht="27" customHeight="1" x14ac:dyDescent="0.25">
      <c r="D1746" s="14" t="s">
        <v>6140</v>
      </c>
      <c r="E1746" s="14" t="s">
        <v>4013</v>
      </c>
      <c r="F1746" s="84" t="s">
        <v>194</v>
      </c>
      <c r="G1746" s="15" t="s">
        <v>27</v>
      </c>
      <c r="H1746" s="16" t="s">
        <v>6141</v>
      </c>
      <c r="I1746" s="17"/>
      <c r="J1746" s="17"/>
      <c r="K1746" s="17"/>
      <c r="L1746" s="17"/>
      <c r="T1746" s="13"/>
      <c r="U1746" s="13"/>
      <c r="V1746" s="13"/>
      <c r="W1746" s="13"/>
    </row>
    <row r="1747" spans="4:23" ht="27" customHeight="1" x14ac:dyDescent="0.25">
      <c r="D1747" s="14" t="s">
        <v>6142</v>
      </c>
      <c r="E1747" s="14" t="s">
        <v>6143</v>
      </c>
      <c r="F1747" s="84" t="s">
        <v>233</v>
      </c>
      <c r="G1747" s="15" t="s">
        <v>27</v>
      </c>
      <c r="H1747" s="16" t="s">
        <v>6144</v>
      </c>
      <c r="I1747" s="17"/>
      <c r="J1747" s="17"/>
      <c r="K1747" s="17"/>
      <c r="L1747" s="17"/>
      <c r="T1747" s="13"/>
      <c r="U1747" s="13"/>
      <c r="V1747" s="13"/>
      <c r="W1747" s="13"/>
    </row>
    <row r="1748" spans="4:23" ht="27" customHeight="1" x14ac:dyDescent="0.25">
      <c r="D1748" s="14" t="s">
        <v>6145</v>
      </c>
      <c r="E1748" s="14" t="s">
        <v>2023</v>
      </c>
      <c r="F1748" s="84" t="s">
        <v>412</v>
      </c>
      <c r="G1748" s="15" t="s">
        <v>27</v>
      </c>
      <c r="H1748" s="16" t="s">
        <v>6146</v>
      </c>
      <c r="I1748" s="17"/>
      <c r="J1748" s="17"/>
      <c r="K1748" s="17"/>
      <c r="L1748" s="17"/>
      <c r="T1748" s="13"/>
      <c r="U1748" s="13"/>
      <c r="V1748" s="13"/>
      <c r="W1748" s="13"/>
    </row>
    <row r="1749" spans="4:23" ht="27" customHeight="1" x14ac:dyDescent="0.25">
      <c r="D1749" s="14" t="s">
        <v>6147</v>
      </c>
      <c r="E1749" s="14" t="s">
        <v>2708</v>
      </c>
      <c r="F1749" s="84" t="s">
        <v>592</v>
      </c>
      <c r="G1749" s="15" t="s">
        <v>27</v>
      </c>
      <c r="H1749" s="16" t="s">
        <v>6148</v>
      </c>
      <c r="I1749" s="17"/>
      <c r="J1749" s="17"/>
      <c r="K1749" s="17"/>
      <c r="L1749" s="17"/>
      <c r="T1749" s="13"/>
      <c r="U1749" s="13"/>
      <c r="V1749" s="13"/>
      <c r="W1749" s="13"/>
    </row>
    <row r="1750" spans="4:23" ht="27" customHeight="1" x14ac:dyDescent="0.25">
      <c r="D1750" s="14" t="s">
        <v>6149</v>
      </c>
      <c r="E1750" s="14" t="s">
        <v>6150</v>
      </c>
      <c r="F1750" s="84" t="s">
        <v>159</v>
      </c>
      <c r="G1750" s="15" t="s">
        <v>68</v>
      </c>
      <c r="H1750" s="16" t="s">
        <v>6151</v>
      </c>
      <c r="I1750" s="17"/>
      <c r="J1750" s="17"/>
      <c r="K1750" s="17"/>
      <c r="L1750" s="17"/>
      <c r="T1750" s="13"/>
      <c r="U1750" s="13"/>
      <c r="V1750" s="13"/>
      <c r="W1750" s="13"/>
    </row>
    <row r="1751" spans="4:23" ht="27" customHeight="1" x14ac:dyDescent="0.25">
      <c r="D1751" s="14" t="s">
        <v>6152</v>
      </c>
      <c r="E1751" s="14" t="s">
        <v>6153</v>
      </c>
      <c r="F1751" s="84" t="s">
        <v>332</v>
      </c>
      <c r="G1751" s="15" t="s">
        <v>27</v>
      </c>
      <c r="H1751" s="16" t="s">
        <v>6154</v>
      </c>
      <c r="I1751" s="17"/>
      <c r="J1751" s="17"/>
      <c r="K1751" s="17"/>
      <c r="L1751" s="17"/>
      <c r="T1751" s="13"/>
      <c r="U1751" s="13"/>
      <c r="V1751" s="13"/>
      <c r="W1751" s="13"/>
    </row>
    <row r="1752" spans="4:23" ht="27" customHeight="1" x14ac:dyDescent="0.25">
      <c r="D1752" s="14" t="s">
        <v>6155</v>
      </c>
      <c r="E1752" s="14" t="s">
        <v>4882</v>
      </c>
      <c r="F1752" s="84" t="s">
        <v>444</v>
      </c>
      <c r="G1752" s="15" t="s">
        <v>68</v>
      </c>
      <c r="H1752" s="16" t="s">
        <v>6156</v>
      </c>
      <c r="I1752" s="17"/>
      <c r="J1752" s="17"/>
      <c r="K1752" s="17"/>
      <c r="L1752" s="17"/>
      <c r="T1752" s="13"/>
      <c r="U1752" s="13"/>
      <c r="V1752" s="13"/>
      <c r="W1752" s="13"/>
    </row>
    <row r="1753" spans="4:23" ht="27" customHeight="1" x14ac:dyDescent="0.25">
      <c r="D1753" s="14" t="s">
        <v>6157</v>
      </c>
      <c r="E1753" s="14" t="s">
        <v>6158</v>
      </c>
      <c r="F1753" s="84" t="s">
        <v>92</v>
      </c>
      <c r="G1753" s="15" t="s">
        <v>27</v>
      </c>
      <c r="H1753" s="16" t="s">
        <v>6159</v>
      </c>
      <c r="I1753" s="17"/>
      <c r="J1753" s="17"/>
      <c r="K1753" s="17"/>
      <c r="L1753" s="17"/>
      <c r="T1753" s="13"/>
      <c r="U1753" s="13"/>
      <c r="V1753" s="13"/>
      <c r="W1753" s="13"/>
    </row>
    <row r="1754" spans="4:23" ht="27" customHeight="1" x14ac:dyDescent="0.25">
      <c r="D1754" s="14" t="s">
        <v>6160</v>
      </c>
      <c r="E1754" s="14" t="s">
        <v>2110</v>
      </c>
      <c r="F1754" s="84" t="s">
        <v>1572</v>
      </c>
      <c r="G1754" s="15" t="s">
        <v>27</v>
      </c>
      <c r="H1754" s="16" t="s">
        <v>6161</v>
      </c>
      <c r="I1754" s="17"/>
      <c r="J1754" s="17"/>
      <c r="K1754" s="17"/>
      <c r="L1754" s="17"/>
      <c r="T1754" s="13"/>
      <c r="U1754" s="13"/>
      <c r="V1754" s="13"/>
      <c r="W1754" s="13"/>
    </row>
    <row r="1755" spans="4:23" ht="27" customHeight="1" x14ac:dyDescent="0.25">
      <c r="D1755" s="14" t="s">
        <v>6162</v>
      </c>
      <c r="E1755" s="14" t="s">
        <v>6163</v>
      </c>
      <c r="F1755" s="84" t="s">
        <v>233</v>
      </c>
      <c r="G1755" s="15" t="s">
        <v>27</v>
      </c>
      <c r="H1755" s="16" t="s">
        <v>6164</v>
      </c>
      <c r="I1755" s="17"/>
      <c r="J1755" s="17"/>
      <c r="K1755" s="17"/>
      <c r="L1755" s="17"/>
      <c r="T1755" s="13"/>
      <c r="U1755" s="13"/>
      <c r="V1755" s="13"/>
      <c r="W1755" s="13"/>
    </row>
    <row r="1756" spans="4:23" ht="27" customHeight="1" x14ac:dyDescent="0.25">
      <c r="D1756" s="14" t="s">
        <v>6165</v>
      </c>
      <c r="E1756" s="14" t="s">
        <v>6166</v>
      </c>
      <c r="F1756" s="84" t="s">
        <v>266</v>
      </c>
      <c r="G1756" s="15" t="s">
        <v>27</v>
      </c>
      <c r="H1756" s="16" t="s">
        <v>6167</v>
      </c>
      <c r="I1756" s="17"/>
      <c r="J1756" s="17"/>
      <c r="K1756" s="17"/>
      <c r="L1756" s="17"/>
      <c r="T1756" s="13"/>
      <c r="U1756" s="13"/>
      <c r="V1756" s="13"/>
      <c r="W1756" s="13"/>
    </row>
    <row r="1757" spans="4:23" ht="27" customHeight="1" x14ac:dyDescent="0.25">
      <c r="D1757" s="14" t="s">
        <v>6168</v>
      </c>
      <c r="E1757" s="14" t="s">
        <v>6169</v>
      </c>
      <c r="F1757" s="84" t="s">
        <v>266</v>
      </c>
      <c r="G1757" s="15" t="s">
        <v>68</v>
      </c>
      <c r="H1757" s="16" t="s">
        <v>6170</v>
      </c>
      <c r="I1757" s="17"/>
      <c r="J1757" s="17"/>
      <c r="K1757" s="17"/>
      <c r="L1757" s="17"/>
      <c r="T1757" s="13"/>
      <c r="U1757" s="13"/>
      <c r="V1757" s="13"/>
      <c r="W1757" s="13"/>
    </row>
    <row r="1758" spans="4:23" ht="27" customHeight="1" x14ac:dyDescent="0.25">
      <c r="D1758" s="14" t="s">
        <v>6171</v>
      </c>
      <c r="E1758" s="14" t="s">
        <v>4800</v>
      </c>
      <c r="F1758" s="84" t="s">
        <v>402</v>
      </c>
      <c r="G1758" s="15" t="s">
        <v>68</v>
      </c>
      <c r="H1758" s="16" t="s">
        <v>6172</v>
      </c>
      <c r="I1758" s="17"/>
      <c r="J1758" s="17"/>
      <c r="K1758" s="17"/>
      <c r="L1758" s="17"/>
      <c r="T1758" s="13"/>
      <c r="U1758" s="13"/>
      <c r="V1758" s="13"/>
      <c r="W1758" s="13"/>
    </row>
    <row r="1759" spans="4:23" ht="27" customHeight="1" x14ac:dyDescent="0.25">
      <c r="D1759" s="14" t="s">
        <v>6173</v>
      </c>
      <c r="E1759" s="14" t="s">
        <v>2161</v>
      </c>
      <c r="F1759" s="84" t="s">
        <v>1886</v>
      </c>
      <c r="G1759" s="15" t="s">
        <v>27</v>
      </c>
      <c r="H1759" s="16" t="s">
        <v>6174</v>
      </c>
      <c r="I1759" s="17"/>
      <c r="J1759" s="17"/>
      <c r="K1759" s="17"/>
      <c r="L1759" s="17"/>
      <c r="T1759" s="13"/>
      <c r="U1759" s="13"/>
      <c r="V1759" s="13"/>
      <c r="W1759" s="13"/>
    </row>
    <row r="1760" spans="4:23" ht="27" customHeight="1" x14ac:dyDescent="0.25">
      <c r="D1760" s="14" t="s">
        <v>6175</v>
      </c>
      <c r="E1760" s="14" t="s">
        <v>3430</v>
      </c>
      <c r="F1760" s="84" t="s">
        <v>316</v>
      </c>
      <c r="G1760" s="15" t="s">
        <v>27</v>
      </c>
      <c r="H1760" s="16" t="s">
        <v>6176</v>
      </c>
      <c r="I1760" s="17"/>
      <c r="J1760" s="17"/>
      <c r="K1760" s="17"/>
      <c r="L1760" s="17"/>
      <c r="T1760" s="13"/>
      <c r="U1760" s="13"/>
      <c r="V1760" s="13"/>
      <c r="W1760" s="13"/>
    </row>
    <row r="1761" spans="4:23" ht="27" customHeight="1" x14ac:dyDescent="0.25">
      <c r="D1761" s="14" t="s">
        <v>6177</v>
      </c>
      <c r="E1761" s="14" t="s">
        <v>2332</v>
      </c>
      <c r="F1761" s="84" t="s">
        <v>597</v>
      </c>
      <c r="G1761" s="15" t="s">
        <v>27</v>
      </c>
      <c r="H1761" s="16" t="s">
        <v>6178</v>
      </c>
      <c r="I1761" s="17"/>
      <c r="J1761" s="17"/>
      <c r="K1761" s="17"/>
      <c r="L1761" s="17"/>
      <c r="T1761" s="13"/>
      <c r="U1761" s="13"/>
      <c r="V1761" s="13"/>
      <c r="W1761" s="13"/>
    </row>
    <row r="1762" spans="4:23" ht="27" customHeight="1" x14ac:dyDescent="0.25">
      <c r="D1762" s="14" t="s">
        <v>6179</v>
      </c>
      <c r="E1762" s="14" t="s">
        <v>6180</v>
      </c>
      <c r="F1762" s="84" t="s">
        <v>719</v>
      </c>
      <c r="G1762" s="15" t="s">
        <v>68</v>
      </c>
      <c r="H1762" s="16" t="s">
        <v>6181</v>
      </c>
      <c r="I1762" s="17"/>
      <c r="J1762" s="17"/>
      <c r="K1762" s="17"/>
      <c r="L1762" s="17"/>
      <c r="T1762" s="13"/>
      <c r="U1762" s="13"/>
      <c r="V1762" s="13"/>
      <c r="W1762" s="13"/>
    </row>
    <row r="1763" spans="4:23" ht="27" customHeight="1" x14ac:dyDescent="0.25">
      <c r="D1763" s="14" t="s">
        <v>6182</v>
      </c>
      <c r="E1763" s="14" t="s">
        <v>2363</v>
      </c>
      <c r="F1763" s="84" t="s">
        <v>372</v>
      </c>
      <c r="G1763" s="15" t="s">
        <v>68</v>
      </c>
      <c r="H1763" s="16" t="s">
        <v>6183</v>
      </c>
      <c r="I1763" s="17"/>
      <c r="J1763" s="17"/>
      <c r="K1763" s="17"/>
      <c r="L1763" s="17"/>
      <c r="T1763" s="13"/>
      <c r="U1763" s="13"/>
      <c r="V1763" s="13"/>
      <c r="W1763" s="13"/>
    </row>
    <row r="1764" spans="4:23" ht="27" customHeight="1" x14ac:dyDescent="0.25">
      <c r="D1764" s="14" t="s">
        <v>6184</v>
      </c>
      <c r="E1764" s="14" t="s">
        <v>4206</v>
      </c>
      <c r="F1764" s="84" t="s">
        <v>348</v>
      </c>
      <c r="G1764" s="15" t="s">
        <v>68</v>
      </c>
      <c r="H1764" s="16" t="s">
        <v>6185</v>
      </c>
      <c r="I1764" s="17"/>
      <c r="J1764" s="17"/>
      <c r="K1764" s="17"/>
      <c r="L1764" s="17"/>
      <c r="T1764" s="13"/>
      <c r="U1764" s="13"/>
      <c r="V1764" s="13"/>
      <c r="W1764" s="13"/>
    </row>
    <row r="1765" spans="4:23" ht="27" customHeight="1" x14ac:dyDescent="0.25">
      <c r="D1765" s="14" t="s">
        <v>6186</v>
      </c>
      <c r="E1765" s="14" t="s">
        <v>6187</v>
      </c>
      <c r="F1765" s="84" t="s">
        <v>969</v>
      </c>
      <c r="G1765" s="15" t="s">
        <v>27</v>
      </c>
      <c r="H1765" s="16" t="s">
        <v>6188</v>
      </c>
      <c r="I1765" s="17"/>
      <c r="J1765" s="17"/>
      <c r="K1765" s="17"/>
      <c r="L1765" s="17"/>
      <c r="T1765" s="13"/>
      <c r="U1765" s="13"/>
      <c r="V1765" s="13"/>
      <c r="W1765" s="13"/>
    </row>
    <row r="1766" spans="4:23" ht="27" customHeight="1" x14ac:dyDescent="0.25">
      <c r="D1766" s="14" t="s">
        <v>6189</v>
      </c>
      <c r="E1766" s="14" t="s">
        <v>6190</v>
      </c>
      <c r="F1766" s="84" t="s">
        <v>4730</v>
      </c>
      <c r="G1766" s="15" t="s">
        <v>27</v>
      </c>
      <c r="H1766" s="16" t="s">
        <v>6191</v>
      </c>
      <c r="I1766" s="17"/>
      <c r="J1766" s="17"/>
      <c r="K1766" s="17"/>
      <c r="L1766" s="17"/>
      <c r="T1766" s="13"/>
      <c r="U1766" s="13"/>
      <c r="V1766" s="13"/>
      <c r="W1766" s="13"/>
    </row>
    <row r="1767" spans="4:23" ht="27" customHeight="1" x14ac:dyDescent="0.25">
      <c r="D1767" s="14" t="s">
        <v>6192</v>
      </c>
      <c r="E1767" s="14" t="s">
        <v>2424</v>
      </c>
      <c r="F1767" s="84" t="s">
        <v>114</v>
      </c>
      <c r="G1767" s="15" t="s">
        <v>68</v>
      </c>
      <c r="H1767" s="16" t="s">
        <v>6193</v>
      </c>
      <c r="I1767" s="17"/>
      <c r="J1767" s="17"/>
      <c r="K1767" s="17"/>
      <c r="L1767" s="17"/>
      <c r="T1767" s="13"/>
      <c r="U1767" s="13"/>
      <c r="V1767" s="13"/>
      <c r="W1767" s="13"/>
    </row>
    <row r="1768" spans="4:23" ht="27" customHeight="1" x14ac:dyDescent="0.25">
      <c r="D1768" s="14" t="s">
        <v>6194</v>
      </c>
      <c r="E1768" s="14" t="s">
        <v>4443</v>
      </c>
      <c r="F1768" s="84" t="s">
        <v>1535</v>
      </c>
      <c r="G1768" s="15" t="s">
        <v>68</v>
      </c>
      <c r="H1768" s="16" t="s">
        <v>6195</v>
      </c>
      <c r="I1768" s="17"/>
      <c r="J1768" s="17"/>
      <c r="K1768" s="17"/>
      <c r="L1768" s="17"/>
      <c r="T1768" s="13"/>
      <c r="U1768" s="13"/>
      <c r="V1768" s="13"/>
      <c r="W1768" s="13"/>
    </row>
    <row r="1769" spans="4:23" ht="27" customHeight="1" x14ac:dyDescent="0.25">
      <c r="D1769" s="14" t="s">
        <v>6196</v>
      </c>
      <c r="E1769" s="14" t="s">
        <v>3490</v>
      </c>
      <c r="F1769" s="84" t="s">
        <v>566</v>
      </c>
      <c r="G1769" s="15" t="s">
        <v>27</v>
      </c>
      <c r="H1769" s="16" t="s">
        <v>6197</v>
      </c>
      <c r="I1769" s="17"/>
      <c r="J1769" s="17"/>
      <c r="K1769" s="17"/>
      <c r="L1769" s="17"/>
      <c r="T1769" s="13"/>
      <c r="U1769" s="13"/>
      <c r="V1769" s="13"/>
      <c r="W1769" s="13"/>
    </row>
    <row r="1770" spans="4:23" ht="27" customHeight="1" x14ac:dyDescent="0.25">
      <c r="D1770" s="14" t="s">
        <v>6198</v>
      </c>
      <c r="E1770" s="14" t="s">
        <v>2315</v>
      </c>
      <c r="F1770" s="84" t="s">
        <v>597</v>
      </c>
      <c r="G1770" s="15" t="s">
        <v>27</v>
      </c>
      <c r="H1770" s="16" t="s">
        <v>6199</v>
      </c>
      <c r="I1770" s="17"/>
      <c r="J1770" s="17"/>
      <c r="K1770" s="17"/>
      <c r="L1770" s="17"/>
      <c r="T1770" s="13"/>
      <c r="U1770" s="13"/>
      <c r="V1770" s="13"/>
      <c r="W1770" s="13"/>
    </row>
    <row r="1771" spans="4:23" ht="27" customHeight="1" x14ac:dyDescent="0.25">
      <c r="D1771" s="14" t="s">
        <v>6200</v>
      </c>
      <c r="E1771" s="14" t="s">
        <v>6201</v>
      </c>
      <c r="F1771" s="84" t="s">
        <v>343</v>
      </c>
      <c r="G1771" s="15" t="s">
        <v>27</v>
      </c>
      <c r="H1771" s="16" t="s">
        <v>6202</v>
      </c>
      <c r="I1771" s="17"/>
      <c r="J1771" s="17"/>
      <c r="K1771" s="17"/>
      <c r="L1771" s="17"/>
      <c r="T1771" s="13"/>
      <c r="U1771" s="13"/>
      <c r="V1771" s="13"/>
      <c r="W1771" s="13"/>
    </row>
    <row r="1772" spans="4:23" ht="27" customHeight="1" x14ac:dyDescent="0.25">
      <c r="D1772" s="14" t="s">
        <v>6203</v>
      </c>
      <c r="E1772" s="14" t="s">
        <v>6204</v>
      </c>
      <c r="F1772" s="84" t="s">
        <v>290</v>
      </c>
      <c r="G1772" s="15" t="s">
        <v>27</v>
      </c>
      <c r="H1772" s="16" t="s">
        <v>6205</v>
      </c>
      <c r="I1772" s="17"/>
      <c r="J1772" s="17"/>
      <c r="K1772" s="17"/>
      <c r="L1772" s="17"/>
      <c r="T1772" s="13"/>
      <c r="U1772" s="13"/>
      <c r="V1772" s="13"/>
      <c r="W1772" s="13"/>
    </row>
    <row r="1773" spans="4:23" ht="27" customHeight="1" x14ac:dyDescent="0.25">
      <c r="D1773" s="14" t="s">
        <v>6206</v>
      </c>
      <c r="E1773" s="14" t="s">
        <v>6207</v>
      </c>
      <c r="F1773" s="84" t="s">
        <v>143</v>
      </c>
      <c r="G1773" s="15" t="s">
        <v>68</v>
      </c>
      <c r="H1773" s="16" t="s">
        <v>6208</v>
      </c>
      <c r="I1773" s="17"/>
      <c r="J1773" s="17"/>
      <c r="K1773" s="17"/>
      <c r="L1773" s="17"/>
      <c r="T1773" s="13"/>
      <c r="U1773" s="13"/>
      <c r="V1773" s="13"/>
      <c r="W1773" s="13"/>
    </row>
    <row r="1774" spans="4:23" ht="27" customHeight="1" x14ac:dyDescent="0.25">
      <c r="D1774" s="14" t="s">
        <v>6209</v>
      </c>
      <c r="E1774" s="14" t="s">
        <v>1290</v>
      </c>
      <c r="F1774" s="84" t="s">
        <v>359</v>
      </c>
      <c r="G1774" s="15" t="s">
        <v>27</v>
      </c>
      <c r="H1774" s="16" t="s">
        <v>6210</v>
      </c>
      <c r="I1774" s="17"/>
      <c r="J1774" s="17"/>
      <c r="K1774" s="17"/>
      <c r="L1774" s="17"/>
      <c r="T1774" s="13"/>
      <c r="U1774" s="13"/>
      <c r="V1774" s="13"/>
      <c r="W1774" s="13"/>
    </row>
    <row r="1775" spans="4:23" ht="27" customHeight="1" x14ac:dyDescent="0.25">
      <c r="D1775" s="14" t="s">
        <v>6211</v>
      </c>
      <c r="E1775" s="14" t="s">
        <v>6212</v>
      </c>
      <c r="F1775" s="84" t="s">
        <v>466</v>
      </c>
      <c r="G1775" s="15" t="s">
        <v>27</v>
      </c>
      <c r="H1775" s="16" t="s">
        <v>6213</v>
      </c>
      <c r="I1775" s="17"/>
      <c r="J1775" s="17"/>
      <c r="K1775" s="17"/>
      <c r="L1775" s="17"/>
      <c r="T1775" s="13"/>
      <c r="U1775" s="13"/>
      <c r="V1775" s="13"/>
      <c r="W1775" s="13"/>
    </row>
    <row r="1776" spans="4:23" ht="27" customHeight="1" x14ac:dyDescent="0.25">
      <c r="D1776" s="14" t="s">
        <v>6214</v>
      </c>
      <c r="E1776" s="14" t="s">
        <v>6215</v>
      </c>
      <c r="F1776" s="84" t="s">
        <v>372</v>
      </c>
      <c r="G1776" s="15" t="s">
        <v>27</v>
      </c>
      <c r="H1776" s="16" t="s">
        <v>6216</v>
      </c>
      <c r="I1776" s="17"/>
      <c r="J1776" s="17"/>
      <c r="K1776" s="17"/>
      <c r="L1776" s="17"/>
      <c r="T1776" s="13"/>
      <c r="U1776" s="13"/>
      <c r="V1776" s="13"/>
      <c r="W1776" s="13"/>
    </row>
    <row r="1777" spans="4:23" ht="27" customHeight="1" x14ac:dyDescent="0.25">
      <c r="D1777" s="14" t="s">
        <v>6217</v>
      </c>
      <c r="E1777" s="14" t="s">
        <v>2116</v>
      </c>
      <c r="F1777" s="84" t="s">
        <v>1572</v>
      </c>
      <c r="G1777" s="15" t="s">
        <v>68</v>
      </c>
      <c r="H1777" s="16" t="s">
        <v>6218</v>
      </c>
      <c r="I1777" s="17"/>
      <c r="J1777" s="17"/>
      <c r="K1777" s="17"/>
      <c r="L1777" s="17"/>
      <c r="T1777" s="13"/>
      <c r="U1777" s="13"/>
      <c r="V1777" s="13"/>
      <c r="W1777" s="13"/>
    </row>
    <row r="1778" spans="4:23" ht="27" customHeight="1" x14ac:dyDescent="0.25">
      <c r="D1778" s="14" t="s">
        <v>6219</v>
      </c>
      <c r="E1778" s="14" t="s">
        <v>2149</v>
      </c>
      <c r="F1778" s="84" t="s">
        <v>1572</v>
      </c>
      <c r="G1778" s="15" t="s">
        <v>27</v>
      </c>
      <c r="H1778" s="16" t="s">
        <v>6220</v>
      </c>
      <c r="I1778" s="17"/>
      <c r="J1778" s="17"/>
      <c r="K1778" s="17"/>
      <c r="L1778" s="17"/>
      <c r="T1778" s="13"/>
      <c r="U1778" s="13"/>
      <c r="V1778" s="13"/>
      <c r="W1778" s="13"/>
    </row>
    <row r="1779" spans="4:23" ht="27" customHeight="1" x14ac:dyDescent="0.25">
      <c r="D1779" s="14" t="s">
        <v>6221</v>
      </c>
      <c r="E1779" s="14" t="s">
        <v>6222</v>
      </c>
      <c r="F1779" s="84" t="s">
        <v>485</v>
      </c>
      <c r="G1779" s="15" t="s">
        <v>27</v>
      </c>
      <c r="H1779" s="16" t="s">
        <v>6223</v>
      </c>
      <c r="I1779" s="17"/>
      <c r="J1779" s="17"/>
      <c r="K1779" s="17"/>
      <c r="L1779" s="17"/>
      <c r="T1779" s="13"/>
      <c r="U1779" s="13"/>
      <c r="V1779" s="13"/>
      <c r="W1779" s="13"/>
    </row>
    <row r="1780" spans="4:23" ht="27" customHeight="1" x14ac:dyDescent="0.25">
      <c r="D1780" s="14" t="s">
        <v>6224</v>
      </c>
      <c r="E1780" s="14" t="s">
        <v>334</v>
      </c>
      <c r="F1780" s="84" t="s">
        <v>2796</v>
      </c>
      <c r="G1780" s="15" t="s">
        <v>27</v>
      </c>
      <c r="H1780" s="16" t="s">
        <v>6225</v>
      </c>
      <c r="I1780" s="17"/>
      <c r="J1780" s="17"/>
      <c r="K1780" s="17"/>
      <c r="L1780" s="17"/>
      <c r="T1780" s="13"/>
      <c r="U1780" s="13"/>
      <c r="V1780" s="13"/>
      <c r="W1780" s="13"/>
    </row>
    <row r="1781" spans="4:23" ht="27" customHeight="1" x14ac:dyDescent="0.25">
      <c r="D1781" s="14" t="s">
        <v>6226</v>
      </c>
      <c r="E1781" s="14" t="s">
        <v>6227</v>
      </c>
      <c r="F1781" s="84" t="s">
        <v>2247</v>
      </c>
      <c r="G1781" s="15" t="s">
        <v>68</v>
      </c>
      <c r="H1781" s="16" t="s">
        <v>6228</v>
      </c>
      <c r="I1781" s="17"/>
      <c r="J1781" s="17"/>
      <c r="K1781" s="17"/>
      <c r="L1781" s="17"/>
      <c r="T1781" s="13"/>
      <c r="U1781" s="13"/>
      <c r="V1781" s="13"/>
      <c r="W1781" s="13"/>
    </row>
    <row r="1782" spans="4:23" ht="27" customHeight="1" x14ac:dyDescent="0.25">
      <c r="D1782" s="14" t="s">
        <v>6229</v>
      </c>
      <c r="E1782" s="14" t="s">
        <v>6230</v>
      </c>
      <c r="F1782" s="84" t="s">
        <v>183</v>
      </c>
      <c r="G1782" s="15" t="s">
        <v>27</v>
      </c>
      <c r="H1782" s="16" t="s">
        <v>6231</v>
      </c>
      <c r="I1782" s="17"/>
      <c r="J1782" s="17"/>
      <c r="K1782" s="17"/>
      <c r="L1782" s="17"/>
      <c r="T1782" s="13"/>
      <c r="U1782" s="13"/>
      <c r="V1782" s="13"/>
      <c r="W1782" s="13"/>
    </row>
    <row r="1783" spans="4:23" ht="27" customHeight="1" x14ac:dyDescent="0.25">
      <c r="D1783" s="14" t="s">
        <v>6232</v>
      </c>
      <c r="E1783" s="14" t="s">
        <v>6233</v>
      </c>
      <c r="F1783" s="84" t="s">
        <v>211</v>
      </c>
      <c r="G1783" s="15" t="s">
        <v>27</v>
      </c>
      <c r="H1783" s="16" t="s">
        <v>6234</v>
      </c>
      <c r="I1783" s="17"/>
      <c r="J1783" s="17"/>
      <c r="K1783" s="17"/>
      <c r="L1783" s="17"/>
      <c r="T1783" s="13"/>
      <c r="U1783" s="13"/>
      <c r="V1783" s="13"/>
      <c r="W1783" s="13"/>
    </row>
    <row r="1784" spans="4:23" ht="27" customHeight="1" x14ac:dyDescent="0.25">
      <c r="D1784" s="14" t="s">
        <v>6235</v>
      </c>
      <c r="E1784" s="14" t="s">
        <v>4468</v>
      </c>
      <c r="F1784" s="84" t="s">
        <v>1535</v>
      </c>
      <c r="G1784" s="15" t="s">
        <v>27</v>
      </c>
      <c r="H1784" s="16" t="s">
        <v>6236</v>
      </c>
      <c r="I1784" s="17"/>
      <c r="J1784" s="17"/>
      <c r="K1784" s="17"/>
      <c r="L1784" s="17"/>
      <c r="T1784" s="13"/>
      <c r="U1784" s="13"/>
      <c r="V1784" s="13"/>
      <c r="W1784" s="13"/>
    </row>
    <row r="1785" spans="4:23" ht="27" customHeight="1" x14ac:dyDescent="0.25">
      <c r="D1785" s="14" t="s">
        <v>6237</v>
      </c>
      <c r="E1785" s="14" t="s">
        <v>6238</v>
      </c>
      <c r="F1785" s="84" t="s">
        <v>524</v>
      </c>
      <c r="G1785" s="15" t="s">
        <v>27</v>
      </c>
      <c r="H1785" s="16" t="s">
        <v>6239</v>
      </c>
      <c r="I1785" s="17"/>
      <c r="J1785" s="17"/>
      <c r="K1785" s="17"/>
      <c r="L1785" s="17"/>
      <c r="T1785" s="13"/>
      <c r="U1785" s="13"/>
      <c r="V1785" s="13"/>
      <c r="W1785" s="13"/>
    </row>
    <row r="1786" spans="4:23" ht="27" customHeight="1" x14ac:dyDescent="0.25">
      <c r="D1786" s="14" t="s">
        <v>6240</v>
      </c>
      <c r="E1786" s="14" t="s">
        <v>6241</v>
      </c>
      <c r="F1786" s="84" t="s">
        <v>834</v>
      </c>
      <c r="G1786" s="15" t="s">
        <v>68</v>
      </c>
      <c r="H1786" s="16" t="s">
        <v>6242</v>
      </c>
      <c r="I1786" s="17"/>
      <c r="J1786" s="17"/>
      <c r="K1786" s="17"/>
      <c r="L1786" s="17"/>
      <c r="T1786" s="13"/>
      <c r="U1786" s="13"/>
      <c r="V1786" s="13"/>
      <c r="W1786" s="13"/>
    </row>
    <row r="1787" spans="4:23" ht="27" customHeight="1" x14ac:dyDescent="0.25">
      <c r="D1787" s="14" t="s">
        <v>6243</v>
      </c>
      <c r="E1787" s="14" t="s">
        <v>272</v>
      </c>
      <c r="F1787" s="84" t="s">
        <v>2726</v>
      </c>
      <c r="G1787" s="15" t="s">
        <v>27</v>
      </c>
      <c r="H1787" s="16" t="s">
        <v>6244</v>
      </c>
      <c r="I1787" s="17"/>
      <c r="J1787" s="17"/>
      <c r="K1787" s="17"/>
      <c r="L1787" s="17"/>
      <c r="T1787" s="13"/>
      <c r="U1787" s="13"/>
      <c r="V1787" s="13"/>
      <c r="W1787" s="13"/>
    </row>
    <row r="1788" spans="4:23" ht="27" customHeight="1" x14ac:dyDescent="0.25">
      <c r="D1788" s="14" t="s">
        <v>6245</v>
      </c>
      <c r="E1788" s="14" t="s">
        <v>3600</v>
      </c>
      <c r="F1788" s="84" t="s">
        <v>1201</v>
      </c>
      <c r="G1788" s="15" t="s">
        <v>68</v>
      </c>
      <c r="H1788" s="16" t="s">
        <v>6246</v>
      </c>
      <c r="I1788" s="17"/>
      <c r="J1788" s="17"/>
      <c r="K1788" s="17"/>
      <c r="L1788" s="17"/>
      <c r="T1788" s="13"/>
      <c r="U1788" s="13"/>
      <c r="V1788" s="13"/>
      <c r="W1788" s="13"/>
    </row>
    <row r="1789" spans="4:23" ht="27" customHeight="1" x14ac:dyDescent="0.25">
      <c r="D1789" s="14" t="s">
        <v>6247</v>
      </c>
      <c r="E1789" s="14" t="s">
        <v>4247</v>
      </c>
      <c r="F1789" s="84" t="s">
        <v>348</v>
      </c>
      <c r="G1789" s="15" t="s">
        <v>68</v>
      </c>
      <c r="H1789" s="16" t="s">
        <v>6248</v>
      </c>
      <c r="I1789" s="17"/>
      <c r="J1789" s="17"/>
      <c r="K1789" s="17"/>
      <c r="L1789" s="17"/>
      <c r="T1789" s="13"/>
      <c r="U1789" s="13"/>
      <c r="V1789" s="13"/>
      <c r="W1789" s="13"/>
    </row>
    <row r="1790" spans="4:23" ht="27" customHeight="1" x14ac:dyDescent="0.25">
      <c r="D1790" s="14" t="s">
        <v>6249</v>
      </c>
      <c r="E1790" s="14" t="s">
        <v>6250</v>
      </c>
      <c r="F1790" s="84" t="s">
        <v>233</v>
      </c>
      <c r="G1790" s="15" t="s">
        <v>68</v>
      </c>
      <c r="H1790" s="16" t="s">
        <v>6251</v>
      </c>
      <c r="I1790" s="17"/>
      <c r="J1790" s="17"/>
      <c r="K1790" s="17"/>
      <c r="L1790" s="17"/>
      <c r="T1790" s="13"/>
      <c r="U1790" s="13"/>
      <c r="V1790" s="13"/>
      <c r="W1790" s="13"/>
    </row>
    <row r="1791" spans="4:23" ht="27" customHeight="1" x14ac:dyDescent="0.25">
      <c r="D1791" s="14" t="s">
        <v>6252</v>
      </c>
      <c r="E1791" s="14" t="s">
        <v>5231</v>
      </c>
      <c r="F1791" s="84" t="s">
        <v>121</v>
      </c>
      <c r="G1791" s="15" t="s">
        <v>68</v>
      </c>
      <c r="H1791" s="16" t="s">
        <v>6253</v>
      </c>
      <c r="I1791" s="17"/>
      <c r="J1791" s="17"/>
      <c r="K1791" s="17"/>
      <c r="L1791" s="17"/>
      <c r="T1791" s="13"/>
      <c r="U1791" s="13"/>
      <c r="V1791" s="13"/>
      <c r="W1791" s="13"/>
    </row>
    <row r="1792" spans="4:23" ht="27" customHeight="1" x14ac:dyDescent="0.25">
      <c r="D1792" s="14" t="s">
        <v>6254</v>
      </c>
      <c r="E1792" s="14" t="s">
        <v>1246</v>
      </c>
      <c r="F1792" s="84" t="s">
        <v>674</v>
      </c>
      <c r="G1792" s="15" t="s">
        <v>27</v>
      </c>
      <c r="H1792" s="16" t="s">
        <v>6255</v>
      </c>
      <c r="I1792" s="17"/>
      <c r="J1792" s="17"/>
      <c r="K1792" s="17"/>
      <c r="L1792" s="17"/>
      <c r="T1792" s="13"/>
      <c r="U1792" s="13"/>
      <c r="V1792" s="13"/>
      <c r="W1792" s="13"/>
    </row>
    <row r="1793" spans="4:23" ht="27" customHeight="1" x14ac:dyDescent="0.25">
      <c r="D1793" s="14" t="s">
        <v>6256</v>
      </c>
      <c r="E1793" s="14" t="s">
        <v>6257</v>
      </c>
      <c r="F1793" s="84" t="s">
        <v>847</v>
      </c>
      <c r="G1793" s="15" t="s">
        <v>27</v>
      </c>
      <c r="H1793" s="16" t="s">
        <v>6258</v>
      </c>
      <c r="I1793" s="17"/>
      <c r="J1793" s="17"/>
      <c r="K1793" s="17"/>
      <c r="L1793" s="17"/>
      <c r="T1793" s="13"/>
      <c r="U1793" s="13"/>
      <c r="V1793" s="13"/>
      <c r="W1793" s="13"/>
    </row>
    <row r="1794" spans="4:23" ht="27" customHeight="1" x14ac:dyDescent="0.25">
      <c r="D1794" s="14" t="s">
        <v>6259</v>
      </c>
      <c r="E1794" s="14" t="s">
        <v>6260</v>
      </c>
      <c r="F1794" s="84" t="s">
        <v>1288</v>
      </c>
      <c r="G1794" s="15" t="s">
        <v>68</v>
      </c>
      <c r="H1794" s="16" t="s">
        <v>6261</v>
      </c>
      <c r="I1794" s="17"/>
      <c r="J1794" s="17"/>
      <c r="K1794" s="17"/>
      <c r="L1794" s="17"/>
      <c r="T1794" s="13"/>
      <c r="U1794" s="13"/>
      <c r="V1794" s="13"/>
      <c r="W1794" s="13"/>
    </row>
    <row r="1795" spans="4:23" ht="27" customHeight="1" x14ac:dyDescent="0.25">
      <c r="D1795" s="14" t="s">
        <v>6262</v>
      </c>
      <c r="E1795" s="14" t="s">
        <v>2493</v>
      </c>
      <c r="F1795" s="84" t="s">
        <v>114</v>
      </c>
      <c r="G1795" s="15" t="s">
        <v>68</v>
      </c>
      <c r="H1795" s="16" t="s">
        <v>6263</v>
      </c>
      <c r="I1795" s="17"/>
      <c r="J1795" s="17"/>
      <c r="K1795" s="17"/>
      <c r="L1795" s="17"/>
      <c r="T1795" s="13"/>
      <c r="U1795" s="13"/>
      <c r="V1795" s="13"/>
      <c r="W1795" s="13"/>
    </row>
    <row r="1796" spans="4:23" ht="27" customHeight="1" x14ac:dyDescent="0.25">
      <c r="D1796" s="14" t="s">
        <v>6264</v>
      </c>
      <c r="E1796" s="14" t="s">
        <v>2262</v>
      </c>
      <c r="F1796" s="84" t="s">
        <v>627</v>
      </c>
      <c r="G1796" s="15" t="s">
        <v>27</v>
      </c>
      <c r="H1796" s="16" t="s">
        <v>6265</v>
      </c>
      <c r="I1796" s="17"/>
      <c r="J1796" s="17"/>
      <c r="K1796" s="17"/>
      <c r="L1796" s="17"/>
      <c r="T1796" s="13"/>
      <c r="U1796" s="13"/>
      <c r="V1796" s="13"/>
      <c r="W1796" s="13"/>
    </row>
    <row r="1797" spans="4:23" ht="27" customHeight="1" x14ac:dyDescent="0.25">
      <c r="D1797" s="14" t="s">
        <v>6266</v>
      </c>
      <c r="E1797" s="14" t="s">
        <v>6267</v>
      </c>
      <c r="F1797" s="84" t="s">
        <v>969</v>
      </c>
      <c r="G1797" s="15" t="s">
        <v>68</v>
      </c>
      <c r="H1797" s="16" t="s">
        <v>6268</v>
      </c>
      <c r="I1797" s="17"/>
      <c r="J1797" s="17"/>
      <c r="K1797" s="17"/>
      <c r="L1797" s="17"/>
      <c r="T1797" s="13"/>
      <c r="U1797" s="13"/>
      <c r="V1797" s="13"/>
      <c r="W1797" s="13"/>
    </row>
    <row r="1798" spans="4:23" ht="27" customHeight="1" x14ac:dyDescent="0.25">
      <c r="D1798" s="14" t="s">
        <v>6269</v>
      </c>
      <c r="E1798" s="14" t="s">
        <v>6270</v>
      </c>
      <c r="F1798" s="84" t="s">
        <v>372</v>
      </c>
      <c r="G1798" s="15" t="s">
        <v>68</v>
      </c>
      <c r="H1798" s="16" t="s">
        <v>6271</v>
      </c>
      <c r="I1798" s="17"/>
      <c r="J1798" s="17"/>
      <c r="K1798" s="17"/>
      <c r="L1798" s="17"/>
      <c r="T1798" s="13"/>
      <c r="U1798" s="13"/>
      <c r="V1798" s="13"/>
      <c r="W1798" s="13"/>
    </row>
    <row r="1799" spans="4:23" ht="27" customHeight="1" x14ac:dyDescent="0.25">
      <c r="D1799" s="14" t="s">
        <v>6272</v>
      </c>
      <c r="E1799" s="14" t="s">
        <v>5458</v>
      </c>
      <c r="F1799" s="84" t="s">
        <v>46</v>
      </c>
      <c r="G1799" s="15" t="s">
        <v>27</v>
      </c>
      <c r="H1799" s="16" t="s">
        <v>6273</v>
      </c>
      <c r="I1799" s="17"/>
      <c r="J1799" s="17"/>
      <c r="K1799" s="17"/>
      <c r="L1799" s="17"/>
      <c r="T1799" s="13"/>
      <c r="U1799" s="13"/>
      <c r="V1799" s="13"/>
      <c r="W1799" s="13"/>
    </row>
    <row r="1800" spans="4:23" ht="27" customHeight="1" x14ac:dyDescent="0.25">
      <c r="D1800" s="14" t="s">
        <v>6274</v>
      </c>
      <c r="E1800" s="14" t="s">
        <v>3665</v>
      </c>
      <c r="F1800" s="84" t="s">
        <v>1201</v>
      </c>
      <c r="G1800" s="15" t="s">
        <v>68</v>
      </c>
      <c r="H1800" s="16" t="s">
        <v>6275</v>
      </c>
      <c r="I1800" s="17"/>
      <c r="J1800" s="17"/>
      <c r="K1800" s="17"/>
      <c r="L1800" s="17"/>
      <c r="T1800" s="13"/>
      <c r="U1800" s="13"/>
      <c r="V1800" s="13"/>
      <c r="W1800" s="13"/>
    </row>
    <row r="1801" spans="4:23" ht="27" customHeight="1" x14ac:dyDescent="0.25">
      <c r="D1801" s="14" t="s">
        <v>6276</v>
      </c>
      <c r="E1801" s="14" t="s">
        <v>6277</v>
      </c>
      <c r="F1801" s="84" t="s">
        <v>466</v>
      </c>
      <c r="G1801" s="15" t="s">
        <v>27</v>
      </c>
      <c r="H1801" s="16" t="s">
        <v>6278</v>
      </c>
      <c r="I1801" s="17"/>
      <c r="J1801" s="17"/>
      <c r="K1801" s="17"/>
      <c r="L1801" s="17"/>
      <c r="T1801" s="13"/>
      <c r="U1801" s="13"/>
      <c r="V1801" s="13"/>
      <c r="W1801" s="13"/>
    </row>
    <row r="1802" spans="4:23" ht="27" customHeight="1" x14ac:dyDescent="0.25">
      <c r="D1802" s="14" t="s">
        <v>6279</v>
      </c>
      <c r="E1802" s="14" t="s">
        <v>6280</v>
      </c>
      <c r="F1802" s="84" t="s">
        <v>887</v>
      </c>
      <c r="G1802" s="15" t="s">
        <v>27</v>
      </c>
      <c r="H1802" s="16" t="s">
        <v>6281</v>
      </c>
      <c r="I1802" s="17"/>
      <c r="J1802" s="17"/>
      <c r="K1802" s="17"/>
      <c r="L1802" s="17"/>
      <c r="T1802" s="13"/>
      <c r="U1802" s="13"/>
      <c r="V1802" s="13"/>
      <c r="W1802" s="13"/>
    </row>
    <row r="1803" spans="4:23" ht="27" customHeight="1" x14ac:dyDescent="0.25">
      <c r="D1803" s="14" t="s">
        <v>6282</v>
      </c>
      <c r="E1803" s="14" t="s">
        <v>225</v>
      </c>
      <c r="F1803" s="84" t="s">
        <v>100</v>
      </c>
      <c r="G1803" s="15" t="s">
        <v>27</v>
      </c>
      <c r="H1803" s="16" t="s">
        <v>6283</v>
      </c>
      <c r="I1803" s="17"/>
      <c r="J1803" s="17"/>
      <c r="K1803" s="17"/>
      <c r="L1803" s="17"/>
      <c r="T1803" s="13"/>
      <c r="U1803" s="13"/>
      <c r="V1803" s="13"/>
      <c r="W1803" s="13"/>
    </row>
    <row r="1804" spans="4:23" ht="27" customHeight="1" x14ac:dyDescent="0.25">
      <c r="D1804" s="14" t="s">
        <v>6284</v>
      </c>
      <c r="E1804" s="14" t="s">
        <v>6285</v>
      </c>
      <c r="F1804" s="84" t="s">
        <v>480</v>
      </c>
      <c r="G1804" s="15" t="s">
        <v>27</v>
      </c>
      <c r="H1804" s="16" t="s">
        <v>6286</v>
      </c>
      <c r="I1804" s="17"/>
      <c r="J1804" s="17"/>
      <c r="K1804" s="17"/>
      <c r="L1804" s="17"/>
      <c r="T1804" s="13"/>
      <c r="U1804" s="13"/>
      <c r="V1804" s="13"/>
      <c r="W1804" s="13"/>
    </row>
    <row r="1805" spans="4:23" ht="27" customHeight="1" x14ac:dyDescent="0.25">
      <c r="D1805" s="14" t="s">
        <v>6287</v>
      </c>
      <c r="E1805" s="14" t="s">
        <v>2297</v>
      </c>
      <c r="F1805" s="84" t="s">
        <v>627</v>
      </c>
      <c r="G1805" s="15" t="s">
        <v>68</v>
      </c>
      <c r="H1805" s="16" t="s">
        <v>6288</v>
      </c>
      <c r="I1805" s="17"/>
      <c r="J1805" s="17"/>
      <c r="K1805" s="17"/>
      <c r="L1805" s="17"/>
      <c r="T1805" s="13"/>
      <c r="U1805" s="13"/>
      <c r="V1805" s="13"/>
      <c r="W1805" s="13"/>
    </row>
    <row r="1806" spans="4:23" ht="27" customHeight="1" x14ac:dyDescent="0.25">
      <c r="D1806" s="14" t="s">
        <v>6289</v>
      </c>
      <c r="E1806" s="14" t="s">
        <v>1383</v>
      </c>
      <c r="F1806" s="84" t="s">
        <v>480</v>
      </c>
      <c r="G1806" s="15" t="s">
        <v>27</v>
      </c>
      <c r="H1806" s="16" t="s">
        <v>6290</v>
      </c>
      <c r="I1806" s="17"/>
      <c r="J1806" s="17"/>
      <c r="K1806" s="17"/>
      <c r="L1806" s="17"/>
      <c r="T1806" s="13"/>
      <c r="U1806" s="13"/>
      <c r="V1806" s="13"/>
      <c r="W1806" s="13"/>
    </row>
    <row r="1807" spans="4:23" ht="27" customHeight="1" x14ac:dyDescent="0.25">
      <c r="D1807" s="14" t="s">
        <v>6291</v>
      </c>
      <c r="E1807" s="14" t="s">
        <v>6292</v>
      </c>
      <c r="F1807" s="84" t="s">
        <v>533</v>
      </c>
      <c r="G1807" s="15" t="s">
        <v>68</v>
      </c>
      <c r="H1807" s="16" t="s">
        <v>6293</v>
      </c>
      <c r="I1807" s="17"/>
      <c r="J1807" s="17"/>
      <c r="K1807" s="17"/>
      <c r="L1807" s="17"/>
      <c r="T1807" s="13"/>
      <c r="U1807" s="13"/>
      <c r="V1807" s="13"/>
      <c r="W1807" s="13"/>
    </row>
    <row r="1808" spans="4:23" ht="27" customHeight="1" x14ac:dyDescent="0.25">
      <c r="D1808" s="14" t="s">
        <v>6294</v>
      </c>
      <c r="E1808" s="14" t="s">
        <v>4742</v>
      </c>
      <c r="F1808" s="84" t="s">
        <v>402</v>
      </c>
      <c r="G1808" s="15" t="s">
        <v>68</v>
      </c>
      <c r="H1808" s="16" t="s">
        <v>6295</v>
      </c>
      <c r="I1808" s="17"/>
      <c r="J1808" s="17"/>
      <c r="K1808" s="17"/>
      <c r="L1808" s="17"/>
      <c r="T1808" s="13"/>
      <c r="U1808" s="13"/>
      <c r="V1808" s="13"/>
      <c r="W1808" s="13"/>
    </row>
    <row r="1809" spans="4:23" ht="27" customHeight="1" x14ac:dyDescent="0.25">
      <c r="D1809" s="14" t="s">
        <v>6296</v>
      </c>
      <c r="E1809" s="14" t="s">
        <v>831</v>
      </c>
      <c r="F1809" s="84" t="s">
        <v>251</v>
      </c>
      <c r="G1809" s="15" t="s">
        <v>27</v>
      </c>
      <c r="H1809" s="16" t="s">
        <v>6297</v>
      </c>
      <c r="I1809" s="17"/>
      <c r="J1809" s="17"/>
      <c r="K1809" s="17"/>
      <c r="L1809" s="17"/>
      <c r="T1809" s="13"/>
      <c r="U1809" s="13"/>
      <c r="V1809" s="13"/>
      <c r="W1809" s="13"/>
    </row>
    <row r="1810" spans="4:23" ht="27" customHeight="1" x14ac:dyDescent="0.25">
      <c r="D1810" s="14" t="s">
        <v>6298</v>
      </c>
      <c r="E1810" s="14" t="s">
        <v>4512</v>
      </c>
      <c r="F1810" s="84" t="s">
        <v>1118</v>
      </c>
      <c r="G1810" s="15" t="s">
        <v>27</v>
      </c>
      <c r="H1810" s="16" t="s">
        <v>6299</v>
      </c>
      <c r="I1810" s="17"/>
      <c r="J1810" s="17"/>
      <c r="K1810" s="17"/>
      <c r="L1810" s="17"/>
      <c r="T1810" s="13"/>
      <c r="U1810" s="13"/>
      <c r="V1810" s="13"/>
      <c r="W1810" s="13"/>
    </row>
    <row r="1811" spans="4:23" ht="27" customHeight="1" x14ac:dyDescent="0.25">
      <c r="D1811" s="14" t="s">
        <v>6300</v>
      </c>
      <c r="E1811" s="14" t="s">
        <v>2808</v>
      </c>
      <c r="F1811" s="84" t="s">
        <v>296</v>
      </c>
      <c r="G1811" s="15" t="s">
        <v>27</v>
      </c>
      <c r="H1811" s="16" t="s">
        <v>6301</v>
      </c>
      <c r="I1811" s="17"/>
      <c r="J1811" s="17"/>
      <c r="K1811" s="17"/>
      <c r="L1811" s="17"/>
      <c r="T1811" s="13"/>
      <c r="U1811" s="13"/>
      <c r="V1811" s="13"/>
      <c r="W1811" s="13"/>
    </row>
    <row r="1812" spans="4:23" ht="27" customHeight="1" x14ac:dyDescent="0.25">
      <c r="D1812" s="14" t="s">
        <v>6302</v>
      </c>
      <c r="E1812" s="14" t="s">
        <v>2345</v>
      </c>
      <c r="F1812" s="84" t="s">
        <v>597</v>
      </c>
      <c r="G1812" s="15" t="s">
        <v>27</v>
      </c>
      <c r="H1812" s="16" t="s">
        <v>6303</v>
      </c>
      <c r="I1812" s="17"/>
      <c r="J1812" s="17"/>
      <c r="K1812" s="17"/>
      <c r="L1812" s="17"/>
      <c r="T1812" s="13"/>
      <c r="U1812" s="13"/>
      <c r="V1812" s="13"/>
      <c r="W1812" s="13"/>
    </row>
    <row r="1813" spans="4:23" ht="27" customHeight="1" x14ac:dyDescent="0.25">
      <c r="D1813" s="14" t="s">
        <v>6304</v>
      </c>
      <c r="E1813" s="14" t="s">
        <v>5197</v>
      </c>
      <c r="F1813" s="84" t="s">
        <v>121</v>
      </c>
      <c r="G1813" s="15" t="s">
        <v>27</v>
      </c>
      <c r="H1813" s="16" t="s">
        <v>6305</v>
      </c>
      <c r="I1813" s="17"/>
      <c r="J1813" s="17"/>
      <c r="K1813" s="17"/>
      <c r="L1813" s="17"/>
      <c r="T1813" s="13"/>
      <c r="U1813" s="13"/>
      <c r="V1813" s="13"/>
      <c r="W1813" s="13"/>
    </row>
    <row r="1814" spans="4:23" ht="27" customHeight="1" x14ac:dyDescent="0.25">
      <c r="D1814" s="14" t="s">
        <v>6306</v>
      </c>
      <c r="E1814" s="14" t="s">
        <v>6307</v>
      </c>
      <c r="F1814" s="84" t="s">
        <v>1572</v>
      </c>
      <c r="G1814" s="15" t="s">
        <v>27</v>
      </c>
      <c r="H1814" s="16" t="s">
        <v>6308</v>
      </c>
      <c r="I1814" s="17"/>
      <c r="J1814" s="17"/>
      <c r="K1814" s="17"/>
      <c r="L1814" s="17"/>
      <c r="T1814" s="13"/>
      <c r="U1814" s="13"/>
      <c r="V1814" s="13"/>
      <c r="W1814" s="13"/>
    </row>
    <row r="1815" spans="4:23" ht="27" customHeight="1" x14ac:dyDescent="0.25">
      <c r="D1815" s="14" t="s">
        <v>6309</v>
      </c>
      <c r="E1815" s="14" t="s">
        <v>6310</v>
      </c>
      <c r="F1815" s="84" t="s">
        <v>6311</v>
      </c>
      <c r="G1815" s="15" t="s">
        <v>27</v>
      </c>
      <c r="H1815" s="16" t="s">
        <v>6312</v>
      </c>
      <c r="I1815" s="17"/>
      <c r="J1815" s="17"/>
      <c r="K1815" s="17"/>
      <c r="L1815" s="17"/>
      <c r="T1815" s="13"/>
      <c r="U1815" s="13"/>
      <c r="V1815" s="13"/>
      <c r="W1815" s="13"/>
    </row>
    <row r="1816" spans="4:23" ht="27" customHeight="1" x14ac:dyDescent="0.25">
      <c r="D1816" s="14" t="s">
        <v>6313</v>
      </c>
      <c r="E1816" s="14" t="s">
        <v>3545</v>
      </c>
      <c r="F1816" s="84" t="s">
        <v>566</v>
      </c>
      <c r="G1816" s="15" t="s">
        <v>27</v>
      </c>
      <c r="H1816" s="16" t="s">
        <v>6314</v>
      </c>
      <c r="I1816" s="17"/>
      <c r="J1816" s="17"/>
      <c r="K1816" s="17"/>
      <c r="L1816" s="17"/>
      <c r="T1816" s="13"/>
      <c r="U1816" s="13"/>
      <c r="V1816" s="13"/>
      <c r="W1816" s="13"/>
    </row>
    <row r="1817" spans="4:23" ht="27" customHeight="1" x14ac:dyDescent="0.25">
      <c r="D1817" s="14" t="s">
        <v>6315</v>
      </c>
      <c r="E1817" s="14" t="s">
        <v>2847</v>
      </c>
      <c r="F1817" s="84" t="s">
        <v>422</v>
      </c>
      <c r="G1817" s="15" t="s">
        <v>68</v>
      </c>
      <c r="H1817" s="16" t="s">
        <v>6316</v>
      </c>
      <c r="I1817" s="17"/>
      <c r="J1817" s="17"/>
      <c r="K1817" s="17"/>
      <c r="L1817" s="17"/>
      <c r="T1817" s="13"/>
      <c r="U1817" s="13"/>
      <c r="V1817" s="13"/>
      <c r="W1817" s="13"/>
    </row>
    <row r="1818" spans="4:23" ht="27" customHeight="1" x14ac:dyDescent="0.25">
      <c r="D1818" s="14" t="s">
        <v>6317</v>
      </c>
      <c r="E1818" s="14" t="s">
        <v>6318</v>
      </c>
      <c r="F1818" s="84" t="s">
        <v>969</v>
      </c>
      <c r="G1818" s="15" t="s">
        <v>68</v>
      </c>
      <c r="H1818" s="16" t="s">
        <v>6319</v>
      </c>
      <c r="I1818" s="17"/>
      <c r="J1818" s="17"/>
      <c r="K1818" s="17"/>
      <c r="L1818" s="17"/>
      <c r="T1818" s="13"/>
      <c r="U1818" s="13"/>
      <c r="V1818" s="13"/>
      <c r="W1818" s="13"/>
    </row>
    <row r="1819" spans="4:23" ht="27" customHeight="1" x14ac:dyDescent="0.25">
      <c r="D1819" s="14" t="s">
        <v>6320</v>
      </c>
      <c r="E1819" s="14" t="s">
        <v>2935</v>
      </c>
      <c r="F1819" s="84" t="s">
        <v>92</v>
      </c>
      <c r="G1819" s="15" t="s">
        <v>27</v>
      </c>
      <c r="H1819" s="16" t="s">
        <v>6321</v>
      </c>
      <c r="I1819" s="17"/>
      <c r="J1819" s="17"/>
      <c r="K1819" s="17"/>
      <c r="L1819" s="17"/>
      <c r="T1819" s="13"/>
      <c r="U1819" s="13"/>
      <c r="V1819" s="13"/>
      <c r="W1819" s="13"/>
    </row>
    <row r="1820" spans="4:23" ht="27" customHeight="1" x14ac:dyDescent="0.25">
      <c r="D1820" s="14" t="s">
        <v>6322</v>
      </c>
      <c r="E1820" s="14" t="s">
        <v>6323</v>
      </c>
      <c r="F1820" s="84" t="s">
        <v>2773</v>
      </c>
      <c r="G1820" s="15" t="s">
        <v>68</v>
      </c>
      <c r="H1820" s="16" t="s">
        <v>6324</v>
      </c>
      <c r="I1820" s="17"/>
      <c r="J1820" s="17"/>
      <c r="K1820" s="17"/>
      <c r="L1820" s="17"/>
      <c r="T1820" s="13"/>
      <c r="U1820" s="13"/>
      <c r="V1820" s="13"/>
      <c r="W1820" s="13"/>
    </row>
    <row r="1821" spans="4:23" ht="27" customHeight="1" x14ac:dyDescent="0.25">
      <c r="D1821" s="14" t="s">
        <v>6325</v>
      </c>
      <c r="E1821" s="14" t="s">
        <v>4432</v>
      </c>
      <c r="F1821" s="84" t="s">
        <v>1535</v>
      </c>
      <c r="G1821" s="15" t="s">
        <v>27</v>
      </c>
      <c r="H1821" s="16" t="s">
        <v>6326</v>
      </c>
      <c r="I1821" s="17"/>
      <c r="J1821" s="17"/>
      <c r="K1821" s="17"/>
      <c r="L1821" s="17"/>
      <c r="T1821" s="13"/>
      <c r="U1821" s="13"/>
      <c r="V1821" s="13"/>
      <c r="W1821" s="13"/>
    </row>
    <row r="1822" spans="4:23" ht="27" customHeight="1" x14ac:dyDescent="0.25">
      <c r="D1822" s="14" t="s">
        <v>6327</v>
      </c>
      <c r="E1822" s="14" t="s">
        <v>3935</v>
      </c>
      <c r="F1822" s="84" t="s">
        <v>61</v>
      </c>
      <c r="G1822" s="15" t="s">
        <v>27</v>
      </c>
      <c r="H1822" s="16" t="s">
        <v>6328</v>
      </c>
      <c r="I1822" s="17"/>
      <c r="J1822" s="17"/>
      <c r="K1822" s="17"/>
      <c r="L1822" s="17"/>
      <c r="T1822" s="13"/>
      <c r="U1822" s="13"/>
      <c r="V1822" s="13"/>
      <c r="W1822" s="13"/>
    </row>
    <row r="1823" spans="4:23" ht="27" customHeight="1" x14ac:dyDescent="0.25">
      <c r="D1823" s="14" t="s">
        <v>6329</v>
      </c>
      <c r="E1823" s="14" t="s">
        <v>6330</v>
      </c>
      <c r="F1823" s="84" t="s">
        <v>129</v>
      </c>
      <c r="G1823" s="15" t="s">
        <v>68</v>
      </c>
      <c r="H1823" s="16" t="s">
        <v>6331</v>
      </c>
      <c r="I1823" s="17"/>
      <c r="J1823" s="17"/>
      <c r="K1823" s="17"/>
      <c r="L1823" s="17"/>
      <c r="T1823" s="13"/>
      <c r="U1823" s="13"/>
      <c r="V1823" s="13"/>
      <c r="W1823" s="13"/>
    </row>
    <row r="1824" spans="4:23" ht="27" customHeight="1" x14ac:dyDescent="0.25">
      <c r="D1824" s="14" t="s">
        <v>6332</v>
      </c>
      <c r="E1824" s="14" t="s">
        <v>6333</v>
      </c>
      <c r="F1824" s="84" t="s">
        <v>781</v>
      </c>
      <c r="G1824" s="15" t="s">
        <v>68</v>
      </c>
      <c r="H1824" s="16" t="s">
        <v>6334</v>
      </c>
      <c r="I1824" s="17"/>
      <c r="J1824" s="17"/>
      <c r="K1824" s="17"/>
      <c r="L1824" s="17"/>
      <c r="T1824" s="13"/>
      <c r="U1824" s="13"/>
      <c r="V1824" s="13"/>
      <c r="W1824" s="13"/>
    </row>
    <row r="1825" spans="4:23" ht="27" customHeight="1" x14ac:dyDescent="0.25">
      <c r="D1825" s="14" t="s">
        <v>6335</v>
      </c>
      <c r="E1825" s="14" t="s">
        <v>624</v>
      </c>
      <c r="F1825" s="84" t="s">
        <v>3253</v>
      </c>
      <c r="G1825" s="15" t="s">
        <v>27</v>
      </c>
      <c r="H1825" s="16" t="s">
        <v>6336</v>
      </c>
      <c r="I1825" s="17"/>
      <c r="J1825" s="17"/>
      <c r="K1825" s="17"/>
      <c r="L1825" s="17"/>
      <c r="T1825" s="13"/>
      <c r="U1825" s="13"/>
      <c r="V1825" s="13"/>
      <c r="W1825" s="13"/>
    </row>
    <row r="1826" spans="4:23" ht="27" customHeight="1" x14ac:dyDescent="0.25">
      <c r="D1826" s="14" t="s">
        <v>6337</v>
      </c>
      <c r="E1826" s="14" t="s">
        <v>6338</v>
      </c>
      <c r="F1826" s="84" t="s">
        <v>233</v>
      </c>
      <c r="G1826" s="15" t="s">
        <v>27</v>
      </c>
      <c r="H1826" s="16" t="s">
        <v>6339</v>
      </c>
      <c r="I1826" s="17"/>
      <c r="J1826" s="17"/>
      <c r="K1826" s="17"/>
      <c r="L1826" s="17"/>
      <c r="T1826" s="13"/>
      <c r="U1826" s="13"/>
      <c r="V1826" s="13"/>
      <c r="W1826" s="13"/>
    </row>
    <row r="1827" spans="4:23" ht="27" customHeight="1" x14ac:dyDescent="0.25">
      <c r="D1827" s="14" t="s">
        <v>6340</v>
      </c>
      <c r="E1827" s="14" t="s">
        <v>6341</v>
      </c>
      <c r="F1827" s="84" t="s">
        <v>887</v>
      </c>
      <c r="G1827" s="15" t="s">
        <v>27</v>
      </c>
      <c r="H1827" s="16" t="s">
        <v>6342</v>
      </c>
      <c r="I1827" s="17"/>
      <c r="J1827" s="17"/>
      <c r="K1827" s="17"/>
      <c r="L1827" s="17"/>
      <c r="T1827" s="13"/>
      <c r="U1827" s="13"/>
      <c r="V1827" s="13"/>
      <c r="W1827" s="13"/>
    </row>
    <row r="1828" spans="4:23" ht="27" customHeight="1" x14ac:dyDescent="0.25">
      <c r="D1828" s="14" t="s">
        <v>6343</v>
      </c>
      <c r="E1828" s="14" t="s">
        <v>6344</v>
      </c>
      <c r="F1828" s="84" t="s">
        <v>3469</v>
      </c>
      <c r="G1828" s="15" t="s">
        <v>27</v>
      </c>
      <c r="H1828" s="16" t="s">
        <v>6345</v>
      </c>
      <c r="I1828" s="17"/>
      <c r="J1828" s="17"/>
      <c r="K1828" s="17"/>
      <c r="L1828" s="17"/>
      <c r="T1828" s="13"/>
      <c r="U1828" s="13"/>
      <c r="V1828" s="13"/>
      <c r="W1828" s="13"/>
    </row>
    <row r="1829" spans="4:23" ht="27" customHeight="1" x14ac:dyDescent="0.25">
      <c r="D1829" s="14" t="s">
        <v>6346</v>
      </c>
      <c r="E1829" s="14" t="s">
        <v>6347</v>
      </c>
      <c r="F1829" s="84" t="s">
        <v>412</v>
      </c>
      <c r="G1829" s="15" t="s">
        <v>27</v>
      </c>
      <c r="H1829" s="16" t="s">
        <v>6348</v>
      </c>
      <c r="I1829" s="17"/>
      <c r="J1829" s="17"/>
      <c r="K1829" s="17"/>
      <c r="L1829" s="17"/>
      <c r="T1829" s="13"/>
      <c r="U1829" s="13"/>
      <c r="V1829" s="13"/>
      <c r="W1829" s="13"/>
    </row>
    <row r="1830" spans="4:23" ht="27" customHeight="1" x14ac:dyDescent="0.25">
      <c r="D1830" s="14" t="s">
        <v>6349</v>
      </c>
      <c r="E1830" s="14" t="s">
        <v>282</v>
      </c>
      <c r="F1830" s="84" t="s">
        <v>3469</v>
      </c>
      <c r="G1830" s="15" t="s">
        <v>68</v>
      </c>
      <c r="H1830" s="16" t="s">
        <v>6350</v>
      </c>
      <c r="I1830" s="17"/>
      <c r="J1830" s="17"/>
      <c r="K1830" s="17"/>
      <c r="L1830" s="17"/>
      <c r="T1830" s="13"/>
      <c r="U1830" s="13"/>
      <c r="V1830" s="13"/>
      <c r="W1830" s="13"/>
    </row>
    <row r="1831" spans="4:23" ht="27" customHeight="1" x14ac:dyDescent="0.25">
      <c r="D1831" s="14" t="s">
        <v>6351</v>
      </c>
      <c r="E1831" s="14" t="s">
        <v>3122</v>
      </c>
      <c r="F1831" s="84" t="s">
        <v>485</v>
      </c>
      <c r="G1831" s="15" t="s">
        <v>27</v>
      </c>
      <c r="H1831" s="16" t="s">
        <v>6352</v>
      </c>
      <c r="I1831" s="17"/>
      <c r="J1831" s="17"/>
      <c r="K1831" s="17"/>
      <c r="L1831" s="17"/>
      <c r="T1831" s="13"/>
      <c r="U1831" s="13"/>
      <c r="V1831" s="13"/>
      <c r="W1831" s="13"/>
    </row>
    <row r="1832" spans="4:23" ht="27" customHeight="1" x14ac:dyDescent="0.25">
      <c r="D1832" s="14" t="s">
        <v>6353</v>
      </c>
      <c r="E1832" s="14" t="s">
        <v>2061</v>
      </c>
      <c r="F1832" s="84" t="s">
        <v>412</v>
      </c>
      <c r="G1832" s="15" t="s">
        <v>68</v>
      </c>
      <c r="H1832" s="16" t="s">
        <v>6354</v>
      </c>
      <c r="I1832" s="17"/>
      <c r="J1832" s="17"/>
      <c r="K1832" s="17"/>
      <c r="L1832" s="17"/>
      <c r="T1832" s="13"/>
      <c r="U1832" s="13"/>
      <c r="V1832" s="13"/>
      <c r="W1832" s="13"/>
    </row>
    <row r="1833" spans="4:23" ht="27" customHeight="1" x14ac:dyDescent="0.25">
      <c r="D1833" s="14" t="s">
        <v>6355</v>
      </c>
      <c r="E1833" s="14" t="s">
        <v>6356</v>
      </c>
      <c r="F1833" s="84" t="s">
        <v>1572</v>
      </c>
      <c r="G1833" s="15" t="s">
        <v>68</v>
      </c>
      <c r="H1833" s="16" t="s">
        <v>6357</v>
      </c>
      <c r="I1833" s="17"/>
      <c r="J1833" s="17"/>
      <c r="K1833" s="17"/>
      <c r="L1833" s="17"/>
      <c r="T1833" s="13"/>
      <c r="U1833" s="13"/>
      <c r="V1833" s="13"/>
      <c r="W1833" s="13"/>
    </row>
    <row r="1834" spans="4:23" ht="27" customHeight="1" x14ac:dyDescent="0.25">
      <c r="D1834" s="14" t="s">
        <v>6358</v>
      </c>
      <c r="E1834" s="14" t="s">
        <v>6359</v>
      </c>
      <c r="F1834" s="84" t="s">
        <v>1661</v>
      </c>
      <c r="G1834" s="15" t="s">
        <v>68</v>
      </c>
      <c r="H1834" s="16" t="s">
        <v>6360</v>
      </c>
      <c r="I1834" s="17"/>
      <c r="J1834" s="17"/>
      <c r="K1834" s="17"/>
      <c r="L1834" s="17"/>
      <c r="T1834" s="13"/>
      <c r="U1834" s="13"/>
      <c r="V1834" s="13"/>
      <c r="W1834" s="13"/>
    </row>
    <row r="1835" spans="4:23" ht="27" customHeight="1" x14ac:dyDescent="0.25">
      <c r="D1835" s="14" t="s">
        <v>6361</v>
      </c>
      <c r="E1835" s="14" t="s">
        <v>6362</v>
      </c>
      <c r="F1835" s="84" t="s">
        <v>386</v>
      </c>
      <c r="G1835" s="15" t="s">
        <v>68</v>
      </c>
      <c r="H1835" s="16" t="s">
        <v>6363</v>
      </c>
      <c r="I1835" s="17"/>
      <c r="J1835" s="17"/>
      <c r="K1835" s="17"/>
      <c r="L1835" s="17"/>
      <c r="T1835" s="13"/>
      <c r="U1835" s="13"/>
      <c r="V1835" s="13"/>
      <c r="W1835" s="13"/>
    </row>
    <row r="1836" spans="4:23" ht="27" customHeight="1" x14ac:dyDescent="0.25">
      <c r="D1836" s="14" t="s">
        <v>6364</v>
      </c>
      <c r="E1836" s="14" t="s">
        <v>3622</v>
      </c>
      <c r="F1836" s="84" t="s">
        <v>1201</v>
      </c>
      <c r="G1836" s="15" t="s">
        <v>68</v>
      </c>
      <c r="H1836" s="16" t="s">
        <v>6365</v>
      </c>
      <c r="I1836" s="17"/>
      <c r="J1836" s="17"/>
      <c r="K1836" s="17"/>
      <c r="L1836" s="17"/>
      <c r="T1836" s="13"/>
      <c r="U1836" s="13"/>
      <c r="V1836" s="13"/>
      <c r="W1836" s="13"/>
    </row>
    <row r="1837" spans="4:23" ht="27" customHeight="1" x14ac:dyDescent="0.25">
      <c r="D1837" s="14" t="s">
        <v>6366</v>
      </c>
      <c r="E1837" s="14" t="s">
        <v>496</v>
      </c>
      <c r="F1837" s="84" t="s">
        <v>1661</v>
      </c>
      <c r="G1837" s="15" t="s">
        <v>27</v>
      </c>
      <c r="H1837" s="16" t="s">
        <v>6367</v>
      </c>
      <c r="I1837" s="17"/>
      <c r="J1837" s="17"/>
      <c r="K1837" s="17"/>
      <c r="L1837" s="17"/>
      <c r="T1837" s="13"/>
      <c r="U1837" s="13"/>
      <c r="V1837" s="13"/>
      <c r="W1837" s="13"/>
    </row>
    <row r="1838" spans="4:23" ht="27" customHeight="1" x14ac:dyDescent="0.25">
      <c r="D1838" s="14" t="s">
        <v>6368</v>
      </c>
      <c r="E1838" s="14" t="s">
        <v>6369</v>
      </c>
      <c r="F1838" s="84" t="s">
        <v>321</v>
      </c>
      <c r="G1838" s="15" t="s">
        <v>27</v>
      </c>
      <c r="H1838" s="16" t="s">
        <v>6370</v>
      </c>
      <c r="I1838" s="17"/>
      <c r="J1838" s="17"/>
      <c r="K1838" s="17"/>
      <c r="L1838" s="17"/>
      <c r="T1838" s="13"/>
      <c r="U1838" s="13"/>
      <c r="V1838" s="13"/>
      <c r="W1838" s="13"/>
    </row>
    <row r="1839" spans="4:23" ht="27" customHeight="1" x14ac:dyDescent="0.25">
      <c r="D1839" s="14" t="s">
        <v>6371</v>
      </c>
      <c r="E1839" s="14" t="s">
        <v>2783</v>
      </c>
      <c r="F1839" s="84" t="s">
        <v>296</v>
      </c>
      <c r="G1839" s="15" t="s">
        <v>68</v>
      </c>
      <c r="H1839" s="16" t="s">
        <v>6372</v>
      </c>
      <c r="I1839" s="17"/>
      <c r="J1839" s="17"/>
      <c r="K1839" s="17"/>
      <c r="L1839" s="17"/>
      <c r="T1839" s="13"/>
      <c r="U1839" s="13"/>
      <c r="V1839" s="13"/>
      <c r="W1839" s="13"/>
    </row>
    <row r="1840" spans="4:23" ht="27" customHeight="1" x14ac:dyDescent="0.25">
      <c r="D1840" s="14" t="s">
        <v>6373</v>
      </c>
      <c r="E1840" s="14" t="s">
        <v>6374</v>
      </c>
      <c r="F1840" s="84" t="s">
        <v>381</v>
      </c>
      <c r="G1840" s="15" t="s">
        <v>68</v>
      </c>
      <c r="H1840" s="16" t="s">
        <v>6375</v>
      </c>
      <c r="I1840" s="17"/>
      <c r="J1840" s="17"/>
      <c r="K1840" s="17"/>
      <c r="L1840" s="17"/>
      <c r="T1840" s="13"/>
      <c r="U1840" s="13"/>
      <c r="V1840" s="13"/>
      <c r="W1840" s="13"/>
    </row>
    <row r="1841" spans="4:23" ht="27" customHeight="1" x14ac:dyDescent="0.25">
      <c r="D1841" s="14" t="s">
        <v>6376</v>
      </c>
      <c r="E1841" s="14" t="s">
        <v>3434</v>
      </c>
      <c r="F1841" s="84" t="s">
        <v>316</v>
      </c>
      <c r="G1841" s="15" t="s">
        <v>68</v>
      </c>
      <c r="H1841" s="16" t="s">
        <v>6377</v>
      </c>
      <c r="I1841" s="17"/>
      <c r="J1841" s="17"/>
      <c r="K1841" s="17"/>
      <c r="L1841" s="17"/>
      <c r="T1841" s="13"/>
      <c r="U1841" s="13"/>
      <c r="V1841" s="13"/>
      <c r="W1841" s="13"/>
    </row>
    <row r="1842" spans="4:23" ht="27" customHeight="1" x14ac:dyDescent="0.25">
      <c r="D1842" s="14" t="s">
        <v>6378</v>
      </c>
      <c r="E1842" s="14" t="s">
        <v>2157</v>
      </c>
      <c r="F1842" s="84" t="s">
        <v>1886</v>
      </c>
      <c r="G1842" s="15" t="s">
        <v>68</v>
      </c>
      <c r="H1842" s="16" t="s">
        <v>6379</v>
      </c>
      <c r="I1842" s="17"/>
      <c r="J1842" s="17"/>
      <c r="K1842" s="17"/>
      <c r="L1842" s="17"/>
      <c r="T1842" s="13"/>
      <c r="U1842" s="13"/>
      <c r="V1842" s="13"/>
      <c r="W1842" s="13"/>
    </row>
    <row r="1843" spans="4:23" ht="27" customHeight="1" x14ac:dyDescent="0.25">
      <c r="D1843" s="14" t="s">
        <v>6380</v>
      </c>
      <c r="E1843" s="14" t="s">
        <v>6381</v>
      </c>
      <c r="F1843" s="84" t="s">
        <v>556</v>
      </c>
      <c r="G1843" s="15" t="s">
        <v>27</v>
      </c>
      <c r="H1843" s="16" t="s">
        <v>6382</v>
      </c>
      <c r="I1843" s="17"/>
      <c r="J1843" s="17"/>
      <c r="K1843" s="17"/>
      <c r="L1843" s="17"/>
      <c r="T1843" s="13"/>
      <c r="U1843" s="13"/>
      <c r="V1843" s="13"/>
      <c r="W1843" s="13"/>
    </row>
    <row r="1844" spans="4:23" ht="27" customHeight="1" x14ac:dyDescent="0.25">
      <c r="D1844" s="14" t="s">
        <v>6383</v>
      </c>
      <c r="E1844" s="14" t="s">
        <v>6384</v>
      </c>
      <c r="F1844" s="84" t="s">
        <v>107</v>
      </c>
      <c r="G1844" s="15" t="s">
        <v>27</v>
      </c>
      <c r="H1844" s="16" t="s">
        <v>6385</v>
      </c>
      <c r="I1844" s="17"/>
      <c r="J1844" s="17"/>
      <c r="K1844" s="17"/>
      <c r="L1844" s="17"/>
      <c r="T1844" s="13"/>
      <c r="U1844" s="13"/>
      <c r="V1844" s="13"/>
      <c r="W1844" s="13"/>
    </row>
    <row r="1845" spans="4:23" ht="27" customHeight="1" x14ac:dyDescent="0.25">
      <c r="D1845" s="14" t="s">
        <v>6386</v>
      </c>
      <c r="E1845" s="14" t="s">
        <v>4836</v>
      </c>
      <c r="F1845" s="84" t="s">
        <v>444</v>
      </c>
      <c r="G1845" s="15" t="s">
        <v>27</v>
      </c>
      <c r="H1845" s="16" t="s">
        <v>6387</v>
      </c>
      <c r="I1845" s="17"/>
      <c r="J1845" s="17"/>
      <c r="K1845" s="17"/>
      <c r="L1845" s="17"/>
      <c r="T1845" s="13"/>
      <c r="U1845" s="13"/>
      <c r="V1845" s="13"/>
      <c r="W1845" s="13"/>
    </row>
    <row r="1846" spans="4:23" ht="27" customHeight="1" x14ac:dyDescent="0.25">
      <c r="D1846" s="14" t="s">
        <v>6388</v>
      </c>
      <c r="E1846" s="14" t="s">
        <v>3978</v>
      </c>
      <c r="F1846" s="84" t="s">
        <v>194</v>
      </c>
      <c r="G1846" s="15" t="s">
        <v>27</v>
      </c>
      <c r="H1846" s="16" t="s">
        <v>6389</v>
      </c>
      <c r="I1846" s="17"/>
      <c r="J1846" s="17"/>
      <c r="K1846" s="17"/>
      <c r="L1846" s="17"/>
      <c r="T1846" s="13"/>
      <c r="U1846" s="13"/>
      <c r="V1846" s="13"/>
      <c r="W1846" s="13"/>
    </row>
    <row r="1847" spans="4:23" ht="27" customHeight="1" x14ac:dyDescent="0.25">
      <c r="D1847" s="14" t="s">
        <v>6390</v>
      </c>
      <c r="E1847" s="14" t="s">
        <v>6391</v>
      </c>
      <c r="F1847" s="84" t="s">
        <v>275</v>
      </c>
      <c r="G1847" s="15" t="s">
        <v>27</v>
      </c>
      <c r="H1847" s="16" t="s">
        <v>6392</v>
      </c>
      <c r="I1847" s="17"/>
      <c r="J1847" s="17"/>
      <c r="K1847" s="17"/>
      <c r="L1847" s="17"/>
      <c r="T1847" s="13"/>
      <c r="U1847" s="13"/>
      <c r="V1847" s="13"/>
      <c r="W1847" s="13"/>
    </row>
    <row r="1848" spans="4:23" ht="27" customHeight="1" x14ac:dyDescent="0.25">
      <c r="D1848" s="14" t="s">
        <v>6393</v>
      </c>
      <c r="E1848" s="14" t="s">
        <v>6394</v>
      </c>
      <c r="F1848" s="84" t="s">
        <v>412</v>
      </c>
      <c r="G1848" s="15" t="s">
        <v>27</v>
      </c>
      <c r="H1848" s="16" t="s">
        <v>6395</v>
      </c>
      <c r="I1848" s="17"/>
      <c r="J1848" s="17"/>
      <c r="K1848" s="17"/>
      <c r="L1848" s="17"/>
      <c r="T1848" s="13"/>
      <c r="U1848" s="13"/>
      <c r="V1848" s="13"/>
      <c r="W1848" s="13"/>
    </row>
    <row r="1849" spans="4:23" ht="27" customHeight="1" x14ac:dyDescent="0.25">
      <c r="D1849" s="14" t="s">
        <v>6396</v>
      </c>
      <c r="E1849" s="14" t="s">
        <v>6397</v>
      </c>
      <c r="F1849" s="84" t="s">
        <v>969</v>
      </c>
      <c r="G1849" s="15" t="s">
        <v>68</v>
      </c>
      <c r="H1849" s="16" t="s">
        <v>6398</v>
      </c>
      <c r="I1849" s="17"/>
      <c r="J1849" s="17"/>
      <c r="K1849" s="17"/>
      <c r="L1849" s="17"/>
      <c r="T1849" s="13"/>
      <c r="U1849" s="13"/>
      <c r="V1849" s="13"/>
      <c r="W1849" s="13"/>
    </row>
    <row r="1850" spans="4:23" ht="27" customHeight="1" x14ac:dyDescent="0.25">
      <c r="D1850" s="14" t="s">
        <v>6399</v>
      </c>
      <c r="E1850" s="14" t="s">
        <v>3246</v>
      </c>
      <c r="F1850" s="84" t="s">
        <v>1473</v>
      </c>
      <c r="G1850" s="15" t="s">
        <v>27</v>
      </c>
      <c r="H1850" s="16" t="s">
        <v>6400</v>
      </c>
      <c r="I1850" s="17"/>
      <c r="J1850" s="17"/>
      <c r="K1850" s="17"/>
      <c r="L1850" s="17"/>
      <c r="T1850" s="13"/>
      <c r="U1850" s="13"/>
      <c r="V1850" s="13"/>
      <c r="W1850" s="13"/>
    </row>
    <row r="1851" spans="4:23" ht="27" customHeight="1" x14ac:dyDescent="0.25">
      <c r="D1851" s="14" t="s">
        <v>6401</v>
      </c>
      <c r="E1851" s="14" t="s">
        <v>6402</v>
      </c>
      <c r="F1851" s="84" t="s">
        <v>386</v>
      </c>
      <c r="G1851" s="15" t="s">
        <v>27</v>
      </c>
      <c r="H1851" s="16" t="s">
        <v>6403</v>
      </c>
      <c r="I1851" s="17"/>
      <c r="J1851" s="17"/>
      <c r="K1851" s="17"/>
      <c r="L1851" s="17"/>
      <c r="T1851" s="13"/>
      <c r="U1851" s="13"/>
      <c r="V1851" s="13"/>
      <c r="W1851" s="13"/>
    </row>
    <row r="1852" spans="4:23" ht="27" customHeight="1" x14ac:dyDescent="0.25">
      <c r="D1852" s="14" t="s">
        <v>6404</v>
      </c>
      <c r="E1852" s="14" t="s">
        <v>6405</v>
      </c>
      <c r="F1852" s="84" t="s">
        <v>321</v>
      </c>
      <c r="G1852" s="15" t="s">
        <v>68</v>
      </c>
      <c r="H1852" s="16" t="s">
        <v>6406</v>
      </c>
      <c r="I1852" s="17"/>
      <c r="J1852" s="17"/>
      <c r="K1852" s="17"/>
      <c r="L1852" s="17"/>
      <c r="T1852" s="13"/>
      <c r="U1852" s="13"/>
      <c r="V1852" s="13"/>
      <c r="W1852" s="13"/>
    </row>
    <row r="1853" spans="4:23" ht="27" customHeight="1" x14ac:dyDescent="0.25">
      <c r="D1853" s="14" t="s">
        <v>6407</v>
      </c>
      <c r="E1853" s="14" t="s">
        <v>2991</v>
      </c>
      <c r="F1853" s="84" t="s">
        <v>92</v>
      </c>
      <c r="G1853" s="15" t="s">
        <v>27</v>
      </c>
      <c r="H1853" s="16" t="s">
        <v>6408</v>
      </c>
      <c r="I1853" s="17"/>
      <c r="J1853" s="17"/>
      <c r="K1853" s="17"/>
      <c r="L1853" s="17"/>
      <c r="T1853" s="13"/>
      <c r="U1853" s="13"/>
      <c r="V1853" s="13"/>
      <c r="W1853" s="13"/>
    </row>
    <row r="1854" spans="4:23" ht="27" customHeight="1" x14ac:dyDescent="0.25">
      <c r="D1854" s="14" t="s">
        <v>6409</v>
      </c>
      <c r="E1854" s="14" t="s">
        <v>4354</v>
      </c>
      <c r="F1854" s="84" t="s">
        <v>710</v>
      </c>
      <c r="G1854" s="15" t="s">
        <v>68</v>
      </c>
      <c r="H1854" s="16" t="s">
        <v>6410</v>
      </c>
      <c r="I1854" s="17"/>
      <c r="J1854" s="17"/>
      <c r="K1854" s="17"/>
      <c r="L1854" s="17"/>
      <c r="T1854" s="13"/>
      <c r="U1854" s="13"/>
      <c r="V1854" s="13"/>
      <c r="W1854" s="13"/>
    </row>
    <row r="1855" spans="4:23" ht="27" customHeight="1" x14ac:dyDescent="0.25">
      <c r="D1855" s="14" t="s">
        <v>6411</v>
      </c>
      <c r="E1855" s="14" t="s">
        <v>6412</v>
      </c>
      <c r="F1855" s="84" t="s">
        <v>508</v>
      </c>
      <c r="G1855" s="15" t="s">
        <v>68</v>
      </c>
      <c r="H1855" s="16" t="s">
        <v>6413</v>
      </c>
      <c r="I1855" s="17"/>
      <c r="J1855" s="17"/>
      <c r="K1855" s="17"/>
      <c r="L1855" s="17"/>
      <c r="T1855" s="13"/>
      <c r="U1855" s="13"/>
      <c r="V1855" s="13"/>
      <c r="W1855" s="13"/>
    </row>
    <row r="1856" spans="4:23" ht="27" customHeight="1" x14ac:dyDescent="0.25">
      <c r="D1856" s="14" t="s">
        <v>6414</v>
      </c>
      <c r="E1856" s="14" t="s">
        <v>118</v>
      </c>
      <c r="F1856" s="84" t="s">
        <v>3120</v>
      </c>
      <c r="G1856" s="15" t="s">
        <v>27</v>
      </c>
      <c r="H1856" s="16" t="s">
        <v>6415</v>
      </c>
      <c r="I1856" s="17"/>
      <c r="J1856" s="17"/>
      <c r="K1856" s="17"/>
      <c r="L1856" s="17"/>
      <c r="T1856" s="13"/>
      <c r="U1856" s="13"/>
      <c r="V1856" s="13"/>
      <c r="W1856" s="13"/>
    </row>
    <row r="1857" spans="4:23" ht="27" customHeight="1" x14ac:dyDescent="0.25">
      <c r="D1857" s="14" t="s">
        <v>6416</v>
      </c>
      <c r="E1857" s="14" t="s">
        <v>4284</v>
      </c>
      <c r="F1857" s="84" t="s">
        <v>348</v>
      </c>
      <c r="G1857" s="15" t="s">
        <v>27</v>
      </c>
      <c r="H1857" s="16" t="s">
        <v>6417</v>
      </c>
      <c r="I1857" s="17"/>
      <c r="J1857" s="17"/>
      <c r="K1857" s="17"/>
      <c r="L1857" s="17"/>
      <c r="T1857" s="13"/>
      <c r="U1857" s="13"/>
      <c r="V1857" s="13"/>
      <c r="W1857" s="13"/>
    </row>
    <row r="1858" spans="4:23" ht="27" customHeight="1" x14ac:dyDescent="0.25">
      <c r="D1858" s="14" t="s">
        <v>6418</v>
      </c>
      <c r="E1858" s="14" t="s">
        <v>5331</v>
      </c>
      <c r="F1858" s="84" t="s">
        <v>407</v>
      </c>
      <c r="G1858" s="15" t="s">
        <v>27</v>
      </c>
      <c r="H1858" s="16" t="s">
        <v>6419</v>
      </c>
      <c r="I1858" s="17"/>
      <c r="J1858" s="17"/>
      <c r="K1858" s="17"/>
      <c r="L1858" s="17"/>
      <c r="T1858" s="13"/>
      <c r="U1858" s="13"/>
      <c r="V1858" s="13"/>
      <c r="W1858" s="13"/>
    </row>
    <row r="1859" spans="4:23" ht="27" customHeight="1" x14ac:dyDescent="0.25">
      <c r="D1859" s="14" t="s">
        <v>6420</v>
      </c>
      <c r="E1859" s="14" t="s">
        <v>6421</v>
      </c>
      <c r="F1859" s="84" t="s">
        <v>1886</v>
      </c>
      <c r="G1859" s="15" t="s">
        <v>27</v>
      </c>
      <c r="H1859" s="16" t="s">
        <v>6422</v>
      </c>
      <c r="I1859" s="17"/>
      <c r="J1859" s="17"/>
      <c r="K1859" s="17"/>
      <c r="L1859" s="17"/>
      <c r="T1859" s="13"/>
      <c r="U1859" s="13"/>
      <c r="V1859" s="13"/>
      <c r="W1859" s="13"/>
    </row>
    <row r="1860" spans="4:23" ht="27" customHeight="1" x14ac:dyDescent="0.25">
      <c r="D1860" s="14" t="s">
        <v>6423</v>
      </c>
      <c r="E1860" s="14" t="s">
        <v>629</v>
      </c>
      <c r="F1860" s="84" t="s">
        <v>3253</v>
      </c>
      <c r="G1860" s="15" t="s">
        <v>68</v>
      </c>
      <c r="H1860" s="16" t="s">
        <v>6424</v>
      </c>
      <c r="I1860" s="17"/>
      <c r="J1860" s="17"/>
      <c r="K1860" s="17"/>
      <c r="L1860" s="17"/>
      <c r="T1860" s="13"/>
      <c r="U1860" s="13"/>
      <c r="V1860" s="13"/>
      <c r="W1860" s="13"/>
    </row>
    <row r="1861" spans="4:23" ht="27" customHeight="1" x14ac:dyDescent="0.25">
      <c r="D1861" s="14" t="s">
        <v>6425</v>
      </c>
      <c r="E1861" s="14" t="s">
        <v>4947</v>
      </c>
      <c r="F1861" s="84" t="s">
        <v>444</v>
      </c>
      <c r="G1861" s="15" t="s">
        <v>68</v>
      </c>
      <c r="H1861" s="16" t="s">
        <v>6426</v>
      </c>
      <c r="I1861" s="17"/>
      <c r="J1861" s="17"/>
      <c r="K1861" s="17"/>
      <c r="L1861" s="17"/>
      <c r="T1861" s="13"/>
      <c r="U1861" s="13"/>
      <c r="V1861" s="13"/>
      <c r="W1861" s="13"/>
    </row>
    <row r="1862" spans="4:23" ht="27" customHeight="1" x14ac:dyDescent="0.25">
      <c r="D1862" s="14" t="s">
        <v>6427</v>
      </c>
      <c r="E1862" s="14" t="s">
        <v>6428</v>
      </c>
      <c r="F1862" s="84" t="s">
        <v>3253</v>
      </c>
      <c r="G1862" s="15" t="s">
        <v>27</v>
      </c>
      <c r="H1862" s="16" t="s">
        <v>6429</v>
      </c>
      <c r="I1862" s="17"/>
      <c r="J1862" s="17"/>
      <c r="K1862" s="17"/>
      <c r="L1862" s="17"/>
      <c r="T1862" s="13"/>
      <c r="U1862" s="13"/>
      <c r="V1862" s="13"/>
      <c r="W1862" s="13"/>
    </row>
    <row r="1863" spans="4:23" ht="27" customHeight="1" x14ac:dyDescent="0.25">
      <c r="D1863" s="14" t="s">
        <v>6430</v>
      </c>
      <c r="E1863" s="14" t="s">
        <v>4267</v>
      </c>
      <c r="F1863" s="84" t="s">
        <v>348</v>
      </c>
      <c r="G1863" s="15" t="s">
        <v>68</v>
      </c>
      <c r="H1863" s="16" t="s">
        <v>6431</v>
      </c>
      <c r="I1863" s="17"/>
      <c r="J1863" s="17"/>
      <c r="K1863" s="17"/>
      <c r="L1863" s="17"/>
      <c r="T1863" s="13"/>
      <c r="U1863" s="13"/>
      <c r="V1863" s="13"/>
      <c r="W1863" s="13"/>
    </row>
    <row r="1864" spans="4:23" ht="27" customHeight="1" x14ac:dyDescent="0.25">
      <c r="D1864" s="14" t="s">
        <v>6432</v>
      </c>
      <c r="E1864" s="14" t="s">
        <v>4138</v>
      </c>
      <c r="F1864" s="84" t="s">
        <v>239</v>
      </c>
      <c r="G1864" s="15" t="s">
        <v>27</v>
      </c>
      <c r="H1864" s="16" t="s">
        <v>6433</v>
      </c>
      <c r="I1864" s="17"/>
      <c r="J1864" s="17"/>
      <c r="K1864" s="17"/>
      <c r="L1864" s="17"/>
      <c r="T1864" s="13"/>
      <c r="U1864" s="13"/>
      <c r="V1864" s="13"/>
      <c r="W1864" s="13"/>
    </row>
    <row r="1865" spans="4:23" ht="27" customHeight="1" x14ac:dyDescent="0.25">
      <c r="D1865" s="14" t="s">
        <v>6434</v>
      </c>
      <c r="E1865" s="14" t="s">
        <v>6435</v>
      </c>
      <c r="F1865" s="84" t="s">
        <v>6436</v>
      </c>
      <c r="G1865" s="15" t="s">
        <v>27</v>
      </c>
      <c r="H1865" s="16" t="s">
        <v>6437</v>
      </c>
      <c r="I1865" s="17"/>
      <c r="J1865" s="17"/>
      <c r="K1865" s="17"/>
      <c r="L1865" s="17"/>
      <c r="T1865" s="13"/>
      <c r="U1865" s="13"/>
      <c r="V1865" s="13"/>
      <c r="W1865" s="13"/>
    </row>
    <row r="1866" spans="4:23" ht="27" customHeight="1" x14ac:dyDescent="0.25">
      <c r="D1866" s="14" t="s">
        <v>6438</v>
      </c>
      <c r="E1866" s="14" t="s">
        <v>6439</v>
      </c>
      <c r="F1866" s="84" t="s">
        <v>302</v>
      </c>
      <c r="G1866" s="15" t="s">
        <v>27</v>
      </c>
      <c r="H1866" s="16" t="s">
        <v>6440</v>
      </c>
      <c r="I1866" s="17"/>
      <c r="J1866" s="17"/>
      <c r="K1866" s="17"/>
      <c r="L1866" s="17"/>
      <c r="T1866" s="13"/>
      <c r="U1866" s="13"/>
      <c r="V1866" s="13"/>
      <c r="W1866" s="13"/>
    </row>
    <row r="1867" spans="4:23" ht="27" customHeight="1" x14ac:dyDescent="0.25">
      <c r="D1867" s="14" t="s">
        <v>6441</v>
      </c>
      <c r="E1867" s="14" t="s">
        <v>6442</v>
      </c>
      <c r="F1867" s="84" t="s">
        <v>417</v>
      </c>
      <c r="G1867" s="15" t="s">
        <v>27</v>
      </c>
      <c r="H1867" s="16" t="s">
        <v>6443</v>
      </c>
      <c r="I1867" s="17"/>
      <c r="J1867" s="17"/>
      <c r="K1867" s="17"/>
      <c r="L1867" s="17"/>
      <c r="T1867" s="13"/>
      <c r="U1867" s="13"/>
      <c r="V1867" s="13"/>
      <c r="W1867" s="13"/>
    </row>
    <row r="1868" spans="4:23" ht="27" customHeight="1" x14ac:dyDescent="0.25">
      <c r="D1868" s="14" t="s">
        <v>6444</v>
      </c>
      <c r="E1868" s="14" t="s">
        <v>6445</v>
      </c>
      <c r="F1868" s="84" t="s">
        <v>1626</v>
      </c>
      <c r="G1868" s="15" t="s">
        <v>27</v>
      </c>
      <c r="H1868" s="16" t="s">
        <v>6446</v>
      </c>
      <c r="I1868" s="17"/>
      <c r="J1868" s="17"/>
      <c r="K1868" s="17"/>
      <c r="L1868" s="17"/>
      <c r="T1868" s="13"/>
      <c r="U1868" s="13"/>
      <c r="V1868" s="13"/>
      <c r="W1868" s="13"/>
    </row>
    <row r="1869" spans="4:23" ht="27" customHeight="1" x14ac:dyDescent="0.25">
      <c r="D1869" s="14" t="s">
        <v>6447</v>
      </c>
      <c r="E1869" s="14" t="s">
        <v>5110</v>
      </c>
      <c r="F1869" s="84" t="s">
        <v>206</v>
      </c>
      <c r="G1869" s="15" t="s">
        <v>27</v>
      </c>
      <c r="H1869" s="16" t="s">
        <v>6448</v>
      </c>
      <c r="I1869" s="17"/>
      <c r="J1869" s="17"/>
      <c r="K1869" s="17"/>
      <c r="L1869" s="17"/>
      <c r="T1869" s="13"/>
      <c r="U1869" s="13"/>
      <c r="V1869" s="13"/>
      <c r="W1869" s="13"/>
    </row>
    <row r="1870" spans="4:23" ht="27" customHeight="1" x14ac:dyDescent="0.25">
      <c r="D1870" s="14" t="s">
        <v>6449</v>
      </c>
      <c r="E1870" s="14" t="s">
        <v>3340</v>
      </c>
      <c r="F1870" s="84" t="s">
        <v>538</v>
      </c>
      <c r="G1870" s="15" t="s">
        <v>27</v>
      </c>
      <c r="H1870" s="16" t="s">
        <v>6450</v>
      </c>
      <c r="I1870" s="17"/>
      <c r="J1870" s="17"/>
      <c r="K1870" s="17"/>
      <c r="L1870" s="17"/>
      <c r="T1870" s="13"/>
      <c r="U1870" s="13"/>
      <c r="V1870" s="13"/>
      <c r="W1870" s="13"/>
    </row>
    <row r="1871" spans="4:23" ht="27" customHeight="1" x14ac:dyDescent="0.25">
      <c r="D1871" s="14" t="s">
        <v>6451</v>
      </c>
      <c r="E1871" s="14" t="s">
        <v>6452</v>
      </c>
      <c r="F1871" s="84" t="s">
        <v>422</v>
      </c>
      <c r="G1871" s="15" t="s">
        <v>27</v>
      </c>
      <c r="H1871" s="16" t="s">
        <v>6453</v>
      </c>
      <c r="I1871" s="17"/>
      <c r="J1871" s="17"/>
      <c r="K1871" s="17"/>
      <c r="L1871" s="17"/>
      <c r="T1871" s="13"/>
      <c r="U1871" s="13"/>
      <c r="V1871" s="13"/>
      <c r="W1871" s="13"/>
    </row>
    <row r="1872" spans="4:23" ht="27" customHeight="1" x14ac:dyDescent="0.25">
      <c r="D1872" s="14" t="s">
        <v>6454</v>
      </c>
      <c r="E1872" s="14" t="s">
        <v>1747</v>
      </c>
      <c r="F1872" s="84" t="s">
        <v>211</v>
      </c>
      <c r="G1872" s="15" t="s">
        <v>68</v>
      </c>
      <c r="H1872" s="16" t="s">
        <v>6455</v>
      </c>
      <c r="I1872" s="17"/>
      <c r="J1872" s="17"/>
      <c r="K1872" s="17"/>
      <c r="L1872" s="17"/>
      <c r="T1872" s="13"/>
      <c r="U1872" s="13"/>
      <c r="V1872" s="13"/>
      <c r="W1872" s="13"/>
    </row>
    <row r="1873" spans="4:23" ht="27" customHeight="1" x14ac:dyDescent="0.25">
      <c r="D1873" s="14" t="s">
        <v>6456</v>
      </c>
      <c r="E1873" s="14" t="s">
        <v>6457</v>
      </c>
      <c r="F1873" s="84" t="s">
        <v>485</v>
      </c>
      <c r="G1873" s="15" t="s">
        <v>27</v>
      </c>
      <c r="H1873" s="16" t="s">
        <v>6458</v>
      </c>
      <c r="I1873" s="17"/>
      <c r="J1873" s="17"/>
      <c r="K1873" s="17"/>
      <c r="L1873" s="17"/>
      <c r="T1873" s="13"/>
      <c r="U1873" s="13"/>
      <c r="V1873" s="13"/>
      <c r="W1873" s="13"/>
    </row>
    <row r="1874" spans="4:23" ht="27" customHeight="1" x14ac:dyDescent="0.25">
      <c r="D1874" s="14" t="s">
        <v>6459</v>
      </c>
      <c r="E1874" s="14" t="s">
        <v>6460</v>
      </c>
      <c r="F1874" s="84" t="s">
        <v>934</v>
      </c>
      <c r="G1874" s="15" t="s">
        <v>68</v>
      </c>
      <c r="H1874" s="16" t="s">
        <v>6461</v>
      </c>
      <c r="I1874" s="17"/>
      <c r="J1874" s="17"/>
      <c r="K1874" s="17"/>
      <c r="L1874" s="17"/>
      <c r="T1874" s="13"/>
      <c r="U1874" s="13"/>
      <c r="V1874" s="13"/>
      <c r="W1874" s="13"/>
    </row>
    <row r="1875" spans="4:23" ht="27" customHeight="1" x14ac:dyDescent="0.25">
      <c r="D1875" s="14" t="s">
        <v>6462</v>
      </c>
      <c r="E1875" s="14" t="s">
        <v>4861</v>
      </c>
      <c r="F1875" s="84" t="s">
        <v>444</v>
      </c>
      <c r="G1875" s="15" t="s">
        <v>27</v>
      </c>
      <c r="H1875" s="16" t="s">
        <v>6463</v>
      </c>
      <c r="I1875" s="17"/>
      <c r="J1875" s="17"/>
      <c r="K1875" s="17"/>
      <c r="L1875" s="17"/>
      <c r="T1875" s="13"/>
      <c r="U1875" s="13"/>
      <c r="V1875" s="13"/>
      <c r="W1875" s="13"/>
    </row>
    <row r="1876" spans="4:23" ht="27" customHeight="1" x14ac:dyDescent="0.25">
      <c r="D1876" s="14" t="s">
        <v>6464</v>
      </c>
      <c r="E1876" s="14" t="s">
        <v>6465</v>
      </c>
      <c r="F1876" s="84" t="s">
        <v>183</v>
      </c>
      <c r="G1876" s="15" t="s">
        <v>27</v>
      </c>
      <c r="H1876" s="16" t="s">
        <v>6466</v>
      </c>
      <c r="I1876" s="17"/>
      <c r="J1876" s="17"/>
      <c r="K1876" s="17"/>
      <c r="L1876" s="17"/>
      <c r="T1876" s="13"/>
      <c r="U1876" s="13"/>
      <c r="V1876" s="13"/>
      <c r="W1876" s="13"/>
    </row>
    <row r="1877" spans="4:23" ht="27" customHeight="1" x14ac:dyDescent="0.25">
      <c r="D1877" s="14" t="s">
        <v>6467</v>
      </c>
      <c r="E1877" s="14" t="s">
        <v>4176</v>
      </c>
      <c r="F1877" s="84" t="s">
        <v>239</v>
      </c>
      <c r="G1877" s="15" t="s">
        <v>68</v>
      </c>
      <c r="H1877" s="16" t="s">
        <v>6468</v>
      </c>
      <c r="I1877" s="17"/>
      <c r="J1877" s="17"/>
      <c r="K1877" s="17"/>
      <c r="L1877" s="17"/>
      <c r="T1877" s="13"/>
      <c r="U1877" s="13"/>
      <c r="V1877" s="13"/>
      <c r="W1877" s="13"/>
    </row>
    <row r="1878" spans="4:23" ht="27" customHeight="1" x14ac:dyDescent="0.25">
      <c r="D1878" s="14" t="s">
        <v>6469</v>
      </c>
      <c r="E1878" s="14" t="s">
        <v>4876</v>
      </c>
      <c r="F1878" s="84" t="s">
        <v>444</v>
      </c>
      <c r="G1878" s="15" t="s">
        <v>27</v>
      </c>
      <c r="H1878" s="16" t="s">
        <v>6470</v>
      </c>
      <c r="I1878" s="17"/>
      <c r="J1878" s="17"/>
      <c r="K1878" s="17"/>
      <c r="L1878" s="17"/>
      <c r="T1878" s="13"/>
      <c r="U1878" s="13"/>
      <c r="V1878" s="13"/>
      <c r="W1878" s="13"/>
    </row>
    <row r="1879" spans="4:23" ht="27" customHeight="1" x14ac:dyDescent="0.25">
      <c r="D1879" s="14" t="s">
        <v>6471</v>
      </c>
      <c r="E1879" s="14" t="s">
        <v>2850</v>
      </c>
      <c r="F1879" s="84" t="s">
        <v>422</v>
      </c>
      <c r="G1879" s="15" t="s">
        <v>68</v>
      </c>
      <c r="H1879" s="16" t="s">
        <v>6472</v>
      </c>
      <c r="I1879" s="17"/>
      <c r="J1879" s="17"/>
      <c r="K1879" s="17"/>
      <c r="L1879" s="17"/>
      <c r="T1879" s="13"/>
      <c r="U1879" s="13"/>
      <c r="V1879" s="13"/>
      <c r="W1879" s="13"/>
    </row>
    <row r="1880" spans="4:23" ht="27" customHeight="1" x14ac:dyDescent="0.25">
      <c r="D1880" s="14" t="s">
        <v>6473</v>
      </c>
      <c r="E1880" s="14" t="s">
        <v>6474</v>
      </c>
      <c r="F1880" s="84" t="s">
        <v>764</v>
      </c>
      <c r="G1880" s="15" t="s">
        <v>68</v>
      </c>
      <c r="H1880" s="16" t="s">
        <v>6475</v>
      </c>
      <c r="I1880" s="17"/>
      <c r="J1880" s="17"/>
      <c r="K1880" s="17"/>
      <c r="L1880" s="17"/>
      <c r="T1880" s="13"/>
      <c r="U1880" s="13"/>
      <c r="V1880" s="13"/>
      <c r="W1880" s="13"/>
    </row>
    <row r="1881" spans="4:23" ht="27" customHeight="1" x14ac:dyDescent="0.25">
      <c r="D1881" s="14" t="s">
        <v>6476</v>
      </c>
      <c r="E1881" s="14" t="s">
        <v>4436</v>
      </c>
      <c r="F1881" s="84" t="s">
        <v>1535</v>
      </c>
      <c r="G1881" s="15" t="s">
        <v>27</v>
      </c>
      <c r="H1881" s="16" t="s">
        <v>6477</v>
      </c>
      <c r="I1881" s="17"/>
      <c r="J1881" s="17"/>
      <c r="K1881" s="17"/>
      <c r="L1881" s="17"/>
      <c r="T1881" s="13"/>
      <c r="U1881" s="13"/>
      <c r="V1881" s="13"/>
      <c r="W1881" s="13"/>
    </row>
    <row r="1882" spans="4:23" ht="27" customHeight="1" x14ac:dyDescent="0.25">
      <c r="D1882" s="14" t="s">
        <v>6478</v>
      </c>
      <c r="E1882" s="14" t="s">
        <v>3957</v>
      </c>
      <c r="F1882" s="84" t="s">
        <v>61</v>
      </c>
      <c r="G1882" s="15" t="s">
        <v>27</v>
      </c>
      <c r="H1882" s="16" t="s">
        <v>6479</v>
      </c>
      <c r="I1882" s="17"/>
      <c r="J1882" s="17"/>
      <c r="K1882" s="17"/>
      <c r="L1882" s="17"/>
      <c r="T1882" s="13"/>
      <c r="U1882" s="13"/>
      <c r="V1882" s="13"/>
      <c r="W1882" s="13"/>
    </row>
    <row r="1883" spans="4:23" ht="27" customHeight="1" x14ac:dyDescent="0.25">
      <c r="D1883" s="14" t="s">
        <v>6480</v>
      </c>
      <c r="E1883" s="14" t="s">
        <v>3954</v>
      </c>
      <c r="F1883" s="84" t="s">
        <v>61</v>
      </c>
      <c r="G1883" s="15" t="s">
        <v>27</v>
      </c>
      <c r="H1883" s="16" t="s">
        <v>6481</v>
      </c>
      <c r="I1883" s="17"/>
      <c r="J1883" s="17"/>
      <c r="K1883" s="17"/>
      <c r="L1883" s="17"/>
      <c r="T1883" s="13"/>
      <c r="U1883" s="13"/>
      <c r="V1883" s="13"/>
      <c r="W1883" s="13"/>
    </row>
    <row r="1884" spans="4:23" ht="27" customHeight="1" x14ac:dyDescent="0.25">
      <c r="D1884" s="14" t="s">
        <v>6482</v>
      </c>
      <c r="E1884" s="14" t="s">
        <v>3558</v>
      </c>
      <c r="F1884" s="84" t="s">
        <v>566</v>
      </c>
      <c r="G1884" s="15" t="s">
        <v>68</v>
      </c>
      <c r="H1884" s="16" t="s">
        <v>6483</v>
      </c>
      <c r="I1884" s="17"/>
      <c r="J1884" s="17"/>
      <c r="K1884" s="17"/>
      <c r="L1884" s="17"/>
      <c r="T1884" s="13"/>
      <c r="U1884" s="13"/>
      <c r="V1884" s="13"/>
      <c r="W1884" s="13"/>
    </row>
    <row r="1885" spans="4:23" ht="27" customHeight="1" x14ac:dyDescent="0.25">
      <c r="D1885" s="14" t="s">
        <v>6484</v>
      </c>
      <c r="E1885" s="14" t="s">
        <v>897</v>
      </c>
      <c r="F1885" s="84" t="s">
        <v>719</v>
      </c>
      <c r="G1885" s="15" t="s">
        <v>68</v>
      </c>
      <c r="H1885" s="16" t="s">
        <v>6485</v>
      </c>
      <c r="I1885" s="17"/>
      <c r="J1885" s="17"/>
      <c r="K1885" s="17"/>
      <c r="L1885" s="17"/>
      <c r="T1885" s="13"/>
      <c r="U1885" s="13"/>
      <c r="V1885" s="13"/>
      <c r="W1885" s="13"/>
    </row>
    <row r="1886" spans="4:23" ht="27" customHeight="1" x14ac:dyDescent="0.25">
      <c r="D1886" s="14" t="s">
        <v>6486</v>
      </c>
      <c r="E1886" s="14" t="s">
        <v>5311</v>
      </c>
      <c r="F1886" s="84" t="s">
        <v>407</v>
      </c>
      <c r="G1886" s="15" t="s">
        <v>27</v>
      </c>
      <c r="H1886" s="16" t="s">
        <v>6487</v>
      </c>
      <c r="I1886" s="17"/>
      <c r="J1886" s="17"/>
      <c r="K1886" s="17"/>
      <c r="L1886" s="17"/>
      <c r="T1886" s="13"/>
      <c r="U1886" s="13"/>
      <c r="V1886" s="13"/>
      <c r="W1886" s="13"/>
    </row>
    <row r="1887" spans="4:23" ht="27" customHeight="1" x14ac:dyDescent="0.25">
      <c r="D1887" s="14" t="s">
        <v>6488</v>
      </c>
      <c r="E1887" s="14" t="s">
        <v>6489</v>
      </c>
      <c r="F1887" s="84" t="s">
        <v>372</v>
      </c>
      <c r="G1887" s="15" t="s">
        <v>27</v>
      </c>
      <c r="H1887" s="16" t="s">
        <v>6490</v>
      </c>
      <c r="I1887" s="17"/>
      <c r="J1887" s="17"/>
      <c r="K1887" s="17"/>
      <c r="L1887" s="17"/>
      <c r="T1887" s="13"/>
      <c r="U1887" s="13"/>
      <c r="V1887" s="13"/>
      <c r="W1887" s="13"/>
    </row>
    <row r="1888" spans="4:23" ht="27" customHeight="1" x14ac:dyDescent="0.25">
      <c r="D1888" s="14" t="s">
        <v>6491</v>
      </c>
      <c r="E1888" s="14" t="s">
        <v>6492</v>
      </c>
      <c r="F1888" s="84" t="s">
        <v>233</v>
      </c>
      <c r="G1888" s="15" t="s">
        <v>68</v>
      </c>
      <c r="H1888" s="16" t="s">
        <v>6493</v>
      </c>
      <c r="I1888" s="17"/>
      <c r="J1888" s="17"/>
      <c r="K1888" s="17"/>
      <c r="L1888" s="17"/>
      <c r="T1888" s="13"/>
      <c r="U1888" s="13"/>
      <c r="V1888" s="13"/>
      <c r="W1888" s="13"/>
    </row>
    <row r="1889" spans="4:23" ht="27" customHeight="1" x14ac:dyDescent="0.25">
      <c r="D1889" s="14" t="s">
        <v>6494</v>
      </c>
      <c r="E1889" s="14" t="s">
        <v>6495</v>
      </c>
      <c r="F1889" s="84" t="s">
        <v>188</v>
      </c>
      <c r="G1889" s="15" t="s">
        <v>68</v>
      </c>
      <c r="H1889" s="16" t="s">
        <v>6496</v>
      </c>
      <c r="I1889" s="17"/>
      <c r="J1889" s="17"/>
      <c r="K1889" s="17"/>
      <c r="L1889" s="17"/>
      <c r="T1889" s="13"/>
      <c r="U1889" s="13"/>
      <c r="V1889" s="13"/>
      <c r="W1889" s="13"/>
    </row>
    <row r="1890" spans="4:23" ht="27" customHeight="1" x14ac:dyDescent="0.25">
      <c r="D1890" s="14" t="s">
        <v>6497</v>
      </c>
      <c r="E1890" s="14" t="s">
        <v>3017</v>
      </c>
      <c r="F1890" s="84" t="s">
        <v>92</v>
      </c>
      <c r="G1890" s="15" t="s">
        <v>27</v>
      </c>
      <c r="H1890" s="16" t="s">
        <v>6498</v>
      </c>
      <c r="I1890" s="17"/>
      <c r="J1890" s="17"/>
      <c r="K1890" s="17"/>
      <c r="L1890" s="17"/>
      <c r="T1890" s="13"/>
      <c r="U1890" s="13"/>
      <c r="V1890" s="13"/>
      <c r="W1890" s="13"/>
    </row>
    <row r="1891" spans="4:23" ht="27" customHeight="1" x14ac:dyDescent="0.25">
      <c r="D1891" s="14" t="s">
        <v>6499</v>
      </c>
      <c r="E1891" s="14" t="s">
        <v>6500</v>
      </c>
      <c r="F1891" s="84" t="s">
        <v>74</v>
      </c>
      <c r="G1891" s="15" t="s">
        <v>68</v>
      </c>
      <c r="H1891" s="16" t="s">
        <v>6501</v>
      </c>
      <c r="I1891" s="17"/>
      <c r="J1891" s="17"/>
      <c r="K1891" s="17"/>
      <c r="L1891" s="17"/>
      <c r="T1891" s="13"/>
      <c r="U1891" s="13"/>
      <c r="V1891" s="13"/>
      <c r="W1891" s="13"/>
    </row>
    <row r="1892" spans="4:23" ht="27" customHeight="1" x14ac:dyDescent="0.25">
      <c r="D1892" s="14" t="s">
        <v>6502</v>
      </c>
      <c r="E1892" s="14" t="s">
        <v>5301</v>
      </c>
      <c r="F1892" s="84" t="s">
        <v>407</v>
      </c>
      <c r="G1892" s="15" t="s">
        <v>27</v>
      </c>
      <c r="H1892" s="16" t="s">
        <v>6503</v>
      </c>
      <c r="I1892" s="17"/>
      <c r="J1892" s="17"/>
      <c r="K1892" s="17"/>
      <c r="L1892" s="17"/>
      <c r="T1892" s="13"/>
      <c r="U1892" s="13"/>
      <c r="V1892" s="13"/>
      <c r="W1892" s="13"/>
    </row>
    <row r="1893" spans="4:23" ht="27" customHeight="1" x14ac:dyDescent="0.25">
      <c r="D1893" s="14" t="s">
        <v>6504</v>
      </c>
      <c r="E1893" s="14" t="s">
        <v>6505</v>
      </c>
      <c r="F1893" s="84" t="s">
        <v>51</v>
      </c>
      <c r="G1893" s="15" t="s">
        <v>27</v>
      </c>
      <c r="H1893" s="16" t="s">
        <v>6506</v>
      </c>
      <c r="I1893" s="17"/>
      <c r="J1893" s="17"/>
      <c r="K1893" s="17"/>
      <c r="L1893" s="17"/>
      <c r="T1893" s="13"/>
      <c r="U1893" s="13"/>
      <c r="V1893" s="13"/>
      <c r="W1893" s="13"/>
    </row>
    <row r="1894" spans="4:23" ht="27" customHeight="1" x14ac:dyDescent="0.25">
      <c r="D1894" s="14" t="s">
        <v>6507</v>
      </c>
      <c r="E1894" s="14" t="s">
        <v>6508</v>
      </c>
      <c r="F1894" s="84" t="s">
        <v>422</v>
      </c>
      <c r="G1894" s="15" t="s">
        <v>27</v>
      </c>
      <c r="H1894" s="16" t="s">
        <v>6509</v>
      </c>
      <c r="I1894" s="17"/>
      <c r="J1894" s="17"/>
      <c r="K1894" s="17"/>
      <c r="L1894" s="17"/>
      <c r="T1894" s="13"/>
      <c r="U1894" s="13"/>
      <c r="V1894" s="13"/>
      <c r="W1894" s="13"/>
    </row>
    <row r="1895" spans="4:23" ht="27" customHeight="1" x14ac:dyDescent="0.25">
      <c r="D1895" s="14" t="s">
        <v>6510</v>
      </c>
      <c r="E1895" s="14" t="s">
        <v>6511</v>
      </c>
      <c r="F1895" s="84" t="s">
        <v>343</v>
      </c>
      <c r="G1895" s="15" t="s">
        <v>27</v>
      </c>
      <c r="H1895" s="16" t="s">
        <v>6512</v>
      </c>
      <c r="I1895" s="17"/>
      <c r="J1895" s="17"/>
      <c r="K1895" s="17"/>
      <c r="L1895" s="17"/>
      <c r="T1895" s="13"/>
      <c r="U1895" s="13"/>
      <c r="V1895" s="13"/>
      <c r="W1895" s="13"/>
    </row>
    <row r="1896" spans="4:23" ht="27" customHeight="1" x14ac:dyDescent="0.25">
      <c r="D1896" s="14" t="s">
        <v>6513</v>
      </c>
      <c r="E1896" s="14" t="s">
        <v>1921</v>
      </c>
      <c r="F1896" s="84" t="s">
        <v>381</v>
      </c>
      <c r="G1896" s="15" t="s">
        <v>27</v>
      </c>
      <c r="H1896" s="16" t="s">
        <v>6514</v>
      </c>
      <c r="I1896" s="17"/>
      <c r="J1896" s="17"/>
      <c r="K1896" s="17"/>
      <c r="L1896" s="17"/>
      <c r="T1896" s="13"/>
      <c r="U1896" s="13"/>
      <c r="V1896" s="13"/>
      <c r="W1896" s="13"/>
    </row>
    <row r="1897" spans="4:23" ht="27" customHeight="1" x14ac:dyDescent="0.25">
      <c r="D1897" s="14" t="s">
        <v>6515</v>
      </c>
      <c r="E1897" s="14" t="s">
        <v>6516</v>
      </c>
      <c r="F1897" s="84" t="s">
        <v>321</v>
      </c>
      <c r="G1897" s="15" t="s">
        <v>27</v>
      </c>
      <c r="H1897" s="16" t="s">
        <v>6517</v>
      </c>
      <c r="I1897" s="17"/>
      <c r="J1897" s="17"/>
      <c r="K1897" s="17"/>
      <c r="L1897" s="17"/>
      <c r="T1897" s="13"/>
      <c r="U1897" s="13"/>
      <c r="V1897" s="13"/>
      <c r="W1897" s="13"/>
    </row>
    <row r="1898" spans="4:23" ht="27" customHeight="1" x14ac:dyDescent="0.25">
      <c r="D1898" s="14" t="s">
        <v>6518</v>
      </c>
      <c r="E1898" s="14" t="s">
        <v>6519</v>
      </c>
      <c r="F1898" s="84" t="s">
        <v>38</v>
      </c>
      <c r="G1898" s="15" t="s">
        <v>27</v>
      </c>
      <c r="H1898" s="16" t="s">
        <v>6520</v>
      </c>
      <c r="I1898" s="17"/>
      <c r="J1898" s="17"/>
      <c r="K1898" s="17"/>
      <c r="L1898" s="17"/>
      <c r="T1898" s="13"/>
      <c r="U1898" s="13"/>
      <c r="V1898" s="13"/>
      <c r="W1898" s="13"/>
    </row>
    <row r="1899" spans="4:23" ht="27" customHeight="1" x14ac:dyDescent="0.25">
      <c r="D1899" s="14" t="s">
        <v>6521</v>
      </c>
      <c r="E1899" s="14" t="s">
        <v>2555</v>
      </c>
      <c r="F1899" s="84" t="s">
        <v>159</v>
      </c>
      <c r="G1899" s="15" t="s">
        <v>68</v>
      </c>
      <c r="H1899" s="16" t="s">
        <v>6522</v>
      </c>
      <c r="I1899" s="17"/>
      <c r="J1899" s="17"/>
      <c r="K1899" s="17"/>
      <c r="L1899" s="17"/>
      <c r="T1899" s="13"/>
      <c r="U1899" s="13"/>
      <c r="V1899" s="13"/>
      <c r="W1899" s="13"/>
    </row>
    <row r="1900" spans="4:23" ht="27" customHeight="1" x14ac:dyDescent="0.25">
      <c r="D1900" s="14" t="s">
        <v>6523</v>
      </c>
      <c r="E1900" s="14" t="s">
        <v>6524</v>
      </c>
      <c r="F1900" s="84" t="s">
        <v>386</v>
      </c>
      <c r="G1900" s="15" t="s">
        <v>27</v>
      </c>
      <c r="H1900" s="16" t="s">
        <v>6525</v>
      </c>
      <c r="I1900" s="17"/>
      <c r="J1900" s="17"/>
      <c r="K1900" s="17"/>
      <c r="L1900" s="17"/>
      <c r="T1900" s="13"/>
      <c r="U1900" s="13"/>
      <c r="V1900" s="13"/>
      <c r="W1900" s="13"/>
    </row>
    <row r="1901" spans="4:23" ht="27" customHeight="1" x14ac:dyDescent="0.25">
      <c r="D1901" s="14" t="s">
        <v>6526</v>
      </c>
      <c r="E1901" s="14" t="s">
        <v>5172</v>
      </c>
      <c r="F1901" s="84" t="s">
        <v>121</v>
      </c>
      <c r="G1901" s="15" t="s">
        <v>68</v>
      </c>
      <c r="H1901" s="16" t="s">
        <v>6527</v>
      </c>
      <c r="I1901" s="17"/>
      <c r="J1901" s="17"/>
      <c r="K1901" s="17"/>
      <c r="L1901" s="17"/>
      <c r="T1901" s="13"/>
      <c r="U1901" s="13"/>
      <c r="V1901" s="13"/>
      <c r="W1901" s="13"/>
    </row>
    <row r="1902" spans="4:23" ht="27" customHeight="1" x14ac:dyDescent="0.25">
      <c r="D1902" s="14" t="s">
        <v>6528</v>
      </c>
      <c r="E1902" s="14" t="s">
        <v>4976</v>
      </c>
      <c r="F1902" s="84" t="s">
        <v>444</v>
      </c>
      <c r="G1902" s="15" t="s">
        <v>68</v>
      </c>
      <c r="H1902" s="16" t="s">
        <v>6529</v>
      </c>
      <c r="I1902" s="17"/>
      <c r="J1902" s="17"/>
      <c r="K1902" s="17"/>
      <c r="L1902" s="17"/>
      <c r="T1902" s="13"/>
      <c r="U1902" s="13"/>
      <c r="V1902" s="13"/>
      <c r="W1902" s="13"/>
    </row>
    <row r="1903" spans="4:23" ht="27" customHeight="1" x14ac:dyDescent="0.25">
      <c r="D1903" s="14" t="s">
        <v>6530</v>
      </c>
      <c r="E1903" s="14" t="s">
        <v>3289</v>
      </c>
      <c r="F1903" s="84" t="s">
        <v>538</v>
      </c>
      <c r="G1903" s="15" t="s">
        <v>27</v>
      </c>
      <c r="H1903" s="16" t="s">
        <v>6531</v>
      </c>
      <c r="I1903" s="17"/>
      <c r="J1903" s="17"/>
      <c r="K1903" s="17"/>
      <c r="L1903" s="17"/>
      <c r="T1903" s="13"/>
      <c r="U1903" s="13"/>
      <c r="V1903" s="13"/>
      <c r="W1903" s="13"/>
    </row>
    <row r="1904" spans="4:23" ht="27" customHeight="1" x14ac:dyDescent="0.25">
      <c r="D1904" s="14" t="s">
        <v>6532</v>
      </c>
      <c r="E1904" s="14" t="s">
        <v>6533</v>
      </c>
      <c r="F1904" s="84" t="s">
        <v>51</v>
      </c>
      <c r="G1904" s="15" t="s">
        <v>27</v>
      </c>
      <c r="H1904" s="16" t="s">
        <v>6534</v>
      </c>
      <c r="I1904" s="17"/>
      <c r="J1904" s="17"/>
      <c r="K1904" s="17"/>
      <c r="L1904" s="17"/>
      <c r="T1904" s="13"/>
      <c r="U1904" s="13"/>
      <c r="V1904" s="13"/>
      <c r="W1904" s="13"/>
    </row>
    <row r="1905" spans="4:23" ht="27" customHeight="1" x14ac:dyDescent="0.25">
      <c r="D1905" s="14" t="s">
        <v>6535</v>
      </c>
      <c r="E1905" s="14" t="s">
        <v>3379</v>
      </c>
      <c r="F1905" s="84" t="s">
        <v>316</v>
      </c>
      <c r="G1905" s="15" t="s">
        <v>27</v>
      </c>
      <c r="H1905" s="16" t="s">
        <v>6536</v>
      </c>
      <c r="I1905" s="17"/>
      <c r="J1905" s="17"/>
      <c r="K1905" s="17"/>
      <c r="L1905" s="17"/>
      <c r="T1905" s="13"/>
      <c r="U1905" s="13"/>
      <c r="V1905" s="13"/>
      <c r="W1905" s="13"/>
    </row>
    <row r="1906" spans="4:23" ht="27" customHeight="1" x14ac:dyDescent="0.25">
      <c r="D1906" s="14" t="s">
        <v>6537</v>
      </c>
      <c r="E1906" s="14" t="s">
        <v>6538</v>
      </c>
      <c r="F1906" s="84" t="s">
        <v>321</v>
      </c>
      <c r="G1906" s="15" t="s">
        <v>27</v>
      </c>
      <c r="H1906" s="16" t="s">
        <v>6539</v>
      </c>
      <c r="I1906" s="17"/>
      <c r="J1906" s="17"/>
      <c r="K1906" s="17"/>
      <c r="L1906" s="17"/>
      <c r="T1906" s="13"/>
      <c r="U1906" s="13"/>
      <c r="V1906" s="13"/>
      <c r="W1906" s="13"/>
    </row>
    <row r="1907" spans="4:23" ht="27" customHeight="1" x14ac:dyDescent="0.25">
      <c r="D1907" s="14" t="s">
        <v>6540</v>
      </c>
      <c r="E1907" s="14" t="s">
        <v>6541</v>
      </c>
      <c r="F1907" s="84" t="s">
        <v>524</v>
      </c>
      <c r="G1907" s="15" t="s">
        <v>27</v>
      </c>
      <c r="H1907" s="16" t="s">
        <v>6542</v>
      </c>
      <c r="I1907" s="17"/>
      <c r="J1907" s="17"/>
      <c r="K1907" s="17"/>
      <c r="L1907" s="17"/>
      <c r="T1907" s="13"/>
      <c r="U1907" s="13"/>
      <c r="V1907" s="13"/>
      <c r="W1907" s="13"/>
    </row>
    <row r="1908" spans="4:23" ht="27" customHeight="1" x14ac:dyDescent="0.25">
      <c r="D1908" s="14" t="s">
        <v>6543</v>
      </c>
      <c r="E1908" s="14" t="s">
        <v>6544</v>
      </c>
      <c r="F1908" s="84" t="s">
        <v>46</v>
      </c>
      <c r="G1908" s="15" t="s">
        <v>68</v>
      </c>
      <c r="H1908" s="16" t="s">
        <v>6545</v>
      </c>
      <c r="I1908" s="17"/>
      <c r="J1908" s="17"/>
      <c r="K1908" s="17"/>
      <c r="L1908" s="17"/>
      <c r="T1908" s="13"/>
      <c r="U1908" s="13"/>
      <c r="V1908" s="13"/>
      <c r="W1908" s="13"/>
    </row>
    <row r="1909" spans="4:23" ht="27" customHeight="1" x14ac:dyDescent="0.25">
      <c r="D1909" s="14" t="s">
        <v>6546</v>
      </c>
      <c r="E1909" s="14" t="s">
        <v>4309</v>
      </c>
      <c r="F1909" s="84" t="s">
        <v>710</v>
      </c>
      <c r="G1909" s="15" t="s">
        <v>68</v>
      </c>
      <c r="H1909" s="16" t="s">
        <v>6547</v>
      </c>
      <c r="I1909" s="17"/>
      <c r="J1909" s="17"/>
      <c r="K1909" s="17"/>
      <c r="L1909" s="17"/>
      <c r="T1909" s="13"/>
      <c r="U1909" s="13"/>
      <c r="V1909" s="13"/>
      <c r="W1909" s="13"/>
    </row>
    <row r="1910" spans="4:23" ht="27" customHeight="1" x14ac:dyDescent="0.25">
      <c r="D1910" s="14" t="s">
        <v>6548</v>
      </c>
      <c r="E1910" s="14" t="s">
        <v>4936</v>
      </c>
      <c r="F1910" s="84" t="s">
        <v>444</v>
      </c>
      <c r="G1910" s="15" t="s">
        <v>68</v>
      </c>
      <c r="H1910" s="16" t="s">
        <v>6549</v>
      </c>
      <c r="I1910" s="17"/>
      <c r="J1910" s="17"/>
      <c r="K1910" s="17"/>
      <c r="L1910" s="17"/>
      <c r="T1910" s="13"/>
      <c r="U1910" s="13"/>
      <c r="V1910" s="13"/>
      <c r="W1910" s="13"/>
    </row>
    <row r="1911" spans="4:23" ht="27" customHeight="1" x14ac:dyDescent="0.25">
      <c r="D1911" s="14" t="s">
        <v>6550</v>
      </c>
      <c r="E1911" s="14" t="s">
        <v>6551</v>
      </c>
      <c r="F1911" s="84" t="s">
        <v>969</v>
      </c>
      <c r="G1911" s="15" t="s">
        <v>27</v>
      </c>
      <c r="H1911" s="16" t="s">
        <v>6552</v>
      </c>
      <c r="I1911" s="17"/>
      <c r="J1911" s="17"/>
      <c r="K1911" s="17"/>
      <c r="L1911" s="17"/>
      <c r="T1911" s="13"/>
      <c r="U1911" s="13"/>
      <c r="V1911" s="13"/>
      <c r="W1911" s="13"/>
    </row>
    <row r="1912" spans="4:23" ht="27" customHeight="1" x14ac:dyDescent="0.25">
      <c r="D1912" s="14" t="s">
        <v>6553</v>
      </c>
      <c r="E1912" s="14" t="s">
        <v>6554</v>
      </c>
      <c r="F1912" s="84" t="s">
        <v>280</v>
      </c>
      <c r="G1912" s="15" t="s">
        <v>27</v>
      </c>
      <c r="H1912" s="16" t="s">
        <v>6555</v>
      </c>
      <c r="I1912" s="17"/>
      <c r="J1912" s="17"/>
      <c r="K1912" s="17"/>
      <c r="L1912" s="17"/>
      <c r="T1912" s="13"/>
      <c r="U1912" s="13"/>
      <c r="V1912" s="13"/>
      <c r="W1912" s="13"/>
    </row>
    <row r="1913" spans="4:23" ht="27" customHeight="1" x14ac:dyDescent="0.25">
      <c r="D1913" s="14" t="s">
        <v>6556</v>
      </c>
      <c r="E1913" s="14" t="s">
        <v>2517</v>
      </c>
      <c r="F1913" s="84" t="s">
        <v>159</v>
      </c>
      <c r="G1913" s="15" t="s">
        <v>27</v>
      </c>
      <c r="H1913" s="16" t="s">
        <v>6557</v>
      </c>
      <c r="I1913" s="17"/>
      <c r="J1913" s="17"/>
      <c r="K1913" s="17"/>
      <c r="L1913" s="17"/>
      <c r="T1913" s="13"/>
      <c r="U1913" s="13"/>
      <c r="V1913" s="13"/>
      <c r="W1913" s="13"/>
    </row>
    <row r="1914" spans="4:23" ht="27" customHeight="1" x14ac:dyDescent="0.25">
      <c r="D1914" s="14" t="s">
        <v>6558</v>
      </c>
      <c r="E1914" s="14" t="s">
        <v>6559</v>
      </c>
      <c r="F1914" s="84" t="s">
        <v>670</v>
      </c>
      <c r="G1914" s="15" t="s">
        <v>27</v>
      </c>
      <c r="H1914" s="16" t="s">
        <v>6560</v>
      </c>
      <c r="I1914" s="17"/>
      <c r="J1914" s="17"/>
      <c r="K1914" s="17"/>
      <c r="L1914" s="17"/>
      <c r="T1914" s="13"/>
      <c r="U1914" s="13"/>
      <c r="V1914" s="13"/>
      <c r="W1914" s="13"/>
    </row>
    <row r="1915" spans="4:23" ht="27" customHeight="1" x14ac:dyDescent="0.25">
      <c r="D1915" s="14" t="s">
        <v>6561</v>
      </c>
      <c r="E1915" s="14" t="s">
        <v>3911</v>
      </c>
      <c r="F1915" s="84" t="s">
        <v>61</v>
      </c>
      <c r="G1915" s="15" t="s">
        <v>68</v>
      </c>
      <c r="H1915" s="16" t="s">
        <v>6562</v>
      </c>
      <c r="I1915" s="17"/>
      <c r="J1915" s="17"/>
      <c r="K1915" s="17"/>
      <c r="L1915" s="17"/>
      <c r="T1915" s="13"/>
      <c r="U1915" s="13"/>
      <c r="V1915" s="13"/>
      <c r="W1915" s="13"/>
    </row>
    <row r="1916" spans="4:23" ht="27" customHeight="1" x14ac:dyDescent="0.25">
      <c r="D1916" s="14" t="s">
        <v>6563</v>
      </c>
      <c r="E1916" s="14" t="s">
        <v>1115</v>
      </c>
      <c r="F1916" s="84" t="s">
        <v>556</v>
      </c>
      <c r="G1916" s="15" t="s">
        <v>68</v>
      </c>
      <c r="H1916" s="16" t="s">
        <v>6564</v>
      </c>
      <c r="I1916" s="17"/>
      <c r="J1916" s="17"/>
      <c r="K1916" s="17"/>
      <c r="L1916" s="17"/>
      <c r="T1916" s="13"/>
      <c r="U1916" s="13"/>
      <c r="V1916" s="13"/>
      <c r="W1916" s="13"/>
    </row>
    <row r="1917" spans="4:23" ht="27" customHeight="1" x14ac:dyDescent="0.25">
      <c r="D1917" s="14" t="s">
        <v>6565</v>
      </c>
      <c r="E1917" s="14" t="s">
        <v>6566</v>
      </c>
      <c r="F1917" s="84" t="s">
        <v>321</v>
      </c>
      <c r="G1917" s="15" t="s">
        <v>68</v>
      </c>
      <c r="H1917" s="16" t="s">
        <v>6567</v>
      </c>
      <c r="I1917" s="17"/>
      <c r="J1917" s="17"/>
      <c r="K1917" s="17"/>
      <c r="L1917" s="17"/>
      <c r="T1917" s="13"/>
      <c r="U1917" s="13"/>
      <c r="V1917" s="13"/>
      <c r="W1917" s="13"/>
    </row>
    <row r="1918" spans="4:23" ht="27" customHeight="1" x14ac:dyDescent="0.25">
      <c r="D1918" s="14" t="s">
        <v>6568</v>
      </c>
      <c r="E1918" s="14" t="s">
        <v>3987</v>
      </c>
      <c r="F1918" s="84" t="s">
        <v>194</v>
      </c>
      <c r="G1918" s="15" t="s">
        <v>27</v>
      </c>
      <c r="H1918" s="16" t="s">
        <v>6569</v>
      </c>
      <c r="I1918" s="17"/>
      <c r="J1918" s="17"/>
      <c r="K1918" s="17"/>
      <c r="L1918" s="17"/>
      <c r="T1918" s="13"/>
      <c r="U1918" s="13"/>
      <c r="V1918" s="13"/>
      <c r="W1918" s="13"/>
    </row>
    <row r="1919" spans="4:23" ht="27" customHeight="1" x14ac:dyDescent="0.25">
      <c r="D1919" s="14" t="s">
        <v>6570</v>
      </c>
      <c r="E1919" s="14" t="s">
        <v>6571</v>
      </c>
      <c r="F1919" s="84" t="s">
        <v>466</v>
      </c>
      <c r="G1919" s="15" t="s">
        <v>27</v>
      </c>
      <c r="H1919" s="16" t="s">
        <v>6572</v>
      </c>
      <c r="I1919" s="17"/>
      <c r="J1919" s="17"/>
      <c r="K1919" s="17"/>
      <c r="L1919" s="17"/>
      <c r="T1919" s="13"/>
      <c r="U1919" s="13"/>
      <c r="V1919" s="13"/>
      <c r="W1919" s="13"/>
    </row>
    <row r="1920" spans="4:23" ht="27" customHeight="1" x14ac:dyDescent="0.25">
      <c r="D1920" s="14" t="s">
        <v>6573</v>
      </c>
      <c r="E1920" s="14" t="s">
        <v>6574</v>
      </c>
      <c r="F1920" s="84" t="s">
        <v>129</v>
      </c>
      <c r="G1920" s="15" t="s">
        <v>27</v>
      </c>
      <c r="H1920" s="16" t="s">
        <v>6575</v>
      </c>
      <c r="I1920" s="17"/>
      <c r="J1920" s="17"/>
      <c r="K1920" s="17"/>
      <c r="L1920" s="17"/>
      <c r="T1920" s="13"/>
      <c r="U1920" s="13"/>
      <c r="V1920" s="13"/>
      <c r="W1920" s="13"/>
    </row>
    <row r="1921" spans="4:23" ht="27" customHeight="1" x14ac:dyDescent="0.25">
      <c r="D1921" s="14" t="s">
        <v>6576</v>
      </c>
      <c r="E1921" s="14" t="s">
        <v>6577</v>
      </c>
      <c r="F1921" s="84" t="s">
        <v>188</v>
      </c>
      <c r="G1921" s="15" t="s">
        <v>68</v>
      </c>
      <c r="H1921" s="16" t="s">
        <v>6578</v>
      </c>
      <c r="I1921" s="17"/>
      <c r="J1921" s="17"/>
      <c r="K1921" s="17"/>
      <c r="L1921" s="17"/>
      <c r="T1921" s="13"/>
      <c r="U1921" s="13"/>
      <c r="V1921" s="13"/>
      <c r="W1921" s="13"/>
    </row>
    <row r="1922" spans="4:23" ht="27" customHeight="1" x14ac:dyDescent="0.25">
      <c r="D1922" s="14" t="s">
        <v>6579</v>
      </c>
      <c r="E1922" s="14" t="s">
        <v>5401</v>
      </c>
      <c r="F1922" s="84" t="s">
        <v>407</v>
      </c>
      <c r="G1922" s="15" t="s">
        <v>68</v>
      </c>
      <c r="H1922" s="16" t="s">
        <v>6580</v>
      </c>
      <c r="I1922" s="17"/>
      <c r="J1922" s="17"/>
      <c r="K1922" s="17"/>
      <c r="L1922" s="17"/>
      <c r="T1922" s="13"/>
      <c r="U1922" s="13"/>
      <c r="V1922" s="13"/>
      <c r="W1922" s="13"/>
    </row>
    <row r="1923" spans="4:23" ht="27" customHeight="1" x14ac:dyDescent="0.25">
      <c r="D1923" s="14" t="s">
        <v>6581</v>
      </c>
      <c r="E1923" s="14" t="s">
        <v>2322</v>
      </c>
      <c r="F1923" s="84" t="s">
        <v>597</v>
      </c>
      <c r="G1923" s="15" t="s">
        <v>68</v>
      </c>
      <c r="H1923" s="16" t="s">
        <v>6582</v>
      </c>
      <c r="I1923" s="17"/>
      <c r="J1923" s="17"/>
      <c r="K1923" s="17"/>
      <c r="L1923" s="17"/>
      <c r="T1923" s="13"/>
      <c r="U1923" s="13"/>
      <c r="V1923" s="13"/>
      <c r="W1923" s="13"/>
    </row>
    <row r="1924" spans="4:23" ht="27" customHeight="1" x14ac:dyDescent="0.25">
      <c r="D1924" s="14" t="s">
        <v>6583</v>
      </c>
      <c r="E1924" s="14" t="s">
        <v>6584</v>
      </c>
      <c r="F1924" s="84" t="s">
        <v>490</v>
      </c>
      <c r="G1924" s="15" t="s">
        <v>27</v>
      </c>
      <c r="H1924" s="16" t="s">
        <v>6585</v>
      </c>
      <c r="I1924" s="17"/>
      <c r="J1924" s="17"/>
      <c r="K1924" s="17"/>
      <c r="L1924" s="17"/>
      <c r="T1924" s="13"/>
      <c r="U1924" s="13"/>
      <c r="V1924" s="13"/>
      <c r="W1924" s="13"/>
    </row>
    <row r="1925" spans="4:23" ht="27" customHeight="1" x14ac:dyDescent="0.25">
      <c r="D1925" s="14" t="s">
        <v>6586</v>
      </c>
      <c r="E1925" s="14" t="s">
        <v>4638</v>
      </c>
      <c r="F1925" s="84" t="s">
        <v>261</v>
      </c>
      <c r="G1925" s="15" t="s">
        <v>27</v>
      </c>
      <c r="H1925" s="16" t="s">
        <v>6587</v>
      </c>
      <c r="I1925" s="17"/>
      <c r="J1925" s="17"/>
      <c r="K1925" s="17"/>
      <c r="L1925" s="17"/>
      <c r="T1925" s="13"/>
      <c r="U1925" s="13"/>
      <c r="V1925" s="13"/>
      <c r="W1925" s="13"/>
    </row>
    <row r="1926" spans="4:23" ht="27" customHeight="1" x14ac:dyDescent="0.25">
      <c r="D1926" s="14" t="s">
        <v>6588</v>
      </c>
      <c r="E1926" s="14" t="s">
        <v>6589</v>
      </c>
      <c r="F1926" s="84" t="s">
        <v>4620</v>
      </c>
      <c r="G1926" s="15" t="s">
        <v>68</v>
      </c>
      <c r="H1926" s="16" t="s">
        <v>6590</v>
      </c>
      <c r="I1926" s="17"/>
      <c r="J1926" s="17"/>
      <c r="K1926" s="17"/>
      <c r="L1926" s="17"/>
      <c r="T1926" s="13"/>
      <c r="U1926" s="13"/>
      <c r="V1926" s="13"/>
      <c r="W1926" s="13"/>
    </row>
    <row r="1927" spans="4:23" ht="27" customHeight="1" x14ac:dyDescent="0.25">
      <c r="D1927" s="14" t="s">
        <v>6591</v>
      </c>
      <c r="E1927" s="14" t="s">
        <v>3566</v>
      </c>
      <c r="F1927" s="84" t="s">
        <v>566</v>
      </c>
      <c r="G1927" s="15" t="s">
        <v>27</v>
      </c>
      <c r="H1927" s="16" t="s">
        <v>6592</v>
      </c>
      <c r="I1927" s="17"/>
      <c r="J1927" s="17"/>
      <c r="K1927" s="17"/>
      <c r="L1927" s="17"/>
      <c r="T1927" s="13"/>
      <c r="U1927" s="13"/>
      <c r="V1927" s="13"/>
      <c r="W1927" s="13"/>
    </row>
    <row r="1928" spans="4:23" ht="27" customHeight="1" x14ac:dyDescent="0.25">
      <c r="D1928" s="14" t="s">
        <v>6593</v>
      </c>
      <c r="E1928" s="14" t="s">
        <v>6594</v>
      </c>
      <c r="F1928" s="84" t="s">
        <v>422</v>
      </c>
      <c r="G1928" s="15" t="s">
        <v>27</v>
      </c>
      <c r="H1928" s="16" t="s">
        <v>6595</v>
      </c>
      <c r="I1928" s="17"/>
      <c r="J1928" s="17"/>
      <c r="K1928" s="17"/>
      <c r="L1928" s="17"/>
      <c r="T1928" s="13"/>
      <c r="U1928" s="13"/>
      <c r="V1928" s="13"/>
      <c r="W1928" s="13"/>
    </row>
    <row r="1929" spans="4:23" ht="27" customHeight="1" x14ac:dyDescent="0.25">
      <c r="D1929" s="14" t="s">
        <v>6596</v>
      </c>
      <c r="E1929" s="14" t="s">
        <v>4943</v>
      </c>
      <c r="F1929" s="84" t="s">
        <v>444</v>
      </c>
      <c r="G1929" s="15" t="s">
        <v>27</v>
      </c>
      <c r="H1929" s="16" t="s">
        <v>6597</v>
      </c>
      <c r="I1929" s="17"/>
      <c r="J1929" s="17"/>
      <c r="K1929" s="17"/>
      <c r="L1929" s="17"/>
      <c r="T1929" s="13"/>
      <c r="U1929" s="13"/>
      <c r="V1929" s="13"/>
      <c r="W1929" s="13"/>
    </row>
    <row r="1930" spans="4:23" ht="27" customHeight="1" x14ac:dyDescent="0.25">
      <c r="D1930" s="14" t="s">
        <v>6598</v>
      </c>
      <c r="E1930" s="14" t="s">
        <v>318</v>
      </c>
      <c r="F1930" s="84" t="s">
        <v>2715</v>
      </c>
      <c r="G1930" s="15" t="s">
        <v>27</v>
      </c>
      <c r="H1930" s="16" t="s">
        <v>6599</v>
      </c>
      <c r="I1930" s="17"/>
      <c r="J1930" s="17"/>
      <c r="K1930" s="17"/>
      <c r="L1930" s="17"/>
      <c r="T1930" s="13"/>
      <c r="U1930" s="13"/>
      <c r="V1930" s="13"/>
      <c r="W1930" s="13"/>
    </row>
    <row r="1931" spans="4:23" ht="27" customHeight="1" x14ac:dyDescent="0.25">
      <c r="D1931" s="14" t="s">
        <v>6600</v>
      </c>
      <c r="E1931" s="14" t="s">
        <v>2120</v>
      </c>
      <c r="F1931" s="84" t="s">
        <v>1572</v>
      </c>
      <c r="G1931" s="15" t="s">
        <v>68</v>
      </c>
      <c r="H1931" s="16" t="s">
        <v>6601</v>
      </c>
      <c r="I1931" s="17"/>
      <c r="J1931" s="17"/>
      <c r="K1931" s="17"/>
      <c r="L1931" s="17"/>
      <c r="T1931" s="13"/>
      <c r="U1931" s="13"/>
      <c r="V1931" s="13"/>
      <c r="W1931" s="13"/>
    </row>
    <row r="1932" spans="4:23" ht="27" customHeight="1" x14ac:dyDescent="0.25">
      <c r="D1932" s="14" t="s">
        <v>6602</v>
      </c>
      <c r="E1932" s="14" t="s">
        <v>744</v>
      </c>
      <c r="F1932" s="84" t="s">
        <v>805</v>
      </c>
      <c r="G1932" s="15" t="s">
        <v>68</v>
      </c>
      <c r="H1932" s="16" t="s">
        <v>6603</v>
      </c>
      <c r="I1932" s="17"/>
      <c r="J1932" s="17"/>
      <c r="K1932" s="17"/>
      <c r="L1932" s="17"/>
      <c r="T1932" s="13"/>
      <c r="U1932" s="13"/>
      <c r="V1932" s="13"/>
      <c r="W1932" s="13"/>
    </row>
    <row r="1933" spans="4:23" ht="27" customHeight="1" x14ac:dyDescent="0.25">
      <c r="D1933" s="14" t="s">
        <v>6604</v>
      </c>
      <c r="E1933" s="14" t="s">
        <v>3450</v>
      </c>
      <c r="F1933" s="84" t="s">
        <v>566</v>
      </c>
      <c r="G1933" s="15" t="s">
        <v>27</v>
      </c>
      <c r="H1933" s="16" t="s">
        <v>6605</v>
      </c>
      <c r="I1933" s="17"/>
      <c r="J1933" s="17"/>
      <c r="K1933" s="17"/>
      <c r="L1933" s="17"/>
      <c r="T1933" s="13"/>
      <c r="U1933" s="13"/>
      <c r="V1933" s="13"/>
      <c r="W1933" s="13"/>
    </row>
    <row r="1934" spans="4:23" ht="27" customHeight="1" x14ac:dyDescent="0.25">
      <c r="D1934" s="14" t="s">
        <v>6606</v>
      </c>
      <c r="E1934" s="14" t="s">
        <v>6607</v>
      </c>
      <c r="F1934" s="84" t="s">
        <v>6608</v>
      </c>
      <c r="G1934" s="15" t="s">
        <v>68</v>
      </c>
      <c r="H1934" s="16" t="s">
        <v>6609</v>
      </c>
      <c r="I1934" s="17"/>
      <c r="J1934" s="17"/>
      <c r="K1934" s="17"/>
      <c r="L1934" s="17"/>
      <c r="T1934" s="13"/>
      <c r="U1934" s="13"/>
      <c r="V1934" s="13"/>
      <c r="W1934" s="13"/>
    </row>
    <row r="1935" spans="4:23" ht="27" customHeight="1" x14ac:dyDescent="0.25">
      <c r="D1935" s="14" t="s">
        <v>6610</v>
      </c>
      <c r="E1935" s="14" t="s">
        <v>213</v>
      </c>
      <c r="F1935" s="84" t="s">
        <v>1392</v>
      </c>
      <c r="G1935" s="15" t="s">
        <v>27</v>
      </c>
      <c r="H1935" s="16" t="s">
        <v>6611</v>
      </c>
      <c r="I1935" s="17"/>
      <c r="J1935" s="17"/>
      <c r="K1935" s="17"/>
      <c r="L1935" s="17"/>
      <c r="T1935" s="13"/>
      <c r="U1935" s="13"/>
      <c r="V1935" s="13"/>
      <c r="W1935" s="13"/>
    </row>
    <row r="1936" spans="4:23" ht="27" customHeight="1" x14ac:dyDescent="0.25">
      <c r="D1936" s="14" t="s">
        <v>6612</v>
      </c>
      <c r="E1936" s="14" t="s">
        <v>2226</v>
      </c>
      <c r="F1936" s="84" t="s">
        <v>466</v>
      </c>
      <c r="G1936" s="15" t="s">
        <v>68</v>
      </c>
      <c r="H1936" s="16" t="s">
        <v>6613</v>
      </c>
      <c r="I1936" s="17"/>
      <c r="J1936" s="17"/>
      <c r="K1936" s="17"/>
      <c r="L1936" s="17"/>
      <c r="T1936" s="13"/>
      <c r="U1936" s="13"/>
      <c r="V1936" s="13"/>
      <c r="W1936" s="13"/>
    </row>
    <row r="1937" spans="4:23" ht="27" customHeight="1" x14ac:dyDescent="0.25">
      <c r="D1937" s="14" t="s">
        <v>6614</v>
      </c>
      <c r="E1937" s="14" t="s">
        <v>6615</v>
      </c>
      <c r="F1937" s="84" t="s">
        <v>169</v>
      </c>
      <c r="G1937" s="15" t="s">
        <v>27</v>
      </c>
      <c r="H1937" s="16" t="s">
        <v>6616</v>
      </c>
      <c r="I1937" s="17"/>
      <c r="J1937" s="17"/>
      <c r="K1937" s="17"/>
      <c r="L1937" s="17"/>
      <c r="T1937" s="13"/>
      <c r="U1937" s="13"/>
      <c r="V1937" s="13"/>
      <c r="W1937" s="13"/>
    </row>
    <row r="1938" spans="4:23" ht="27" customHeight="1" x14ac:dyDescent="0.25">
      <c r="D1938" s="14" t="s">
        <v>6617</v>
      </c>
      <c r="E1938" s="14" t="s">
        <v>4767</v>
      </c>
      <c r="F1938" s="84" t="s">
        <v>402</v>
      </c>
      <c r="G1938" s="15" t="s">
        <v>27</v>
      </c>
      <c r="H1938" s="16" t="s">
        <v>6618</v>
      </c>
      <c r="I1938" s="17"/>
      <c r="J1938" s="17"/>
      <c r="K1938" s="17"/>
      <c r="L1938" s="17"/>
      <c r="T1938" s="13"/>
      <c r="U1938" s="13"/>
      <c r="V1938" s="13"/>
      <c r="W1938" s="13"/>
    </row>
    <row r="1939" spans="4:23" ht="27" customHeight="1" x14ac:dyDescent="0.25">
      <c r="D1939" s="14" t="s">
        <v>6619</v>
      </c>
      <c r="E1939" s="14" t="s">
        <v>6620</v>
      </c>
      <c r="F1939" s="84" t="s">
        <v>38</v>
      </c>
      <c r="G1939" s="15" t="s">
        <v>27</v>
      </c>
      <c r="H1939" s="16" t="s">
        <v>6621</v>
      </c>
      <c r="I1939" s="17"/>
      <c r="J1939" s="17"/>
      <c r="K1939" s="17"/>
      <c r="L1939" s="17"/>
      <c r="T1939" s="13"/>
      <c r="U1939" s="13"/>
      <c r="V1939" s="13"/>
      <c r="W1939" s="13"/>
    </row>
    <row r="1940" spans="4:23" ht="27" customHeight="1" x14ac:dyDescent="0.25">
      <c r="D1940" s="14" t="s">
        <v>6622</v>
      </c>
      <c r="E1940" s="14" t="s">
        <v>6623</v>
      </c>
      <c r="F1940" s="84" t="s">
        <v>175</v>
      </c>
      <c r="G1940" s="15" t="s">
        <v>27</v>
      </c>
      <c r="H1940" s="16" t="s">
        <v>6624</v>
      </c>
      <c r="I1940" s="17"/>
      <c r="J1940" s="17"/>
      <c r="K1940" s="17"/>
      <c r="L1940" s="17"/>
      <c r="T1940" s="13"/>
      <c r="U1940" s="13"/>
      <c r="V1940" s="13"/>
      <c r="W1940" s="13"/>
    </row>
    <row r="1941" spans="4:23" ht="27" customHeight="1" x14ac:dyDescent="0.25">
      <c r="D1941" s="14" t="s">
        <v>6625</v>
      </c>
      <c r="E1941" s="14" t="s">
        <v>4609</v>
      </c>
      <c r="F1941" s="84" t="s">
        <v>261</v>
      </c>
      <c r="G1941" s="15" t="s">
        <v>27</v>
      </c>
      <c r="H1941" s="16" t="s">
        <v>6626</v>
      </c>
      <c r="I1941" s="17"/>
      <c r="J1941" s="17"/>
      <c r="K1941" s="17"/>
      <c r="L1941" s="17"/>
      <c r="T1941" s="13"/>
      <c r="U1941" s="13"/>
      <c r="V1941" s="13"/>
      <c r="W1941" s="13"/>
    </row>
    <row r="1942" spans="4:23" ht="27" customHeight="1" x14ac:dyDescent="0.25">
      <c r="D1942" s="14" t="s">
        <v>6627</v>
      </c>
      <c r="E1942" s="14" t="s">
        <v>6628</v>
      </c>
      <c r="F1942" s="84" t="s">
        <v>2247</v>
      </c>
      <c r="G1942" s="15" t="s">
        <v>27</v>
      </c>
      <c r="H1942" s="16" t="s">
        <v>6629</v>
      </c>
      <c r="I1942" s="17"/>
      <c r="J1942" s="17"/>
      <c r="K1942" s="17"/>
      <c r="L1942" s="17"/>
      <c r="T1942" s="13"/>
      <c r="U1942" s="13"/>
      <c r="V1942" s="13"/>
      <c r="W1942" s="13"/>
    </row>
    <row r="1943" spans="4:23" ht="27" customHeight="1" x14ac:dyDescent="0.25">
      <c r="D1943" s="14" t="s">
        <v>6630</v>
      </c>
      <c r="E1943" s="14" t="s">
        <v>803</v>
      </c>
      <c r="F1943" s="84" t="s">
        <v>3891</v>
      </c>
      <c r="G1943" s="15" t="s">
        <v>27</v>
      </c>
      <c r="H1943" s="16" t="s">
        <v>6631</v>
      </c>
      <c r="I1943" s="17"/>
      <c r="J1943" s="17"/>
      <c r="K1943" s="17"/>
      <c r="L1943" s="17"/>
      <c r="T1943" s="13"/>
      <c r="U1943" s="13"/>
      <c r="V1943" s="13"/>
      <c r="W1943" s="13"/>
    </row>
    <row r="1944" spans="4:23" ht="27" customHeight="1" x14ac:dyDescent="0.25">
      <c r="D1944" s="14" t="s">
        <v>6632</v>
      </c>
      <c r="E1944" s="14" t="s">
        <v>6633</v>
      </c>
      <c r="F1944" s="84" t="s">
        <v>67</v>
      </c>
      <c r="G1944" s="15" t="s">
        <v>68</v>
      </c>
      <c r="H1944" s="16" t="s">
        <v>6634</v>
      </c>
      <c r="I1944" s="17"/>
      <c r="J1944" s="17"/>
      <c r="K1944" s="17"/>
      <c r="L1944" s="17"/>
      <c r="T1944" s="13"/>
      <c r="U1944" s="13"/>
      <c r="V1944" s="13"/>
      <c r="W1944" s="13"/>
    </row>
    <row r="1945" spans="4:23" ht="27" customHeight="1" x14ac:dyDescent="0.25">
      <c r="D1945" s="14" t="s">
        <v>6635</v>
      </c>
      <c r="E1945" s="14" t="s">
        <v>4447</v>
      </c>
      <c r="F1945" s="84" t="s">
        <v>1535</v>
      </c>
      <c r="G1945" s="15" t="s">
        <v>27</v>
      </c>
      <c r="H1945" s="16" t="s">
        <v>6636</v>
      </c>
      <c r="I1945" s="17"/>
      <c r="J1945" s="17"/>
      <c r="K1945" s="17"/>
      <c r="L1945" s="17"/>
      <c r="T1945" s="13"/>
      <c r="U1945" s="13"/>
      <c r="V1945" s="13"/>
      <c r="W1945" s="13"/>
    </row>
    <row r="1946" spans="4:23" ht="27" customHeight="1" x14ac:dyDescent="0.25">
      <c r="D1946" s="14" t="s">
        <v>6637</v>
      </c>
      <c r="E1946" s="14" t="s">
        <v>6638</v>
      </c>
      <c r="F1946" s="84" t="s">
        <v>296</v>
      </c>
      <c r="G1946" s="15" t="s">
        <v>27</v>
      </c>
      <c r="H1946" s="16" t="s">
        <v>6639</v>
      </c>
      <c r="I1946" s="17"/>
      <c r="J1946" s="17"/>
      <c r="K1946" s="17"/>
      <c r="L1946" s="17"/>
      <c r="T1946" s="13"/>
      <c r="U1946" s="13"/>
      <c r="V1946" s="13"/>
      <c r="W1946" s="13"/>
    </row>
    <row r="1947" spans="4:23" ht="27" customHeight="1" x14ac:dyDescent="0.25">
      <c r="D1947" s="14" t="s">
        <v>6640</v>
      </c>
      <c r="E1947" s="14" t="s">
        <v>1706</v>
      </c>
      <c r="F1947" s="84" t="s">
        <v>781</v>
      </c>
      <c r="G1947" s="15" t="s">
        <v>27</v>
      </c>
      <c r="H1947" s="16" t="s">
        <v>6641</v>
      </c>
      <c r="I1947" s="17"/>
      <c r="J1947" s="17"/>
      <c r="K1947" s="17"/>
      <c r="L1947" s="17"/>
      <c r="T1947" s="13"/>
      <c r="U1947" s="13"/>
      <c r="V1947" s="13"/>
      <c r="W1947" s="13"/>
    </row>
    <row r="1948" spans="4:23" ht="27" customHeight="1" x14ac:dyDescent="0.25">
      <c r="D1948" s="14" t="s">
        <v>6642</v>
      </c>
      <c r="E1948" s="14" t="s">
        <v>1698</v>
      </c>
      <c r="F1948" s="84" t="s">
        <v>781</v>
      </c>
      <c r="G1948" s="15" t="s">
        <v>27</v>
      </c>
      <c r="H1948" s="16" t="s">
        <v>6643</v>
      </c>
      <c r="I1948" s="17"/>
      <c r="J1948" s="17"/>
      <c r="K1948" s="17"/>
      <c r="L1948" s="17"/>
      <c r="T1948" s="13"/>
      <c r="U1948" s="13"/>
      <c r="V1948" s="13"/>
      <c r="W1948" s="13"/>
    </row>
    <row r="1949" spans="4:23" ht="27" customHeight="1" x14ac:dyDescent="0.25">
      <c r="D1949" s="14" t="s">
        <v>6644</v>
      </c>
      <c r="E1949" s="14" t="s">
        <v>4159</v>
      </c>
      <c r="F1949" s="84" t="s">
        <v>239</v>
      </c>
      <c r="G1949" s="15" t="s">
        <v>27</v>
      </c>
      <c r="H1949" s="16" t="s">
        <v>6645</v>
      </c>
      <c r="I1949" s="17"/>
      <c r="J1949" s="17"/>
      <c r="K1949" s="17"/>
      <c r="L1949" s="17"/>
      <c r="T1949" s="13"/>
      <c r="U1949" s="13"/>
      <c r="V1949" s="13"/>
      <c r="W1949" s="13"/>
    </row>
    <row r="1950" spans="4:23" ht="27" customHeight="1" x14ac:dyDescent="0.25">
      <c r="D1950" s="14" t="s">
        <v>6646</v>
      </c>
      <c r="E1950" s="14" t="s">
        <v>6647</v>
      </c>
      <c r="F1950" s="84" t="s">
        <v>143</v>
      </c>
      <c r="G1950" s="15" t="s">
        <v>27</v>
      </c>
      <c r="H1950" s="16" t="s">
        <v>6648</v>
      </c>
      <c r="I1950" s="17"/>
      <c r="J1950" s="17"/>
      <c r="K1950" s="17"/>
      <c r="L1950" s="17"/>
      <c r="T1950" s="13"/>
      <c r="U1950" s="13"/>
      <c r="V1950" s="13"/>
      <c r="W1950" s="13"/>
    </row>
    <row r="1951" spans="4:23" ht="27" customHeight="1" x14ac:dyDescent="0.25">
      <c r="D1951" s="14" t="s">
        <v>6649</v>
      </c>
      <c r="E1951" s="14" t="s">
        <v>5176</v>
      </c>
      <c r="F1951" s="84" t="s">
        <v>121</v>
      </c>
      <c r="G1951" s="15" t="s">
        <v>68</v>
      </c>
      <c r="H1951" s="16" t="s">
        <v>6650</v>
      </c>
      <c r="I1951" s="17"/>
      <c r="J1951" s="17"/>
      <c r="K1951" s="17"/>
      <c r="L1951" s="17"/>
      <c r="T1951" s="13"/>
      <c r="U1951" s="13"/>
      <c r="V1951" s="13"/>
      <c r="W1951" s="13"/>
    </row>
    <row r="1952" spans="4:23" ht="27" customHeight="1" x14ac:dyDescent="0.25">
      <c r="D1952" s="14" t="s">
        <v>6651</v>
      </c>
      <c r="E1952" s="14" t="s">
        <v>3094</v>
      </c>
      <c r="F1952" s="84" t="s">
        <v>485</v>
      </c>
      <c r="G1952" s="15" t="s">
        <v>68</v>
      </c>
      <c r="H1952" s="16" t="s">
        <v>6652</v>
      </c>
      <c r="I1952" s="17"/>
      <c r="J1952" s="17"/>
      <c r="K1952" s="17"/>
      <c r="L1952" s="17"/>
      <c r="T1952" s="13"/>
      <c r="U1952" s="13"/>
      <c r="V1952" s="13"/>
      <c r="W1952" s="13"/>
    </row>
    <row r="1953" spans="4:23" ht="27" customHeight="1" x14ac:dyDescent="0.25">
      <c r="D1953" s="14" t="s">
        <v>6653</v>
      </c>
      <c r="E1953" s="14" t="s">
        <v>6654</v>
      </c>
      <c r="F1953" s="84" t="s">
        <v>38</v>
      </c>
      <c r="G1953" s="15" t="s">
        <v>27</v>
      </c>
      <c r="H1953" s="16" t="s">
        <v>6655</v>
      </c>
      <c r="I1953" s="17"/>
      <c r="J1953" s="17"/>
      <c r="K1953" s="17"/>
      <c r="L1953" s="17"/>
      <c r="T1953" s="13"/>
      <c r="U1953" s="13"/>
      <c r="V1953" s="13"/>
      <c r="W1953" s="13"/>
    </row>
    <row r="1954" spans="4:23" ht="27" customHeight="1" x14ac:dyDescent="0.25">
      <c r="D1954" s="14" t="s">
        <v>6656</v>
      </c>
      <c r="E1954" s="14" t="s">
        <v>6657</v>
      </c>
      <c r="F1954" s="84" t="s">
        <v>422</v>
      </c>
      <c r="G1954" s="15" t="s">
        <v>68</v>
      </c>
      <c r="H1954" s="16" t="s">
        <v>6658</v>
      </c>
      <c r="I1954" s="17"/>
      <c r="J1954" s="17"/>
      <c r="K1954" s="17"/>
      <c r="L1954" s="17"/>
      <c r="T1954" s="13"/>
      <c r="U1954" s="13"/>
      <c r="V1954" s="13"/>
      <c r="W1954" s="13"/>
    </row>
    <row r="1955" spans="4:23" ht="27" customHeight="1" x14ac:dyDescent="0.25">
      <c r="D1955" s="14" t="s">
        <v>6659</v>
      </c>
      <c r="E1955" s="14" t="s">
        <v>1739</v>
      </c>
      <c r="F1955" s="84" t="s">
        <v>211</v>
      </c>
      <c r="G1955" s="15" t="s">
        <v>27</v>
      </c>
      <c r="H1955" s="16" t="s">
        <v>6660</v>
      </c>
      <c r="I1955" s="17"/>
      <c r="J1955" s="17"/>
      <c r="K1955" s="17"/>
      <c r="L1955" s="17"/>
      <c r="T1955" s="13"/>
      <c r="U1955" s="13"/>
      <c r="V1955" s="13"/>
      <c r="W1955" s="13"/>
    </row>
    <row r="1956" spans="4:23" ht="27" customHeight="1" x14ac:dyDescent="0.25">
      <c r="D1956" s="14" t="s">
        <v>6661</v>
      </c>
      <c r="E1956" s="14" t="s">
        <v>6662</v>
      </c>
      <c r="F1956" s="84" t="s">
        <v>524</v>
      </c>
      <c r="G1956" s="15" t="s">
        <v>27</v>
      </c>
      <c r="H1956" s="16" t="s">
        <v>6663</v>
      </c>
      <c r="I1956" s="17"/>
      <c r="J1956" s="17"/>
      <c r="K1956" s="17"/>
      <c r="L1956" s="17"/>
      <c r="T1956" s="13"/>
      <c r="U1956" s="13"/>
      <c r="V1956" s="13"/>
      <c r="W1956" s="13"/>
    </row>
    <row r="1957" spans="4:23" ht="27" customHeight="1" x14ac:dyDescent="0.25">
      <c r="D1957" s="14" t="s">
        <v>6664</v>
      </c>
      <c r="E1957" s="14" t="s">
        <v>521</v>
      </c>
      <c r="F1957" s="84" t="s">
        <v>1029</v>
      </c>
      <c r="G1957" s="15" t="s">
        <v>68</v>
      </c>
      <c r="H1957" s="16" t="s">
        <v>6665</v>
      </c>
      <c r="I1957" s="17"/>
      <c r="J1957" s="17"/>
      <c r="K1957" s="17"/>
      <c r="L1957" s="17"/>
      <c r="T1957" s="13"/>
      <c r="U1957" s="13"/>
      <c r="V1957" s="13"/>
      <c r="W1957" s="13"/>
    </row>
    <row r="1958" spans="4:23" ht="27" customHeight="1" x14ac:dyDescent="0.25">
      <c r="D1958" s="14" t="s">
        <v>6666</v>
      </c>
      <c r="E1958" s="14" t="s">
        <v>1815</v>
      </c>
      <c r="F1958" s="84" t="s">
        <v>847</v>
      </c>
      <c r="G1958" s="15" t="s">
        <v>68</v>
      </c>
      <c r="H1958" s="16" t="s">
        <v>6667</v>
      </c>
      <c r="I1958" s="17"/>
      <c r="J1958" s="17"/>
      <c r="K1958" s="17"/>
      <c r="L1958" s="17"/>
      <c r="T1958" s="13"/>
      <c r="U1958" s="13"/>
      <c r="V1958" s="13"/>
      <c r="W1958" s="13"/>
    </row>
    <row r="1959" spans="4:23" ht="27" customHeight="1" x14ac:dyDescent="0.25">
      <c r="D1959" s="14" t="s">
        <v>6668</v>
      </c>
      <c r="E1959" s="14" t="s">
        <v>6669</v>
      </c>
      <c r="F1959" s="84" t="s">
        <v>909</v>
      </c>
      <c r="G1959" s="15" t="s">
        <v>68</v>
      </c>
      <c r="H1959" s="16" t="s">
        <v>6670</v>
      </c>
      <c r="I1959" s="17"/>
      <c r="J1959" s="17"/>
      <c r="K1959" s="17"/>
      <c r="L1959" s="17"/>
      <c r="T1959" s="13"/>
      <c r="U1959" s="13"/>
      <c r="V1959" s="13"/>
      <c r="W1959" s="13"/>
    </row>
    <row r="1960" spans="4:23" ht="27" customHeight="1" x14ac:dyDescent="0.25">
      <c r="D1960" s="14" t="s">
        <v>6671</v>
      </c>
      <c r="E1960" s="14" t="s">
        <v>6672</v>
      </c>
      <c r="F1960" s="84" t="s">
        <v>602</v>
      </c>
      <c r="G1960" s="15" t="s">
        <v>27</v>
      </c>
      <c r="H1960" s="16" t="s">
        <v>6673</v>
      </c>
      <c r="I1960" s="17"/>
      <c r="J1960" s="17"/>
      <c r="K1960" s="17"/>
      <c r="L1960" s="17"/>
      <c r="T1960" s="13"/>
      <c r="U1960" s="13"/>
      <c r="V1960" s="13"/>
      <c r="W1960" s="13"/>
    </row>
    <row r="1961" spans="4:23" ht="27" customHeight="1" x14ac:dyDescent="0.25">
      <c r="D1961" s="14" t="s">
        <v>6674</v>
      </c>
      <c r="E1961" s="14" t="s">
        <v>6675</v>
      </c>
      <c r="F1961" s="84" t="s">
        <v>175</v>
      </c>
      <c r="G1961" s="15" t="s">
        <v>68</v>
      </c>
      <c r="H1961" s="16" t="s">
        <v>6676</v>
      </c>
      <c r="I1961" s="17"/>
      <c r="J1961" s="17"/>
      <c r="K1961" s="17"/>
      <c r="L1961" s="17"/>
      <c r="T1961" s="13"/>
      <c r="U1961" s="13"/>
      <c r="V1961" s="13"/>
      <c r="W1961" s="13"/>
    </row>
    <row r="1962" spans="4:23" ht="27" customHeight="1" x14ac:dyDescent="0.25">
      <c r="D1962" s="14" t="s">
        <v>6677</v>
      </c>
      <c r="E1962" s="14" t="s">
        <v>6678</v>
      </c>
      <c r="F1962" s="84" t="s">
        <v>4730</v>
      </c>
      <c r="G1962" s="15" t="s">
        <v>27</v>
      </c>
      <c r="H1962" s="16" t="s">
        <v>6679</v>
      </c>
      <c r="I1962" s="17"/>
      <c r="J1962" s="17"/>
      <c r="K1962" s="17"/>
      <c r="L1962" s="17"/>
      <c r="T1962" s="13"/>
      <c r="U1962" s="13"/>
      <c r="V1962" s="13"/>
      <c r="W1962" s="13"/>
    </row>
    <row r="1963" spans="4:23" ht="27" customHeight="1" x14ac:dyDescent="0.25">
      <c r="D1963" s="14" t="s">
        <v>6680</v>
      </c>
      <c r="E1963" s="14" t="s">
        <v>4698</v>
      </c>
      <c r="F1963" s="84" t="s">
        <v>261</v>
      </c>
      <c r="G1963" s="15" t="s">
        <v>27</v>
      </c>
      <c r="H1963" s="16" t="s">
        <v>6681</v>
      </c>
      <c r="I1963" s="17"/>
      <c r="J1963" s="17"/>
      <c r="K1963" s="17"/>
      <c r="L1963" s="17"/>
      <c r="T1963" s="13"/>
      <c r="U1963" s="13"/>
      <c r="V1963" s="13"/>
      <c r="W1963" s="13"/>
    </row>
    <row r="1964" spans="4:23" ht="27" customHeight="1" x14ac:dyDescent="0.25">
      <c r="D1964" s="14" t="s">
        <v>6682</v>
      </c>
      <c r="E1964" s="14" t="s">
        <v>6683</v>
      </c>
      <c r="F1964" s="84" t="s">
        <v>114</v>
      </c>
      <c r="G1964" s="15" t="s">
        <v>27</v>
      </c>
      <c r="H1964" s="16" t="s">
        <v>6684</v>
      </c>
      <c r="I1964" s="17"/>
      <c r="J1964" s="17"/>
      <c r="K1964" s="17"/>
      <c r="L1964" s="17"/>
      <c r="T1964" s="13"/>
      <c r="U1964" s="13"/>
      <c r="V1964" s="13"/>
      <c r="W1964" s="13"/>
    </row>
    <row r="1965" spans="4:23" ht="27" customHeight="1" x14ac:dyDescent="0.25">
      <c r="D1965" s="14" t="s">
        <v>6685</v>
      </c>
      <c r="E1965" s="14" t="s">
        <v>4987</v>
      </c>
      <c r="F1965" s="84" t="s">
        <v>206</v>
      </c>
      <c r="G1965" s="15" t="s">
        <v>27</v>
      </c>
      <c r="H1965" s="16" t="s">
        <v>6686</v>
      </c>
      <c r="I1965" s="17"/>
      <c r="J1965" s="17"/>
      <c r="K1965" s="17"/>
      <c r="L1965" s="17"/>
      <c r="T1965" s="13"/>
      <c r="U1965" s="13"/>
      <c r="V1965" s="13"/>
      <c r="W1965" s="13"/>
    </row>
    <row r="1966" spans="4:23" ht="27" customHeight="1" x14ac:dyDescent="0.25">
      <c r="D1966" s="14" t="s">
        <v>6687</v>
      </c>
      <c r="E1966" s="14" t="s">
        <v>6688</v>
      </c>
      <c r="F1966" s="84" t="s">
        <v>92</v>
      </c>
      <c r="G1966" s="15" t="s">
        <v>68</v>
      </c>
      <c r="H1966" s="16" t="s">
        <v>6689</v>
      </c>
      <c r="I1966" s="17"/>
      <c r="J1966" s="17"/>
      <c r="K1966" s="17"/>
      <c r="L1966" s="17"/>
      <c r="T1966" s="13"/>
      <c r="U1966" s="13"/>
      <c r="V1966" s="13"/>
      <c r="W1966" s="13"/>
    </row>
    <row r="1967" spans="4:23" ht="27" customHeight="1" x14ac:dyDescent="0.25">
      <c r="D1967" s="14" t="s">
        <v>6690</v>
      </c>
      <c r="E1967" s="14" t="s">
        <v>1960</v>
      </c>
      <c r="F1967" s="84" t="s">
        <v>143</v>
      </c>
      <c r="G1967" s="15" t="s">
        <v>68</v>
      </c>
      <c r="H1967" s="16" t="s">
        <v>6691</v>
      </c>
      <c r="I1967" s="17"/>
      <c r="J1967" s="17"/>
      <c r="K1967" s="17"/>
      <c r="L1967" s="17"/>
      <c r="T1967" s="13"/>
      <c r="U1967" s="13"/>
      <c r="V1967" s="13"/>
      <c r="W1967" s="13"/>
    </row>
    <row r="1968" spans="4:23" ht="27" customHeight="1" x14ac:dyDescent="0.25">
      <c r="D1968" s="14" t="s">
        <v>6692</v>
      </c>
      <c r="E1968" s="14" t="s">
        <v>6693</v>
      </c>
      <c r="F1968" s="84" t="s">
        <v>909</v>
      </c>
      <c r="G1968" s="15" t="s">
        <v>27</v>
      </c>
      <c r="H1968" s="16" t="s">
        <v>6694</v>
      </c>
      <c r="I1968" s="17"/>
      <c r="J1968" s="17"/>
      <c r="K1968" s="17"/>
      <c r="L1968" s="17"/>
      <c r="T1968" s="13"/>
      <c r="U1968" s="13"/>
      <c r="V1968" s="13"/>
      <c r="W1968" s="13"/>
    </row>
    <row r="1969" spans="4:23" ht="27" customHeight="1" x14ac:dyDescent="0.25">
      <c r="D1969" s="14" t="s">
        <v>6695</v>
      </c>
      <c r="E1969" s="14" t="s">
        <v>6696</v>
      </c>
      <c r="F1969" s="84" t="s">
        <v>188</v>
      </c>
      <c r="G1969" s="15" t="s">
        <v>27</v>
      </c>
      <c r="H1969" s="16" t="s">
        <v>6697</v>
      </c>
      <c r="I1969" s="17"/>
      <c r="J1969" s="17"/>
      <c r="K1969" s="17"/>
      <c r="L1969" s="17"/>
      <c r="T1969" s="13"/>
      <c r="U1969" s="13"/>
      <c r="V1969" s="13"/>
      <c r="W1969" s="13"/>
    </row>
    <row r="1970" spans="4:23" ht="27" customHeight="1" x14ac:dyDescent="0.25">
      <c r="D1970" s="14" t="s">
        <v>6698</v>
      </c>
      <c r="E1970" s="14" t="s">
        <v>2794</v>
      </c>
      <c r="F1970" s="84" t="s">
        <v>296</v>
      </c>
      <c r="G1970" s="15" t="s">
        <v>68</v>
      </c>
      <c r="H1970" s="16" t="s">
        <v>6699</v>
      </c>
      <c r="I1970" s="17"/>
      <c r="J1970" s="17"/>
      <c r="K1970" s="17"/>
      <c r="L1970" s="17"/>
      <c r="T1970" s="13"/>
      <c r="U1970" s="13"/>
      <c r="V1970" s="13"/>
      <c r="W1970" s="13"/>
    </row>
    <row r="1971" spans="4:23" ht="27" customHeight="1" x14ac:dyDescent="0.25">
      <c r="D1971" s="14" t="s">
        <v>6700</v>
      </c>
      <c r="E1971" s="14" t="s">
        <v>41</v>
      </c>
      <c r="F1971" s="84" t="s">
        <v>6701</v>
      </c>
      <c r="G1971" s="15" t="s">
        <v>27</v>
      </c>
      <c r="H1971" s="16" t="s">
        <v>6702</v>
      </c>
      <c r="I1971" s="17"/>
      <c r="J1971" s="17"/>
      <c r="K1971" s="17"/>
      <c r="L1971" s="17"/>
      <c r="T1971" s="13"/>
      <c r="U1971" s="13"/>
      <c r="V1971" s="13"/>
      <c r="W1971" s="13"/>
    </row>
    <row r="1972" spans="4:23" ht="27" customHeight="1" x14ac:dyDescent="0.25">
      <c r="D1972" s="14" t="s">
        <v>6703</v>
      </c>
      <c r="E1972" s="14" t="s">
        <v>4459</v>
      </c>
      <c r="F1972" s="84" t="s">
        <v>1535</v>
      </c>
      <c r="G1972" s="15" t="s">
        <v>27</v>
      </c>
      <c r="H1972" s="16" t="s">
        <v>6704</v>
      </c>
      <c r="I1972" s="17"/>
      <c r="J1972" s="17"/>
      <c r="K1972" s="17"/>
      <c r="L1972" s="17"/>
      <c r="T1972" s="13"/>
      <c r="U1972" s="13"/>
      <c r="V1972" s="13"/>
      <c r="W1972" s="13"/>
    </row>
    <row r="1973" spans="4:23" ht="27" customHeight="1" x14ac:dyDescent="0.25">
      <c r="D1973" s="14" t="s">
        <v>6705</v>
      </c>
      <c r="E1973" s="14" t="s">
        <v>1372</v>
      </c>
      <c r="F1973" s="84" t="s">
        <v>480</v>
      </c>
      <c r="G1973" s="15" t="s">
        <v>27</v>
      </c>
      <c r="H1973" s="16" t="s">
        <v>6706</v>
      </c>
      <c r="I1973" s="17"/>
      <c r="J1973" s="17"/>
      <c r="K1973" s="17"/>
      <c r="L1973" s="17"/>
      <c r="T1973" s="13"/>
      <c r="U1973" s="13"/>
      <c r="V1973" s="13"/>
      <c r="W1973" s="13"/>
    </row>
    <row r="1974" spans="4:23" ht="27" customHeight="1" x14ac:dyDescent="0.25">
      <c r="D1974" s="14" t="s">
        <v>6707</v>
      </c>
      <c r="E1974" s="14" t="s">
        <v>6708</v>
      </c>
      <c r="F1974" s="84" t="s">
        <v>508</v>
      </c>
      <c r="G1974" s="15" t="s">
        <v>68</v>
      </c>
      <c r="H1974" s="16" t="s">
        <v>6709</v>
      </c>
      <c r="I1974" s="17"/>
      <c r="J1974" s="17"/>
      <c r="K1974" s="17"/>
      <c r="L1974" s="17"/>
      <c r="T1974" s="13"/>
      <c r="U1974" s="13"/>
      <c r="V1974" s="13"/>
      <c r="W1974" s="13"/>
    </row>
    <row r="1975" spans="4:23" ht="27" customHeight="1" x14ac:dyDescent="0.25">
      <c r="D1975" s="14" t="s">
        <v>6710</v>
      </c>
      <c r="E1975" s="14" t="s">
        <v>2057</v>
      </c>
      <c r="F1975" s="84" t="s">
        <v>412</v>
      </c>
      <c r="G1975" s="15" t="s">
        <v>27</v>
      </c>
      <c r="H1975" s="16" t="s">
        <v>6711</v>
      </c>
      <c r="I1975" s="17"/>
      <c r="J1975" s="17"/>
      <c r="K1975" s="17"/>
      <c r="L1975" s="17"/>
      <c r="T1975" s="13"/>
      <c r="U1975" s="13"/>
      <c r="V1975" s="13"/>
      <c r="W1975" s="13"/>
    </row>
    <row r="1976" spans="4:23" ht="27" customHeight="1" x14ac:dyDescent="0.25">
      <c r="D1976" s="14" t="s">
        <v>6712</v>
      </c>
      <c r="E1976" s="14" t="s">
        <v>4396</v>
      </c>
      <c r="F1976" s="84" t="s">
        <v>1535</v>
      </c>
      <c r="G1976" s="15" t="s">
        <v>27</v>
      </c>
      <c r="H1976" s="16" t="s">
        <v>6713</v>
      </c>
      <c r="I1976" s="17"/>
      <c r="J1976" s="17"/>
      <c r="K1976" s="17"/>
      <c r="L1976" s="17"/>
      <c r="T1976" s="13"/>
      <c r="U1976" s="13"/>
      <c r="V1976" s="13"/>
      <c r="W1976" s="13"/>
    </row>
    <row r="1977" spans="4:23" ht="27" customHeight="1" x14ac:dyDescent="0.25">
      <c r="D1977" s="14" t="s">
        <v>6714</v>
      </c>
      <c r="E1977" s="14" t="s">
        <v>2757</v>
      </c>
      <c r="F1977" s="84" t="s">
        <v>592</v>
      </c>
      <c r="G1977" s="15" t="s">
        <v>27</v>
      </c>
      <c r="H1977" s="16" t="s">
        <v>6715</v>
      </c>
      <c r="I1977" s="17"/>
      <c r="J1977" s="17"/>
      <c r="K1977" s="17"/>
      <c r="L1977" s="17"/>
      <c r="T1977" s="13"/>
      <c r="U1977" s="13"/>
      <c r="V1977" s="13"/>
      <c r="W1977" s="13"/>
    </row>
    <row r="1978" spans="4:23" ht="27" customHeight="1" x14ac:dyDescent="0.25">
      <c r="D1978" s="14" t="s">
        <v>6716</v>
      </c>
      <c r="E1978" s="14" t="s">
        <v>6717</v>
      </c>
      <c r="F1978" s="84" t="s">
        <v>129</v>
      </c>
      <c r="G1978" s="15" t="s">
        <v>68</v>
      </c>
      <c r="H1978" s="16" t="s">
        <v>6718</v>
      </c>
      <c r="I1978" s="17"/>
      <c r="J1978" s="17"/>
      <c r="K1978" s="17"/>
      <c r="L1978" s="17"/>
      <c r="T1978" s="13"/>
      <c r="U1978" s="13"/>
      <c r="V1978" s="13"/>
      <c r="W1978" s="13"/>
    </row>
    <row r="1979" spans="4:23" ht="27" customHeight="1" x14ac:dyDescent="0.25">
      <c r="D1979" s="14" t="s">
        <v>6719</v>
      </c>
      <c r="E1979" s="14" t="s">
        <v>1518</v>
      </c>
      <c r="F1979" s="84" t="s">
        <v>561</v>
      </c>
      <c r="G1979" s="15" t="s">
        <v>27</v>
      </c>
      <c r="H1979" s="16" t="s">
        <v>6720</v>
      </c>
      <c r="I1979" s="17"/>
      <c r="J1979" s="17"/>
      <c r="K1979" s="17"/>
      <c r="L1979" s="17"/>
      <c r="T1979" s="13"/>
      <c r="U1979" s="13"/>
      <c r="V1979" s="13"/>
      <c r="W1979" s="13"/>
    </row>
    <row r="1980" spans="4:23" ht="27" customHeight="1" x14ac:dyDescent="0.25">
      <c r="D1980" s="14" t="s">
        <v>6721</v>
      </c>
      <c r="E1980" s="14" t="s">
        <v>1340</v>
      </c>
      <c r="F1980" s="84" t="s">
        <v>1093</v>
      </c>
      <c r="G1980" s="15" t="s">
        <v>68</v>
      </c>
      <c r="H1980" s="16" t="s">
        <v>6722</v>
      </c>
      <c r="I1980" s="17"/>
      <c r="J1980" s="17"/>
      <c r="K1980" s="17"/>
      <c r="L1980" s="17"/>
      <c r="T1980" s="13"/>
      <c r="U1980" s="13"/>
      <c r="V1980" s="13"/>
      <c r="W1980" s="13"/>
    </row>
    <row r="1981" spans="4:23" ht="27" customHeight="1" x14ac:dyDescent="0.25">
      <c r="D1981" s="14" t="s">
        <v>6723</v>
      </c>
      <c r="E1981" s="14" t="s">
        <v>6724</v>
      </c>
      <c r="F1981" s="84" t="s">
        <v>372</v>
      </c>
      <c r="G1981" s="15" t="s">
        <v>27</v>
      </c>
      <c r="H1981" s="16" t="s">
        <v>6725</v>
      </c>
      <c r="I1981" s="17"/>
      <c r="J1981" s="17"/>
      <c r="K1981" s="17"/>
      <c r="L1981" s="17"/>
      <c r="T1981" s="13"/>
      <c r="U1981" s="13"/>
      <c r="V1981" s="13"/>
      <c r="W1981" s="13"/>
    </row>
    <row r="1982" spans="4:23" ht="27" customHeight="1" x14ac:dyDescent="0.25">
      <c r="D1982" s="14" t="s">
        <v>6726</v>
      </c>
      <c r="E1982" s="14" t="s">
        <v>667</v>
      </c>
      <c r="F1982" s="84" t="s">
        <v>632</v>
      </c>
      <c r="G1982" s="15" t="s">
        <v>68</v>
      </c>
      <c r="H1982" s="16" t="s">
        <v>6727</v>
      </c>
      <c r="I1982" s="17"/>
      <c r="J1982" s="17"/>
      <c r="K1982" s="17"/>
      <c r="L1982" s="17"/>
      <c r="T1982" s="13"/>
      <c r="U1982" s="13"/>
      <c r="V1982" s="13"/>
      <c r="W1982" s="13"/>
    </row>
    <row r="1983" spans="4:23" ht="27" customHeight="1" x14ac:dyDescent="0.25">
      <c r="D1983" s="14" t="s">
        <v>6728</v>
      </c>
      <c r="E1983" s="14" t="s">
        <v>5321</v>
      </c>
      <c r="F1983" s="84" t="s">
        <v>407</v>
      </c>
      <c r="G1983" s="15" t="s">
        <v>68</v>
      </c>
      <c r="H1983" s="16" t="s">
        <v>6729</v>
      </c>
      <c r="I1983" s="17"/>
      <c r="J1983" s="17"/>
      <c r="K1983" s="17"/>
      <c r="L1983" s="17"/>
      <c r="T1983" s="13"/>
      <c r="U1983" s="13"/>
      <c r="V1983" s="13"/>
      <c r="W1983" s="13"/>
    </row>
    <row r="1984" spans="4:23" ht="27" customHeight="1" x14ac:dyDescent="0.25">
      <c r="D1984" s="14" t="s">
        <v>6730</v>
      </c>
      <c r="E1984" s="14" t="s">
        <v>4893</v>
      </c>
      <c r="F1984" s="84" t="s">
        <v>444</v>
      </c>
      <c r="G1984" s="15" t="s">
        <v>27</v>
      </c>
      <c r="H1984" s="16" t="s">
        <v>6731</v>
      </c>
      <c r="I1984" s="17"/>
      <c r="J1984" s="17"/>
      <c r="K1984" s="17"/>
      <c r="L1984" s="17"/>
      <c r="T1984" s="13"/>
      <c r="U1984" s="13"/>
      <c r="V1984" s="13"/>
      <c r="W1984" s="13"/>
    </row>
    <row r="1985" spans="4:23" ht="27" customHeight="1" x14ac:dyDescent="0.25">
      <c r="D1985" s="14" t="s">
        <v>6732</v>
      </c>
      <c r="E1985" s="14" t="s">
        <v>6733</v>
      </c>
      <c r="F1985" s="84" t="s">
        <v>805</v>
      </c>
      <c r="G1985" s="15" t="s">
        <v>27</v>
      </c>
      <c r="H1985" s="16" t="s">
        <v>6734</v>
      </c>
      <c r="I1985" s="17"/>
      <c r="J1985" s="17"/>
      <c r="K1985" s="17"/>
      <c r="L1985" s="17"/>
      <c r="T1985" s="13"/>
      <c r="U1985" s="13"/>
      <c r="V1985" s="13"/>
      <c r="W1985" s="13"/>
    </row>
    <row r="1986" spans="4:23" ht="27" customHeight="1" x14ac:dyDescent="0.25">
      <c r="D1986" s="14" t="s">
        <v>6735</v>
      </c>
      <c r="E1986" s="14" t="s">
        <v>6736</v>
      </c>
      <c r="F1986" s="84" t="s">
        <v>359</v>
      </c>
      <c r="G1986" s="15" t="s">
        <v>27</v>
      </c>
      <c r="H1986" s="16" t="s">
        <v>6737</v>
      </c>
      <c r="I1986" s="17"/>
      <c r="J1986" s="17"/>
      <c r="K1986" s="17"/>
      <c r="L1986" s="17"/>
      <c r="T1986" s="13"/>
      <c r="U1986" s="13"/>
      <c r="V1986" s="13"/>
      <c r="W1986" s="13"/>
    </row>
    <row r="1987" spans="4:23" ht="27" customHeight="1" x14ac:dyDescent="0.25">
      <c r="D1987" s="14" t="s">
        <v>6738</v>
      </c>
      <c r="E1987" s="14" t="s">
        <v>6739</v>
      </c>
      <c r="F1987" s="84" t="s">
        <v>321</v>
      </c>
      <c r="G1987" s="15" t="s">
        <v>68</v>
      </c>
      <c r="H1987" s="16" t="s">
        <v>6740</v>
      </c>
      <c r="I1987" s="17"/>
      <c r="J1987" s="17"/>
      <c r="K1987" s="17"/>
      <c r="L1987" s="17"/>
      <c r="T1987" s="13"/>
      <c r="U1987" s="13"/>
      <c r="V1987" s="13"/>
      <c r="W1987" s="13"/>
    </row>
    <row r="1988" spans="4:23" ht="27" customHeight="1" x14ac:dyDescent="0.25">
      <c r="D1988" s="14" t="s">
        <v>6741</v>
      </c>
      <c r="E1988" s="14" t="s">
        <v>2976</v>
      </c>
      <c r="F1988" s="84" t="s">
        <v>92</v>
      </c>
      <c r="G1988" s="15" t="s">
        <v>68</v>
      </c>
      <c r="H1988" s="16" t="s">
        <v>6742</v>
      </c>
      <c r="I1988" s="17"/>
      <c r="J1988" s="17"/>
      <c r="K1988" s="17"/>
      <c r="L1988" s="17"/>
      <c r="T1988" s="13"/>
      <c r="U1988" s="13"/>
      <c r="V1988" s="13"/>
      <c r="W1988" s="13"/>
    </row>
    <row r="1989" spans="4:23" ht="27" customHeight="1" x14ac:dyDescent="0.25">
      <c r="D1989" s="14" t="s">
        <v>6743</v>
      </c>
      <c r="E1989" s="14" t="s">
        <v>3303</v>
      </c>
      <c r="F1989" s="84" t="s">
        <v>538</v>
      </c>
      <c r="G1989" s="15" t="s">
        <v>27</v>
      </c>
      <c r="H1989" s="16" t="s">
        <v>6744</v>
      </c>
      <c r="I1989" s="17"/>
      <c r="J1989" s="17"/>
      <c r="K1989" s="17"/>
      <c r="L1989" s="17"/>
      <c r="T1989" s="13"/>
      <c r="U1989" s="13"/>
      <c r="V1989" s="13"/>
      <c r="W1989" s="13"/>
    </row>
    <row r="1990" spans="4:23" ht="27" customHeight="1" x14ac:dyDescent="0.25">
      <c r="D1990" s="14" t="s">
        <v>6745</v>
      </c>
      <c r="E1990" s="14" t="s">
        <v>6746</v>
      </c>
      <c r="F1990" s="84" t="s">
        <v>1169</v>
      </c>
      <c r="G1990" s="15" t="s">
        <v>27</v>
      </c>
      <c r="H1990" s="16" t="s">
        <v>6747</v>
      </c>
      <c r="I1990" s="17"/>
      <c r="J1990" s="17"/>
      <c r="K1990" s="17"/>
      <c r="L1990" s="17"/>
      <c r="T1990" s="13"/>
      <c r="U1990" s="13"/>
      <c r="V1990" s="13"/>
      <c r="W1990" s="13"/>
    </row>
    <row r="1991" spans="4:23" ht="27" customHeight="1" x14ac:dyDescent="0.25">
      <c r="D1991" s="14" t="s">
        <v>6748</v>
      </c>
      <c r="E1991" s="14" t="s">
        <v>4809</v>
      </c>
      <c r="F1991" s="84" t="s">
        <v>402</v>
      </c>
      <c r="G1991" s="15" t="s">
        <v>27</v>
      </c>
      <c r="H1991" s="16" t="s">
        <v>6749</v>
      </c>
      <c r="I1991" s="17"/>
      <c r="J1991" s="17"/>
      <c r="K1991" s="17"/>
      <c r="L1991" s="17"/>
      <c r="T1991" s="13"/>
      <c r="U1991" s="13"/>
      <c r="V1991" s="13"/>
      <c r="W1991" s="13"/>
    </row>
    <row r="1992" spans="4:23" ht="27" customHeight="1" x14ac:dyDescent="0.25">
      <c r="D1992" s="14" t="s">
        <v>6750</v>
      </c>
      <c r="E1992" s="14" t="s">
        <v>6751</v>
      </c>
      <c r="F1992" s="84" t="s">
        <v>266</v>
      </c>
      <c r="G1992" s="15" t="s">
        <v>27</v>
      </c>
      <c r="H1992" s="16" t="s">
        <v>6752</v>
      </c>
      <c r="I1992" s="17"/>
      <c r="J1992" s="17"/>
      <c r="K1992" s="17"/>
      <c r="L1992" s="17"/>
      <c r="T1992" s="13"/>
      <c r="U1992" s="13"/>
      <c r="V1992" s="13"/>
      <c r="W1992" s="13"/>
    </row>
    <row r="1993" spans="4:23" ht="27" customHeight="1" x14ac:dyDescent="0.25">
      <c r="D1993" s="14" t="s">
        <v>6753</v>
      </c>
      <c r="E1993" s="14" t="s">
        <v>6754</v>
      </c>
      <c r="F1993" s="84" t="s">
        <v>233</v>
      </c>
      <c r="G1993" s="15" t="s">
        <v>27</v>
      </c>
      <c r="H1993" s="16" t="s">
        <v>6755</v>
      </c>
      <c r="I1993" s="17"/>
      <c r="J1993" s="17"/>
      <c r="K1993" s="17"/>
      <c r="L1993" s="17"/>
      <c r="T1993" s="13"/>
      <c r="U1993" s="13"/>
      <c r="V1993" s="13"/>
      <c r="W1993" s="13"/>
    </row>
    <row r="1994" spans="4:23" ht="27" customHeight="1" x14ac:dyDescent="0.25">
      <c r="D1994" s="14" t="s">
        <v>6756</v>
      </c>
      <c r="E1994" s="14" t="s">
        <v>553</v>
      </c>
      <c r="F1994" s="84" t="s">
        <v>439</v>
      </c>
      <c r="G1994" s="15" t="s">
        <v>68</v>
      </c>
      <c r="H1994" s="16" t="s">
        <v>6757</v>
      </c>
      <c r="I1994" s="17"/>
      <c r="J1994" s="17"/>
      <c r="K1994" s="17"/>
      <c r="L1994" s="17"/>
      <c r="T1994" s="13"/>
      <c r="U1994" s="13"/>
      <c r="V1994" s="13"/>
      <c r="W1994" s="13"/>
    </row>
    <row r="1995" spans="4:23" ht="27" customHeight="1" x14ac:dyDescent="0.25">
      <c r="D1995" s="14" t="s">
        <v>6758</v>
      </c>
      <c r="E1995" s="14" t="s">
        <v>6759</v>
      </c>
      <c r="F1995" s="84" t="s">
        <v>909</v>
      </c>
      <c r="G1995" s="15" t="s">
        <v>68</v>
      </c>
      <c r="H1995" s="16" t="s">
        <v>6760</v>
      </c>
      <c r="I1995" s="17"/>
      <c r="J1995" s="17"/>
      <c r="K1995" s="17"/>
      <c r="L1995" s="17"/>
      <c r="T1995" s="13"/>
      <c r="U1995" s="13"/>
      <c r="V1995" s="13"/>
      <c r="W1995" s="13"/>
    </row>
    <row r="1996" spans="4:23" ht="27" customHeight="1" x14ac:dyDescent="0.25">
      <c r="D1996" s="14" t="s">
        <v>6761</v>
      </c>
      <c r="E1996" s="14" t="s">
        <v>2098</v>
      </c>
      <c r="F1996" s="84" t="s">
        <v>934</v>
      </c>
      <c r="G1996" s="15" t="s">
        <v>27</v>
      </c>
      <c r="H1996" s="16" t="s">
        <v>6762</v>
      </c>
      <c r="I1996" s="17"/>
      <c r="J1996" s="17"/>
      <c r="K1996" s="17"/>
      <c r="L1996" s="17"/>
      <c r="T1996" s="13"/>
      <c r="U1996" s="13"/>
      <c r="V1996" s="13"/>
      <c r="W1996" s="13"/>
    </row>
    <row r="1997" spans="4:23" ht="27" customHeight="1" x14ac:dyDescent="0.25">
      <c r="D1997" s="14" t="s">
        <v>6763</v>
      </c>
      <c r="E1997" s="14" t="s">
        <v>6764</v>
      </c>
      <c r="F1997" s="84" t="s">
        <v>256</v>
      </c>
      <c r="G1997" s="15" t="s">
        <v>27</v>
      </c>
      <c r="H1997" s="16" t="s">
        <v>6765</v>
      </c>
      <c r="I1997" s="17"/>
      <c r="J1997" s="17"/>
      <c r="K1997" s="17"/>
      <c r="L1997" s="17"/>
      <c r="T1997" s="13"/>
      <c r="U1997" s="13"/>
      <c r="V1997" s="13"/>
      <c r="W1997" s="13"/>
    </row>
    <row r="1998" spans="4:23" ht="27" customHeight="1" x14ac:dyDescent="0.25">
      <c r="D1998" s="14" t="s">
        <v>6766</v>
      </c>
      <c r="E1998" s="14" t="s">
        <v>6767</v>
      </c>
      <c r="F1998" s="84" t="s">
        <v>302</v>
      </c>
      <c r="G1998" s="15" t="s">
        <v>27</v>
      </c>
      <c r="H1998" s="16" t="s">
        <v>6768</v>
      </c>
      <c r="I1998" s="17"/>
      <c r="J1998" s="17"/>
      <c r="K1998" s="17"/>
      <c r="L1998" s="17"/>
      <c r="T1998" s="13"/>
      <c r="U1998" s="13"/>
      <c r="V1998" s="13"/>
      <c r="W1998" s="13"/>
    </row>
    <row r="1999" spans="4:23" ht="27" customHeight="1" x14ac:dyDescent="0.25">
      <c r="D1999" s="14" t="s">
        <v>6769</v>
      </c>
      <c r="E1999" s="14" t="s">
        <v>6770</v>
      </c>
      <c r="F1999" s="84" t="s">
        <v>480</v>
      </c>
      <c r="G1999" s="15" t="s">
        <v>27</v>
      </c>
      <c r="H1999" s="16" t="s">
        <v>6771</v>
      </c>
      <c r="I1999" s="17"/>
      <c r="J1999" s="17"/>
      <c r="K1999" s="17"/>
      <c r="L1999" s="17"/>
      <c r="T1999" s="13"/>
      <c r="U1999" s="13"/>
      <c r="V1999" s="13"/>
      <c r="W1999" s="13"/>
    </row>
    <row r="2000" spans="4:23" ht="27" customHeight="1" x14ac:dyDescent="0.25">
      <c r="D2000" s="14" t="s">
        <v>6772</v>
      </c>
      <c r="E2000" s="14" t="s">
        <v>2742</v>
      </c>
      <c r="F2000" s="84" t="s">
        <v>592</v>
      </c>
      <c r="G2000" s="15" t="s">
        <v>27</v>
      </c>
      <c r="H2000" s="16" t="s">
        <v>6773</v>
      </c>
      <c r="I2000" s="17"/>
      <c r="J2000" s="17"/>
      <c r="K2000" s="17"/>
      <c r="L2000" s="17"/>
      <c r="T2000" s="13"/>
      <c r="U2000" s="13"/>
      <c r="V2000" s="13"/>
      <c r="W2000" s="13"/>
    </row>
    <row r="2001" spans="4:23" ht="27" customHeight="1" x14ac:dyDescent="0.25">
      <c r="D2001" s="14" t="s">
        <v>6774</v>
      </c>
      <c r="E2001" s="14" t="s">
        <v>217</v>
      </c>
      <c r="F2001" s="84" t="s">
        <v>1392</v>
      </c>
      <c r="G2001" s="15" t="s">
        <v>27</v>
      </c>
      <c r="H2001" s="16" t="s">
        <v>6775</v>
      </c>
      <c r="I2001" s="17"/>
      <c r="J2001" s="17"/>
      <c r="K2001" s="17"/>
      <c r="L2001" s="17"/>
      <c r="T2001" s="13"/>
      <c r="U2001" s="13"/>
      <c r="V2001" s="13"/>
      <c r="W2001" s="13"/>
    </row>
    <row r="2002" spans="4:23" ht="27" customHeight="1" x14ac:dyDescent="0.25">
      <c r="D2002" s="14" t="s">
        <v>6776</v>
      </c>
      <c r="E2002" s="14" t="s">
        <v>6777</v>
      </c>
      <c r="F2002" s="84" t="s">
        <v>302</v>
      </c>
      <c r="G2002" s="15" t="s">
        <v>27</v>
      </c>
      <c r="H2002" s="16" t="s">
        <v>6778</v>
      </c>
      <c r="I2002" s="17"/>
      <c r="J2002" s="17"/>
      <c r="K2002" s="17"/>
      <c r="L2002" s="17"/>
      <c r="T2002" s="13"/>
      <c r="U2002" s="13"/>
      <c r="V2002" s="13"/>
      <c r="W2002" s="13"/>
    </row>
    <row r="2003" spans="4:23" ht="27" customHeight="1" x14ac:dyDescent="0.25">
      <c r="D2003" s="14" t="s">
        <v>6779</v>
      </c>
      <c r="E2003" s="14" t="s">
        <v>6780</v>
      </c>
      <c r="F2003" s="84" t="s">
        <v>3709</v>
      </c>
      <c r="G2003" s="15" t="s">
        <v>27</v>
      </c>
      <c r="H2003" s="16" t="s">
        <v>6781</v>
      </c>
      <c r="I2003" s="17"/>
      <c r="J2003" s="17"/>
      <c r="K2003" s="17"/>
      <c r="L2003" s="17"/>
      <c r="T2003" s="13"/>
      <c r="U2003" s="13"/>
      <c r="V2003" s="13"/>
      <c r="W2003" s="13"/>
    </row>
    <row r="2004" spans="4:23" ht="27" customHeight="1" x14ac:dyDescent="0.25">
      <c r="D2004" s="14" t="s">
        <v>6782</v>
      </c>
      <c r="E2004" s="14" t="s">
        <v>6783</v>
      </c>
      <c r="F2004" s="84" t="s">
        <v>290</v>
      </c>
      <c r="G2004" s="15" t="s">
        <v>68</v>
      </c>
      <c r="H2004" s="16" t="s">
        <v>6784</v>
      </c>
      <c r="I2004" s="17"/>
      <c r="J2004" s="17"/>
      <c r="K2004" s="17"/>
      <c r="L2004" s="17"/>
      <c r="T2004" s="13"/>
      <c r="U2004" s="13"/>
      <c r="V2004" s="13"/>
      <c r="W2004" s="13"/>
    </row>
    <row r="2005" spans="4:23" ht="27" customHeight="1" x14ac:dyDescent="0.25">
      <c r="D2005" s="14" t="s">
        <v>6785</v>
      </c>
      <c r="E2005" s="14" t="s">
        <v>5247</v>
      </c>
      <c r="F2005" s="84" t="s">
        <v>121</v>
      </c>
      <c r="G2005" s="15" t="s">
        <v>27</v>
      </c>
      <c r="H2005" s="16" t="s">
        <v>6786</v>
      </c>
      <c r="I2005" s="17"/>
      <c r="J2005" s="17"/>
      <c r="K2005" s="17"/>
      <c r="L2005" s="17"/>
      <c r="T2005" s="13"/>
      <c r="U2005" s="13"/>
      <c r="V2005" s="13"/>
      <c r="W2005" s="13"/>
    </row>
    <row r="2006" spans="4:23" ht="27" customHeight="1" x14ac:dyDescent="0.25">
      <c r="D2006" s="14" t="s">
        <v>6787</v>
      </c>
      <c r="E2006" s="14" t="s">
        <v>3513</v>
      </c>
      <c r="F2006" s="84" t="s">
        <v>566</v>
      </c>
      <c r="G2006" s="15" t="s">
        <v>27</v>
      </c>
      <c r="H2006" s="16" t="s">
        <v>6788</v>
      </c>
      <c r="I2006" s="17"/>
      <c r="J2006" s="17"/>
      <c r="K2006" s="17"/>
      <c r="L2006" s="17"/>
      <c r="T2006" s="13"/>
      <c r="U2006" s="13"/>
      <c r="V2006" s="13"/>
      <c r="W2006" s="13"/>
    </row>
    <row r="2007" spans="4:23" ht="27" customHeight="1" x14ac:dyDescent="0.25">
      <c r="D2007" s="14" t="s">
        <v>6789</v>
      </c>
      <c r="E2007" s="14" t="s">
        <v>3372</v>
      </c>
      <c r="F2007" s="84" t="s">
        <v>316</v>
      </c>
      <c r="G2007" s="15" t="s">
        <v>68</v>
      </c>
      <c r="H2007" s="16" t="s">
        <v>6790</v>
      </c>
      <c r="I2007" s="17"/>
      <c r="J2007" s="17"/>
      <c r="K2007" s="17"/>
      <c r="L2007" s="17"/>
      <c r="T2007" s="13"/>
      <c r="U2007" s="13"/>
      <c r="V2007" s="13"/>
      <c r="W2007" s="13"/>
    </row>
    <row r="2008" spans="4:23" ht="27" customHeight="1" x14ac:dyDescent="0.25">
      <c r="D2008" s="14" t="s">
        <v>6791</v>
      </c>
      <c r="E2008" s="14" t="s">
        <v>1987</v>
      </c>
      <c r="F2008" s="84" t="s">
        <v>143</v>
      </c>
      <c r="G2008" s="15" t="s">
        <v>68</v>
      </c>
      <c r="H2008" s="16" t="s">
        <v>6792</v>
      </c>
      <c r="I2008" s="17"/>
      <c r="J2008" s="17"/>
      <c r="K2008" s="17"/>
      <c r="L2008" s="17"/>
      <c r="T2008" s="13"/>
      <c r="U2008" s="13"/>
      <c r="V2008" s="13"/>
      <c r="W2008" s="13"/>
    </row>
    <row r="2009" spans="4:23" ht="27" customHeight="1" x14ac:dyDescent="0.25">
      <c r="D2009" s="14" t="s">
        <v>6793</v>
      </c>
      <c r="E2009" s="14" t="s">
        <v>6794</v>
      </c>
      <c r="F2009" s="84" t="s">
        <v>764</v>
      </c>
      <c r="G2009" s="15" t="s">
        <v>27</v>
      </c>
      <c r="H2009" s="16" t="s">
        <v>6795</v>
      </c>
      <c r="I2009" s="17"/>
      <c r="J2009" s="17"/>
      <c r="K2009" s="17"/>
      <c r="L2009" s="17"/>
      <c r="T2009" s="13"/>
      <c r="U2009" s="13"/>
      <c r="V2009" s="13"/>
      <c r="W2009" s="13"/>
    </row>
    <row r="2010" spans="4:23" ht="27" customHeight="1" x14ac:dyDescent="0.25">
      <c r="D2010" s="14" t="s">
        <v>6796</v>
      </c>
      <c r="E2010" s="14" t="s">
        <v>6797</v>
      </c>
      <c r="F2010" s="84" t="s">
        <v>251</v>
      </c>
      <c r="G2010" s="15" t="s">
        <v>27</v>
      </c>
      <c r="H2010" s="16" t="s">
        <v>6798</v>
      </c>
      <c r="I2010" s="17"/>
      <c r="J2010" s="17"/>
      <c r="K2010" s="17"/>
      <c r="L2010" s="17"/>
      <c r="T2010" s="13"/>
      <c r="U2010" s="13"/>
      <c r="V2010" s="13"/>
      <c r="W2010" s="13"/>
    </row>
    <row r="2011" spans="4:23" ht="27" customHeight="1" x14ac:dyDescent="0.25">
      <c r="D2011" s="14" t="s">
        <v>6799</v>
      </c>
      <c r="E2011" s="14" t="s">
        <v>6800</v>
      </c>
      <c r="F2011" s="84" t="s">
        <v>952</v>
      </c>
      <c r="G2011" s="15" t="s">
        <v>27</v>
      </c>
      <c r="H2011" s="16" t="s">
        <v>6801</v>
      </c>
      <c r="I2011" s="17"/>
      <c r="J2011" s="17"/>
      <c r="K2011" s="17"/>
      <c r="L2011" s="17"/>
      <c r="T2011" s="13"/>
      <c r="U2011" s="13"/>
      <c r="V2011" s="13"/>
      <c r="W2011" s="13"/>
    </row>
    <row r="2012" spans="4:23" ht="27" customHeight="1" x14ac:dyDescent="0.25">
      <c r="D2012" s="14" t="s">
        <v>6802</v>
      </c>
      <c r="E2012" s="14" t="s">
        <v>4337</v>
      </c>
      <c r="F2012" s="84" t="s">
        <v>710</v>
      </c>
      <c r="G2012" s="15" t="s">
        <v>68</v>
      </c>
      <c r="H2012" s="16" t="s">
        <v>6803</v>
      </c>
      <c r="I2012" s="17"/>
      <c r="J2012" s="17"/>
      <c r="K2012" s="17"/>
      <c r="L2012" s="17"/>
      <c r="T2012" s="13"/>
      <c r="U2012" s="13"/>
      <c r="V2012" s="13"/>
      <c r="W2012" s="13"/>
    </row>
    <row r="2013" spans="4:23" ht="27" customHeight="1" x14ac:dyDescent="0.25">
      <c r="D2013" s="14" t="s">
        <v>6804</v>
      </c>
      <c r="E2013" s="14" t="s">
        <v>6805</v>
      </c>
      <c r="F2013" s="84" t="s">
        <v>92</v>
      </c>
      <c r="G2013" s="15" t="s">
        <v>27</v>
      </c>
      <c r="H2013" s="16" t="s">
        <v>6806</v>
      </c>
      <c r="I2013" s="17"/>
      <c r="J2013" s="17"/>
      <c r="K2013" s="17"/>
      <c r="L2013" s="17"/>
      <c r="T2013" s="13"/>
      <c r="U2013" s="13"/>
      <c r="V2013" s="13"/>
      <c r="W2013" s="13"/>
    </row>
    <row r="2014" spans="4:23" ht="27" customHeight="1" x14ac:dyDescent="0.25">
      <c r="D2014" s="14" t="s">
        <v>6807</v>
      </c>
      <c r="E2014" s="14" t="s">
        <v>4348</v>
      </c>
      <c r="F2014" s="84" t="s">
        <v>710</v>
      </c>
      <c r="G2014" s="15" t="s">
        <v>27</v>
      </c>
      <c r="H2014" s="16" t="s">
        <v>6808</v>
      </c>
      <c r="I2014" s="17"/>
      <c r="J2014" s="17"/>
      <c r="K2014" s="17"/>
      <c r="L2014" s="17"/>
      <c r="T2014" s="13"/>
      <c r="U2014" s="13"/>
      <c r="V2014" s="13"/>
      <c r="W2014" s="13"/>
    </row>
    <row r="2015" spans="4:23" ht="27" customHeight="1" x14ac:dyDescent="0.25">
      <c r="D2015" s="14" t="s">
        <v>6809</v>
      </c>
      <c r="E2015" s="14" t="s">
        <v>4046</v>
      </c>
      <c r="F2015" s="84" t="s">
        <v>194</v>
      </c>
      <c r="G2015" s="15" t="s">
        <v>27</v>
      </c>
      <c r="H2015" s="16" t="s">
        <v>6810</v>
      </c>
      <c r="I2015" s="17"/>
      <c r="J2015" s="17"/>
      <c r="K2015" s="17"/>
      <c r="L2015" s="17"/>
      <c r="T2015" s="13"/>
      <c r="U2015" s="13"/>
      <c r="V2015" s="13"/>
      <c r="W2015" s="13"/>
    </row>
    <row r="2016" spans="4:23" ht="27" customHeight="1" x14ac:dyDescent="0.25">
      <c r="D2016" s="14" t="s">
        <v>6811</v>
      </c>
      <c r="E2016" s="14" t="s">
        <v>6812</v>
      </c>
      <c r="F2016" s="84" t="s">
        <v>466</v>
      </c>
      <c r="G2016" s="15" t="s">
        <v>27</v>
      </c>
      <c r="H2016" s="16" t="s">
        <v>6813</v>
      </c>
      <c r="I2016" s="17"/>
      <c r="J2016" s="17"/>
      <c r="K2016" s="17"/>
      <c r="L2016" s="17"/>
      <c r="T2016" s="13"/>
      <c r="U2016" s="13"/>
      <c r="V2016" s="13"/>
      <c r="W2016" s="13"/>
    </row>
    <row r="2017" spans="4:23" ht="27" customHeight="1" x14ac:dyDescent="0.25">
      <c r="D2017" s="14" t="s">
        <v>6814</v>
      </c>
      <c r="E2017" s="14" t="s">
        <v>6815</v>
      </c>
      <c r="F2017" s="84" t="s">
        <v>1392</v>
      </c>
      <c r="G2017" s="15" t="s">
        <v>27</v>
      </c>
      <c r="H2017" s="16" t="s">
        <v>6816</v>
      </c>
      <c r="I2017" s="17"/>
      <c r="J2017" s="17"/>
      <c r="K2017" s="17"/>
      <c r="L2017" s="17"/>
      <c r="T2017" s="13"/>
      <c r="U2017" s="13"/>
      <c r="V2017" s="13"/>
      <c r="W2017" s="13"/>
    </row>
    <row r="2018" spans="4:23" ht="27" customHeight="1" x14ac:dyDescent="0.25">
      <c r="D2018" s="14" t="s">
        <v>6817</v>
      </c>
      <c r="E2018" s="14" t="s">
        <v>5006</v>
      </c>
      <c r="F2018" s="84" t="s">
        <v>206</v>
      </c>
      <c r="G2018" s="15" t="s">
        <v>68</v>
      </c>
      <c r="H2018" s="16" t="s">
        <v>6818</v>
      </c>
      <c r="I2018" s="17"/>
      <c r="J2018" s="17"/>
      <c r="K2018" s="17"/>
      <c r="L2018" s="17"/>
      <c r="T2018" s="13"/>
      <c r="U2018" s="13"/>
      <c r="V2018" s="13"/>
      <c r="W2018" s="13"/>
    </row>
    <row r="2019" spans="4:23" ht="27" customHeight="1" x14ac:dyDescent="0.25">
      <c r="D2019" s="14" t="s">
        <v>6819</v>
      </c>
      <c r="E2019" s="14" t="s">
        <v>4120</v>
      </c>
      <c r="F2019" s="84" t="s">
        <v>239</v>
      </c>
      <c r="G2019" s="15" t="s">
        <v>68</v>
      </c>
      <c r="H2019" s="16" t="s">
        <v>6820</v>
      </c>
      <c r="I2019" s="17"/>
      <c r="J2019" s="17"/>
      <c r="K2019" s="17"/>
      <c r="L2019" s="17"/>
      <c r="T2019" s="13"/>
      <c r="U2019" s="13"/>
      <c r="V2019" s="13"/>
      <c r="W2019" s="13"/>
    </row>
    <row r="2020" spans="4:23" ht="27" customHeight="1" x14ac:dyDescent="0.25">
      <c r="D2020" s="14" t="s">
        <v>6821</v>
      </c>
      <c r="E2020" s="14" t="s">
        <v>6822</v>
      </c>
      <c r="F2020" s="84" t="s">
        <v>597</v>
      </c>
      <c r="G2020" s="15" t="s">
        <v>68</v>
      </c>
      <c r="H2020" s="16" t="s">
        <v>6823</v>
      </c>
      <c r="I2020" s="17"/>
      <c r="J2020" s="17"/>
      <c r="K2020" s="17"/>
      <c r="L2020" s="17"/>
      <c r="T2020" s="13"/>
      <c r="U2020" s="13"/>
      <c r="V2020" s="13"/>
      <c r="W2020" s="13"/>
    </row>
    <row r="2021" spans="4:23" ht="27" customHeight="1" x14ac:dyDescent="0.25">
      <c r="D2021" s="14" t="s">
        <v>6824</v>
      </c>
      <c r="E2021" s="14" t="s">
        <v>3788</v>
      </c>
      <c r="F2021" s="84" t="s">
        <v>471</v>
      </c>
      <c r="G2021" s="15" t="s">
        <v>27</v>
      </c>
      <c r="H2021" s="16" t="s">
        <v>6825</v>
      </c>
      <c r="I2021" s="17"/>
      <c r="J2021" s="17"/>
      <c r="K2021" s="17"/>
      <c r="L2021" s="17"/>
      <c r="T2021" s="13"/>
      <c r="U2021" s="13"/>
      <c r="V2021" s="13"/>
      <c r="W2021" s="13"/>
    </row>
    <row r="2022" spans="4:23" ht="27" customHeight="1" x14ac:dyDescent="0.25">
      <c r="D2022" s="14" t="s">
        <v>6826</v>
      </c>
      <c r="E2022" s="14" t="s">
        <v>6827</v>
      </c>
      <c r="F2022" s="84" t="s">
        <v>524</v>
      </c>
      <c r="G2022" s="15" t="s">
        <v>68</v>
      </c>
      <c r="H2022" s="16" t="s">
        <v>6828</v>
      </c>
      <c r="I2022" s="17"/>
      <c r="J2022" s="17"/>
      <c r="K2022" s="17"/>
      <c r="L2022" s="17"/>
      <c r="T2022" s="13"/>
      <c r="U2022" s="13"/>
      <c r="V2022" s="13"/>
      <c r="W2022" s="13"/>
    </row>
    <row r="2023" spans="4:23" ht="27" customHeight="1" x14ac:dyDescent="0.25">
      <c r="D2023" s="14" t="s">
        <v>6829</v>
      </c>
      <c r="E2023" s="14" t="s">
        <v>6830</v>
      </c>
      <c r="F2023" s="84" t="s">
        <v>524</v>
      </c>
      <c r="G2023" s="15" t="s">
        <v>27</v>
      </c>
      <c r="H2023" s="16" t="s">
        <v>6831</v>
      </c>
      <c r="I2023" s="17"/>
      <c r="J2023" s="17"/>
      <c r="K2023" s="17"/>
      <c r="L2023" s="17"/>
      <c r="T2023" s="13"/>
      <c r="U2023" s="13"/>
      <c r="V2023" s="13"/>
      <c r="W2023" s="13"/>
    </row>
    <row r="2024" spans="4:23" ht="27" customHeight="1" x14ac:dyDescent="0.25">
      <c r="D2024" s="14" t="s">
        <v>6832</v>
      </c>
      <c r="E2024" s="14" t="s">
        <v>6833</v>
      </c>
      <c r="F2024" s="84" t="s">
        <v>587</v>
      </c>
      <c r="G2024" s="15" t="s">
        <v>27</v>
      </c>
      <c r="H2024" s="16" t="s">
        <v>6834</v>
      </c>
      <c r="I2024" s="17"/>
      <c r="J2024" s="17"/>
      <c r="K2024" s="17"/>
      <c r="L2024" s="17"/>
      <c r="T2024" s="13"/>
      <c r="U2024" s="13"/>
      <c r="V2024" s="13"/>
      <c r="W2024" s="13"/>
    </row>
    <row r="2025" spans="4:23" ht="27" customHeight="1" x14ac:dyDescent="0.25">
      <c r="D2025" s="14" t="s">
        <v>6835</v>
      </c>
      <c r="E2025" s="14" t="s">
        <v>987</v>
      </c>
      <c r="F2025" s="84" t="s">
        <v>1563</v>
      </c>
      <c r="G2025" s="15" t="s">
        <v>27</v>
      </c>
      <c r="H2025" s="16" t="s">
        <v>6836</v>
      </c>
      <c r="I2025" s="17"/>
      <c r="J2025" s="17"/>
      <c r="K2025" s="17"/>
      <c r="L2025" s="17"/>
      <c r="T2025" s="13"/>
      <c r="U2025" s="13"/>
      <c r="V2025" s="13"/>
      <c r="W2025" s="13"/>
    </row>
    <row r="2026" spans="4:23" ht="27" customHeight="1" x14ac:dyDescent="0.25">
      <c r="D2026" s="14" t="s">
        <v>6837</v>
      </c>
      <c r="E2026" s="14" t="s">
        <v>487</v>
      </c>
      <c r="F2026" s="84" t="s">
        <v>1661</v>
      </c>
      <c r="G2026" s="15" t="s">
        <v>27</v>
      </c>
      <c r="H2026" s="16" t="s">
        <v>6838</v>
      </c>
      <c r="I2026" s="17"/>
      <c r="J2026" s="17"/>
      <c r="K2026" s="17"/>
      <c r="L2026" s="17"/>
      <c r="T2026" s="13"/>
      <c r="U2026" s="13"/>
      <c r="V2026" s="13"/>
      <c r="W2026" s="13"/>
    </row>
    <row r="2027" spans="4:23" ht="27" customHeight="1" x14ac:dyDescent="0.25">
      <c r="D2027" s="14" t="s">
        <v>6839</v>
      </c>
      <c r="E2027" s="14" t="s">
        <v>2200</v>
      </c>
      <c r="F2027" s="84" t="s">
        <v>466</v>
      </c>
      <c r="G2027" s="15" t="s">
        <v>68</v>
      </c>
      <c r="H2027" s="16" t="s">
        <v>6840</v>
      </c>
      <c r="I2027" s="17"/>
      <c r="J2027" s="17"/>
      <c r="K2027" s="17"/>
      <c r="L2027" s="17"/>
      <c r="T2027" s="13"/>
      <c r="U2027" s="13"/>
      <c r="V2027" s="13"/>
      <c r="W2027" s="13"/>
    </row>
    <row r="2028" spans="4:23" ht="27" customHeight="1" x14ac:dyDescent="0.25">
      <c r="D2028" s="14" t="s">
        <v>6841</v>
      </c>
      <c r="E2028" s="14" t="s">
        <v>3822</v>
      </c>
      <c r="F2028" s="84" t="s">
        <v>61</v>
      </c>
      <c r="G2028" s="15" t="s">
        <v>27</v>
      </c>
      <c r="H2028" s="16" t="s">
        <v>6842</v>
      </c>
      <c r="I2028" s="17"/>
      <c r="J2028" s="17"/>
      <c r="K2028" s="17"/>
      <c r="L2028" s="17"/>
      <c r="T2028" s="13"/>
      <c r="U2028" s="13"/>
      <c r="V2028" s="13"/>
      <c r="W2028" s="13"/>
    </row>
    <row r="2029" spans="4:23" ht="27" customHeight="1" x14ac:dyDescent="0.25">
      <c r="D2029" s="14" t="s">
        <v>6843</v>
      </c>
      <c r="E2029" s="14" t="s">
        <v>1390</v>
      </c>
      <c r="F2029" s="84" t="s">
        <v>480</v>
      </c>
      <c r="G2029" s="15" t="s">
        <v>27</v>
      </c>
      <c r="H2029" s="16" t="s">
        <v>6844</v>
      </c>
      <c r="I2029" s="17"/>
      <c r="J2029" s="17"/>
      <c r="K2029" s="17"/>
      <c r="L2029" s="17"/>
      <c r="T2029" s="13"/>
      <c r="U2029" s="13"/>
      <c r="V2029" s="13"/>
      <c r="W2029" s="13"/>
    </row>
    <row r="2030" spans="4:23" ht="27" customHeight="1" x14ac:dyDescent="0.25">
      <c r="D2030" s="14" t="s">
        <v>6845</v>
      </c>
      <c r="E2030" s="14" t="s">
        <v>125</v>
      </c>
      <c r="F2030" s="84" t="s">
        <v>582</v>
      </c>
      <c r="G2030" s="15" t="s">
        <v>27</v>
      </c>
      <c r="H2030" s="16" t="s">
        <v>6846</v>
      </c>
      <c r="I2030" s="17"/>
      <c r="J2030" s="17"/>
      <c r="K2030" s="17"/>
      <c r="L2030" s="17"/>
      <c r="T2030" s="13"/>
      <c r="U2030" s="13"/>
      <c r="V2030" s="13"/>
      <c r="W2030" s="13"/>
    </row>
    <row r="2031" spans="4:23" ht="27" customHeight="1" x14ac:dyDescent="0.25">
      <c r="D2031" s="14" t="s">
        <v>6847</v>
      </c>
      <c r="E2031" s="14" t="s">
        <v>2645</v>
      </c>
      <c r="F2031" s="84" t="s">
        <v>183</v>
      </c>
      <c r="G2031" s="15" t="s">
        <v>27</v>
      </c>
      <c r="H2031" s="16" t="s">
        <v>6848</v>
      </c>
      <c r="I2031" s="17"/>
      <c r="J2031" s="17"/>
      <c r="K2031" s="17"/>
      <c r="L2031" s="17"/>
      <c r="T2031" s="13"/>
      <c r="U2031" s="13"/>
      <c r="V2031" s="13"/>
      <c r="W2031" s="13"/>
    </row>
    <row r="2032" spans="4:23" ht="27" customHeight="1" x14ac:dyDescent="0.25">
      <c r="D2032" s="14" t="s">
        <v>6849</v>
      </c>
      <c r="E2032" s="14" t="s">
        <v>4235</v>
      </c>
      <c r="F2032" s="84" t="s">
        <v>348</v>
      </c>
      <c r="G2032" s="15" t="s">
        <v>68</v>
      </c>
      <c r="H2032" s="16" t="s">
        <v>6850</v>
      </c>
      <c r="I2032" s="17"/>
      <c r="J2032" s="17"/>
      <c r="K2032" s="17"/>
      <c r="L2032" s="17"/>
      <c r="T2032" s="13"/>
      <c r="U2032" s="13"/>
      <c r="V2032" s="13"/>
      <c r="W2032" s="13"/>
    </row>
    <row r="2033" spans="4:23" ht="27" customHeight="1" x14ac:dyDescent="0.25">
      <c r="D2033" s="14" t="s">
        <v>6851</v>
      </c>
      <c r="E2033" s="14" t="s">
        <v>4501</v>
      </c>
      <c r="F2033" s="84" t="s">
        <v>1118</v>
      </c>
      <c r="G2033" s="15" t="s">
        <v>68</v>
      </c>
      <c r="H2033" s="16" t="s">
        <v>6852</v>
      </c>
      <c r="I2033" s="17"/>
      <c r="J2033" s="17"/>
      <c r="K2033" s="17"/>
      <c r="L2033" s="17"/>
      <c r="T2033" s="13"/>
      <c r="U2033" s="13"/>
      <c r="V2033" s="13"/>
      <c r="W2033" s="13"/>
    </row>
    <row r="2034" spans="4:23" ht="27" customHeight="1" x14ac:dyDescent="0.25">
      <c r="D2034" s="14" t="s">
        <v>6853</v>
      </c>
      <c r="E2034" s="14" t="s">
        <v>6854</v>
      </c>
      <c r="F2034" s="84" t="s">
        <v>2250</v>
      </c>
      <c r="G2034" s="15" t="s">
        <v>27</v>
      </c>
      <c r="H2034" s="16" t="s">
        <v>6855</v>
      </c>
      <c r="I2034" s="17"/>
      <c r="J2034" s="17"/>
      <c r="K2034" s="17"/>
      <c r="L2034" s="17"/>
      <c r="T2034" s="13"/>
      <c r="U2034" s="13"/>
      <c r="V2034" s="13"/>
      <c r="W2034" s="13"/>
    </row>
    <row r="2035" spans="4:23" ht="27" customHeight="1" x14ac:dyDescent="0.25">
      <c r="D2035" s="14" t="s">
        <v>6856</v>
      </c>
      <c r="E2035" s="14" t="s">
        <v>4192</v>
      </c>
      <c r="F2035" s="84" t="s">
        <v>348</v>
      </c>
      <c r="G2035" s="15" t="s">
        <v>27</v>
      </c>
      <c r="H2035" s="16" t="s">
        <v>6857</v>
      </c>
      <c r="I2035" s="17"/>
      <c r="J2035" s="17"/>
      <c r="K2035" s="17"/>
      <c r="L2035" s="17"/>
      <c r="T2035" s="13"/>
      <c r="U2035" s="13"/>
      <c r="V2035" s="13"/>
      <c r="W2035" s="13"/>
    </row>
    <row r="2036" spans="4:23" ht="27" customHeight="1" x14ac:dyDescent="0.25">
      <c r="D2036" s="14" t="s">
        <v>6858</v>
      </c>
      <c r="E2036" s="14" t="s">
        <v>6859</v>
      </c>
      <c r="F2036" s="84" t="s">
        <v>175</v>
      </c>
      <c r="G2036" s="15" t="s">
        <v>68</v>
      </c>
      <c r="H2036" s="16" t="s">
        <v>6860</v>
      </c>
      <c r="I2036" s="17"/>
      <c r="J2036" s="17"/>
      <c r="K2036" s="17"/>
      <c r="L2036" s="17"/>
      <c r="T2036" s="13"/>
      <c r="U2036" s="13"/>
      <c r="V2036" s="13"/>
      <c r="W2036" s="13"/>
    </row>
    <row r="2037" spans="4:23" ht="27" customHeight="1" x14ac:dyDescent="0.25">
      <c r="D2037" s="14" t="s">
        <v>6861</v>
      </c>
      <c r="E2037" s="14" t="s">
        <v>4784</v>
      </c>
      <c r="F2037" s="84" t="s">
        <v>402</v>
      </c>
      <c r="G2037" s="15" t="s">
        <v>27</v>
      </c>
      <c r="H2037" s="16" t="s">
        <v>6862</v>
      </c>
      <c r="I2037" s="17"/>
      <c r="J2037" s="17"/>
      <c r="K2037" s="17"/>
      <c r="L2037" s="17"/>
      <c r="T2037" s="13"/>
      <c r="U2037" s="13"/>
      <c r="V2037" s="13"/>
      <c r="W2037" s="13"/>
    </row>
    <row r="2038" spans="4:23" ht="27" customHeight="1" x14ac:dyDescent="0.25">
      <c r="D2038" s="14" t="s">
        <v>6863</v>
      </c>
      <c r="E2038" s="14" t="s">
        <v>6864</v>
      </c>
      <c r="F2038" s="84" t="s">
        <v>302</v>
      </c>
      <c r="G2038" s="15" t="s">
        <v>27</v>
      </c>
      <c r="H2038" s="16" t="s">
        <v>6865</v>
      </c>
      <c r="I2038" s="17"/>
      <c r="J2038" s="17"/>
      <c r="K2038" s="17"/>
      <c r="L2038" s="17"/>
      <c r="T2038" s="13"/>
      <c r="U2038" s="13"/>
      <c r="V2038" s="13"/>
      <c r="W2038" s="13"/>
    </row>
    <row r="2039" spans="4:23" ht="27" customHeight="1" x14ac:dyDescent="0.25">
      <c r="D2039" s="14" t="s">
        <v>6866</v>
      </c>
      <c r="E2039" s="14" t="s">
        <v>3130</v>
      </c>
      <c r="F2039" s="84" t="s">
        <v>485</v>
      </c>
      <c r="G2039" s="15" t="s">
        <v>68</v>
      </c>
      <c r="H2039" s="16" t="s">
        <v>6867</v>
      </c>
      <c r="I2039" s="17"/>
      <c r="J2039" s="17"/>
      <c r="K2039" s="17"/>
      <c r="L2039" s="17"/>
      <c r="T2039" s="13"/>
      <c r="U2039" s="13"/>
      <c r="V2039" s="13"/>
      <c r="W2039" s="13"/>
    </row>
    <row r="2040" spans="4:23" ht="27" customHeight="1" x14ac:dyDescent="0.25">
      <c r="D2040" s="14" t="s">
        <v>6868</v>
      </c>
      <c r="E2040" s="14" t="s">
        <v>3689</v>
      </c>
      <c r="F2040" s="84" t="s">
        <v>1201</v>
      </c>
      <c r="G2040" s="15" t="s">
        <v>68</v>
      </c>
      <c r="H2040" s="16" t="s">
        <v>6869</v>
      </c>
      <c r="I2040" s="17"/>
      <c r="J2040" s="17"/>
      <c r="K2040" s="17"/>
      <c r="L2040" s="17"/>
      <c r="T2040" s="13"/>
      <c r="U2040" s="13"/>
      <c r="V2040" s="13"/>
      <c r="W2040" s="13"/>
    </row>
    <row r="2041" spans="4:23" ht="27" customHeight="1" x14ac:dyDescent="0.25">
      <c r="D2041" s="14" t="s">
        <v>6870</v>
      </c>
      <c r="E2041" s="14" t="s">
        <v>6871</v>
      </c>
      <c r="F2041" s="84" t="s">
        <v>343</v>
      </c>
      <c r="G2041" s="15" t="s">
        <v>27</v>
      </c>
      <c r="H2041" s="16" t="s">
        <v>6872</v>
      </c>
      <c r="I2041" s="17"/>
      <c r="J2041" s="17"/>
      <c r="K2041" s="17"/>
      <c r="L2041" s="17"/>
      <c r="T2041" s="13"/>
      <c r="U2041" s="13"/>
      <c r="V2041" s="13"/>
      <c r="W2041" s="13"/>
    </row>
    <row r="2042" spans="4:23" ht="27" customHeight="1" x14ac:dyDescent="0.25">
      <c r="D2042" s="14" t="s">
        <v>6873</v>
      </c>
      <c r="E2042" s="14" t="s">
        <v>6874</v>
      </c>
      <c r="F2042" s="84" t="s">
        <v>670</v>
      </c>
      <c r="G2042" s="15" t="s">
        <v>27</v>
      </c>
      <c r="H2042" s="16" t="s">
        <v>6875</v>
      </c>
      <c r="I2042" s="17"/>
      <c r="J2042" s="17"/>
      <c r="K2042" s="17"/>
      <c r="L2042" s="17"/>
      <c r="T2042" s="13"/>
      <c r="U2042" s="13"/>
      <c r="V2042" s="13"/>
      <c r="W2042" s="13"/>
    </row>
    <row r="2043" spans="4:23" ht="27" customHeight="1" x14ac:dyDescent="0.25">
      <c r="D2043" s="14" t="s">
        <v>6876</v>
      </c>
      <c r="E2043" s="14" t="s">
        <v>6877</v>
      </c>
      <c r="F2043" s="84" t="s">
        <v>280</v>
      </c>
      <c r="G2043" s="15" t="s">
        <v>27</v>
      </c>
      <c r="H2043" s="16" t="s">
        <v>6878</v>
      </c>
      <c r="I2043" s="17"/>
      <c r="J2043" s="17"/>
      <c r="K2043" s="17"/>
      <c r="L2043" s="17"/>
      <c r="T2043" s="13"/>
      <c r="U2043" s="13"/>
      <c r="V2043" s="13"/>
      <c r="W2043" s="13"/>
    </row>
    <row r="2044" spans="4:23" ht="27" customHeight="1" x14ac:dyDescent="0.25">
      <c r="D2044" s="14" t="s">
        <v>6879</v>
      </c>
      <c r="E2044" s="14" t="s">
        <v>6880</v>
      </c>
      <c r="F2044" s="84" t="s">
        <v>422</v>
      </c>
      <c r="G2044" s="15" t="s">
        <v>27</v>
      </c>
      <c r="H2044" s="16" t="s">
        <v>6881</v>
      </c>
      <c r="I2044" s="17"/>
      <c r="J2044" s="17"/>
      <c r="K2044" s="17"/>
      <c r="L2044" s="17"/>
      <c r="T2044" s="13"/>
      <c r="U2044" s="13"/>
      <c r="V2044" s="13"/>
      <c r="W2044" s="13"/>
    </row>
    <row r="2045" spans="4:23" ht="27" customHeight="1" x14ac:dyDescent="0.25">
      <c r="D2045" s="14" t="s">
        <v>6882</v>
      </c>
      <c r="E2045" s="14" t="s">
        <v>3481</v>
      </c>
      <c r="F2045" s="84" t="s">
        <v>566</v>
      </c>
      <c r="G2045" s="15" t="s">
        <v>27</v>
      </c>
      <c r="H2045" s="16" t="s">
        <v>6883</v>
      </c>
      <c r="I2045" s="17"/>
      <c r="J2045" s="17"/>
      <c r="K2045" s="17"/>
      <c r="L2045" s="17"/>
      <c r="T2045" s="13"/>
      <c r="U2045" s="13"/>
      <c r="V2045" s="13"/>
      <c r="W2045" s="13"/>
    </row>
    <row r="2046" spans="4:23" ht="27" customHeight="1" x14ac:dyDescent="0.25">
      <c r="D2046" s="14" t="s">
        <v>6884</v>
      </c>
      <c r="E2046" s="14" t="s">
        <v>6885</v>
      </c>
      <c r="F2046" s="84" t="s">
        <v>159</v>
      </c>
      <c r="G2046" s="15" t="s">
        <v>27</v>
      </c>
      <c r="H2046" s="16" t="s">
        <v>6886</v>
      </c>
      <c r="I2046" s="17"/>
      <c r="J2046" s="17"/>
      <c r="K2046" s="17"/>
      <c r="L2046" s="17"/>
      <c r="T2046" s="13"/>
      <c r="U2046" s="13"/>
      <c r="V2046" s="13"/>
      <c r="W2046" s="13"/>
    </row>
    <row r="2047" spans="4:23" ht="27" customHeight="1" x14ac:dyDescent="0.25">
      <c r="D2047" s="14" t="s">
        <v>6887</v>
      </c>
      <c r="E2047" s="14" t="s">
        <v>6888</v>
      </c>
      <c r="F2047" s="84" t="s">
        <v>551</v>
      </c>
      <c r="G2047" s="15" t="s">
        <v>27</v>
      </c>
      <c r="H2047" s="16" t="s">
        <v>6889</v>
      </c>
      <c r="I2047" s="17"/>
      <c r="J2047" s="17"/>
      <c r="K2047" s="17"/>
      <c r="L2047" s="17"/>
      <c r="T2047" s="13"/>
      <c r="U2047" s="13"/>
      <c r="V2047" s="13"/>
      <c r="W2047" s="13"/>
    </row>
    <row r="2048" spans="4:23" ht="27" customHeight="1" x14ac:dyDescent="0.25">
      <c r="D2048" s="14" t="s">
        <v>6890</v>
      </c>
      <c r="E2048" s="14" t="s">
        <v>2649</v>
      </c>
      <c r="F2048" s="84" t="s">
        <v>183</v>
      </c>
      <c r="G2048" s="15" t="s">
        <v>27</v>
      </c>
      <c r="H2048" s="16" t="s">
        <v>6891</v>
      </c>
      <c r="I2048" s="17"/>
      <c r="J2048" s="17"/>
      <c r="K2048" s="17"/>
      <c r="L2048" s="17"/>
      <c r="T2048" s="13"/>
      <c r="U2048" s="13"/>
      <c r="V2048" s="13"/>
      <c r="W2048" s="13"/>
    </row>
    <row r="2049" spans="4:23" ht="27" customHeight="1" x14ac:dyDescent="0.25">
      <c r="D2049" s="14" t="s">
        <v>6892</v>
      </c>
      <c r="E2049" s="14" t="s">
        <v>6893</v>
      </c>
      <c r="F2049" s="84" t="s">
        <v>614</v>
      </c>
      <c r="G2049" s="15" t="s">
        <v>68</v>
      </c>
      <c r="H2049" s="16" t="s">
        <v>6894</v>
      </c>
      <c r="I2049" s="17"/>
      <c r="J2049" s="17"/>
      <c r="K2049" s="17"/>
      <c r="L2049" s="17"/>
      <c r="T2049" s="13"/>
      <c r="U2049" s="13"/>
      <c r="V2049" s="13"/>
      <c r="W2049" s="13"/>
    </row>
    <row r="2050" spans="4:23" ht="27" customHeight="1" x14ac:dyDescent="0.25">
      <c r="D2050" s="14" t="s">
        <v>6895</v>
      </c>
      <c r="E2050" s="14" t="s">
        <v>2630</v>
      </c>
      <c r="F2050" s="84" t="s">
        <v>183</v>
      </c>
      <c r="G2050" s="15" t="s">
        <v>68</v>
      </c>
      <c r="H2050" s="16" t="s">
        <v>6896</v>
      </c>
      <c r="I2050" s="17"/>
      <c r="J2050" s="17"/>
      <c r="K2050" s="17"/>
      <c r="L2050" s="17"/>
      <c r="T2050" s="13"/>
      <c r="U2050" s="13"/>
      <c r="V2050" s="13"/>
      <c r="W2050" s="13"/>
    </row>
    <row r="2051" spans="4:23" ht="27" customHeight="1" x14ac:dyDescent="0.25">
      <c r="D2051" s="14" t="s">
        <v>6897</v>
      </c>
      <c r="E2051" s="14" t="s">
        <v>6898</v>
      </c>
      <c r="F2051" s="84" t="s">
        <v>233</v>
      </c>
      <c r="G2051" s="15" t="s">
        <v>27</v>
      </c>
      <c r="H2051" s="16" t="s">
        <v>6899</v>
      </c>
      <c r="I2051" s="17"/>
      <c r="J2051" s="17"/>
      <c r="K2051" s="17"/>
      <c r="L2051" s="17"/>
      <c r="T2051" s="13"/>
      <c r="U2051" s="13"/>
      <c r="V2051" s="13"/>
      <c r="W2051" s="13"/>
    </row>
    <row r="2052" spans="4:23" ht="27" customHeight="1" x14ac:dyDescent="0.25">
      <c r="D2052" s="14" t="s">
        <v>6900</v>
      </c>
      <c r="E2052" s="14" t="s">
        <v>6901</v>
      </c>
      <c r="F2052" s="84" t="s">
        <v>280</v>
      </c>
      <c r="G2052" s="15" t="s">
        <v>68</v>
      </c>
      <c r="H2052" s="16" t="s">
        <v>6902</v>
      </c>
      <c r="I2052" s="17"/>
      <c r="J2052" s="17"/>
      <c r="K2052" s="17"/>
      <c r="L2052" s="17"/>
      <c r="T2052" s="13"/>
      <c r="U2052" s="13"/>
      <c r="V2052" s="13"/>
      <c r="W2052" s="13"/>
    </row>
    <row r="2053" spans="4:23" ht="27" customHeight="1" x14ac:dyDescent="0.25">
      <c r="D2053" s="14" t="s">
        <v>6903</v>
      </c>
      <c r="E2053" s="14" t="s">
        <v>1604</v>
      </c>
      <c r="F2053" s="84" t="s">
        <v>2773</v>
      </c>
      <c r="G2053" s="15" t="s">
        <v>68</v>
      </c>
      <c r="H2053" s="16" t="s">
        <v>6904</v>
      </c>
      <c r="I2053" s="17"/>
      <c r="J2053" s="17"/>
      <c r="K2053" s="17"/>
      <c r="L2053" s="17"/>
      <c r="T2053" s="13"/>
      <c r="U2053" s="13"/>
      <c r="V2053" s="13"/>
      <c r="W2053" s="13"/>
    </row>
    <row r="2054" spans="4:23" ht="27" customHeight="1" x14ac:dyDescent="0.25">
      <c r="D2054" s="14" t="s">
        <v>6905</v>
      </c>
      <c r="E2054" s="14" t="s">
        <v>6906</v>
      </c>
      <c r="F2054" s="84" t="s">
        <v>490</v>
      </c>
      <c r="G2054" s="15" t="s">
        <v>68</v>
      </c>
      <c r="H2054" s="16" t="s">
        <v>6907</v>
      </c>
      <c r="I2054" s="17"/>
      <c r="J2054" s="17"/>
      <c r="K2054" s="17"/>
      <c r="L2054" s="17"/>
      <c r="T2054" s="13"/>
      <c r="U2054" s="13"/>
      <c r="V2054" s="13"/>
      <c r="W2054" s="13"/>
    </row>
    <row r="2055" spans="4:23" ht="27" customHeight="1" x14ac:dyDescent="0.25">
      <c r="D2055" s="14" t="s">
        <v>6908</v>
      </c>
      <c r="E2055" s="14" t="s">
        <v>6909</v>
      </c>
      <c r="F2055" s="84" t="s">
        <v>805</v>
      </c>
      <c r="G2055" s="15" t="s">
        <v>68</v>
      </c>
      <c r="H2055" s="16" t="s">
        <v>6910</v>
      </c>
      <c r="I2055" s="17"/>
      <c r="J2055" s="17"/>
      <c r="K2055" s="17"/>
      <c r="L2055" s="17"/>
      <c r="T2055" s="13"/>
      <c r="U2055" s="13"/>
      <c r="V2055" s="13"/>
      <c r="W2055" s="13"/>
    </row>
    <row r="2056" spans="4:23" ht="27" customHeight="1" x14ac:dyDescent="0.25">
      <c r="D2056" s="14" t="s">
        <v>6911</v>
      </c>
      <c r="E2056" s="14" t="s">
        <v>6912</v>
      </c>
      <c r="F2056" s="84" t="s">
        <v>480</v>
      </c>
      <c r="G2056" s="15" t="s">
        <v>68</v>
      </c>
      <c r="H2056" s="16" t="s">
        <v>6913</v>
      </c>
      <c r="I2056" s="17"/>
      <c r="J2056" s="17"/>
      <c r="K2056" s="17"/>
      <c r="L2056" s="17"/>
      <c r="T2056" s="13"/>
      <c r="U2056" s="13"/>
      <c r="V2056" s="13"/>
      <c r="W2056" s="13"/>
    </row>
    <row r="2057" spans="4:23" ht="27" customHeight="1" x14ac:dyDescent="0.25">
      <c r="D2057" s="14" t="s">
        <v>6914</v>
      </c>
      <c r="E2057" s="14" t="s">
        <v>6915</v>
      </c>
      <c r="F2057" s="84" t="s">
        <v>1563</v>
      </c>
      <c r="G2057" s="15" t="s">
        <v>27</v>
      </c>
      <c r="H2057" s="16" t="s">
        <v>6916</v>
      </c>
      <c r="I2057" s="17"/>
      <c r="J2057" s="17"/>
      <c r="K2057" s="17"/>
      <c r="L2057" s="17"/>
      <c r="T2057" s="13"/>
      <c r="U2057" s="13"/>
      <c r="V2057" s="13"/>
      <c r="W2057" s="13"/>
    </row>
    <row r="2058" spans="4:23" ht="27" customHeight="1" x14ac:dyDescent="0.25">
      <c r="D2058" s="14" t="s">
        <v>6917</v>
      </c>
      <c r="E2058" s="14" t="s">
        <v>3680</v>
      </c>
      <c r="F2058" s="84" t="s">
        <v>1201</v>
      </c>
      <c r="G2058" s="15" t="s">
        <v>27</v>
      </c>
      <c r="H2058" s="16" t="s">
        <v>6918</v>
      </c>
      <c r="I2058" s="17"/>
      <c r="J2058" s="17"/>
      <c r="K2058" s="17"/>
      <c r="L2058" s="17"/>
      <c r="T2058" s="13"/>
      <c r="U2058" s="13"/>
      <c r="V2058" s="13"/>
      <c r="W2058" s="13"/>
    </row>
    <row r="2059" spans="4:23" ht="27" customHeight="1" x14ac:dyDescent="0.25">
      <c r="D2059" s="14" t="s">
        <v>6919</v>
      </c>
      <c r="E2059" s="14" t="s">
        <v>6920</v>
      </c>
      <c r="F2059" s="84" t="s">
        <v>4730</v>
      </c>
      <c r="G2059" s="15" t="s">
        <v>27</v>
      </c>
      <c r="H2059" s="16" t="s">
        <v>6921</v>
      </c>
      <c r="I2059" s="17"/>
      <c r="J2059" s="17"/>
      <c r="K2059" s="17"/>
      <c r="L2059" s="17"/>
      <c r="T2059" s="13"/>
      <c r="U2059" s="13"/>
      <c r="V2059" s="13"/>
      <c r="W2059" s="13"/>
    </row>
    <row r="2060" spans="4:23" ht="27" customHeight="1" x14ac:dyDescent="0.25">
      <c r="D2060" s="14" t="s">
        <v>6922</v>
      </c>
      <c r="E2060" s="14" t="s">
        <v>258</v>
      </c>
      <c r="F2060" s="84" t="s">
        <v>1716</v>
      </c>
      <c r="G2060" s="15" t="s">
        <v>27</v>
      </c>
      <c r="H2060" s="16" t="s">
        <v>6923</v>
      </c>
      <c r="I2060" s="17"/>
      <c r="J2060" s="17"/>
      <c r="K2060" s="17"/>
      <c r="L2060" s="17"/>
      <c r="T2060" s="13"/>
      <c r="U2060" s="13"/>
      <c r="V2060" s="13"/>
      <c r="W2060" s="13"/>
    </row>
    <row r="2061" spans="4:23" ht="27" customHeight="1" x14ac:dyDescent="0.25">
      <c r="D2061" s="14" t="s">
        <v>6924</v>
      </c>
      <c r="E2061" s="14" t="s">
        <v>4305</v>
      </c>
      <c r="F2061" s="84" t="s">
        <v>348</v>
      </c>
      <c r="G2061" s="15" t="s">
        <v>27</v>
      </c>
      <c r="H2061" s="16" t="s">
        <v>6925</v>
      </c>
      <c r="I2061" s="17"/>
      <c r="J2061" s="17"/>
      <c r="K2061" s="17"/>
      <c r="L2061" s="17"/>
      <c r="T2061" s="13"/>
      <c r="U2061" s="13"/>
      <c r="V2061" s="13"/>
      <c r="W2061" s="13"/>
    </row>
    <row r="2062" spans="4:23" ht="27" customHeight="1" x14ac:dyDescent="0.25">
      <c r="D2062" s="14" t="s">
        <v>6926</v>
      </c>
      <c r="E2062" s="14" t="s">
        <v>2409</v>
      </c>
      <c r="F2062" s="84" t="s">
        <v>372</v>
      </c>
      <c r="G2062" s="15" t="s">
        <v>27</v>
      </c>
      <c r="H2062" s="16" t="s">
        <v>6927</v>
      </c>
      <c r="I2062" s="17"/>
      <c r="J2062" s="17"/>
      <c r="K2062" s="17"/>
      <c r="L2062" s="17"/>
      <c r="T2062" s="13"/>
      <c r="U2062" s="13"/>
      <c r="V2062" s="13"/>
      <c r="W2062" s="13"/>
    </row>
    <row r="2063" spans="4:23" ht="27" customHeight="1" x14ac:dyDescent="0.25">
      <c r="D2063" s="14" t="s">
        <v>6928</v>
      </c>
      <c r="E2063" s="14" t="s">
        <v>6929</v>
      </c>
      <c r="F2063" s="84" t="s">
        <v>1166</v>
      </c>
      <c r="G2063" s="15" t="s">
        <v>27</v>
      </c>
      <c r="H2063" s="16" t="s">
        <v>6930</v>
      </c>
      <c r="I2063" s="17"/>
      <c r="J2063" s="17"/>
      <c r="K2063" s="17"/>
      <c r="L2063" s="17"/>
      <c r="T2063" s="13"/>
      <c r="U2063" s="13"/>
      <c r="V2063" s="13"/>
      <c r="W2063" s="13"/>
    </row>
    <row r="2064" spans="4:23" ht="27" customHeight="1" x14ac:dyDescent="0.25">
      <c r="D2064" s="14" t="s">
        <v>6931</v>
      </c>
      <c r="E2064" s="14" t="s">
        <v>6932</v>
      </c>
      <c r="F2064" s="84" t="s">
        <v>256</v>
      </c>
      <c r="G2064" s="15" t="s">
        <v>27</v>
      </c>
      <c r="H2064" s="16" t="s">
        <v>6933</v>
      </c>
      <c r="I2064" s="17"/>
      <c r="J2064" s="17"/>
      <c r="K2064" s="17"/>
      <c r="L2064" s="17"/>
      <c r="T2064" s="13"/>
      <c r="U2064" s="13"/>
      <c r="V2064" s="13"/>
      <c r="W2064" s="13"/>
    </row>
    <row r="2065" spans="4:23" ht="27" customHeight="1" x14ac:dyDescent="0.25">
      <c r="D2065" s="14" t="s">
        <v>6934</v>
      </c>
      <c r="E2065" s="14" t="s">
        <v>6935</v>
      </c>
      <c r="F2065" s="84" t="s">
        <v>233</v>
      </c>
      <c r="G2065" s="15" t="s">
        <v>27</v>
      </c>
      <c r="H2065" s="16" t="s">
        <v>6936</v>
      </c>
      <c r="I2065" s="17"/>
      <c r="J2065" s="17"/>
      <c r="K2065" s="17"/>
      <c r="L2065" s="17"/>
      <c r="T2065" s="13"/>
      <c r="U2065" s="13"/>
      <c r="V2065" s="13"/>
      <c r="W2065" s="13"/>
    </row>
    <row r="2066" spans="4:23" ht="27" customHeight="1" x14ac:dyDescent="0.25">
      <c r="D2066" s="14" t="s">
        <v>6937</v>
      </c>
      <c r="E2066" s="14" t="s">
        <v>966</v>
      </c>
      <c r="F2066" s="84" t="s">
        <v>1551</v>
      </c>
      <c r="G2066" s="15" t="s">
        <v>27</v>
      </c>
      <c r="H2066" s="16" t="s">
        <v>6938</v>
      </c>
      <c r="I2066" s="17"/>
      <c r="J2066" s="17"/>
      <c r="K2066" s="17"/>
      <c r="L2066" s="17"/>
      <c r="T2066" s="13"/>
      <c r="U2066" s="13"/>
      <c r="V2066" s="13"/>
      <c r="W2066" s="13"/>
    </row>
    <row r="2067" spans="4:23" ht="27" customHeight="1" x14ac:dyDescent="0.25">
      <c r="D2067" s="14" t="s">
        <v>6939</v>
      </c>
      <c r="E2067" s="14" t="s">
        <v>6940</v>
      </c>
      <c r="F2067" s="84" t="s">
        <v>302</v>
      </c>
      <c r="G2067" s="15" t="s">
        <v>68</v>
      </c>
      <c r="H2067" s="16" t="s">
        <v>6941</v>
      </c>
      <c r="I2067" s="17"/>
      <c r="J2067" s="17"/>
      <c r="K2067" s="17"/>
      <c r="L2067" s="17"/>
      <c r="T2067" s="13"/>
      <c r="U2067" s="13"/>
      <c r="V2067" s="13"/>
      <c r="W2067" s="13"/>
    </row>
    <row r="2068" spans="4:23" ht="27" customHeight="1" x14ac:dyDescent="0.25">
      <c r="D2068" s="14" t="s">
        <v>6942</v>
      </c>
      <c r="E2068" s="14" t="s">
        <v>6943</v>
      </c>
      <c r="F2068" s="84" t="s">
        <v>143</v>
      </c>
      <c r="G2068" s="15" t="s">
        <v>27</v>
      </c>
      <c r="H2068" s="16" t="s">
        <v>6944</v>
      </c>
      <c r="I2068" s="17"/>
      <c r="J2068" s="17"/>
      <c r="K2068" s="17"/>
      <c r="L2068" s="17"/>
      <c r="T2068" s="13"/>
      <c r="U2068" s="13"/>
      <c r="V2068" s="13"/>
      <c r="W2068" s="13"/>
    </row>
    <row r="2069" spans="4:23" ht="27" customHeight="1" x14ac:dyDescent="0.25">
      <c r="D2069" s="14" t="s">
        <v>6945</v>
      </c>
      <c r="E2069" s="14" t="s">
        <v>6946</v>
      </c>
      <c r="F2069" s="84" t="s">
        <v>321</v>
      </c>
      <c r="G2069" s="15" t="s">
        <v>68</v>
      </c>
      <c r="H2069" s="16" t="s">
        <v>6947</v>
      </c>
      <c r="I2069" s="17"/>
      <c r="J2069" s="17"/>
      <c r="K2069" s="17"/>
      <c r="L2069" s="17"/>
      <c r="T2069" s="13"/>
      <c r="U2069" s="13"/>
      <c r="V2069" s="13"/>
      <c r="W2069" s="13"/>
    </row>
    <row r="2070" spans="4:23" ht="27" customHeight="1" x14ac:dyDescent="0.25">
      <c r="D2070" s="14" t="s">
        <v>6948</v>
      </c>
      <c r="E2070" s="14" t="s">
        <v>3803</v>
      </c>
      <c r="F2070" s="84" t="s">
        <v>471</v>
      </c>
      <c r="G2070" s="15" t="s">
        <v>27</v>
      </c>
      <c r="H2070" s="16" t="s">
        <v>6949</v>
      </c>
      <c r="I2070" s="17"/>
      <c r="J2070" s="17"/>
      <c r="K2070" s="17"/>
      <c r="L2070" s="17"/>
      <c r="T2070" s="13"/>
      <c r="U2070" s="13"/>
      <c r="V2070" s="13"/>
      <c r="W2070" s="13"/>
    </row>
    <row r="2071" spans="4:23" ht="27" customHeight="1" x14ac:dyDescent="0.25">
      <c r="D2071" s="14" t="s">
        <v>6950</v>
      </c>
      <c r="E2071" s="14" t="s">
        <v>6951</v>
      </c>
      <c r="F2071" s="84" t="s">
        <v>321</v>
      </c>
      <c r="G2071" s="15" t="s">
        <v>68</v>
      </c>
      <c r="H2071" s="16" t="s">
        <v>6952</v>
      </c>
      <c r="I2071" s="17"/>
      <c r="J2071" s="17"/>
      <c r="K2071" s="17"/>
      <c r="L2071" s="17"/>
      <c r="T2071" s="13"/>
      <c r="U2071" s="13"/>
      <c r="V2071" s="13"/>
      <c r="W2071" s="13"/>
    </row>
    <row r="2072" spans="4:23" ht="27" customHeight="1" x14ac:dyDescent="0.25">
      <c r="D2072" s="14" t="s">
        <v>6953</v>
      </c>
      <c r="E2072" s="14" t="s">
        <v>6954</v>
      </c>
      <c r="F2072" s="84" t="s">
        <v>266</v>
      </c>
      <c r="G2072" s="15" t="s">
        <v>68</v>
      </c>
      <c r="H2072" s="16" t="s">
        <v>6955</v>
      </c>
      <c r="I2072" s="17"/>
      <c r="J2072" s="17"/>
      <c r="K2072" s="17"/>
      <c r="L2072" s="17"/>
      <c r="T2072" s="13"/>
      <c r="U2072" s="13"/>
      <c r="V2072" s="13"/>
      <c r="W2072" s="13"/>
    </row>
    <row r="2073" spans="4:23" ht="27" customHeight="1" x14ac:dyDescent="0.25">
      <c r="D2073" s="14" t="s">
        <v>6956</v>
      </c>
      <c r="E2073" s="14" t="s">
        <v>6957</v>
      </c>
      <c r="F2073" s="84" t="s">
        <v>614</v>
      </c>
      <c r="G2073" s="15" t="s">
        <v>27</v>
      </c>
      <c r="H2073" s="16" t="s">
        <v>6958</v>
      </c>
      <c r="I2073" s="17"/>
      <c r="J2073" s="17"/>
      <c r="K2073" s="17"/>
      <c r="L2073" s="17"/>
      <c r="T2073" s="13"/>
      <c r="U2073" s="13"/>
      <c r="V2073" s="13"/>
      <c r="W2073" s="13"/>
    </row>
    <row r="2074" spans="4:23" ht="27" customHeight="1" x14ac:dyDescent="0.25">
      <c r="D2074" s="14" t="s">
        <v>6959</v>
      </c>
      <c r="E2074" s="14" t="s">
        <v>6960</v>
      </c>
      <c r="F2074" s="84" t="s">
        <v>92</v>
      </c>
      <c r="G2074" s="15" t="s">
        <v>68</v>
      </c>
      <c r="H2074" s="16" t="s">
        <v>6961</v>
      </c>
      <c r="I2074" s="17"/>
      <c r="J2074" s="17"/>
      <c r="K2074" s="17"/>
      <c r="L2074" s="17"/>
      <c r="T2074" s="13"/>
      <c r="U2074" s="13"/>
      <c r="V2074" s="13"/>
      <c r="W2074" s="13"/>
    </row>
    <row r="2075" spans="4:23" ht="27" customHeight="1" x14ac:dyDescent="0.25">
      <c r="D2075" s="14" t="s">
        <v>6962</v>
      </c>
      <c r="E2075" s="14" t="s">
        <v>548</v>
      </c>
      <c r="F2075" s="84" t="s">
        <v>439</v>
      </c>
      <c r="G2075" s="15" t="s">
        <v>68</v>
      </c>
      <c r="H2075" s="16" t="s">
        <v>6963</v>
      </c>
      <c r="I2075" s="17"/>
      <c r="J2075" s="17"/>
      <c r="K2075" s="17"/>
      <c r="L2075" s="17"/>
      <c r="T2075" s="13"/>
      <c r="U2075" s="13"/>
      <c r="V2075" s="13"/>
      <c r="W2075" s="13"/>
    </row>
    <row r="2076" spans="4:23" ht="27" customHeight="1" x14ac:dyDescent="0.25">
      <c r="D2076" s="14" t="s">
        <v>6964</v>
      </c>
      <c r="E2076" s="14" t="s">
        <v>3611</v>
      </c>
      <c r="F2076" s="84" t="s">
        <v>1201</v>
      </c>
      <c r="G2076" s="15" t="s">
        <v>27</v>
      </c>
      <c r="H2076" s="16" t="s">
        <v>6965</v>
      </c>
      <c r="I2076" s="17"/>
      <c r="J2076" s="17"/>
      <c r="K2076" s="17"/>
      <c r="L2076" s="17"/>
      <c r="T2076" s="13"/>
      <c r="U2076" s="13"/>
      <c r="V2076" s="13"/>
      <c r="W2076" s="13"/>
    </row>
    <row r="2077" spans="4:23" ht="27" customHeight="1" x14ac:dyDescent="0.25">
      <c r="D2077" s="14" t="s">
        <v>6966</v>
      </c>
      <c r="E2077" s="14" t="s">
        <v>6967</v>
      </c>
      <c r="F2077" s="84" t="s">
        <v>582</v>
      </c>
      <c r="G2077" s="15" t="s">
        <v>27</v>
      </c>
      <c r="H2077" s="16" t="s">
        <v>6968</v>
      </c>
      <c r="I2077" s="17"/>
      <c r="J2077" s="17"/>
      <c r="K2077" s="17"/>
      <c r="L2077" s="17"/>
      <c r="T2077" s="13"/>
      <c r="U2077" s="13"/>
      <c r="V2077" s="13"/>
      <c r="W2077" s="13"/>
    </row>
    <row r="2078" spans="4:23" ht="27" customHeight="1" x14ac:dyDescent="0.25">
      <c r="D2078" s="14" t="s">
        <v>6969</v>
      </c>
      <c r="E2078" s="14" t="s">
        <v>5235</v>
      </c>
      <c r="F2078" s="84" t="s">
        <v>121</v>
      </c>
      <c r="G2078" s="15" t="s">
        <v>68</v>
      </c>
      <c r="H2078" s="16" t="s">
        <v>6970</v>
      </c>
      <c r="I2078" s="17"/>
      <c r="J2078" s="17"/>
      <c r="K2078" s="17"/>
      <c r="L2078" s="17"/>
      <c r="T2078" s="13"/>
      <c r="U2078" s="13"/>
      <c r="V2078" s="13"/>
      <c r="W2078" s="13"/>
    </row>
    <row r="2079" spans="4:23" ht="27" customHeight="1" x14ac:dyDescent="0.25">
      <c r="D2079" s="14" t="s">
        <v>6971</v>
      </c>
      <c r="E2079" s="14" t="s">
        <v>3871</v>
      </c>
      <c r="F2079" s="84" t="s">
        <v>61</v>
      </c>
      <c r="G2079" s="15" t="s">
        <v>27</v>
      </c>
      <c r="H2079" s="16" t="s">
        <v>6972</v>
      </c>
      <c r="I2079" s="17"/>
      <c r="J2079" s="17"/>
      <c r="K2079" s="17"/>
      <c r="L2079" s="17"/>
      <c r="T2079" s="13"/>
      <c r="U2079" s="13"/>
      <c r="V2079" s="13"/>
      <c r="W2079" s="13"/>
    </row>
    <row r="2080" spans="4:23" ht="27" customHeight="1" x14ac:dyDescent="0.25">
      <c r="D2080" s="14" t="s">
        <v>6973</v>
      </c>
      <c r="E2080" s="14" t="s">
        <v>6974</v>
      </c>
      <c r="F2080" s="84" t="s">
        <v>38</v>
      </c>
      <c r="G2080" s="15" t="s">
        <v>27</v>
      </c>
      <c r="H2080" s="16" t="s">
        <v>6975</v>
      </c>
      <c r="I2080" s="17"/>
      <c r="J2080" s="17"/>
      <c r="K2080" s="17"/>
      <c r="L2080" s="17"/>
      <c r="T2080" s="13"/>
      <c r="U2080" s="13"/>
      <c r="V2080" s="13"/>
      <c r="W2080" s="13"/>
    </row>
    <row r="2081" spans="4:23" ht="27" customHeight="1" x14ac:dyDescent="0.25">
      <c r="D2081" s="14" t="s">
        <v>6976</v>
      </c>
      <c r="E2081" s="14" t="s">
        <v>5362</v>
      </c>
      <c r="F2081" s="84" t="s">
        <v>407</v>
      </c>
      <c r="G2081" s="15" t="s">
        <v>27</v>
      </c>
      <c r="H2081" s="16" t="s">
        <v>6977</v>
      </c>
      <c r="I2081" s="17"/>
      <c r="J2081" s="17"/>
      <c r="K2081" s="17"/>
      <c r="L2081" s="17"/>
      <c r="T2081" s="13"/>
      <c r="U2081" s="13"/>
      <c r="V2081" s="13"/>
      <c r="W2081" s="13"/>
    </row>
    <row r="2082" spans="4:23" ht="27" customHeight="1" x14ac:dyDescent="0.25">
      <c r="D2082" s="14" t="s">
        <v>6978</v>
      </c>
      <c r="E2082" s="14" t="s">
        <v>3931</v>
      </c>
      <c r="F2082" s="84" t="s">
        <v>61</v>
      </c>
      <c r="G2082" s="15" t="s">
        <v>27</v>
      </c>
      <c r="H2082" s="16" t="s">
        <v>6979</v>
      </c>
      <c r="I2082" s="17"/>
      <c r="J2082" s="17"/>
      <c r="K2082" s="17"/>
      <c r="L2082" s="17"/>
      <c r="T2082" s="13"/>
      <c r="U2082" s="13"/>
      <c r="V2082" s="13"/>
      <c r="W2082" s="13"/>
    </row>
    <row r="2083" spans="4:23" ht="27" customHeight="1" x14ac:dyDescent="0.25">
      <c r="D2083" s="14" t="s">
        <v>6980</v>
      </c>
      <c r="E2083" s="14" t="s">
        <v>6981</v>
      </c>
      <c r="F2083" s="84" t="s">
        <v>266</v>
      </c>
      <c r="G2083" s="15" t="s">
        <v>27</v>
      </c>
      <c r="H2083" s="16" t="s">
        <v>615</v>
      </c>
      <c r="I2083" s="17"/>
      <c r="J2083" s="17"/>
      <c r="K2083" s="17"/>
      <c r="L2083" s="17"/>
      <c r="T2083" s="13"/>
      <c r="U2083" s="13"/>
      <c r="V2083" s="13"/>
      <c r="W2083" s="13"/>
    </row>
    <row r="2084" spans="4:23" ht="27" customHeight="1" x14ac:dyDescent="0.25">
      <c r="D2084" s="14" t="s">
        <v>6982</v>
      </c>
      <c r="E2084" s="14" t="s">
        <v>6983</v>
      </c>
      <c r="F2084" s="84" t="s">
        <v>524</v>
      </c>
      <c r="G2084" s="15" t="s">
        <v>68</v>
      </c>
      <c r="H2084" s="16" t="s">
        <v>6984</v>
      </c>
      <c r="I2084" s="17"/>
      <c r="J2084" s="17"/>
      <c r="K2084" s="17"/>
      <c r="L2084" s="17"/>
      <c r="T2084" s="13"/>
      <c r="U2084" s="13"/>
      <c r="V2084" s="13"/>
      <c r="W2084" s="13"/>
    </row>
    <row r="2085" spans="4:23" ht="27" customHeight="1" x14ac:dyDescent="0.25">
      <c r="D2085" s="14" t="s">
        <v>6985</v>
      </c>
      <c r="E2085" s="14" t="s">
        <v>4357</v>
      </c>
      <c r="F2085" s="84" t="s">
        <v>710</v>
      </c>
      <c r="G2085" s="15" t="s">
        <v>68</v>
      </c>
      <c r="H2085" s="16" t="s">
        <v>6986</v>
      </c>
      <c r="I2085" s="17"/>
      <c r="J2085" s="17"/>
      <c r="K2085" s="17"/>
      <c r="L2085" s="17"/>
      <c r="T2085" s="13"/>
      <c r="U2085" s="13"/>
      <c r="V2085" s="13"/>
      <c r="W2085" s="13"/>
    </row>
    <row r="2086" spans="4:23" ht="27" customHeight="1" x14ac:dyDescent="0.25">
      <c r="D2086" s="14" t="s">
        <v>6987</v>
      </c>
      <c r="E2086" s="14" t="s">
        <v>6988</v>
      </c>
      <c r="F2086" s="84" t="s">
        <v>143</v>
      </c>
      <c r="G2086" s="15" t="s">
        <v>27</v>
      </c>
      <c r="H2086" s="16" t="s">
        <v>6989</v>
      </c>
      <c r="I2086" s="17"/>
      <c r="J2086" s="17"/>
      <c r="K2086" s="17"/>
      <c r="L2086" s="17"/>
      <c r="T2086" s="13"/>
      <c r="U2086" s="13"/>
      <c r="V2086" s="13"/>
      <c r="W2086" s="13"/>
    </row>
    <row r="2087" spans="4:23" ht="27" customHeight="1" x14ac:dyDescent="0.25">
      <c r="D2087" s="14" t="s">
        <v>6990</v>
      </c>
      <c r="E2087" s="14" t="s">
        <v>6991</v>
      </c>
      <c r="F2087" s="84" t="s">
        <v>175</v>
      </c>
      <c r="G2087" s="15" t="s">
        <v>27</v>
      </c>
      <c r="H2087" s="16" t="s">
        <v>6992</v>
      </c>
      <c r="I2087" s="17"/>
      <c r="J2087" s="17"/>
      <c r="K2087" s="17"/>
      <c r="L2087" s="17"/>
      <c r="T2087" s="13"/>
      <c r="U2087" s="13"/>
      <c r="V2087" s="13"/>
      <c r="W2087" s="13"/>
    </row>
    <row r="2088" spans="4:23" ht="27" customHeight="1" x14ac:dyDescent="0.25">
      <c r="D2088" s="14" t="s">
        <v>6993</v>
      </c>
      <c r="E2088" s="14" t="s">
        <v>6994</v>
      </c>
      <c r="F2088" s="84" t="s">
        <v>614</v>
      </c>
      <c r="G2088" s="15" t="s">
        <v>27</v>
      </c>
      <c r="H2088" s="16" t="s">
        <v>6995</v>
      </c>
      <c r="I2088" s="17"/>
      <c r="J2088" s="17"/>
      <c r="K2088" s="17"/>
      <c r="L2088" s="17"/>
      <c r="T2088" s="13"/>
      <c r="U2088" s="13"/>
      <c r="V2088" s="13"/>
      <c r="W2088" s="13"/>
    </row>
    <row r="2089" spans="4:23" ht="27" customHeight="1" x14ac:dyDescent="0.25">
      <c r="D2089" s="14" t="s">
        <v>6996</v>
      </c>
      <c r="E2089" s="14" t="s">
        <v>3578</v>
      </c>
      <c r="F2089" s="84" t="s">
        <v>1201</v>
      </c>
      <c r="G2089" s="15" t="s">
        <v>27</v>
      </c>
      <c r="H2089" s="16" t="s">
        <v>6997</v>
      </c>
      <c r="I2089" s="17"/>
      <c r="J2089" s="17"/>
      <c r="K2089" s="17"/>
      <c r="L2089" s="17"/>
      <c r="T2089" s="13"/>
      <c r="U2089" s="13"/>
      <c r="V2089" s="13"/>
      <c r="W2089" s="13"/>
    </row>
    <row r="2090" spans="4:23" ht="27" customHeight="1" x14ac:dyDescent="0.25">
      <c r="D2090" s="14" t="s">
        <v>6998</v>
      </c>
      <c r="E2090" s="14" t="s">
        <v>6999</v>
      </c>
      <c r="F2090" s="84" t="s">
        <v>412</v>
      </c>
      <c r="G2090" s="15" t="s">
        <v>27</v>
      </c>
      <c r="H2090" s="16" t="s">
        <v>7000</v>
      </c>
      <c r="I2090" s="17"/>
      <c r="J2090" s="17"/>
      <c r="K2090" s="17"/>
      <c r="L2090" s="17"/>
      <c r="T2090" s="13"/>
      <c r="U2090" s="13"/>
      <c r="V2090" s="13"/>
      <c r="W2090" s="13"/>
    </row>
    <row r="2091" spans="4:23" ht="27" customHeight="1" x14ac:dyDescent="0.25">
      <c r="D2091" s="14" t="s">
        <v>7001</v>
      </c>
      <c r="E2091" s="14" t="s">
        <v>684</v>
      </c>
      <c r="F2091" s="84" t="s">
        <v>551</v>
      </c>
      <c r="G2091" s="15" t="s">
        <v>27</v>
      </c>
      <c r="H2091" s="16" t="s">
        <v>7002</v>
      </c>
      <c r="I2091" s="17"/>
      <c r="J2091" s="17"/>
      <c r="K2091" s="17"/>
      <c r="L2091" s="17"/>
      <c r="T2091" s="13"/>
      <c r="U2091" s="13"/>
      <c r="V2091" s="13"/>
      <c r="W2091" s="13"/>
    </row>
    <row r="2092" spans="4:23" ht="27" customHeight="1" x14ac:dyDescent="0.25">
      <c r="D2092" s="14" t="s">
        <v>7003</v>
      </c>
      <c r="E2092" s="14" t="s">
        <v>7004</v>
      </c>
      <c r="F2092" s="84" t="s">
        <v>499</v>
      </c>
      <c r="G2092" s="15" t="s">
        <v>68</v>
      </c>
      <c r="H2092" s="16" t="s">
        <v>7005</v>
      </c>
      <c r="I2092" s="17"/>
      <c r="J2092" s="17"/>
      <c r="K2092" s="17"/>
      <c r="L2092" s="17"/>
      <c r="T2092" s="13"/>
      <c r="U2092" s="13"/>
      <c r="V2092" s="13"/>
      <c r="W2092" s="13"/>
    </row>
    <row r="2093" spans="4:23" ht="27" customHeight="1" x14ac:dyDescent="0.25">
      <c r="D2093" s="14" t="s">
        <v>7006</v>
      </c>
      <c r="E2093" s="14" t="s">
        <v>7007</v>
      </c>
      <c r="F2093" s="84" t="s">
        <v>302</v>
      </c>
      <c r="G2093" s="15" t="s">
        <v>68</v>
      </c>
      <c r="H2093" s="16" t="s">
        <v>7008</v>
      </c>
      <c r="I2093" s="17"/>
      <c r="J2093" s="17"/>
      <c r="K2093" s="17"/>
      <c r="L2093" s="17"/>
      <c r="T2093" s="13"/>
      <c r="U2093" s="13"/>
      <c r="V2093" s="13"/>
      <c r="W2093" s="13"/>
    </row>
    <row r="2094" spans="4:23" ht="27" customHeight="1" x14ac:dyDescent="0.25">
      <c r="D2094" s="14" t="s">
        <v>7009</v>
      </c>
      <c r="E2094" s="14" t="s">
        <v>7010</v>
      </c>
      <c r="F2094" s="84" t="s">
        <v>233</v>
      </c>
      <c r="G2094" s="15" t="s">
        <v>27</v>
      </c>
      <c r="H2094" s="16" t="s">
        <v>7011</v>
      </c>
      <c r="I2094" s="17"/>
      <c r="J2094" s="17"/>
      <c r="K2094" s="17"/>
      <c r="L2094" s="17"/>
      <c r="T2094" s="13"/>
      <c r="U2094" s="13"/>
      <c r="V2094" s="13"/>
      <c r="W2094" s="13"/>
    </row>
    <row r="2095" spans="4:23" ht="27" customHeight="1" x14ac:dyDescent="0.25">
      <c r="D2095" s="14" t="s">
        <v>7012</v>
      </c>
      <c r="E2095" s="14" t="s">
        <v>861</v>
      </c>
      <c r="F2095" s="84" t="s">
        <v>719</v>
      </c>
      <c r="G2095" s="15" t="s">
        <v>27</v>
      </c>
      <c r="H2095" s="16" t="s">
        <v>7013</v>
      </c>
      <c r="I2095" s="17"/>
      <c r="J2095" s="17"/>
      <c r="K2095" s="17"/>
      <c r="L2095" s="17"/>
      <c r="T2095" s="13"/>
      <c r="U2095" s="13"/>
      <c r="V2095" s="13"/>
      <c r="W2095" s="13"/>
    </row>
    <row r="2096" spans="4:23" ht="27" customHeight="1" x14ac:dyDescent="0.25">
      <c r="D2096" s="14" t="s">
        <v>7014</v>
      </c>
      <c r="E2096" s="14" t="s">
        <v>5040</v>
      </c>
      <c r="F2096" s="84" t="s">
        <v>206</v>
      </c>
      <c r="G2096" s="15" t="s">
        <v>27</v>
      </c>
      <c r="H2096" s="16" t="s">
        <v>7015</v>
      </c>
      <c r="I2096" s="17"/>
      <c r="J2096" s="17"/>
      <c r="K2096" s="17"/>
      <c r="L2096" s="17"/>
      <c r="T2096" s="13"/>
      <c r="U2096" s="13"/>
      <c r="V2096" s="13"/>
      <c r="W2096" s="13"/>
    </row>
    <row r="2097" spans="4:23" ht="27" customHeight="1" x14ac:dyDescent="0.25">
      <c r="D2097" s="14" t="s">
        <v>7016</v>
      </c>
      <c r="E2097" s="14" t="s">
        <v>3347</v>
      </c>
      <c r="F2097" s="84" t="s">
        <v>538</v>
      </c>
      <c r="G2097" s="15" t="s">
        <v>68</v>
      </c>
      <c r="H2097" s="16" t="s">
        <v>7017</v>
      </c>
      <c r="I2097" s="17"/>
      <c r="J2097" s="17"/>
      <c r="K2097" s="17"/>
      <c r="L2097" s="17"/>
      <c r="T2097" s="13"/>
      <c r="U2097" s="13"/>
      <c r="V2097" s="13"/>
      <c r="W2097" s="13"/>
    </row>
    <row r="2098" spans="4:23" ht="27" customHeight="1" x14ac:dyDescent="0.25">
      <c r="D2098" s="14" t="s">
        <v>7018</v>
      </c>
      <c r="E2098" s="14" t="s">
        <v>7019</v>
      </c>
      <c r="F2098" s="84" t="s">
        <v>602</v>
      </c>
      <c r="G2098" s="15" t="s">
        <v>27</v>
      </c>
      <c r="H2098" s="16" t="s">
        <v>7020</v>
      </c>
      <c r="I2098" s="17"/>
      <c r="J2098" s="17"/>
      <c r="K2098" s="17"/>
      <c r="L2098" s="17"/>
      <c r="T2098" s="13"/>
      <c r="U2098" s="13"/>
      <c r="V2098" s="13"/>
      <c r="W2098" s="13"/>
    </row>
    <row r="2099" spans="4:23" ht="27" customHeight="1" x14ac:dyDescent="0.25">
      <c r="D2099" s="14" t="s">
        <v>7021</v>
      </c>
      <c r="E2099" s="14" t="s">
        <v>7022</v>
      </c>
      <c r="F2099" s="84" t="s">
        <v>939</v>
      </c>
      <c r="G2099" s="15" t="s">
        <v>68</v>
      </c>
      <c r="H2099" s="16" t="s">
        <v>7023</v>
      </c>
      <c r="I2099" s="17"/>
      <c r="J2099" s="17"/>
      <c r="K2099" s="17"/>
      <c r="L2099" s="17"/>
      <c r="T2099" s="13"/>
      <c r="U2099" s="13"/>
      <c r="V2099" s="13"/>
      <c r="W2099" s="13"/>
    </row>
    <row r="2100" spans="4:23" ht="27" customHeight="1" x14ac:dyDescent="0.25">
      <c r="D2100" s="14" t="s">
        <v>7024</v>
      </c>
      <c r="E2100" s="14" t="s">
        <v>3196</v>
      </c>
      <c r="F2100" s="84" t="s">
        <v>453</v>
      </c>
      <c r="G2100" s="15" t="s">
        <v>27</v>
      </c>
      <c r="H2100" s="16" t="s">
        <v>7025</v>
      </c>
      <c r="I2100" s="17"/>
      <c r="J2100" s="17"/>
      <c r="K2100" s="17"/>
      <c r="L2100" s="17"/>
      <c r="T2100" s="13"/>
      <c r="U2100" s="13"/>
      <c r="V2100" s="13"/>
      <c r="W2100" s="13"/>
    </row>
    <row r="2101" spans="4:23" ht="27" customHeight="1" x14ac:dyDescent="0.25">
      <c r="D2101" s="14" t="s">
        <v>7026</v>
      </c>
      <c r="E2101" s="14" t="s">
        <v>4812</v>
      </c>
      <c r="F2101" s="84" t="s">
        <v>402</v>
      </c>
      <c r="G2101" s="15" t="s">
        <v>27</v>
      </c>
      <c r="H2101" s="16" t="s">
        <v>7027</v>
      </c>
      <c r="I2101" s="17"/>
      <c r="J2101" s="17"/>
      <c r="K2101" s="17"/>
      <c r="L2101" s="17"/>
      <c r="T2101" s="13"/>
      <c r="U2101" s="13"/>
      <c r="V2101" s="13"/>
      <c r="W2101" s="13"/>
    </row>
    <row r="2102" spans="4:23" ht="27" customHeight="1" x14ac:dyDescent="0.25">
      <c r="D2102" s="14" t="s">
        <v>7028</v>
      </c>
      <c r="E2102" s="14" t="s">
        <v>2305</v>
      </c>
      <c r="F2102" s="84" t="s">
        <v>627</v>
      </c>
      <c r="G2102" s="15" t="s">
        <v>27</v>
      </c>
      <c r="H2102" s="16" t="s">
        <v>7029</v>
      </c>
      <c r="I2102" s="17"/>
      <c r="J2102" s="17"/>
      <c r="K2102" s="17"/>
      <c r="L2102" s="17"/>
      <c r="T2102" s="13"/>
      <c r="U2102" s="13"/>
      <c r="V2102" s="13"/>
      <c r="W2102" s="13"/>
    </row>
    <row r="2103" spans="4:23" ht="27" customHeight="1" x14ac:dyDescent="0.25">
      <c r="D2103" s="14" t="s">
        <v>7030</v>
      </c>
      <c r="E2103" s="14" t="s">
        <v>7031</v>
      </c>
      <c r="F2103" s="84" t="s">
        <v>751</v>
      </c>
      <c r="G2103" s="15" t="s">
        <v>27</v>
      </c>
      <c r="H2103" s="16" t="s">
        <v>7032</v>
      </c>
      <c r="I2103" s="17"/>
      <c r="J2103" s="17"/>
      <c r="K2103" s="17"/>
      <c r="L2103" s="17"/>
      <c r="T2103" s="13"/>
      <c r="U2103" s="13"/>
      <c r="V2103" s="13"/>
      <c r="W2103" s="13"/>
    </row>
    <row r="2104" spans="4:23" ht="27" customHeight="1" x14ac:dyDescent="0.25">
      <c r="D2104" s="14" t="s">
        <v>7033</v>
      </c>
      <c r="E2104" s="14" t="s">
        <v>7034</v>
      </c>
      <c r="F2104" s="84" t="s">
        <v>183</v>
      </c>
      <c r="G2104" s="15" t="s">
        <v>68</v>
      </c>
      <c r="H2104" s="16" t="s">
        <v>7035</v>
      </c>
      <c r="I2104" s="17"/>
      <c r="J2104" s="17"/>
      <c r="K2104" s="17"/>
      <c r="L2104" s="17"/>
      <c r="T2104" s="13"/>
      <c r="U2104" s="13"/>
      <c r="V2104" s="13"/>
      <c r="W2104" s="13"/>
    </row>
    <row r="2105" spans="4:23" ht="27" customHeight="1" x14ac:dyDescent="0.25">
      <c r="D2105" s="14" t="s">
        <v>7036</v>
      </c>
      <c r="E2105" s="14" t="s">
        <v>7037</v>
      </c>
      <c r="F2105" s="84" t="s">
        <v>290</v>
      </c>
      <c r="G2105" s="15" t="s">
        <v>27</v>
      </c>
      <c r="H2105" s="16" t="s">
        <v>7038</v>
      </c>
      <c r="I2105" s="17"/>
      <c r="J2105" s="17"/>
      <c r="K2105" s="17"/>
      <c r="L2105" s="17"/>
      <c r="T2105" s="13"/>
      <c r="U2105" s="13"/>
      <c r="V2105" s="13"/>
      <c r="W2105" s="13"/>
    </row>
    <row r="2106" spans="4:23" ht="27" customHeight="1" x14ac:dyDescent="0.25">
      <c r="D2106" s="14" t="s">
        <v>7039</v>
      </c>
      <c r="E2106" s="14" t="s">
        <v>7040</v>
      </c>
      <c r="F2106" s="84" t="s">
        <v>67</v>
      </c>
      <c r="G2106" s="15" t="s">
        <v>27</v>
      </c>
      <c r="H2106" s="16" t="s">
        <v>7041</v>
      </c>
      <c r="I2106" s="17"/>
      <c r="J2106" s="17"/>
      <c r="K2106" s="17"/>
      <c r="L2106" s="17"/>
      <c r="T2106" s="13"/>
      <c r="U2106" s="13"/>
      <c r="V2106" s="13"/>
      <c r="W2106" s="13"/>
    </row>
    <row r="2107" spans="4:23" ht="27" customHeight="1" x14ac:dyDescent="0.25">
      <c r="D2107" s="14" t="s">
        <v>7042</v>
      </c>
      <c r="E2107" s="14" t="s">
        <v>3693</v>
      </c>
      <c r="F2107" s="84" t="s">
        <v>1201</v>
      </c>
      <c r="G2107" s="15" t="s">
        <v>27</v>
      </c>
      <c r="H2107" s="16" t="s">
        <v>7043</v>
      </c>
      <c r="I2107" s="17"/>
      <c r="J2107" s="17"/>
      <c r="K2107" s="17"/>
      <c r="L2107" s="17"/>
      <c r="T2107" s="13"/>
      <c r="U2107" s="13"/>
      <c r="V2107" s="13"/>
      <c r="W2107" s="13"/>
    </row>
    <row r="2108" spans="4:23" ht="27" customHeight="1" x14ac:dyDescent="0.25">
      <c r="D2108" s="14" t="s">
        <v>7044</v>
      </c>
      <c r="E2108" s="14" t="s">
        <v>1983</v>
      </c>
      <c r="F2108" s="84" t="s">
        <v>143</v>
      </c>
      <c r="G2108" s="15" t="s">
        <v>68</v>
      </c>
      <c r="H2108" s="16" t="s">
        <v>7045</v>
      </c>
      <c r="I2108" s="17"/>
      <c r="J2108" s="17"/>
      <c r="K2108" s="17"/>
      <c r="L2108" s="17"/>
      <c r="T2108" s="13"/>
      <c r="U2108" s="13"/>
      <c r="V2108" s="13"/>
      <c r="W2108" s="13"/>
    </row>
    <row r="2109" spans="4:23" ht="27" customHeight="1" x14ac:dyDescent="0.25">
      <c r="D2109" s="14" t="s">
        <v>7046</v>
      </c>
      <c r="E2109" s="14" t="s">
        <v>7047</v>
      </c>
      <c r="F2109" s="84" t="s">
        <v>587</v>
      </c>
      <c r="G2109" s="15" t="s">
        <v>27</v>
      </c>
      <c r="H2109" s="16" t="s">
        <v>7048</v>
      </c>
      <c r="I2109" s="17"/>
      <c r="J2109" s="17"/>
      <c r="K2109" s="17"/>
      <c r="L2109" s="17"/>
      <c r="T2109" s="13"/>
      <c r="U2109" s="13"/>
      <c r="V2109" s="13"/>
      <c r="W2109" s="13"/>
    </row>
    <row r="2110" spans="4:23" ht="27" customHeight="1" x14ac:dyDescent="0.25">
      <c r="D2110" s="14" t="s">
        <v>7049</v>
      </c>
      <c r="E2110" s="14" t="s">
        <v>7050</v>
      </c>
      <c r="F2110" s="84" t="s">
        <v>321</v>
      </c>
      <c r="G2110" s="15" t="s">
        <v>27</v>
      </c>
      <c r="H2110" s="16" t="s">
        <v>7051</v>
      </c>
      <c r="I2110" s="17"/>
      <c r="J2110" s="17"/>
      <c r="K2110" s="17"/>
      <c r="L2110" s="17"/>
      <c r="T2110" s="13"/>
      <c r="U2110" s="13"/>
      <c r="V2110" s="13"/>
      <c r="W2110" s="13"/>
    </row>
    <row r="2111" spans="4:23" ht="27" customHeight="1" x14ac:dyDescent="0.25">
      <c r="D2111" s="14" t="s">
        <v>7052</v>
      </c>
      <c r="E2111" s="14" t="s">
        <v>7053</v>
      </c>
      <c r="F2111" s="84" t="s">
        <v>386</v>
      </c>
      <c r="G2111" s="15" t="s">
        <v>27</v>
      </c>
      <c r="H2111" s="16" t="s">
        <v>7054</v>
      </c>
      <c r="I2111" s="17"/>
      <c r="J2111" s="17"/>
      <c r="K2111" s="17"/>
      <c r="L2111" s="17"/>
      <c r="T2111" s="13"/>
      <c r="U2111" s="13"/>
      <c r="V2111" s="13"/>
      <c r="W2111" s="13"/>
    </row>
    <row r="2112" spans="4:23" ht="27" customHeight="1" x14ac:dyDescent="0.25">
      <c r="D2112" s="14" t="s">
        <v>7055</v>
      </c>
      <c r="E2112" s="14" t="s">
        <v>7056</v>
      </c>
      <c r="F2112" s="84" t="s">
        <v>602</v>
      </c>
      <c r="G2112" s="15" t="s">
        <v>68</v>
      </c>
      <c r="H2112" s="16" t="s">
        <v>7057</v>
      </c>
      <c r="I2112" s="17"/>
      <c r="J2112" s="17"/>
      <c r="K2112" s="17"/>
      <c r="L2112" s="17"/>
      <c r="T2112" s="13"/>
      <c r="U2112" s="13"/>
      <c r="V2112" s="13"/>
      <c r="W2112" s="13"/>
    </row>
    <row r="2113" spans="4:23" ht="27" customHeight="1" x14ac:dyDescent="0.25">
      <c r="D2113" s="14" t="s">
        <v>7058</v>
      </c>
      <c r="E2113" s="14" t="s">
        <v>7059</v>
      </c>
      <c r="F2113" s="84" t="s">
        <v>524</v>
      </c>
      <c r="G2113" s="15" t="s">
        <v>27</v>
      </c>
      <c r="H2113" s="16" t="s">
        <v>7060</v>
      </c>
      <c r="I2113" s="17"/>
      <c r="J2113" s="17"/>
      <c r="K2113" s="17"/>
      <c r="L2113" s="17"/>
      <c r="T2113" s="13"/>
      <c r="U2113" s="13"/>
      <c r="V2113" s="13"/>
      <c r="W2113" s="13"/>
    </row>
    <row r="2114" spans="4:23" ht="27" customHeight="1" x14ac:dyDescent="0.25">
      <c r="D2114" s="14" t="s">
        <v>7061</v>
      </c>
      <c r="E2114" s="14" t="s">
        <v>7062</v>
      </c>
      <c r="F2114" s="84" t="s">
        <v>781</v>
      </c>
      <c r="G2114" s="15" t="s">
        <v>27</v>
      </c>
      <c r="H2114" s="16" t="s">
        <v>7063</v>
      </c>
      <c r="I2114" s="17"/>
      <c r="J2114" s="17"/>
      <c r="K2114" s="17"/>
      <c r="L2114" s="17"/>
      <c r="T2114" s="13"/>
      <c r="U2114" s="13"/>
      <c r="V2114" s="13"/>
      <c r="W2114" s="13"/>
    </row>
    <row r="2115" spans="4:23" ht="27" customHeight="1" x14ac:dyDescent="0.25">
      <c r="D2115" s="14" t="s">
        <v>7064</v>
      </c>
      <c r="E2115" s="14" t="s">
        <v>2509</v>
      </c>
      <c r="F2115" s="84" t="s">
        <v>159</v>
      </c>
      <c r="G2115" s="15" t="s">
        <v>27</v>
      </c>
      <c r="H2115" s="16" t="s">
        <v>7065</v>
      </c>
      <c r="I2115" s="17"/>
      <c r="J2115" s="17"/>
      <c r="K2115" s="17"/>
      <c r="L2115" s="17"/>
      <c r="T2115" s="13"/>
      <c r="U2115" s="13"/>
      <c r="V2115" s="13"/>
      <c r="W2115" s="13"/>
    </row>
    <row r="2116" spans="4:23" ht="27" customHeight="1" x14ac:dyDescent="0.25">
      <c r="D2116" s="14" t="s">
        <v>7066</v>
      </c>
      <c r="E2116" s="14" t="s">
        <v>3141</v>
      </c>
      <c r="F2116" s="84" t="s">
        <v>453</v>
      </c>
      <c r="G2116" s="15" t="s">
        <v>68</v>
      </c>
      <c r="H2116" s="16" t="s">
        <v>7067</v>
      </c>
      <c r="I2116" s="17"/>
      <c r="J2116" s="17"/>
      <c r="K2116" s="17"/>
      <c r="L2116" s="17"/>
      <c r="T2116" s="13"/>
      <c r="U2116" s="13"/>
      <c r="V2116" s="13"/>
      <c r="W2116" s="13"/>
    </row>
    <row r="2117" spans="4:23" ht="27" customHeight="1" x14ac:dyDescent="0.25">
      <c r="D2117" s="14" t="s">
        <v>7068</v>
      </c>
      <c r="E2117" s="14" t="s">
        <v>5339</v>
      </c>
      <c r="F2117" s="84" t="s">
        <v>407</v>
      </c>
      <c r="G2117" s="15" t="s">
        <v>27</v>
      </c>
      <c r="H2117" s="16" t="s">
        <v>7069</v>
      </c>
      <c r="I2117" s="17"/>
      <c r="J2117" s="17"/>
      <c r="K2117" s="17"/>
      <c r="L2117" s="17"/>
      <c r="T2117" s="13"/>
      <c r="U2117" s="13"/>
      <c r="V2117" s="13"/>
      <c r="W2117" s="13"/>
    </row>
    <row r="2118" spans="4:23" ht="27" customHeight="1" x14ac:dyDescent="0.25">
      <c r="D2118" s="14" t="s">
        <v>7070</v>
      </c>
      <c r="E2118" s="14" t="s">
        <v>5009</v>
      </c>
      <c r="F2118" s="84" t="s">
        <v>206</v>
      </c>
      <c r="G2118" s="15" t="s">
        <v>27</v>
      </c>
      <c r="H2118" s="16" t="s">
        <v>7071</v>
      </c>
      <c r="I2118" s="17"/>
      <c r="J2118" s="17"/>
      <c r="K2118" s="17"/>
      <c r="L2118" s="17"/>
      <c r="T2118" s="13"/>
      <c r="U2118" s="13"/>
      <c r="V2118" s="13"/>
      <c r="W2118" s="13"/>
    </row>
    <row r="2119" spans="4:23" ht="27" customHeight="1" x14ac:dyDescent="0.25">
      <c r="D2119" s="14" t="s">
        <v>7072</v>
      </c>
      <c r="E2119" s="14" t="s">
        <v>4827</v>
      </c>
      <c r="F2119" s="84" t="s">
        <v>402</v>
      </c>
      <c r="G2119" s="15" t="s">
        <v>27</v>
      </c>
      <c r="H2119" s="16" t="s">
        <v>7073</v>
      </c>
      <c r="I2119" s="17"/>
      <c r="J2119" s="17"/>
      <c r="K2119" s="17"/>
      <c r="L2119" s="17"/>
      <c r="T2119" s="13"/>
      <c r="U2119" s="13"/>
      <c r="V2119" s="13"/>
      <c r="W2119" s="13"/>
    </row>
    <row r="2120" spans="4:23" ht="27" customHeight="1" x14ac:dyDescent="0.25">
      <c r="D2120" s="14" t="s">
        <v>7074</v>
      </c>
      <c r="E2120" s="14" t="s">
        <v>1443</v>
      </c>
      <c r="F2120" s="84" t="s">
        <v>417</v>
      </c>
      <c r="G2120" s="15" t="s">
        <v>68</v>
      </c>
      <c r="H2120" s="16" t="s">
        <v>7075</v>
      </c>
      <c r="I2120" s="17"/>
      <c r="J2120" s="17"/>
      <c r="K2120" s="17"/>
      <c r="L2120" s="17"/>
      <c r="T2120" s="13"/>
      <c r="U2120" s="13"/>
      <c r="V2120" s="13"/>
      <c r="W2120" s="13"/>
    </row>
    <row r="2121" spans="4:23" ht="27" customHeight="1" x14ac:dyDescent="0.25">
      <c r="D2121" s="14" t="s">
        <v>7076</v>
      </c>
      <c r="E2121" s="14" t="s">
        <v>1368</v>
      </c>
      <c r="F2121" s="84" t="s">
        <v>480</v>
      </c>
      <c r="G2121" s="15" t="s">
        <v>68</v>
      </c>
      <c r="H2121" s="16" t="s">
        <v>7077</v>
      </c>
      <c r="I2121" s="17"/>
      <c r="J2121" s="17"/>
      <c r="K2121" s="17"/>
      <c r="L2121" s="17"/>
      <c r="T2121" s="13"/>
      <c r="U2121" s="13"/>
      <c r="V2121" s="13"/>
      <c r="W2121" s="13"/>
    </row>
    <row r="2122" spans="4:23" ht="27" customHeight="1" x14ac:dyDescent="0.25">
      <c r="D2122" s="14" t="s">
        <v>7078</v>
      </c>
      <c r="E2122" s="14" t="s">
        <v>7079</v>
      </c>
      <c r="F2122" s="84" t="s">
        <v>1820</v>
      </c>
      <c r="G2122" s="15" t="s">
        <v>68</v>
      </c>
      <c r="H2122" s="16" t="s">
        <v>7080</v>
      </c>
      <c r="I2122" s="17"/>
      <c r="J2122" s="17"/>
      <c r="K2122" s="17"/>
      <c r="L2122" s="17"/>
      <c r="T2122" s="13"/>
      <c r="U2122" s="13"/>
      <c r="V2122" s="13"/>
      <c r="W2122" s="13"/>
    </row>
    <row r="2123" spans="4:23" ht="27" customHeight="1" x14ac:dyDescent="0.25">
      <c r="D2123" s="14" t="s">
        <v>7081</v>
      </c>
      <c r="E2123" s="14" t="s">
        <v>7082</v>
      </c>
      <c r="F2123" s="84" t="s">
        <v>46</v>
      </c>
      <c r="G2123" s="15" t="s">
        <v>27</v>
      </c>
      <c r="H2123" s="16" t="s">
        <v>7083</v>
      </c>
      <c r="I2123" s="17"/>
      <c r="J2123" s="17"/>
      <c r="K2123" s="17"/>
      <c r="L2123" s="17"/>
      <c r="T2123" s="13"/>
      <c r="U2123" s="13"/>
      <c r="V2123" s="13"/>
      <c r="W2123" s="13"/>
    </row>
    <row r="2124" spans="4:23" ht="27" customHeight="1" x14ac:dyDescent="0.25">
      <c r="D2124" s="14" t="s">
        <v>7084</v>
      </c>
      <c r="E2124" s="14" t="s">
        <v>3741</v>
      </c>
      <c r="F2124" s="84" t="s">
        <v>471</v>
      </c>
      <c r="G2124" s="15" t="s">
        <v>27</v>
      </c>
      <c r="H2124" s="16" t="s">
        <v>7085</v>
      </c>
      <c r="I2124" s="17"/>
      <c r="J2124" s="17"/>
      <c r="K2124" s="17"/>
      <c r="L2124" s="17"/>
      <c r="T2124" s="13"/>
      <c r="U2124" s="13"/>
      <c r="V2124" s="13"/>
      <c r="W2124" s="13"/>
    </row>
    <row r="2125" spans="4:23" ht="27" customHeight="1" x14ac:dyDescent="0.25">
      <c r="D2125" s="14" t="s">
        <v>7086</v>
      </c>
      <c r="E2125" s="14" t="s">
        <v>4600</v>
      </c>
      <c r="F2125" s="84" t="s">
        <v>1118</v>
      </c>
      <c r="G2125" s="15" t="s">
        <v>27</v>
      </c>
      <c r="H2125" s="16" t="s">
        <v>7087</v>
      </c>
      <c r="I2125" s="17"/>
      <c r="J2125" s="17"/>
      <c r="K2125" s="17"/>
      <c r="L2125" s="17"/>
      <c r="T2125" s="13"/>
      <c r="U2125" s="13"/>
      <c r="V2125" s="13"/>
      <c r="W2125" s="13"/>
    </row>
    <row r="2126" spans="4:23" ht="27" customHeight="1" x14ac:dyDescent="0.25">
      <c r="D2126" s="14" t="s">
        <v>7088</v>
      </c>
      <c r="E2126" s="14" t="s">
        <v>7089</v>
      </c>
      <c r="F2126" s="84" t="s">
        <v>1342</v>
      </c>
      <c r="G2126" s="15" t="s">
        <v>27</v>
      </c>
      <c r="H2126" s="16" t="s">
        <v>7090</v>
      </c>
      <c r="I2126" s="17"/>
      <c r="J2126" s="17"/>
      <c r="K2126" s="17"/>
      <c r="L2126" s="17"/>
      <c r="T2126" s="13"/>
      <c r="U2126" s="13"/>
      <c r="V2126" s="13"/>
      <c r="W2126" s="13"/>
    </row>
    <row r="2127" spans="4:23" ht="27" customHeight="1" x14ac:dyDescent="0.25">
      <c r="D2127" s="14" t="s">
        <v>7091</v>
      </c>
      <c r="E2127" s="14" t="s">
        <v>7092</v>
      </c>
      <c r="F2127" s="84" t="s">
        <v>343</v>
      </c>
      <c r="G2127" s="15" t="s">
        <v>27</v>
      </c>
      <c r="H2127" s="16" t="s">
        <v>7093</v>
      </c>
      <c r="I2127" s="17"/>
      <c r="J2127" s="17"/>
      <c r="K2127" s="17"/>
      <c r="L2127" s="17"/>
      <c r="T2127" s="13"/>
      <c r="U2127" s="13"/>
      <c r="V2127" s="13"/>
      <c r="W2127" s="13"/>
    </row>
    <row r="2128" spans="4:23" ht="27" customHeight="1" x14ac:dyDescent="0.25">
      <c r="D2128" s="14" t="s">
        <v>7094</v>
      </c>
      <c r="E2128" s="14" t="s">
        <v>1586</v>
      </c>
      <c r="F2128" s="84" t="s">
        <v>508</v>
      </c>
      <c r="G2128" s="15" t="s">
        <v>27</v>
      </c>
      <c r="H2128" s="16" t="s">
        <v>7095</v>
      </c>
      <c r="I2128" s="17"/>
      <c r="J2128" s="17"/>
      <c r="K2128" s="17"/>
      <c r="L2128" s="17"/>
      <c r="T2128" s="13"/>
      <c r="U2128" s="13"/>
      <c r="V2128" s="13"/>
      <c r="W2128" s="13"/>
    </row>
    <row r="2129" spans="4:23" ht="27" customHeight="1" x14ac:dyDescent="0.25">
      <c r="D2129" s="14" t="s">
        <v>7096</v>
      </c>
      <c r="E2129" s="14" t="s">
        <v>7097</v>
      </c>
      <c r="F2129" s="84" t="s">
        <v>285</v>
      </c>
      <c r="G2129" s="15" t="s">
        <v>27</v>
      </c>
      <c r="H2129" s="16" t="s">
        <v>7098</v>
      </c>
      <c r="I2129" s="17"/>
      <c r="J2129" s="17"/>
      <c r="K2129" s="17"/>
      <c r="L2129" s="17"/>
      <c r="T2129" s="13"/>
      <c r="U2129" s="13"/>
      <c r="V2129" s="13"/>
      <c r="W2129" s="13"/>
    </row>
    <row r="2130" spans="4:23" ht="27" customHeight="1" x14ac:dyDescent="0.25">
      <c r="D2130" s="14" t="s">
        <v>7099</v>
      </c>
      <c r="E2130" s="14" t="s">
        <v>7100</v>
      </c>
      <c r="F2130" s="84" t="s">
        <v>466</v>
      </c>
      <c r="G2130" s="15" t="s">
        <v>68</v>
      </c>
      <c r="H2130" s="16" t="s">
        <v>7101</v>
      </c>
      <c r="I2130" s="17"/>
      <c r="J2130" s="17"/>
      <c r="K2130" s="17"/>
      <c r="L2130" s="17"/>
      <c r="T2130" s="13"/>
      <c r="U2130" s="13"/>
      <c r="V2130" s="13"/>
      <c r="W2130" s="13"/>
    </row>
    <row r="2131" spans="4:23" ht="27" customHeight="1" x14ac:dyDescent="0.25">
      <c r="D2131" s="14" t="s">
        <v>7102</v>
      </c>
      <c r="E2131" s="14" t="s">
        <v>2779</v>
      </c>
      <c r="F2131" s="84" t="s">
        <v>296</v>
      </c>
      <c r="G2131" s="15" t="s">
        <v>27</v>
      </c>
      <c r="H2131" s="16" t="s">
        <v>7103</v>
      </c>
      <c r="I2131" s="17"/>
      <c r="J2131" s="17"/>
      <c r="K2131" s="17"/>
      <c r="L2131" s="17"/>
      <c r="T2131" s="13"/>
      <c r="U2131" s="13"/>
      <c r="V2131" s="13"/>
      <c r="W2131" s="13"/>
    </row>
    <row r="2132" spans="4:23" ht="27" customHeight="1" x14ac:dyDescent="0.25">
      <c r="D2132" s="14" t="s">
        <v>7104</v>
      </c>
      <c r="E2132" s="14" t="s">
        <v>945</v>
      </c>
      <c r="F2132" s="84" t="s">
        <v>653</v>
      </c>
      <c r="G2132" s="15" t="s">
        <v>68</v>
      </c>
      <c r="H2132" s="16" t="s">
        <v>7105</v>
      </c>
      <c r="I2132" s="17"/>
      <c r="J2132" s="17"/>
      <c r="K2132" s="17"/>
      <c r="L2132" s="17"/>
      <c r="T2132" s="13"/>
      <c r="U2132" s="13"/>
      <c r="V2132" s="13"/>
      <c r="W2132" s="13"/>
    </row>
    <row r="2133" spans="4:23" ht="27" customHeight="1" x14ac:dyDescent="0.25">
      <c r="D2133" s="14" t="s">
        <v>7106</v>
      </c>
      <c r="E2133" s="14" t="s">
        <v>3311</v>
      </c>
      <c r="F2133" s="84" t="s">
        <v>538</v>
      </c>
      <c r="G2133" s="15" t="s">
        <v>27</v>
      </c>
      <c r="H2133" s="16" t="s">
        <v>7107</v>
      </c>
      <c r="I2133" s="17"/>
      <c r="J2133" s="17"/>
      <c r="K2133" s="17"/>
      <c r="L2133" s="17"/>
      <c r="T2133" s="13"/>
      <c r="U2133" s="13"/>
      <c r="V2133" s="13"/>
      <c r="W2133" s="13"/>
    </row>
    <row r="2134" spans="4:23" ht="27" customHeight="1" x14ac:dyDescent="0.25">
      <c r="D2134" s="14" t="s">
        <v>7108</v>
      </c>
      <c r="E2134" s="14" t="s">
        <v>7109</v>
      </c>
      <c r="F2134" s="84" t="s">
        <v>524</v>
      </c>
      <c r="G2134" s="15" t="s">
        <v>27</v>
      </c>
      <c r="H2134" s="16" t="s">
        <v>7110</v>
      </c>
      <c r="I2134" s="17"/>
      <c r="J2134" s="17"/>
      <c r="K2134" s="17"/>
      <c r="L2134" s="17"/>
      <c r="T2134" s="13"/>
      <c r="U2134" s="13"/>
      <c r="V2134" s="13"/>
      <c r="W2134" s="13"/>
    </row>
    <row r="2135" spans="4:23" ht="27" customHeight="1" x14ac:dyDescent="0.25">
      <c r="D2135" s="14" t="s">
        <v>7111</v>
      </c>
      <c r="E2135" s="14" t="s">
        <v>7112</v>
      </c>
      <c r="F2135" s="84" t="s">
        <v>107</v>
      </c>
      <c r="G2135" s="15" t="s">
        <v>68</v>
      </c>
      <c r="H2135" s="16" t="s">
        <v>7113</v>
      </c>
      <c r="I2135" s="17"/>
      <c r="J2135" s="17"/>
      <c r="K2135" s="17"/>
      <c r="L2135" s="17"/>
      <c r="T2135" s="13"/>
      <c r="U2135" s="13"/>
      <c r="V2135" s="13"/>
      <c r="W2135" s="13"/>
    </row>
    <row r="2136" spans="4:23" ht="27" customHeight="1" x14ac:dyDescent="0.25">
      <c r="D2136" s="14" t="s">
        <v>7114</v>
      </c>
      <c r="E2136" s="14" t="s">
        <v>1498</v>
      </c>
      <c r="F2136" s="84" t="s">
        <v>561</v>
      </c>
      <c r="G2136" s="15" t="s">
        <v>68</v>
      </c>
      <c r="H2136" s="16" t="s">
        <v>7115</v>
      </c>
      <c r="I2136" s="17"/>
      <c r="J2136" s="17"/>
      <c r="K2136" s="17"/>
      <c r="L2136" s="17"/>
      <c r="T2136" s="13"/>
      <c r="U2136" s="13"/>
      <c r="V2136" s="13"/>
      <c r="W2136" s="13"/>
    </row>
    <row r="2137" spans="4:23" ht="27" customHeight="1" x14ac:dyDescent="0.25">
      <c r="D2137" s="14" t="s">
        <v>7116</v>
      </c>
      <c r="E2137" s="14" t="s">
        <v>3900</v>
      </c>
      <c r="F2137" s="84" t="s">
        <v>61</v>
      </c>
      <c r="G2137" s="15" t="s">
        <v>27</v>
      </c>
      <c r="H2137" s="16" t="s">
        <v>7117</v>
      </c>
      <c r="I2137" s="17"/>
      <c r="J2137" s="17"/>
      <c r="K2137" s="17"/>
      <c r="L2137" s="17"/>
      <c r="T2137" s="13"/>
      <c r="U2137" s="13"/>
      <c r="V2137" s="13"/>
      <c r="W2137" s="13"/>
    </row>
    <row r="2138" spans="4:23" ht="27" customHeight="1" x14ac:dyDescent="0.25">
      <c r="D2138" s="14" t="s">
        <v>7118</v>
      </c>
      <c r="E2138" s="14" t="s">
        <v>3807</v>
      </c>
      <c r="F2138" s="84" t="s">
        <v>61</v>
      </c>
      <c r="G2138" s="15" t="s">
        <v>27</v>
      </c>
      <c r="H2138" s="16" t="s">
        <v>7119</v>
      </c>
      <c r="I2138" s="17"/>
      <c r="J2138" s="17"/>
      <c r="K2138" s="17"/>
      <c r="L2138" s="17"/>
      <c r="T2138" s="13"/>
      <c r="U2138" s="13"/>
      <c r="V2138" s="13"/>
      <c r="W2138" s="13"/>
    </row>
    <row r="2139" spans="4:23" ht="27" customHeight="1" x14ac:dyDescent="0.25">
      <c r="D2139" s="14" t="s">
        <v>7120</v>
      </c>
      <c r="E2139" s="14" t="s">
        <v>4586</v>
      </c>
      <c r="F2139" s="84" t="s">
        <v>1118</v>
      </c>
      <c r="G2139" s="15" t="s">
        <v>27</v>
      </c>
      <c r="H2139" s="16" t="s">
        <v>7121</v>
      </c>
      <c r="I2139" s="17"/>
      <c r="J2139" s="17"/>
      <c r="K2139" s="17"/>
      <c r="L2139" s="17"/>
      <c r="T2139" s="13"/>
      <c r="U2139" s="13"/>
      <c r="V2139" s="13"/>
      <c r="W2139" s="13"/>
    </row>
    <row r="2140" spans="4:23" ht="27" customHeight="1" x14ac:dyDescent="0.25">
      <c r="D2140" s="14" t="s">
        <v>7122</v>
      </c>
      <c r="E2140" s="14" t="s">
        <v>7123</v>
      </c>
      <c r="F2140" s="84" t="s">
        <v>343</v>
      </c>
      <c r="G2140" s="15" t="s">
        <v>68</v>
      </c>
      <c r="H2140" s="16" t="s">
        <v>7124</v>
      </c>
      <c r="I2140" s="17"/>
      <c r="J2140" s="17"/>
      <c r="K2140" s="17"/>
      <c r="L2140" s="17"/>
      <c r="T2140" s="13"/>
      <c r="U2140" s="13"/>
      <c r="V2140" s="13"/>
      <c r="W2140" s="13"/>
    </row>
    <row r="2141" spans="4:23" ht="27" customHeight="1" x14ac:dyDescent="0.25">
      <c r="D2141" s="14" t="s">
        <v>7125</v>
      </c>
      <c r="E2141" s="14" t="s">
        <v>7126</v>
      </c>
      <c r="F2141" s="84" t="s">
        <v>46</v>
      </c>
      <c r="G2141" s="15" t="s">
        <v>27</v>
      </c>
      <c r="H2141" s="16" t="s">
        <v>7127</v>
      </c>
      <c r="I2141" s="17"/>
      <c r="J2141" s="17"/>
      <c r="K2141" s="17"/>
      <c r="L2141" s="17"/>
      <c r="T2141" s="13"/>
      <c r="U2141" s="13"/>
      <c r="V2141" s="13"/>
      <c r="W2141" s="13"/>
    </row>
    <row r="2142" spans="4:23" ht="27" customHeight="1" x14ac:dyDescent="0.25">
      <c r="D2142" s="14" t="s">
        <v>7128</v>
      </c>
      <c r="E2142" s="14" t="s">
        <v>7129</v>
      </c>
      <c r="F2142" s="84" t="s">
        <v>233</v>
      </c>
      <c r="G2142" s="15" t="s">
        <v>27</v>
      </c>
      <c r="H2142" s="16" t="s">
        <v>7130</v>
      </c>
      <c r="I2142" s="17"/>
      <c r="J2142" s="17"/>
      <c r="K2142" s="17"/>
      <c r="L2142" s="17"/>
      <c r="T2142" s="13"/>
      <c r="U2142" s="13"/>
      <c r="V2142" s="13"/>
      <c r="W2142" s="13"/>
    </row>
    <row r="2143" spans="4:23" ht="27" customHeight="1" x14ac:dyDescent="0.25">
      <c r="D2143" s="14" t="s">
        <v>7131</v>
      </c>
      <c r="E2143" s="14" t="s">
        <v>1159</v>
      </c>
      <c r="F2143" s="84" t="s">
        <v>6436</v>
      </c>
      <c r="G2143" s="15" t="s">
        <v>27</v>
      </c>
      <c r="H2143" s="16" t="s">
        <v>7132</v>
      </c>
      <c r="I2143" s="17"/>
      <c r="J2143" s="17"/>
      <c r="K2143" s="17"/>
      <c r="L2143" s="17"/>
      <c r="T2143" s="13"/>
      <c r="U2143" s="13"/>
      <c r="V2143" s="13"/>
      <c r="W2143" s="13"/>
    </row>
    <row r="2144" spans="4:23" ht="27" customHeight="1" x14ac:dyDescent="0.25">
      <c r="D2144" s="14" t="s">
        <v>7133</v>
      </c>
      <c r="E2144" s="14" t="s">
        <v>1085</v>
      </c>
      <c r="F2144" s="84" t="s">
        <v>764</v>
      </c>
      <c r="G2144" s="15" t="s">
        <v>27</v>
      </c>
      <c r="H2144" s="16" t="s">
        <v>7134</v>
      </c>
      <c r="I2144" s="17"/>
      <c r="J2144" s="17"/>
      <c r="K2144" s="17"/>
      <c r="L2144" s="17"/>
      <c r="T2144" s="13"/>
      <c r="U2144" s="13"/>
      <c r="V2144" s="13"/>
      <c r="W2144" s="13"/>
    </row>
    <row r="2145" spans="4:23" ht="27" customHeight="1" x14ac:dyDescent="0.25">
      <c r="D2145" s="14" t="s">
        <v>7135</v>
      </c>
      <c r="E2145" s="14" t="s">
        <v>1480</v>
      </c>
      <c r="F2145" s="84" t="s">
        <v>499</v>
      </c>
      <c r="G2145" s="15" t="s">
        <v>27</v>
      </c>
      <c r="H2145" s="16" t="s">
        <v>7136</v>
      </c>
      <c r="I2145" s="17"/>
      <c r="J2145" s="17"/>
      <c r="K2145" s="17"/>
      <c r="L2145" s="17"/>
      <c r="T2145" s="13"/>
      <c r="U2145" s="13"/>
      <c r="V2145" s="13"/>
      <c r="W2145" s="13"/>
    </row>
    <row r="2146" spans="4:23" ht="27" customHeight="1" x14ac:dyDescent="0.25">
      <c r="D2146" s="14" t="s">
        <v>7137</v>
      </c>
      <c r="E2146" s="14" t="s">
        <v>7138</v>
      </c>
      <c r="F2146" s="84" t="s">
        <v>2718</v>
      </c>
      <c r="G2146" s="15" t="s">
        <v>27</v>
      </c>
      <c r="H2146" s="16" t="s">
        <v>7139</v>
      </c>
      <c r="I2146" s="17"/>
      <c r="J2146" s="17"/>
      <c r="K2146" s="17"/>
      <c r="L2146" s="17"/>
      <c r="T2146" s="13"/>
      <c r="U2146" s="13"/>
      <c r="V2146" s="13"/>
      <c r="W2146" s="13"/>
    </row>
    <row r="2147" spans="4:23" ht="27" customHeight="1" x14ac:dyDescent="0.25">
      <c r="D2147" s="14" t="s">
        <v>7140</v>
      </c>
      <c r="E2147" s="14" t="s">
        <v>7141</v>
      </c>
      <c r="F2147" s="84" t="s">
        <v>1166</v>
      </c>
      <c r="G2147" s="15" t="s">
        <v>27</v>
      </c>
      <c r="H2147" s="16" t="s">
        <v>7142</v>
      </c>
      <c r="I2147" s="17"/>
      <c r="J2147" s="17"/>
      <c r="K2147" s="17"/>
      <c r="L2147" s="17"/>
      <c r="T2147" s="13"/>
      <c r="U2147" s="13"/>
      <c r="V2147" s="13"/>
      <c r="W2147" s="13"/>
    </row>
    <row r="2148" spans="4:23" ht="27" customHeight="1" x14ac:dyDescent="0.25">
      <c r="D2148" s="14" t="s">
        <v>7143</v>
      </c>
      <c r="E2148" s="14" t="s">
        <v>5418</v>
      </c>
      <c r="F2148" s="84" t="s">
        <v>46</v>
      </c>
      <c r="G2148" s="15" t="s">
        <v>27</v>
      </c>
      <c r="H2148" s="16" t="s">
        <v>7144</v>
      </c>
      <c r="I2148" s="17"/>
      <c r="J2148" s="17"/>
      <c r="K2148" s="17"/>
      <c r="L2148" s="17"/>
      <c r="T2148" s="13"/>
      <c r="U2148" s="13"/>
      <c r="V2148" s="13"/>
      <c r="W2148" s="13"/>
    </row>
    <row r="2149" spans="4:23" ht="27" customHeight="1" x14ac:dyDescent="0.25">
      <c r="D2149" s="14" t="s">
        <v>7145</v>
      </c>
      <c r="E2149" s="14" t="s">
        <v>5437</v>
      </c>
      <c r="F2149" s="84" t="s">
        <v>46</v>
      </c>
      <c r="G2149" s="15" t="s">
        <v>27</v>
      </c>
      <c r="H2149" s="16" t="s">
        <v>7146</v>
      </c>
      <c r="I2149" s="17"/>
      <c r="J2149" s="17"/>
      <c r="K2149" s="17"/>
      <c r="L2149" s="17"/>
      <c r="T2149" s="13"/>
      <c r="U2149" s="13"/>
      <c r="V2149" s="13"/>
      <c r="W2149" s="13"/>
    </row>
    <row r="2150" spans="4:23" ht="27" customHeight="1" x14ac:dyDescent="0.25">
      <c r="D2150" s="14" t="s">
        <v>7147</v>
      </c>
      <c r="E2150" s="14" t="s">
        <v>3126</v>
      </c>
      <c r="F2150" s="84" t="s">
        <v>485</v>
      </c>
      <c r="G2150" s="15" t="s">
        <v>27</v>
      </c>
      <c r="H2150" s="16" t="s">
        <v>7148</v>
      </c>
      <c r="I2150" s="17"/>
      <c r="J2150" s="17"/>
      <c r="K2150" s="17"/>
      <c r="L2150" s="17"/>
      <c r="T2150" s="13"/>
      <c r="U2150" s="13"/>
      <c r="V2150" s="13"/>
      <c r="W2150" s="13"/>
    </row>
    <row r="2151" spans="4:23" ht="27" customHeight="1" x14ac:dyDescent="0.25">
      <c r="D2151" s="14" t="s">
        <v>7149</v>
      </c>
      <c r="E2151" s="14" t="s">
        <v>7150</v>
      </c>
      <c r="F2151" s="84" t="s">
        <v>969</v>
      </c>
      <c r="G2151" s="15" t="s">
        <v>68</v>
      </c>
      <c r="H2151" s="16" t="s">
        <v>7151</v>
      </c>
      <c r="I2151" s="17"/>
      <c r="J2151" s="17"/>
      <c r="K2151" s="17"/>
      <c r="L2151" s="17"/>
      <c r="T2151" s="13"/>
      <c r="U2151" s="13"/>
      <c r="V2151" s="13"/>
      <c r="W2151" s="13"/>
    </row>
    <row r="2152" spans="4:23" ht="27" customHeight="1" x14ac:dyDescent="0.25">
      <c r="D2152" s="14" t="s">
        <v>7152</v>
      </c>
      <c r="E2152" s="14" t="s">
        <v>7153</v>
      </c>
      <c r="F2152" s="84" t="s">
        <v>834</v>
      </c>
      <c r="G2152" s="15" t="s">
        <v>27</v>
      </c>
      <c r="H2152" s="16" t="s">
        <v>7154</v>
      </c>
      <c r="I2152" s="17"/>
      <c r="J2152" s="17"/>
      <c r="K2152" s="17"/>
      <c r="L2152" s="17"/>
      <c r="T2152" s="13"/>
      <c r="U2152" s="13"/>
      <c r="V2152" s="13"/>
      <c r="W2152" s="13"/>
    </row>
    <row r="2153" spans="4:23" ht="27" customHeight="1" x14ac:dyDescent="0.25">
      <c r="D2153" s="14" t="s">
        <v>7155</v>
      </c>
      <c r="E2153" s="14" t="s">
        <v>4413</v>
      </c>
      <c r="F2153" s="84" t="s">
        <v>1535</v>
      </c>
      <c r="G2153" s="15" t="s">
        <v>68</v>
      </c>
      <c r="H2153" s="16" t="s">
        <v>7156</v>
      </c>
      <c r="I2153" s="17"/>
      <c r="J2153" s="17"/>
      <c r="K2153" s="17"/>
      <c r="L2153" s="17"/>
      <c r="T2153" s="13"/>
      <c r="U2153" s="13"/>
      <c r="V2153" s="13"/>
      <c r="W2153" s="13"/>
    </row>
    <row r="2154" spans="4:23" ht="27" customHeight="1" x14ac:dyDescent="0.25">
      <c r="D2154" s="14" t="s">
        <v>7157</v>
      </c>
      <c r="E2154" s="14" t="s">
        <v>3784</v>
      </c>
      <c r="F2154" s="84" t="s">
        <v>471</v>
      </c>
      <c r="G2154" s="15" t="s">
        <v>68</v>
      </c>
      <c r="H2154" s="16" t="s">
        <v>7158</v>
      </c>
      <c r="I2154" s="17"/>
      <c r="J2154" s="17"/>
      <c r="K2154" s="17"/>
      <c r="L2154" s="17"/>
      <c r="T2154" s="13"/>
      <c r="U2154" s="13"/>
      <c r="V2154" s="13"/>
      <c r="W2154" s="13"/>
    </row>
    <row r="2155" spans="4:23" ht="27" customHeight="1" x14ac:dyDescent="0.25">
      <c r="D2155" s="14" t="s">
        <v>7159</v>
      </c>
      <c r="E2155" s="14" t="s">
        <v>4392</v>
      </c>
      <c r="F2155" s="84" t="s">
        <v>710</v>
      </c>
      <c r="G2155" s="15" t="s">
        <v>68</v>
      </c>
      <c r="H2155" s="16" t="s">
        <v>7160</v>
      </c>
      <c r="I2155" s="17"/>
      <c r="J2155" s="17"/>
      <c r="K2155" s="17"/>
      <c r="L2155" s="17"/>
      <c r="T2155" s="13"/>
      <c r="U2155" s="13"/>
      <c r="V2155" s="13"/>
      <c r="W2155" s="13"/>
    </row>
    <row r="2156" spans="4:23" ht="27" customHeight="1" x14ac:dyDescent="0.25">
      <c r="D2156" s="14" t="s">
        <v>7161</v>
      </c>
      <c r="E2156" s="14" t="s">
        <v>3255</v>
      </c>
      <c r="F2156" s="84" t="s">
        <v>1473</v>
      </c>
      <c r="G2156" s="15" t="s">
        <v>68</v>
      </c>
      <c r="H2156" s="16" t="s">
        <v>7162</v>
      </c>
      <c r="I2156" s="17"/>
      <c r="J2156" s="17"/>
      <c r="K2156" s="17"/>
      <c r="L2156" s="17"/>
      <c r="T2156" s="13"/>
      <c r="U2156" s="13"/>
      <c r="V2156" s="13"/>
      <c r="W2156" s="13"/>
    </row>
    <row r="2157" spans="4:23" ht="27" customHeight="1" x14ac:dyDescent="0.25">
      <c r="D2157" s="14" t="s">
        <v>7163</v>
      </c>
      <c r="E2157" s="14" t="s">
        <v>1682</v>
      </c>
      <c r="F2157" s="84" t="s">
        <v>781</v>
      </c>
      <c r="G2157" s="15" t="s">
        <v>27</v>
      </c>
      <c r="H2157" s="16" t="s">
        <v>7164</v>
      </c>
      <c r="I2157" s="17"/>
      <c r="J2157" s="17"/>
      <c r="K2157" s="17"/>
      <c r="L2157" s="17"/>
      <c r="T2157" s="13"/>
      <c r="U2157" s="13"/>
      <c r="V2157" s="13"/>
      <c r="W2157" s="13"/>
    </row>
    <row r="2158" spans="4:23" ht="27" customHeight="1" x14ac:dyDescent="0.25">
      <c r="D2158" s="14" t="s">
        <v>7165</v>
      </c>
      <c r="E2158" s="14" t="s">
        <v>7166</v>
      </c>
      <c r="F2158" s="84" t="s">
        <v>233</v>
      </c>
      <c r="G2158" s="15" t="s">
        <v>68</v>
      </c>
      <c r="H2158" s="16" t="s">
        <v>7167</v>
      </c>
      <c r="I2158" s="17"/>
      <c r="J2158" s="17"/>
      <c r="K2158" s="17"/>
      <c r="L2158" s="17"/>
      <c r="T2158" s="13"/>
      <c r="U2158" s="13"/>
      <c r="V2158" s="13"/>
      <c r="W2158" s="13"/>
    </row>
    <row r="2159" spans="4:23" ht="27" customHeight="1" x14ac:dyDescent="0.25">
      <c r="D2159" s="14" t="s">
        <v>7168</v>
      </c>
      <c r="E2159" s="14" t="s">
        <v>1136</v>
      </c>
      <c r="F2159" s="84" t="s">
        <v>67</v>
      </c>
      <c r="G2159" s="15" t="s">
        <v>27</v>
      </c>
      <c r="H2159" s="16" t="s">
        <v>7169</v>
      </c>
      <c r="I2159" s="17"/>
      <c r="J2159" s="17"/>
      <c r="K2159" s="17"/>
      <c r="L2159" s="17"/>
      <c r="T2159" s="13"/>
      <c r="U2159" s="13"/>
      <c r="V2159" s="13"/>
      <c r="W2159" s="13"/>
    </row>
    <row r="2160" spans="4:23" ht="27" customHeight="1" x14ac:dyDescent="0.25">
      <c r="D2160" s="14" t="s">
        <v>7170</v>
      </c>
      <c r="E2160" s="14" t="s">
        <v>3459</v>
      </c>
      <c r="F2160" s="84" t="s">
        <v>566</v>
      </c>
      <c r="G2160" s="15" t="s">
        <v>27</v>
      </c>
      <c r="H2160" s="16" t="s">
        <v>7171</v>
      </c>
      <c r="I2160" s="17"/>
      <c r="J2160" s="17"/>
      <c r="K2160" s="17"/>
      <c r="L2160" s="17"/>
      <c r="T2160" s="13"/>
      <c r="U2160" s="13"/>
      <c r="V2160" s="13"/>
      <c r="W2160" s="13"/>
    </row>
    <row r="2161" spans="4:23" ht="27" customHeight="1" x14ac:dyDescent="0.25">
      <c r="D2161" s="14" t="s">
        <v>7172</v>
      </c>
      <c r="E2161" s="14" t="s">
        <v>7173</v>
      </c>
      <c r="F2161" s="84" t="s">
        <v>494</v>
      </c>
      <c r="G2161" s="15" t="s">
        <v>27</v>
      </c>
      <c r="H2161" s="16" t="s">
        <v>7174</v>
      </c>
      <c r="I2161" s="17"/>
      <c r="J2161" s="17"/>
      <c r="K2161" s="17"/>
      <c r="L2161" s="17"/>
      <c r="T2161" s="13"/>
      <c r="U2161" s="13"/>
      <c r="V2161" s="13"/>
      <c r="W2161" s="13"/>
    </row>
    <row r="2162" spans="4:23" ht="27" customHeight="1" x14ac:dyDescent="0.25">
      <c r="D2162" s="14" t="s">
        <v>7175</v>
      </c>
      <c r="E2162" s="14" t="s">
        <v>7176</v>
      </c>
      <c r="F2162" s="84" t="s">
        <v>280</v>
      </c>
      <c r="G2162" s="15" t="s">
        <v>27</v>
      </c>
      <c r="H2162" s="16" t="s">
        <v>7177</v>
      </c>
      <c r="I2162" s="17"/>
      <c r="J2162" s="17"/>
      <c r="K2162" s="17"/>
      <c r="L2162" s="17"/>
      <c r="T2162" s="13"/>
      <c r="U2162" s="13"/>
      <c r="V2162" s="13"/>
      <c r="W2162" s="13"/>
    </row>
    <row r="2163" spans="4:23" ht="27" customHeight="1" x14ac:dyDescent="0.25">
      <c r="D2163" s="14" t="s">
        <v>7178</v>
      </c>
      <c r="E2163" s="14" t="s">
        <v>7179</v>
      </c>
      <c r="F2163" s="84" t="s">
        <v>2135</v>
      </c>
      <c r="G2163" s="15" t="s">
        <v>27</v>
      </c>
      <c r="H2163" s="16" t="s">
        <v>7180</v>
      </c>
      <c r="I2163" s="17"/>
      <c r="J2163" s="17"/>
      <c r="K2163" s="17"/>
      <c r="L2163" s="17"/>
      <c r="T2163" s="13"/>
      <c r="U2163" s="13"/>
      <c r="V2163" s="13"/>
      <c r="W2163" s="13"/>
    </row>
    <row r="2164" spans="4:23" ht="27" customHeight="1" x14ac:dyDescent="0.25">
      <c r="D2164" s="14" t="s">
        <v>7181</v>
      </c>
      <c r="E2164" s="14" t="s">
        <v>4216</v>
      </c>
      <c r="F2164" s="84" t="s">
        <v>348</v>
      </c>
      <c r="G2164" s="15" t="s">
        <v>27</v>
      </c>
      <c r="H2164" s="16" t="s">
        <v>7182</v>
      </c>
      <c r="I2164" s="17"/>
      <c r="J2164" s="17"/>
      <c r="K2164" s="17"/>
      <c r="L2164" s="17"/>
      <c r="T2164" s="13"/>
      <c r="U2164" s="13"/>
      <c r="V2164" s="13"/>
      <c r="W2164" s="13"/>
    </row>
    <row r="2165" spans="4:23" ht="27" customHeight="1" x14ac:dyDescent="0.25">
      <c r="D2165" s="14" t="s">
        <v>7183</v>
      </c>
      <c r="E2165" s="14" t="s">
        <v>5163</v>
      </c>
      <c r="F2165" s="84" t="s">
        <v>121</v>
      </c>
      <c r="G2165" s="15" t="s">
        <v>27</v>
      </c>
      <c r="H2165" s="16" t="s">
        <v>7184</v>
      </c>
      <c r="I2165" s="17"/>
      <c r="J2165" s="17"/>
      <c r="K2165" s="17"/>
      <c r="L2165" s="17"/>
      <c r="T2165" s="13"/>
      <c r="U2165" s="13"/>
      <c r="V2165" s="13"/>
      <c r="W2165" s="13"/>
    </row>
    <row r="2166" spans="4:23" ht="27" customHeight="1" x14ac:dyDescent="0.25">
      <c r="D2166" s="14" t="s">
        <v>7185</v>
      </c>
      <c r="E2166" s="14" t="s">
        <v>7186</v>
      </c>
      <c r="F2166" s="84" t="s">
        <v>1037</v>
      </c>
      <c r="G2166" s="15" t="s">
        <v>27</v>
      </c>
      <c r="H2166" s="16" t="s">
        <v>7187</v>
      </c>
      <c r="I2166" s="17"/>
      <c r="J2166" s="17"/>
      <c r="K2166" s="17"/>
      <c r="L2166" s="17"/>
      <c r="T2166" s="13"/>
      <c r="U2166" s="13"/>
      <c r="V2166" s="13"/>
      <c r="W2166" s="13"/>
    </row>
    <row r="2167" spans="4:23" ht="27" customHeight="1" x14ac:dyDescent="0.25">
      <c r="D2167" s="14" t="s">
        <v>7188</v>
      </c>
      <c r="E2167" s="14" t="s">
        <v>7189</v>
      </c>
      <c r="F2167" s="84" t="s">
        <v>7190</v>
      </c>
      <c r="G2167" s="15" t="s">
        <v>27</v>
      </c>
      <c r="H2167" s="16" t="s">
        <v>7191</v>
      </c>
      <c r="I2167" s="17"/>
      <c r="J2167" s="17"/>
      <c r="K2167" s="17"/>
      <c r="L2167" s="17"/>
      <c r="T2167" s="13"/>
      <c r="U2167" s="13"/>
      <c r="V2167" s="13"/>
      <c r="W2167" s="13"/>
    </row>
    <row r="2168" spans="4:23" ht="27" customHeight="1" x14ac:dyDescent="0.25">
      <c r="D2168" s="14" t="s">
        <v>7192</v>
      </c>
      <c r="E2168" s="14" t="s">
        <v>7193</v>
      </c>
      <c r="F2168" s="84" t="s">
        <v>887</v>
      </c>
      <c r="G2168" s="15" t="s">
        <v>68</v>
      </c>
      <c r="H2168" s="16" t="s">
        <v>7194</v>
      </c>
      <c r="I2168" s="17"/>
      <c r="J2168" s="17"/>
      <c r="K2168" s="17"/>
      <c r="L2168" s="17"/>
      <c r="T2168" s="13"/>
      <c r="U2168" s="13"/>
      <c r="V2168" s="13"/>
      <c r="W2168" s="13"/>
    </row>
    <row r="2169" spans="4:23" ht="27" customHeight="1" x14ac:dyDescent="0.25">
      <c r="D2169" s="14" t="s">
        <v>7195</v>
      </c>
      <c r="E2169" s="14" t="s">
        <v>4524</v>
      </c>
      <c r="F2169" s="84" t="s">
        <v>1118</v>
      </c>
      <c r="G2169" s="15" t="s">
        <v>27</v>
      </c>
      <c r="H2169" s="16" t="s">
        <v>7196</v>
      </c>
      <c r="I2169" s="17"/>
      <c r="J2169" s="17"/>
      <c r="K2169" s="17"/>
      <c r="L2169" s="17"/>
      <c r="T2169" s="13"/>
      <c r="U2169" s="13"/>
      <c r="V2169" s="13"/>
      <c r="W2169" s="13"/>
    </row>
    <row r="2170" spans="4:23" ht="27" customHeight="1" x14ac:dyDescent="0.25">
      <c r="D2170" s="14" t="s">
        <v>7197</v>
      </c>
      <c r="E2170" s="14" t="s">
        <v>819</v>
      </c>
      <c r="F2170" s="84" t="s">
        <v>251</v>
      </c>
      <c r="G2170" s="15" t="s">
        <v>68</v>
      </c>
      <c r="H2170" s="16" t="s">
        <v>7198</v>
      </c>
      <c r="I2170" s="17"/>
      <c r="J2170" s="17"/>
      <c r="K2170" s="17"/>
      <c r="L2170" s="17"/>
      <c r="T2170" s="13"/>
      <c r="U2170" s="13"/>
      <c r="V2170" s="13"/>
      <c r="W2170" s="13"/>
    </row>
    <row r="2171" spans="4:23" ht="27" customHeight="1" x14ac:dyDescent="0.25">
      <c r="D2171" s="14" t="s">
        <v>7199</v>
      </c>
      <c r="E2171" s="14" t="s">
        <v>4402</v>
      </c>
      <c r="F2171" s="84" t="s">
        <v>1535</v>
      </c>
      <c r="G2171" s="15" t="s">
        <v>27</v>
      </c>
      <c r="H2171" s="16" t="s">
        <v>7200</v>
      </c>
      <c r="I2171" s="17"/>
      <c r="J2171" s="17"/>
      <c r="K2171" s="17"/>
      <c r="L2171" s="17"/>
      <c r="T2171" s="13"/>
      <c r="U2171" s="13"/>
      <c r="V2171" s="13"/>
      <c r="W2171" s="13"/>
    </row>
    <row r="2172" spans="4:23" ht="27" customHeight="1" x14ac:dyDescent="0.25">
      <c r="D2172" s="14" t="s">
        <v>7201</v>
      </c>
      <c r="E2172" s="14" t="s">
        <v>5410</v>
      </c>
      <c r="F2172" s="84" t="s">
        <v>407</v>
      </c>
      <c r="G2172" s="15" t="s">
        <v>27</v>
      </c>
      <c r="H2172" s="16" t="s">
        <v>7202</v>
      </c>
      <c r="I2172" s="17"/>
      <c r="J2172" s="17"/>
      <c r="K2172" s="17"/>
      <c r="L2172" s="17"/>
      <c r="T2172" s="13"/>
      <c r="U2172" s="13"/>
      <c r="V2172" s="13"/>
      <c r="W2172" s="13"/>
    </row>
    <row r="2173" spans="4:23" ht="27" customHeight="1" x14ac:dyDescent="0.25">
      <c r="D2173" s="14" t="s">
        <v>7203</v>
      </c>
      <c r="E2173" s="14" t="s">
        <v>7204</v>
      </c>
      <c r="F2173" s="84" t="s">
        <v>211</v>
      </c>
      <c r="G2173" s="15" t="s">
        <v>27</v>
      </c>
      <c r="H2173" s="16" t="s">
        <v>7205</v>
      </c>
      <c r="I2173" s="17"/>
      <c r="J2173" s="17"/>
      <c r="K2173" s="17"/>
      <c r="L2173" s="17"/>
      <c r="T2173" s="13"/>
      <c r="U2173" s="13"/>
      <c r="V2173" s="13"/>
      <c r="W2173" s="13"/>
    </row>
    <row r="2174" spans="4:23" ht="27" customHeight="1" x14ac:dyDescent="0.25">
      <c r="D2174" s="14" t="s">
        <v>7206</v>
      </c>
      <c r="E2174" s="14" t="s">
        <v>7207</v>
      </c>
      <c r="F2174" s="84" t="s">
        <v>92</v>
      </c>
      <c r="G2174" s="15" t="s">
        <v>27</v>
      </c>
      <c r="H2174" s="16" t="s">
        <v>7208</v>
      </c>
      <c r="I2174" s="17"/>
      <c r="J2174" s="17"/>
      <c r="K2174" s="17"/>
      <c r="L2174" s="17"/>
      <c r="T2174" s="13"/>
      <c r="U2174" s="13"/>
      <c r="V2174" s="13"/>
      <c r="W2174" s="13"/>
    </row>
    <row r="2175" spans="4:23" ht="27" customHeight="1" x14ac:dyDescent="0.25">
      <c r="D2175" s="14" t="s">
        <v>7209</v>
      </c>
      <c r="E2175" s="14" t="s">
        <v>1463</v>
      </c>
      <c r="F2175" s="84" t="s">
        <v>417</v>
      </c>
      <c r="G2175" s="15" t="s">
        <v>27</v>
      </c>
      <c r="H2175" s="16" t="s">
        <v>7210</v>
      </c>
      <c r="I2175" s="17"/>
      <c r="J2175" s="17"/>
      <c r="K2175" s="17"/>
      <c r="L2175" s="17"/>
      <c r="T2175" s="13"/>
      <c r="U2175" s="13"/>
      <c r="V2175" s="13"/>
      <c r="W2175" s="13"/>
    </row>
    <row r="2176" spans="4:23" ht="27" customHeight="1" x14ac:dyDescent="0.25">
      <c r="D2176" s="14" t="s">
        <v>7211</v>
      </c>
      <c r="E2176" s="14" t="s">
        <v>7212</v>
      </c>
      <c r="F2176" s="84" t="s">
        <v>343</v>
      </c>
      <c r="G2176" s="15" t="s">
        <v>68</v>
      </c>
      <c r="H2176" s="16" t="s">
        <v>7213</v>
      </c>
      <c r="I2176" s="17"/>
      <c r="J2176" s="17"/>
      <c r="K2176" s="17"/>
      <c r="L2176" s="17"/>
      <c r="T2176" s="13"/>
      <c r="U2176" s="13"/>
      <c r="V2176" s="13"/>
      <c r="W2176" s="13"/>
    </row>
    <row r="2177" spans="4:23" ht="27" customHeight="1" x14ac:dyDescent="0.25">
      <c r="D2177" s="14" t="s">
        <v>7214</v>
      </c>
      <c r="E2177" s="14" t="s">
        <v>3867</v>
      </c>
      <c r="F2177" s="84" t="s">
        <v>61</v>
      </c>
      <c r="G2177" s="15" t="s">
        <v>27</v>
      </c>
      <c r="H2177" s="16" t="s">
        <v>7215</v>
      </c>
      <c r="I2177" s="17"/>
      <c r="J2177" s="17"/>
      <c r="K2177" s="17"/>
      <c r="L2177" s="17"/>
      <c r="T2177" s="13"/>
      <c r="U2177" s="13"/>
      <c r="V2177" s="13"/>
      <c r="W2177" s="13"/>
    </row>
    <row r="2178" spans="4:23" ht="27" customHeight="1" x14ac:dyDescent="0.25">
      <c r="D2178" s="14" t="s">
        <v>7216</v>
      </c>
      <c r="E2178" s="14" t="s">
        <v>7217</v>
      </c>
      <c r="F2178" s="84" t="s">
        <v>51</v>
      </c>
      <c r="G2178" s="15" t="s">
        <v>68</v>
      </c>
      <c r="H2178" s="16" t="s">
        <v>7218</v>
      </c>
      <c r="I2178" s="17"/>
      <c r="J2178" s="17"/>
      <c r="K2178" s="17"/>
      <c r="L2178" s="17"/>
      <c r="T2178" s="13"/>
      <c r="U2178" s="13"/>
      <c r="V2178" s="13"/>
      <c r="W2178" s="13"/>
    </row>
    <row r="2179" spans="4:23" ht="27" customHeight="1" x14ac:dyDescent="0.25">
      <c r="D2179" s="14" t="s">
        <v>7219</v>
      </c>
      <c r="E2179" s="14" t="s">
        <v>4325</v>
      </c>
      <c r="F2179" s="84" t="s">
        <v>710</v>
      </c>
      <c r="G2179" s="15" t="s">
        <v>27</v>
      </c>
      <c r="H2179" s="16" t="s">
        <v>7220</v>
      </c>
      <c r="I2179" s="17"/>
      <c r="J2179" s="17"/>
      <c r="K2179" s="17"/>
      <c r="L2179" s="17"/>
      <c r="T2179" s="13"/>
      <c r="U2179" s="13"/>
      <c r="V2179" s="13"/>
      <c r="W2179" s="13"/>
    </row>
    <row r="2180" spans="4:23" ht="27" customHeight="1" x14ac:dyDescent="0.25">
      <c r="D2180" s="14" t="s">
        <v>7221</v>
      </c>
      <c r="E2180" s="14" t="s">
        <v>3079</v>
      </c>
      <c r="F2180" s="84" t="s">
        <v>485</v>
      </c>
      <c r="G2180" s="15" t="s">
        <v>27</v>
      </c>
      <c r="H2180" s="16" t="s">
        <v>7222</v>
      </c>
      <c r="I2180" s="17"/>
      <c r="J2180" s="17"/>
      <c r="K2180" s="17"/>
      <c r="L2180" s="17"/>
      <c r="T2180" s="13"/>
      <c r="U2180" s="13"/>
      <c r="V2180" s="13"/>
      <c r="W2180" s="13"/>
    </row>
    <row r="2181" spans="4:23" ht="27" customHeight="1" x14ac:dyDescent="0.25">
      <c r="D2181" s="14" t="s">
        <v>7223</v>
      </c>
      <c r="E2181" s="14" t="s">
        <v>2276</v>
      </c>
      <c r="F2181" s="84" t="s">
        <v>627</v>
      </c>
      <c r="G2181" s="15" t="s">
        <v>27</v>
      </c>
      <c r="H2181" s="16" t="s">
        <v>7224</v>
      </c>
      <c r="I2181" s="17"/>
      <c r="J2181" s="17"/>
      <c r="K2181" s="17"/>
      <c r="L2181" s="17"/>
      <c r="T2181" s="13"/>
      <c r="U2181" s="13"/>
      <c r="V2181" s="13"/>
      <c r="W2181" s="13"/>
    </row>
    <row r="2182" spans="4:23" ht="27" customHeight="1" x14ac:dyDescent="0.25">
      <c r="D2182" s="14" t="s">
        <v>7225</v>
      </c>
      <c r="E2182" s="14" t="s">
        <v>4487</v>
      </c>
      <c r="F2182" s="84" t="s">
        <v>1118</v>
      </c>
      <c r="G2182" s="15" t="s">
        <v>27</v>
      </c>
      <c r="H2182" s="16" t="s">
        <v>7226</v>
      </c>
      <c r="I2182" s="17"/>
      <c r="J2182" s="17"/>
      <c r="K2182" s="17"/>
      <c r="L2182" s="17"/>
      <c r="T2182" s="13"/>
      <c r="U2182" s="13"/>
      <c r="V2182" s="13"/>
      <c r="W2182" s="13"/>
    </row>
    <row r="2183" spans="4:23" ht="27" customHeight="1" x14ac:dyDescent="0.25">
      <c r="D2183" s="14" t="s">
        <v>7227</v>
      </c>
      <c r="E2183" s="14" t="s">
        <v>4382</v>
      </c>
      <c r="F2183" s="84" t="s">
        <v>710</v>
      </c>
      <c r="G2183" s="15" t="s">
        <v>68</v>
      </c>
      <c r="H2183" s="16" t="s">
        <v>7228</v>
      </c>
      <c r="I2183" s="17"/>
      <c r="J2183" s="17"/>
      <c r="K2183" s="17"/>
      <c r="L2183" s="17"/>
      <c r="T2183" s="13"/>
      <c r="U2183" s="13"/>
      <c r="V2183" s="13"/>
      <c r="W2183" s="13"/>
    </row>
    <row r="2184" spans="4:23" ht="27" customHeight="1" x14ac:dyDescent="0.25">
      <c r="D2184" s="14" t="s">
        <v>7229</v>
      </c>
      <c r="E2184" s="14" t="s">
        <v>2728</v>
      </c>
      <c r="F2184" s="84" t="s">
        <v>592</v>
      </c>
      <c r="G2184" s="15" t="s">
        <v>68</v>
      </c>
      <c r="H2184" s="16" t="s">
        <v>7230</v>
      </c>
      <c r="I2184" s="17"/>
      <c r="J2184" s="17"/>
      <c r="K2184" s="17"/>
      <c r="L2184" s="17"/>
      <c r="T2184" s="13"/>
      <c r="U2184" s="13"/>
      <c r="V2184" s="13"/>
      <c r="W2184" s="13"/>
    </row>
    <row r="2185" spans="4:23" ht="27" customHeight="1" x14ac:dyDescent="0.25">
      <c r="D2185" s="14" t="s">
        <v>7231</v>
      </c>
      <c r="E2185" s="14" t="s">
        <v>477</v>
      </c>
      <c r="F2185" s="84" t="s">
        <v>715</v>
      </c>
      <c r="G2185" s="15" t="s">
        <v>27</v>
      </c>
      <c r="H2185" s="16" t="s">
        <v>7232</v>
      </c>
      <c r="I2185" s="17"/>
      <c r="J2185" s="17"/>
      <c r="K2185" s="17"/>
      <c r="L2185" s="17"/>
      <c r="T2185" s="13"/>
      <c r="U2185" s="13"/>
      <c r="V2185" s="13"/>
      <c r="W2185" s="13"/>
    </row>
    <row r="2186" spans="4:23" ht="27" customHeight="1" x14ac:dyDescent="0.25">
      <c r="D2186" s="14" t="s">
        <v>7233</v>
      </c>
      <c r="E2186" s="14" t="s">
        <v>7234</v>
      </c>
      <c r="F2186" s="84" t="s">
        <v>417</v>
      </c>
      <c r="G2186" s="15" t="s">
        <v>68</v>
      </c>
      <c r="H2186" s="16" t="s">
        <v>7235</v>
      </c>
      <c r="I2186" s="17"/>
      <c r="J2186" s="17"/>
      <c r="K2186" s="17"/>
      <c r="L2186" s="17"/>
      <c r="T2186" s="13"/>
      <c r="U2186" s="13"/>
      <c r="V2186" s="13"/>
      <c r="W2186" s="13"/>
    </row>
    <row r="2187" spans="4:23" ht="27" customHeight="1" x14ac:dyDescent="0.25">
      <c r="D2187" s="14" t="s">
        <v>7236</v>
      </c>
      <c r="E2187" s="14" t="s">
        <v>7237</v>
      </c>
      <c r="F2187" s="84" t="s">
        <v>74</v>
      </c>
      <c r="G2187" s="15" t="s">
        <v>27</v>
      </c>
      <c r="H2187" s="16" t="s">
        <v>7238</v>
      </c>
      <c r="I2187" s="17"/>
      <c r="J2187" s="17"/>
      <c r="K2187" s="17"/>
      <c r="L2187" s="17"/>
      <c r="T2187" s="13"/>
      <c r="U2187" s="13"/>
      <c r="V2187" s="13"/>
      <c r="W2187" s="13"/>
    </row>
    <row r="2188" spans="4:23" ht="27" customHeight="1" x14ac:dyDescent="0.25">
      <c r="D2188" s="14" t="s">
        <v>7239</v>
      </c>
      <c r="E2188" s="14" t="s">
        <v>7240</v>
      </c>
      <c r="F2188" s="84" t="s">
        <v>321</v>
      </c>
      <c r="G2188" s="15" t="s">
        <v>27</v>
      </c>
      <c r="H2188" s="16" t="s">
        <v>7241</v>
      </c>
      <c r="I2188" s="17"/>
      <c r="J2188" s="17"/>
      <c r="K2188" s="17"/>
      <c r="L2188" s="17"/>
      <c r="T2188" s="13"/>
      <c r="U2188" s="13"/>
      <c r="V2188" s="13"/>
      <c r="W2188" s="13"/>
    </row>
    <row r="2189" spans="4:23" ht="27" customHeight="1" x14ac:dyDescent="0.25">
      <c r="D2189" s="14" t="s">
        <v>7242</v>
      </c>
      <c r="E2189" s="14" t="s">
        <v>4557</v>
      </c>
      <c r="F2189" s="84" t="s">
        <v>1118</v>
      </c>
      <c r="G2189" s="15" t="s">
        <v>27</v>
      </c>
      <c r="H2189" s="16" t="s">
        <v>7243</v>
      </c>
      <c r="I2189" s="17"/>
      <c r="J2189" s="17"/>
      <c r="K2189" s="17"/>
      <c r="L2189" s="17"/>
      <c r="T2189" s="13"/>
      <c r="U2189" s="13"/>
      <c r="V2189" s="13"/>
      <c r="W2189" s="13"/>
    </row>
    <row r="2190" spans="4:23" ht="27" customHeight="1" x14ac:dyDescent="0.25">
      <c r="D2190" s="14" t="s">
        <v>7244</v>
      </c>
      <c r="E2190" s="14" t="s">
        <v>7245</v>
      </c>
      <c r="F2190" s="84" t="s">
        <v>280</v>
      </c>
      <c r="G2190" s="15" t="s">
        <v>68</v>
      </c>
      <c r="H2190" s="16" t="s">
        <v>7246</v>
      </c>
      <c r="I2190" s="17"/>
      <c r="J2190" s="17"/>
      <c r="K2190" s="17"/>
      <c r="L2190" s="17"/>
      <c r="T2190" s="13"/>
      <c r="U2190" s="13"/>
      <c r="V2190" s="13"/>
      <c r="W2190" s="13"/>
    </row>
    <row r="2191" spans="4:23" ht="27" customHeight="1" x14ac:dyDescent="0.25">
      <c r="D2191" s="14" t="s">
        <v>7247</v>
      </c>
      <c r="E2191" s="14" t="s">
        <v>7248</v>
      </c>
      <c r="F2191" s="84" t="s">
        <v>2135</v>
      </c>
      <c r="G2191" s="15" t="s">
        <v>68</v>
      </c>
      <c r="H2191" s="16" t="s">
        <v>7249</v>
      </c>
      <c r="I2191" s="17"/>
      <c r="J2191" s="17"/>
      <c r="K2191" s="17"/>
      <c r="L2191" s="17"/>
      <c r="T2191" s="13"/>
      <c r="U2191" s="13"/>
      <c r="V2191" s="13"/>
      <c r="W2191" s="13"/>
    </row>
    <row r="2192" spans="4:23" ht="27" customHeight="1" x14ac:dyDescent="0.25">
      <c r="D2192" s="14" t="s">
        <v>7250</v>
      </c>
      <c r="E2192" s="14" t="s">
        <v>7251</v>
      </c>
      <c r="F2192" s="84" t="s">
        <v>233</v>
      </c>
      <c r="G2192" s="15" t="s">
        <v>27</v>
      </c>
      <c r="H2192" s="16" t="s">
        <v>7252</v>
      </c>
      <c r="I2192" s="17"/>
      <c r="J2192" s="17"/>
      <c r="K2192" s="17"/>
      <c r="L2192" s="17"/>
      <c r="T2192" s="13"/>
      <c r="U2192" s="13"/>
      <c r="V2192" s="13"/>
      <c r="W2192" s="13"/>
    </row>
    <row r="2193" spans="4:23" ht="27" customHeight="1" x14ac:dyDescent="0.25">
      <c r="D2193" s="14" t="s">
        <v>7253</v>
      </c>
      <c r="E2193" s="14" t="s">
        <v>2723</v>
      </c>
      <c r="F2193" s="84" t="s">
        <v>592</v>
      </c>
      <c r="G2193" s="15" t="s">
        <v>27</v>
      </c>
      <c r="H2193" s="16" t="s">
        <v>7254</v>
      </c>
      <c r="I2193" s="17"/>
      <c r="J2193" s="17"/>
      <c r="K2193" s="17"/>
      <c r="L2193" s="17"/>
      <c r="T2193" s="13"/>
      <c r="U2193" s="13"/>
      <c r="V2193" s="13"/>
      <c r="W2193" s="13"/>
    </row>
    <row r="2194" spans="4:23" ht="27" customHeight="1" x14ac:dyDescent="0.25">
      <c r="D2194" s="14" t="s">
        <v>7255</v>
      </c>
      <c r="E2194" s="14" t="s">
        <v>3582</v>
      </c>
      <c r="F2194" s="84" t="s">
        <v>1201</v>
      </c>
      <c r="G2194" s="15" t="s">
        <v>27</v>
      </c>
      <c r="H2194" s="16" t="s">
        <v>7256</v>
      </c>
      <c r="I2194" s="17"/>
      <c r="J2194" s="17"/>
      <c r="K2194" s="17"/>
      <c r="L2194" s="17"/>
      <c r="T2194" s="13"/>
      <c r="U2194" s="13"/>
      <c r="V2194" s="13"/>
      <c r="W2194" s="13"/>
    </row>
    <row r="2195" spans="4:23" ht="27" customHeight="1" x14ac:dyDescent="0.25">
      <c r="D2195" s="14" t="s">
        <v>7257</v>
      </c>
      <c r="E2195" s="14" t="s">
        <v>7258</v>
      </c>
      <c r="F2195" s="84" t="s">
        <v>266</v>
      </c>
      <c r="G2195" s="15" t="s">
        <v>27</v>
      </c>
      <c r="H2195" s="16" t="s">
        <v>7259</v>
      </c>
      <c r="I2195" s="17"/>
      <c r="J2195" s="17"/>
      <c r="K2195" s="17"/>
      <c r="L2195" s="17"/>
      <c r="T2195" s="13"/>
      <c r="U2195" s="13"/>
      <c r="V2195" s="13"/>
      <c r="W2195" s="13"/>
    </row>
    <row r="2196" spans="4:23" ht="27" customHeight="1" x14ac:dyDescent="0.25">
      <c r="D2196" s="14" t="s">
        <v>7260</v>
      </c>
      <c r="E2196" s="14" t="s">
        <v>7261</v>
      </c>
      <c r="F2196" s="84" t="s">
        <v>1392</v>
      </c>
      <c r="G2196" s="15" t="s">
        <v>68</v>
      </c>
      <c r="H2196" s="16" t="s">
        <v>7262</v>
      </c>
      <c r="I2196" s="17"/>
      <c r="J2196" s="17"/>
      <c r="K2196" s="17"/>
      <c r="L2196" s="17"/>
      <c r="T2196" s="13"/>
      <c r="U2196" s="13"/>
      <c r="V2196" s="13"/>
      <c r="W2196" s="13"/>
    </row>
    <row r="2197" spans="4:23" ht="27" customHeight="1" x14ac:dyDescent="0.25">
      <c r="D2197" s="14" t="s">
        <v>7263</v>
      </c>
      <c r="E2197" s="14" t="s">
        <v>4073</v>
      </c>
      <c r="F2197" s="84" t="s">
        <v>239</v>
      </c>
      <c r="G2197" s="15" t="s">
        <v>27</v>
      </c>
      <c r="H2197" s="16" t="s">
        <v>7264</v>
      </c>
      <c r="I2197" s="17"/>
      <c r="J2197" s="17"/>
      <c r="K2197" s="17"/>
      <c r="L2197" s="17"/>
      <c r="T2197" s="13"/>
      <c r="U2197" s="13"/>
      <c r="V2197" s="13"/>
      <c r="W2197" s="13"/>
    </row>
    <row r="2198" spans="4:23" ht="27" customHeight="1" x14ac:dyDescent="0.25">
      <c r="D2198" s="14" t="s">
        <v>7265</v>
      </c>
      <c r="E2198" s="14" t="s">
        <v>3815</v>
      </c>
      <c r="F2198" s="84" t="s">
        <v>61</v>
      </c>
      <c r="G2198" s="15" t="s">
        <v>68</v>
      </c>
      <c r="H2198" s="16" t="s">
        <v>7266</v>
      </c>
      <c r="I2198" s="17"/>
      <c r="J2198" s="17"/>
      <c r="K2198" s="17"/>
      <c r="L2198" s="17"/>
      <c r="T2198" s="13"/>
      <c r="U2198" s="13"/>
      <c r="V2198" s="13"/>
      <c r="W2198" s="13"/>
    </row>
    <row r="2199" spans="4:23" ht="27" customHeight="1" x14ac:dyDescent="0.25">
      <c r="D2199" s="14" t="s">
        <v>7267</v>
      </c>
      <c r="E2199" s="14" t="s">
        <v>7268</v>
      </c>
      <c r="F2199" s="84" t="s">
        <v>2250</v>
      </c>
      <c r="G2199" s="15" t="s">
        <v>27</v>
      </c>
      <c r="H2199" s="16" t="s">
        <v>7269</v>
      </c>
      <c r="I2199" s="17"/>
      <c r="J2199" s="17"/>
      <c r="K2199" s="17"/>
      <c r="L2199" s="17"/>
      <c r="T2199" s="13"/>
      <c r="U2199" s="13"/>
      <c r="V2199" s="13"/>
      <c r="W2199" s="13"/>
    </row>
    <row r="2200" spans="4:23" ht="27" customHeight="1" x14ac:dyDescent="0.25">
      <c r="D2200" s="14" t="s">
        <v>7270</v>
      </c>
      <c r="E2200" s="14" t="s">
        <v>1301</v>
      </c>
      <c r="F2200" s="84" t="s">
        <v>359</v>
      </c>
      <c r="G2200" s="15" t="s">
        <v>27</v>
      </c>
      <c r="H2200" s="16" t="s">
        <v>7271</v>
      </c>
      <c r="I2200" s="17"/>
      <c r="J2200" s="17"/>
      <c r="K2200" s="17"/>
      <c r="L2200" s="17"/>
      <c r="T2200" s="13"/>
      <c r="U2200" s="13"/>
      <c r="V2200" s="13"/>
      <c r="W2200" s="13"/>
    </row>
    <row r="2201" spans="4:23" ht="27" customHeight="1" x14ac:dyDescent="0.25">
      <c r="D2201" s="14" t="s">
        <v>7272</v>
      </c>
      <c r="E2201" s="14" t="s">
        <v>7273</v>
      </c>
      <c r="F2201" s="84" t="s">
        <v>175</v>
      </c>
      <c r="G2201" s="15" t="s">
        <v>27</v>
      </c>
      <c r="H2201" s="16" t="s">
        <v>7274</v>
      </c>
      <c r="I2201" s="17"/>
      <c r="J2201" s="17"/>
      <c r="K2201" s="17"/>
      <c r="L2201" s="17"/>
      <c r="T2201" s="13"/>
      <c r="U2201" s="13"/>
      <c r="V2201" s="13"/>
      <c r="W2201" s="13"/>
    </row>
    <row r="2202" spans="4:23" ht="27" customHeight="1" x14ac:dyDescent="0.25">
      <c r="D2202" s="14" t="s">
        <v>7275</v>
      </c>
      <c r="E2202" s="14" t="s">
        <v>3650</v>
      </c>
      <c r="F2202" s="84" t="s">
        <v>1201</v>
      </c>
      <c r="G2202" s="15" t="s">
        <v>27</v>
      </c>
      <c r="H2202" s="16" t="s">
        <v>7276</v>
      </c>
      <c r="I2202" s="17"/>
      <c r="J2202" s="17"/>
      <c r="K2202" s="17"/>
      <c r="L2202" s="17"/>
      <c r="T2202" s="13"/>
      <c r="U2202" s="13"/>
      <c r="V2202" s="13"/>
      <c r="W2202" s="13"/>
    </row>
    <row r="2203" spans="4:23" ht="27" customHeight="1" x14ac:dyDescent="0.25">
      <c r="D2203" s="14" t="s">
        <v>7277</v>
      </c>
      <c r="E2203" s="14" t="s">
        <v>4846</v>
      </c>
      <c r="F2203" s="84" t="s">
        <v>444</v>
      </c>
      <c r="G2203" s="15" t="s">
        <v>27</v>
      </c>
      <c r="H2203" s="16" t="s">
        <v>7278</v>
      </c>
      <c r="I2203" s="17"/>
      <c r="J2203" s="17"/>
      <c r="K2203" s="17"/>
      <c r="L2203" s="17"/>
      <c r="T2203" s="13"/>
      <c r="U2203" s="13"/>
      <c r="V2203" s="13"/>
      <c r="W2203" s="13"/>
    </row>
    <row r="2204" spans="4:23" ht="27" customHeight="1" x14ac:dyDescent="0.25">
      <c r="D2204" s="14" t="s">
        <v>7279</v>
      </c>
      <c r="E2204" s="14" t="s">
        <v>3466</v>
      </c>
      <c r="F2204" s="84" t="s">
        <v>566</v>
      </c>
      <c r="G2204" s="15" t="s">
        <v>68</v>
      </c>
      <c r="H2204" s="16" t="s">
        <v>7280</v>
      </c>
      <c r="I2204" s="17"/>
      <c r="J2204" s="17"/>
      <c r="K2204" s="17"/>
      <c r="L2204" s="17"/>
      <c r="T2204" s="13"/>
      <c r="U2204" s="13"/>
      <c r="V2204" s="13"/>
      <c r="W2204" s="13"/>
    </row>
    <row r="2205" spans="4:23" ht="27" customHeight="1" x14ac:dyDescent="0.25">
      <c r="D2205" s="14" t="s">
        <v>7281</v>
      </c>
      <c r="E2205" s="14" t="s">
        <v>7282</v>
      </c>
      <c r="F2205" s="84" t="s">
        <v>321</v>
      </c>
      <c r="G2205" s="15" t="s">
        <v>27</v>
      </c>
      <c r="H2205" s="16" t="s">
        <v>7283</v>
      </c>
      <c r="I2205" s="17"/>
      <c r="J2205" s="17"/>
      <c r="K2205" s="17"/>
      <c r="L2205" s="17"/>
      <c r="T2205" s="13"/>
      <c r="U2205" s="13"/>
      <c r="V2205" s="13"/>
      <c r="W2205" s="13"/>
    </row>
    <row r="2206" spans="4:23" ht="27" customHeight="1" x14ac:dyDescent="0.25">
      <c r="D2206" s="14" t="s">
        <v>7284</v>
      </c>
      <c r="E2206" s="14" t="s">
        <v>7285</v>
      </c>
      <c r="F2206" s="84" t="s">
        <v>561</v>
      </c>
      <c r="G2206" s="15" t="s">
        <v>27</v>
      </c>
      <c r="H2206" s="16" t="s">
        <v>7286</v>
      </c>
      <c r="I2206" s="17"/>
      <c r="J2206" s="17"/>
      <c r="K2206" s="17"/>
      <c r="L2206" s="17"/>
      <c r="T2206" s="13"/>
      <c r="U2206" s="13"/>
      <c r="V2206" s="13"/>
      <c r="W2206" s="13"/>
    </row>
    <row r="2207" spans="4:23" ht="27" customHeight="1" x14ac:dyDescent="0.25">
      <c r="D2207" s="14" t="s">
        <v>7287</v>
      </c>
      <c r="E2207" s="14" t="s">
        <v>1474</v>
      </c>
      <c r="F2207" s="84" t="s">
        <v>499</v>
      </c>
      <c r="G2207" s="15" t="s">
        <v>27</v>
      </c>
      <c r="H2207" s="16" t="s">
        <v>7288</v>
      </c>
      <c r="I2207" s="17"/>
      <c r="J2207" s="17"/>
      <c r="K2207" s="17"/>
      <c r="L2207" s="17"/>
      <c r="T2207" s="13"/>
      <c r="U2207" s="13"/>
      <c r="V2207" s="13"/>
      <c r="W2207" s="13"/>
    </row>
    <row r="2208" spans="4:23" ht="27" customHeight="1" x14ac:dyDescent="0.25">
      <c r="D2208" s="14" t="s">
        <v>7289</v>
      </c>
      <c r="E2208" s="14" t="s">
        <v>7290</v>
      </c>
      <c r="F2208" s="84" t="s">
        <v>524</v>
      </c>
      <c r="G2208" s="15" t="s">
        <v>68</v>
      </c>
      <c r="H2208" s="16" t="s">
        <v>7291</v>
      </c>
      <c r="I2208" s="17"/>
      <c r="J2208" s="17"/>
      <c r="K2208" s="17"/>
      <c r="L2208" s="17"/>
      <c r="T2208" s="13"/>
      <c r="U2208" s="13"/>
      <c r="V2208" s="13"/>
      <c r="W2208" s="13"/>
    </row>
    <row r="2209" spans="4:23" ht="27" customHeight="1" x14ac:dyDescent="0.25">
      <c r="D2209" s="14" t="s">
        <v>7292</v>
      </c>
      <c r="E2209" s="14" t="s">
        <v>3213</v>
      </c>
      <c r="F2209" s="84" t="s">
        <v>1473</v>
      </c>
      <c r="G2209" s="15" t="s">
        <v>27</v>
      </c>
      <c r="H2209" s="16" t="s">
        <v>7293</v>
      </c>
      <c r="I2209" s="17"/>
      <c r="J2209" s="17"/>
      <c r="K2209" s="17"/>
      <c r="L2209" s="17"/>
      <c r="T2209" s="13"/>
      <c r="U2209" s="13"/>
      <c r="V2209" s="13"/>
      <c r="W2209" s="13"/>
    </row>
    <row r="2210" spans="4:23" ht="27" customHeight="1" x14ac:dyDescent="0.25">
      <c r="D2210" s="14" t="s">
        <v>7294</v>
      </c>
      <c r="E2210" s="14" t="s">
        <v>7295</v>
      </c>
      <c r="F2210" s="84" t="s">
        <v>533</v>
      </c>
      <c r="G2210" s="15" t="s">
        <v>68</v>
      </c>
      <c r="H2210" s="16" t="s">
        <v>7296</v>
      </c>
      <c r="I2210" s="17"/>
      <c r="J2210" s="17"/>
      <c r="K2210" s="17"/>
      <c r="L2210" s="17"/>
      <c r="T2210" s="13"/>
      <c r="U2210" s="13"/>
      <c r="V2210" s="13"/>
      <c r="W2210" s="13"/>
    </row>
    <row r="2211" spans="4:23" ht="27" customHeight="1" x14ac:dyDescent="0.25">
      <c r="D2211" s="14" t="s">
        <v>7297</v>
      </c>
      <c r="E2211" s="14" t="s">
        <v>3877</v>
      </c>
      <c r="F2211" s="84" t="s">
        <v>61</v>
      </c>
      <c r="G2211" s="15" t="s">
        <v>68</v>
      </c>
      <c r="H2211" s="16" t="s">
        <v>7298</v>
      </c>
      <c r="I2211" s="17"/>
      <c r="J2211" s="17"/>
      <c r="K2211" s="17"/>
      <c r="L2211" s="17"/>
      <c r="T2211" s="13"/>
      <c r="U2211" s="13"/>
      <c r="V2211" s="13"/>
      <c r="W2211" s="13"/>
    </row>
    <row r="2212" spans="4:23" ht="27" customHeight="1" x14ac:dyDescent="0.25">
      <c r="D2212" s="14" t="s">
        <v>7299</v>
      </c>
      <c r="E2212" s="14" t="s">
        <v>853</v>
      </c>
      <c r="F2212" s="84" t="s">
        <v>2135</v>
      </c>
      <c r="G2212" s="15" t="s">
        <v>68</v>
      </c>
      <c r="H2212" s="16" t="s">
        <v>7300</v>
      </c>
      <c r="I2212" s="17"/>
      <c r="J2212" s="17"/>
      <c r="K2212" s="17"/>
      <c r="L2212" s="17"/>
      <c r="T2212" s="13"/>
      <c r="U2212" s="13"/>
      <c r="V2212" s="13"/>
      <c r="W2212" s="13"/>
    </row>
    <row r="2213" spans="4:23" ht="27" customHeight="1" x14ac:dyDescent="0.25">
      <c r="D2213" s="14" t="s">
        <v>7301</v>
      </c>
      <c r="E2213" s="14" t="s">
        <v>7302</v>
      </c>
      <c r="F2213" s="84" t="s">
        <v>422</v>
      </c>
      <c r="G2213" s="15" t="s">
        <v>27</v>
      </c>
      <c r="H2213" s="16" t="s">
        <v>7303</v>
      </c>
      <c r="I2213" s="17"/>
      <c r="J2213" s="17"/>
      <c r="K2213" s="17"/>
      <c r="L2213" s="17"/>
      <c r="T2213" s="13"/>
      <c r="U2213" s="13"/>
      <c r="V2213" s="13"/>
      <c r="W2213" s="13"/>
    </row>
    <row r="2214" spans="4:23" ht="27" customHeight="1" x14ac:dyDescent="0.25">
      <c r="D2214" s="14" t="s">
        <v>7304</v>
      </c>
      <c r="E2214" s="14" t="s">
        <v>3763</v>
      </c>
      <c r="F2214" s="84" t="s">
        <v>471</v>
      </c>
      <c r="G2214" s="15" t="s">
        <v>27</v>
      </c>
      <c r="H2214" s="16" t="s">
        <v>7305</v>
      </c>
      <c r="I2214" s="17"/>
      <c r="J2214" s="17"/>
      <c r="K2214" s="17"/>
      <c r="L2214" s="17"/>
      <c r="T2214" s="13"/>
      <c r="U2214" s="13"/>
      <c r="V2214" s="13"/>
      <c r="W2214" s="13"/>
    </row>
    <row r="2215" spans="4:23" ht="27" customHeight="1" x14ac:dyDescent="0.25">
      <c r="D2215" s="14" t="s">
        <v>7306</v>
      </c>
      <c r="E2215" s="14" t="s">
        <v>5211</v>
      </c>
      <c r="F2215" s="84" t="s">
        <v>121</v>
      </c>
      <c r="G2215" s="15" t="s">
        <v>68</v>
      </c>
      <c r="H2215" s="16" t="s">
        <v>7307</v>
      </c>
      <c r="I2215" s="17"/>
      <c r="J2215" s="17"/>
      <c r="K2215" s="17"/>
      <c r="L2215" s="17"/>
      <c r="T2215" s="13"/>
      <c r="U2215" s="13"/>
      <c r="V2215" s="13"/>
      <c r="W2215" s="13"/>
    </row>
    <row r="2216" spans="4:23" ht="27" customHeight="1" x14ac:dyDescent="0.25">
      <c r="D2216" s="14" t="s">
        <v>7308</v>
      </c>
      <c r="E2216" s="14" t="s">
        <v>5392</v>
      </c>
      <c r="F2216" s="84" t="s">
        <v>407</v>
      </c>
      <c r="G2216" s="15" t="s">
        <v>27</v>
      </c>
      <c r="H2216" s="16" t="s">
        <v>7309</v>
      </c>
      <c r="I2216" s="17"/>
      <c r="J2216" s="17"/>
      <c r="K2216" s="17"/>
      <c r="L2216" s="17"/>
      <c r="T2216" s="13"/>
      <c r="U2216" s="13"/>
      <c r="V2216" s="13"/>
      <c r="W2216" s="13"/>
    </row>
    <row r="2217" spans="4:23" ht="27" customHeight="1" x14ac:dyDescent="0.25">
      <c r="D2217" s="14" t="s">
        <v>7310</v>
      </c>
      <c r="E2217" s="14" t="s">
        <v>4131</v>
      </c>
      <c r="F2217" s="84" t="s">
        <v>239</v>
      </c>
      <c r="G2217" s="15" t="s">
        <v>27</v>
      </c>
      <c r="H2217" s="16" t="s">
        <v>7311</v>
      </c>
      <c r="I2217" s="17"/>
      <c r="J2217" s="17"/>
      <c r="K2217" s="17"/>
      <c r="L2217" s="17"/>
      <c r="T2217" s="13"/>
      <c r="U2217" s="13"/>
      <c r="V2217" s="13"/>
      <c r="W2217" s="13"/>
    </row>
    <row r="2218" spans="4:23" ht="27" customHeight="1" x14ac:dyDescent="0.25">
      <c r="D2218" s="14" t="s">
        <v>7312</v>
      </c>
      <c r="E2218" s="14" t="s">
        <v>5334</v>
      </c>
      <c r="F2218" s="84" t="s">
        <v>407</v>
      </c>
      <c r="G2218" s="15" t="s">
        <v>27</v>
      </c>
      <c r="H2218" s="16" t="s">
        <v>7313</v>
      </c>
      <c r="I2218" s="17"/>
      <c r="J2218" s="17"/>
      <c r="K2218" s="17"/>
      <c r="L2218" s="17"/>
      <c r="T2218" s="13"/>
      <c r="U2218" s="13"/>
      <c r="V2218" s="13"/>
      <c r="W2218" s="13"/>
    </row>
    <row r="2219" spans="4:23" ht="27" customHeight="1" x14ac:dyDescent="0.25">
      <c r="D2219" s="14" t="s">
        <v>7314</v>
      </c>
      <c r="E2219" s="14" t="s">
        <v>7315</v>
      </c>
      <c r="F2219" s="84" t="s">
        <v>1318</v>
      </c>
      <c r="G2219" s="15" t="s">
        <v>27</v>
      </c>
      <c r="H2219" s="16" t="s">
        <v>7316</v>
      </c>
      <c r="I2219" s="17"/>
      <c r="J2219" s="17"/>
      <c r="K2219" s="17"/>
      <c r="L2219" s="17"/>
      <c r="T2219" s="13"/>
      <c r="U2219" s="13"/>
      <c r="V2219" s="13"/>
      <c r="W2219" s="13"/>
    </row>
    <row r="2220" spans="4:23" ht="27" customHeight="1" x14ac:dyDescent="0.25">
      <c r="D2220" s="14" t="s">
        <v>7317</v>
      </c>
      <c r="E2220" s="14" t="s">
        <v>4418</v>
      </c>
      <c r="F2220" s="84" t="s">
        <v>1535</v>
      </c>
      <c r="G2220" s="15" t="s">
        <v>68</v>
      </c>
      <c r="H2220" s="16" t="s">
        <v>7318</v>
      </c>
      <c r="I2220" s="17"/>
      <c r="J2220" s="17"/>
      <c r="K2220" s="17"/>
      <c r="L2220" s="17"/>
      <c r="T2220" s="13"/>
      <c r="U2220" s="13"/>
      <c r="V2220" s="13"/>
      <c r="W2220" s="13"/>
    </row>
    <row r="2221" spans="4:23" ht="27" customHeight="1" x14ac:dyDescent="0.25">
      <c r="D2221" s="14" t="s">
        <v>7319</v>
      </c>
      <c r="E2221" s="14" t="s">
        <v>7320</v>
      </c>
      <c r="F2221" s="84" t="s">
        <v>1088</v>
      </c>
      <c r="G2221" s="15" t="s">
        <v>27</v>
      </c>
      <c r="H2221" s="16" t="s">
        <v>7321</v>
      </c>
      <c r="I2221" s="17"/>
      <c r="J2221" s="17"/>
      <c r="K2221" s="17"/>
      <c r="L2221" s="17"/>
      <c r="T2221" s="13"/>
      <c r="U2221" s="13"/>
      <c r="V2221" s="13"/>
      <c r="W2221" s="13"/>
    </row>
    <row r="2222" spans="4:23" ht="27" customHeight="1" x14ac:dyDescent="0.25">
      <c r="D2222" s="14" t="s">
        <v>7322</v>
      </c>
      <c r="E2222" s="14" t="s">
        <v>7323</v>
      </c>
      <c r="F2222" s="84" t="s">
        <v>524</v>
      </c>
      <c r="G2222" s="15" t="s">
        <v>27</v>
      </c>
      <c r="H2222" s="16" t="s">
        <v>7324</v>
      </c>
      <c r="I2222" s="17"/>
      <c r="J2222" s="17"/>
      <c r="K2222" s="17"/>
      <c r="L2222" s="17"/>
      <c r="T2222" s="13"/>
      <c r="U2222" s="13"/>
      <c r="V2222" s="13"/>
      <c r="W2222" s="13"/>
    </row>
    <row r="2223" spans="4:23" ht="27" customHeight="1" x14ac:dyDescent="0.25">
      <c r="D2223" s="14" t="s">
        <v>7325</v>
      </c>
      <c r="E2223" s="14" t="s">
        <v>7326</v>
      </c>
      <c r="F2223" s="84" t="s">
        <v>952</v>
      </c>
      <c r="G2223" s="15" t="s">
        <v>27</v>
      </c>
      <c r="H2223" s="16" t="s">
        <v>7327</v>
      </c>
      <c r="I2223" s="17"/>
      <c r="J2223" s="17"/>
      <c r="K2223" s="17"/>
      <c r="L2223" s="17"/>
      <c r="T2223" s="13"/>
      <c r="U2223" s="13"/>
      <c r="V2223" s="13"/>
      <c r="W2223" s="13"/>
    </row>
    <row r="2224" spans="4:23" ht="27" customHeight="1" x14ac:dyDescent="0.25">
      <c r="D2224" s="14" t="s">
        <v>7328</v>
      </c>
      <c r="E2224" s="14" t="s">
        <v>7329</v>
      </c>
      <c r="F2224" s="84" t="s">
        <v>343</v>
      </c>
      <c r="G2224" s="15" t="s">
        <v>27</v>
      </c>
      <c r="H2224" s="16" t="s">
        <v>7330</v>
      </c>
      <c r="I2224" s="17"/>
      <c r="J2224" s="17"/>
      <c r="K2224" s="17"/>
      <c r="L2224" s="17"/>
      <c r="T2224" s="13"/>
      <c r="U2224" s="13"/>
      <c r="V2224" s="13"/>
      <c r="W2224" s="13"/>
    </row>
    <row r="2225" spans="4:23" ht="27" customHeight="1" x14ac:dyDescent="0.25">
      <c r="D2225" s="14" t="s">
        <v>7331</v>
      </c>
      <c r="E2225" s="14" t="s">
        <v>3410</v>
      </c>
      <c r="F2225" s="84" t="s">
        <v>316</v>
      </c>
      <c r="G2225" s="15" t="s">
        <v>27</v>
      </c>
      <c r="H2225" s="16" t="s">
        <v>7332</v>
      </c>
      <c r="I2225" s="17"/>
      <c r="J2225" s="17"/>
      <c r="K2225" s="17"/>
      <c r="L2225" s="17"/>
      <c r="T2225" s="13"/>
      <c r="U2225" s="13"/>
      <c r="V2225" s="13"/>
      <c r="W2225" s="13"/>
    </row>
    <row r="2226" spans="4:23" ht="27" customHeight="1" x14ac:dyDescent="0.25">
      <c r="D2226" s="14" t="s">
        <v>7333</v>
      </c>
      <c r="E2226" s="14" t="s">
        <v>7334</v>
      </c>
      <c r="F2226" s="84" t="s">
        <v>887</v>
      </c>
      <c r="G2226" s="15" t="s">
        <v>27</v>
      </c>
      <c r="H2226" s="16" t="s">
        <v>7335</v>
      </c>
      <c r="I2226" s="17"/>
      <c r="J2226" s="17"/>
      <c r="K2226" s="17"/>
      <c r="L2226" s="17"/>
      <c r="T2226" s="13"/>
      <c r="U2226" s="13"/>
      <c r="V2226" s="13"/>
      <c r="W2226" s="13"/>
    </row>
    <row r="2227" spans="4:23" ht="27" customHeight="1" x14ac:dyDescent="0.25">
      <c r="D2227" s="14" t="s">
        <v>7336</v>
      </c>
      <c r="E2227" s="14" t="s">
        <v>7337</v>
      </c>
      <c r="F2227" s="84" t="s">
        <v>834</v>
      </c>
      <c r="G2227" s="15" t="s">
        <v>27</v>
      </c>
      <c r="H2227" s="16" t="s">
        <v>7338</v>
      </c>
      <c r="I2227" s="17"/>
      <c r="J2227" s="17"/>
      <c r="K2227" s="17"/>
      <c r="L2227" s="17"/>
      <c r="T2227" s="13"/>
      <c r="U2227" s="13"/>
      <c r="V2227" s="13"/>
      <c r="W2227" s="13"/>
    </row>
    <row r="2228" spans="4:23" ht="27" customHeight="1" x14ac:dyDescent="0.25">
      <c r="D2228" s="14" t="s">
        <v>7339</v>
      </c>
      <c r="E2228" s="14" t="s">
        <v>2031</v>
      </c>
      <c r="F2228" s="84" t="s">
        <v>412</v>
      </c>
      <c r="G2228" s="15" t="s">
        <v>27</v>
      </c>
      <c r="H2228" s="16" t="s">
        <v>7340</v>
      </c>
      <c r="I2228" s="17"/>
      <c r="J2228" s="17"/>
      <c r="K2228" s="17"/>
      <c r="L2228" s="17"/>
      <c r="T2228" s="13"/>
      <c r="U2228" s="13"/>
      <c r="V2228" s="13"/>
      <c r="W2228" s="13"/>
    </row>
    <row r="2229" spans="4:23" ht="27" customHeight="1" x14ac:dyDescent="0.25">
      <c r="D2229" s="14" t="s">
        <v>7341</v>
      </c>
      <c r="E2229" s="14" t="s">
        <v>616</v>
      </c>
      <c r="F2229" s="84" t="s">
        <v>107</v>
      </c>
      <c r="G2229" s="15" t="s">
        <v>27</v>
      </c>
      <c r="H2229" s="16" t="s">
        <v>7342</v>
      </c>
      <c r="I2229" s="17"/>
      <c r="J2229" s="17"/>
      <c r="K2229" s="17"/>
      <c r="L2229" s="17"/>
      <c r="T2229" s="13"/>
      <c r="U2229" s="13"/>
      <c r="V2229" s="13"/>
      <c r="W2229" s="13"/>
    </row>
    <row r="2230" spans="4:23" ht="27" customHeight="1" x14ac:dyDescent="0.25">
      <c r="D2230" s="14" t="s">
        <v>7343</v>
      </c>
      <c r="E2230" s="14" t="s">
        <v>1565</v>
      </c>
      <c r="F2230" s="84" t="s">
        <v>508</v>
      </c>
      <c r="G2230" s="15" t="s">
        <v>27</v>
      </c>
      <c r="H2230" s="16" t="s">
        <v>7344</v>
      </c>
      <c r="I2230" s="17"/>
      <c r="J2230" s="17"/>
      <c r="K2230" s="17"/>
      <c r="L2230" s="17"/>
      <c r="T2230" s="13"/>
      <c r="U2230" s="13"/>
      <c r="V2230" s="13"/>
      <c r="W2230" s="13"/>
    </row>
    <row r="2231" spans="4:23" ht="27" customHeight="1" x14ac:dyDescent="0.25">
      <c r="D2231" s="14" t="s">
        <v>7345</v>
      </c>
      <c r="E2231" s="14" t="s">
        <v>4291</v>
      </c>
      <c r="F2231" s="84" t="s">
        <v>348</v>
      </c>
      <c r="G2231" s="15" t="s">
        <v>27</v>
      </c>
      <c r="H2231" s="16" t="s">
        <v>7346</v>
      </c>
      <c r="I2231" s="17"/>
      <c r="J2231" s="17"/>
      <c r="K2231" s="17"/>
      <c r="L2231" s="17"/>
      <c r="T2231" s="13"/>
      <c r="U2231" s="13"/>
      <c r="V2231" s="13"/>
      <c r="W2231" s="13"/>
    </row>
    <row r="2232" spans="4:23" ht="27" customHeight="1" x14ac:dyDescent="0.25">
      <c r="D2232" s="14" t="s">
        <v>7347</v>
      </c>
      <c r="E2232" s="14" t="s">
        <v>7348</v>
      </c>
      <c r="F2232" s="84" t="s">
        <v>887</v>
      </c>
      <c r="G2232" s="15" t="s">
        <v>27</v>
      </c>
      <c r="H2232" s="16" t="s">
        <v>7349</v>
      </c>
      <c r="I2232" s="17"/>
      <c r="J2232" s="17"/>
      <c r="K2232" s="17"/>
      <c r="L2232" s="17"/>
      <c r="T2232" s="13"/>
      <c r="U2232" s="13"/>
      <c r="V2232" s="13"/>
      <c r="W2232" s="13"/>
    </row>
    <row r="2233" spans="4:23" ht="27" customHeight="1" x14ac:dyDescent="0.25">
      <c r="D2233" s="14" t="s">
        <v>7350</v>
      </c>
      <c r="E2233" s="14" t="s">
        <v>4967</v>
      </c>
      <c r="F2233" s="84" t="s">
        <v>444</v>
      </c>
      <c r="G2233" s="15" t="s">
        <v>68</v>
      </c>
      <c r="H2233" s="16" t="s">
        <v>7351</v>
      </c>
      <c r="I2233" s="17"/>
      <c r="J2233" s="17"/>
      <c r="K2233" s="17"/>
      <c r="L2233" s="17"/>
      <c r="T2233" s="13"/>
      <c r="U2233" s="13"/>
      <c r="V2233" s="13"/>
      <c r="W2233" s="13"/>
    </row>
    <row r="2234" spans="4:23" ht="27" customHeight="1" x14ac:dyDescent="0.25">
      <c r="D2234" s="14" t="s">
        <v>7352</v>
      </c>
      <c r="E2234" s="14" t="s">
        <v>7353</v>
      </c>
      <c r="F2234" s="84" t="s">
        <v>847</v>
      </c>
      <c r="G2234" s="15" t="s">
        <v>27</v>
      </c>
      <c r="H2234" s="16" t="s">
        <v>7354</v>
      </c>
      <c r="I2234" s="17"/>
      <c r="J2234" s="17"/>
      <c r="K2234" s="17"/>
      <c r="L2234" s="17"/>
      <c r="T2234" s="13"/>
      <c r="U2234" s="13"/>
      <c r="V2234" s="13"/>
      <c r="W2234" s="13"/>
    </row>
    <row r="2235" spans="4:23" ht="27" customHeight="1" x14ac:dyDescent="0.25">
      <c r="D2235" s="14" t="s">
        <v>7355</v>
      </c>
      <c r="E2235" s="14" t="s">
        <v>7356</v>
      </c>
      <c r="F2235" s="84" t="s">
        <v>969</v>
      </c>
      <c r="G2235" s="15" t="s">
        <v>27</v>
      </c>
      <c r="H2235" s="16" t="s">
        <v>7357</v>
      </c>
      <c r="I2235" s="17"/>
      <c r="J2235" s="17"/>
      <c r="K2235" s="17"/>
      <c r="L2235" s="17"/>
      <c r="T2235" s="13"/>
      <c r="U2235" s="13"/>
      <c r="V2235" s="13"/>
      <c r="W2235" s="13"/>
    </row>
    <row r="2236" spans="4:23" ht="27" customHeight="1" x14ac:dyDescent="0.25">
      <c r="D2236" s="14" t="s">
        <v>7358</v>
      </c>
      <c r="E2236" s="14" t="s">
        <v>3032</v>
      </c>
      <c r="F2236" s="84" t="s">
        <v>485</v>
      </c>
      <c r="G2236" s="15" t="s">
        <v>68</v>
      </c>
      <c r="H2236" s="16" t="s">
        <v>7359</v>
      </c>
      <c r="I2236" s="17"/>
      <c r="J2236" s="17"/>
      <c r="K2236" s="17"/>
      <c r="L2236" s="17"/>
      <c r="T2236" s="13"/>
      <c r="U2236" s="13"/>
      <c r="V2236" s="13"/>
      <c r="W2236" s="13"/>
    </row>
    <row r="2237" spans="4:23" ht="27" customHeight="1" x14ac:dyDescent="0.25">
      <c r="D2237" s="14" t="s">
        <v>7360</v>
      </c>
      <c r="E2237" s="14" t="s">
        <v>5021</v>
      </c>
      <c r="F2237" s="84" t="s">
        <v>206</v>
      </c>
      <c r="G2237" s="15" t="s">
        <v>27</v>
      </c>
      <c r="H2237" s="16" t="s">
        <v>7361</v>
      </c>
      <c r="I2237" s="17"/>
      <c r="J2237" s="17"/>
      <c r="K2237" s="17"/>
      <c r="L2237" s="17"/>
      <c r="T2237" s="13"/>
      <c r="U2237" s="13"/>
      <c r="V2237" s="13"/>
      <c r="W2237" s="13"/>
    </row>
    <row r="2238" spans="4:23" ht="27" customHeight="1" x14ac:dyDescent="0.25">
      <c r="D2238" s="14" t="s">
        <v>7362</v>
      </c>
      <c r="E2238" s="14" t="s">
        <v>7363</v>
      </c>
      <c r="F2238" s="84" t="s">
        <v>302</v>
      </c>
      <c r="G2238" s="15" t="s">
        <v>27</v>
      </c>
      <c r="H2238" s="16" t="s">
        <v>7364</v>
      </c>
      <c r="I2238" s="17"/>
      <c r="J2238" s="17"/>
      <c r="K2238" s="17"/>
      <c r="L2238" s="17"/>
      <c r="T2238" s="13"/>
      <c r="U2238" s="13"/>
      <c r="V2238" s="13"/>
      <c r="W2238" s="13"/>
    </row>
    <row r="2239" spans="4:23" ht="27" customHeight="1" x14ac:dyDescent="0.25">
      <c r="D2239" s="14" t="s">
        <v>7365</v>
      </c>
      <c r="E2239" s="14" t="s">
        <v>7366</v>
      </c>
      <c r="F2239" s="84" t="s">
        <v>343</v>
      </c>
      <c r="G2239" s="15" t="s">
        <v>27</v>
      </c>
      <c r="H2239" s="16" t="s">
        <v>7367</v>
      </c>
      <c r="I2239" s="17"/>
      <c r="J2239" s="17"/>
      <c r="K2239" s="17"/>
      <c r="L2239" s="17"/>
      <c r="T2239" s="13"/>
      <c r="U2239" s="13"/>
      <c r="V2239" s="13"/>
      <c r="W2239" s="13"/>
    </row>
    <row r="2240" spans="4:23" ht="27" customHeight="1" x14ac:dyDescent="0.25">
      <c r="D2240" s="14" t="s">
        <v>7368</v>
      </c>
      <c r="E2240" s="14" t="s">
        <v>2768</v>
      </c>
      <c r="F2240" s="84" t="s">
        <v>296</v>
      </c>
      <c r="G2240" s="15" t="s">
        <v>27</v>
      </c>
      <c r="H2240" s="16" t="s">
        <v>7369</v>
      </c>
      <c r="I2240" s="17"/>
      <c r="J2240" s="17"/>
      <c r="K2240" s="17"/>
      <c r="L2240" s="17"/>
      <c r="T2240" s="13"/>
      <c r="U2240" s="13"/>
      <c r="V2240" s="13"/>
      <c r="W2240" s="13"/>
    </row>
    <row r="2241" spans="4:23" ht="27" customHeight="1" x14ac:dyDescent="0.25">
      <c r="D2241" s="14" t="s">
        <v>7370</v>
      </c>
      <c r="E2241" s="14" t="s">
        <v>7371</v>
      </c>
      <c r="F2241" s="84" t="s">
        <v>627</v>
      </c>
      <c r="G2241" s="15" t="s">
        <v>27</v>
      </c>
      <c r="H2241" s="16" t="s">
        <v>7372</v>
      </c>
      <c r="I2241" s="17"/>
      <c r="J2241" s="17"/>
      <c r="K2241" s="17"/>
      <c r="L2241" s="17"/>
      <c r="T2241" s="13"/>
      <c r="U2241" s="13"/>
      <c r="V2241" s="13"/>
      <c r="W2241" s="13"/>
    </row>
    <row r="2242" spans="4:23" ht="27" customHeight="1" x14ac:dyDescent="0.25">
      <c r="D2242" s="14" t="s">
        <v>7373</v>
      </c>
      <c r="E2242" s="14" t="s">
        <v>7374</v>
      </c>
      <c r="F2242" s="84" t="s">
        <v>211</v>
      </c>
      <c r="G2242" s="15" t="s">
        <v>27</v>
      </c>
      <c r="H2242" s="16" t="s">
        <v>7375</v>
      </c>
      <c r="I2242" s="17"/>
      <c r="J2242" s="17"/>
      <c r="K2242" s="17"/>
      <c r="L2242" s="17"/>
      <c r="T2242" s="13"/>
      <c r="U2242" s="13"/>
      <c r="V2242" s="13"/>
      <c r="W2242" s="13"/>
    </row>
    <row r="2243" spans="4:23" ht="27" customHeight="1" x14ac:dyDescent="0.25">
      <c r="D2243" s="14" t="s">
        <v>7376</v>
      </c>
      <c r="E2243" s="14" t="s">
        <v>5136</v>
      </c>
      <c r="F2243" s="84" t="s">
        <v>121</v>
      </c>
      <c r="G2243" s="15" t="s">
        <v>27</v>
      </c>
      <c r="H2243" s="16" t="s">
        <v>7377</v>
      </c>
      <c r="I2243" s="17"/>
      <c r="J2243" s="17"/>
      <c r="K2243" s="17"/>
      <c r="L2243" s="17"/>
      <c r="T2243" s="13"/>
      <c r="U2243" s="13"/>
      <c r="V2243" s="13"/>
      <c r="W2243" s="13"/>
    </row>
    <row r="2244" spans="4:23" ht="27" customHeight="1" x14ac:dyDescent="0.25">
      <c r="D2244" s="14" t="s">
        <v>7378</v>
      </c>
      <c r="E2244" s="14" t="s">
        <v>2943</v>
      </c>
      <c r="F2244" s="84" t="s">
        <v>92</v>
      </c>
      <c r="G2244" s="15" t="s">
        <v>68</v>
      </c>
      <c r="H2244" s="16" t="s">
        <v>7379</v>
      </c>
      <c r="I2244" s="17"/>
      <c r="J2244" s="17"/>
      <c r="K2244" s="17"/>
      <c r="L2244" s="17"/>
      <c r="T2244" s="13"/>
      <c r="U2244" s="13"/>
      <c r="V2244" s="13"/>
      <c r="W2244" s="13"/>
    </row>
    <row r="2245" spans="4:23" ht="27" customHeight="1" x14ac:dyDescent="0.25">
      <c r="D2245" s="14" t="s">
        <v>7380</v>
      </c>
      <c r="E2245" s="14" t="s">
        <v>1239</v>
      </c>
      <c r="F2245" s="84" t="s">
        <v>674</v>
      </c>
      <c r="G2245" s="15" t="s">
        <v>27</v>
      </c>
      <c r="H2245" s="16" t="s">
        <v>7381</v>
      </c>
      <c r="I2245" s="17"/>
      <c r="J2245" s="17"/>
      <c r="K2245" s="17"/>
      <c r="L2245" s="17"/>
      <c r="T2245" s="13"/>
      <c r="U2245" s="13"/>
      <c r="V2245" s="13"/>
      <c r="W2245" s="13"/>
    </row>
    <row r="2246" spans="4:23" ht="27" customHeight="1" x14ac:dyDescent="0.25">
      <c r="D2246" s="14" t="s">
        <v>7382</v>
      </c>
      <c r="E2246" s="14" t="s">
        <v>7383</v>
      </c>
      <c r="F2246" s="84" t="s">
        <v>1029</v>
      </c>
      <c r="G2246" s="15" t="s">
        <v>27</v>
      </c>
      <c r="H2246" s="16" t="s">
        <v>7384</v>
      </c>
      <c r="I2246" s="17"/>
      <c r="J2246" s="17"/>
      <c r="K2246" s="17"/>
      <c r="L2246" s="17"/>
      <c r="T2246" s="13"/>
      <c r="U2246" s="13"/>
      <c r="V2246" s="13"/>
      <c r="W2246" s="13"/>
    </row>
    <row r="2247" spans="4:23" ht="27" customHeight="1" x14ac:dyDescent="0.25">
      <c r="D2247" s="14" t="s">
        <v>7385</v>
      </c>
      <c r="E2247" s="14" t="s">
        <v>7386</v>
      </c>
      <c r="F2247" s="84" t="s">
        <v>159</v>
      </c>
      <c r="G2247" s="15" t="s">
        <v>27</v>
      </c>
      <c r="H2247" s="16" t="s">
        <v>7387</v>
      </c>
      <c r="I2247" s="17"/>
      <c r="J2247" s="17"/>
      <c r="K2247" s="17"/>
      <c r="L2247" s="17"/>
      <c r="T2247" s="13"/>
      <c r="U2247" s="13"/>
      <c r="V2247" s="13"/>
      <c r="W2247" s="13"/>
    </row>
    <row r="2248" spans="4:23" ht="27" customHeight="1" x14ac:dyDescent="0.25">
      <c r="D2248" s="14" t="s">
        <v>7388</v>
      </c>
      <c r="E2248" s="14" t="s">
        <v>2124</v>
      </c>
      <c r="F2248" s="84" t="s">
        <v>1572</v>
      </c>
      <c r="G2248" s="15" t="s">
        <v>27</v>
      </c>
      <c r="H2248" s="16" t="s">
        <v>7389</v>
      </c>
      <c r="I2248" s="17"/>
      <c r="J2248" s="17"/>
      <c r="K2248" s="17"/>
      <c r="L2248" s="17"/>
      <c r="T2248" s="13"/>
      <c r="U2248" s="13"/>
      <c r="V2248" s="13"/>
      <c r="W2248" s="13"/>
    </row>
    <row r="2249" spans="4:23" ht="27" customHeight="1" x14ac:dyDescent="0.25">
      <c r="D2249" s="14" t="s">
        <v>7390</v>
      </c>
      <c r="E2249" s="14" t="s">
        <v>1066</v>
      </c>
      <c r="F2249" s="84" t="s">
        <v>764</v>
      </c>
      <c r="G2249" s="15" t="s">
        <v>27</v>
      </c>
      <c r="H2249" s="16" t="s">
        <v>7391</v>
      </c>
      <c r="I2249" s="17"/>
      <c r="J2249" s="17"/>
      <c r="K2249" s="17"/>
      <c r="L2249" s="17"/>
      <c r="T2249" s="13"/>
      <c r="U2249" s="13"/>
      <c r="V2249" s="13"/>
      <c r="W2249" s="13"/>
    </row>
    <row r="2250" spans="4:23" ht="27" customHeight="1" x14ac:dyDescent="0.25">
      <c r="D2250" s="14" t="s">
        <v>7392</v>
      </c>
      <c r="E2250" s="14" t="s">
        <v>7393</v>
      </c>
      <c r="F2250" s="84" t="s">
        <v>674</v>
      </c>
      <c r="G2250" s="15" t="s">
        <v>27</v>
      </c>
      <c r="H2250" s="16" t="s">
        <v>7394</v>
      </c>
      <c r="I2250" s="17"/>
      <c r="J2250" s="17"/>
      <c r="K2250" s="17"/>
      <c r="L2250" s="17"/>
      <c r="T2250" s="13"/>
      <c r="U2250" s="13"/>
      <c r="V2250" s="13"/>
      <c r="W2250" s="13"/>
    </row>
    <row r="2251" spans="4:23" ht="27" customHeight="1" x14ac:dyDescent="0.25">
      <c r="D2251" s="14" t="s">
        <v>7395</v>
      </c>
      <c r="E2251" s="14" t="s">
        <v>7396</v>
      </c>
      <c r="F2251" s="84" t="s">
        <v>129</v>
      </c>
      <c r="G2251" s="15" t="s">
        <v>68</v>
      </c>
      <c r="H2251" s="16" t="s">
        <v>7397</v>
      </c>
      <c r="I2251" s="17"/>
      <c r="J2251" s="17"/>
      <c r="K2251" s="17"/>
      <c r="L2251" s="17"/>
      <c r="T2251" s="13"/>
      <c r="U2251" s="13"/>
      <c r="V2251" s="13"/>
      <c r="W2251" s="13"/>
    </row>
    <row r="2252" spans="4:23" ht="27" customHeight="1" x14ac:dyDescent="0.25">
      <c r="D2252" s="14" t="s">
        <v>7398</v>
      </c>
      <c r="E2252" s="14" t="s">
        <v>7399</v>
      </c>
      <c r="F2252" s="84" t="s">
        <v>597</v>
      </c>
      <c r="G2252" s="15" t="s">
        <v>27</v>
      </c>
      <c r="H2252" s="16" t="s">
        <v>7400</v>
      </c>
      <c r="I2252" s="17"/>
      <c r="J2252" s="17"/>
      <c r="K2252" s="17"/>
      <c r="L2252" s="17"/>
      <c r="T2252" s="13"/>
      <c r="U2252" s="13"/>
      <c r="V2252" s="13"/>
      <c r="W2252" s="13"/>
    </row>
    <row r="2253" spans="4:23" ht="27" customHeight="1" x14ac:dyDescent="0.25">
      <c r="D2253" s="14" t="s">
        <v>7401</v>
      </c>
      <c r="E2253" s="14" t="s">
        <v>3242</v>
      </c>
      <c r="F2253" s="84" t="s">
        <v>1473</v>
      </c>
      <c r="G2253" s="15" t="s">
        <v>27</v>
      </c>
      <c r="H2253" s="16" t="s">
        <v>7402</v>
      </c>
      <c r="I2253" s="17"/>
      <c r="J2253" s="17"/>
      <c r="K2253" s="17"/>
      <c r="L2253" s="17"/>
      <c r="T2253" s="13"/>
      <c r="U2253" s="13"/>
      <c r="V2253" s="13"/>
      <c r="W2253" s="13"/>
    </row>
    <row r="2254" spans="4:23" ht="27" customHeight="1" x14ac:dyDescent="0.25">
      <c r="D2254" s="14" t="s">
        <v>7403</v>
      </c>
      <c r="E2254" s="14" t="s">
        <v>3799</v>
      </c>
      <c r="F2254" s="84" t="s">
        <v>471</v>
      </c>
      <c r="G2254" s="15" t="s">
        <v>27</v>
      </c>
      <c r="H2254" s="16" t="s">
        <v>7404</v>
      </c>
      <c r="I2254" s="17"/>
      <c r="J2254" s="17"/>
      <c r="K2254" s="17"/>
      <c r="L2254" s="17"/>
      <c r="T2254" s="13"/>
      <c r="U2254" s="13"/>
      <c r="V2254" s="13"/>
      <c r="W2254" s="13"/>
    </row>
    <row r="2255" spans="4:23" ht="27" customHeight="1" x14ac:dyDescent="0.25">
      <c r="D2255" s="14" t="s">
        <v>7405</v>
      </c>
      <c r="E2255" s="14" t="s">
        <v>7406</v>
      </c>
      <c r="F2255" s="84" t="s">
        <v>602</v>
      </c>
      <c r="G2255" s="15" t="s">
        <v>68</v>
      </c>
      <c r="H2255" s="16" t="s">
        <v>7407</v>
      </c>
      <c r="I2255" s="17"/>
      <c r="J2255" s="17"/>
      <c r="K2255" s="17"/>
      <c r="L2255" s="17"/>
      <c r="T2255" s="13"/>
      <c r="U2255" s="13"/>
      <c r="V2255" s="13"/>
      <c r="W2255" s="13"/>
    </row>
    <row r="2256" spans="4:23" ht="27" customHeight="1" x14ac:dyDescent="0.25">
      <c r="D2256" s="14" t="s">
        <v>7408</v>
      </c>
      <c r="E2256" s="14" t="s">
        <v>7409</v>
      </c>
      <c r="F2256" s="84" t="s">
        <v>266</v>
      </c>
      <c r="G2256" s="15" t="s">
        <v>27</v>
      </c>
      <c r="H2256" s="16" t="s">
        <v>7410</v>
      </c>
      <c r="I2256" s="17"/>
      <c r="J2256" s="17"/>
      <c r="K2256" s="17"/>
      <c r="L2256" s="17"/>
      <c r="T2256" s="13"/>
      <c r="U2256" s="13"/>
      <c r="V2256" s="13"/>
      <c r="W2256" s="13"/>
    </row>
    <row r="2257" spans="4:23" ht="27" customHeight="1" x14ac:dyDescent="0.25">
      <c r="D2257" s="14" t="s">
        <v>7411</v>
      </c>
      <c r="E2257" s="14" t="s">
        <v>3498</v>
      </c>
      <c r="F2257" s="84" t="s">
        <v>566</v>
      </c>
      <c r="G2257" s="15" t="s">
        <v>68</v>
      </c>
      <c r="H2257" s="16" t="s">
        <v>7412</v>
      </c>
      <c r="I2257" s="17"/>
      <c r="J2257" s="17"/>
      <c r="K2257" s="17"/>
      <c r="L2257" s="17"/>
      <c r="T2257" s="13"/>
      <c r="U2257" s="13"/>
      <c r="V2257" s="13"/>
      <c r="W2257" s="13"/>
    </row>
    <row r="2258" spans="4:23" ht="27" customHeight="1" x14ac:dyDescent="0.25">
      <c r="D2258" s="14" t="s">
        <v>7413</v>
      </c>
      <c r="E2258" s="14" t="s">
        <v>7414</v>
      </c>
      <c r="F2258" s="84" t="s">
        <v>719</v>
      </c>
      <c r="G2258" s="15" t="s">
        <v>27</v>
      </c>
      <c r="H2258" s="16" t="s">
        <v>7415</v>
      </c>
      <c r="I2258" s="17"/>
      <c r="J2258" s="17"/>
      <c r="K2258" s="17"/>
      <c r="L2258" s="17"/>
      <c r="T2258" s="13"/>
      <c r="U2258" s="13"/>
      <c r="V2258" s="13"/>
      <c r="W2258" s="13"/>
    </row>
    <row r="2259" spans="4:23" ht="27" customHeight="1" x14ac:dyDescent="0.25">
      <c r="D2259" s="14" t="s">
        <v>7416</v>
      </c>
      <c r="E2259" s="14" t="s">
        <v>4428</v>
      </c>
      <c r="F2259" s="84" t="s">
        <v>1535</v>
      </c>
      <c r="G2259" s="15" t="s">
        <v>27</v>
      </c>
      <c r="H2259" s="16" t="s">
        <v>7417</v>
      </c>
      <c r="I2259" s="17"/>
      <c r="J2259" s="17"/>
      <c r="K2259" s="17"/>
      <c r="L2259" s="17"/>
      <c r="T2259" s="13"/>
      <c r="U2259" s="13"/>
      <c r="V2259" s="13"/>
      <c r="W2259" s="13"/>
    </row>
    <row r="2260" spans="4:23" ht="27" customHeight="1" x14ac:dyDescent="0.25">
      <c r="D2260" s="14" t="s">
        <v>7418</v>
      </c>
      <c r="E2260" s="14" t="s">
        <v>3250</v>
      </c>
      <c r="F2260" s="84" t="s">
        <v>1473</v>
      </c>
      <c r="G2260" s="15" t="s">
        <v>27</v>
      </c>
      <c r="H2260" s="16" t="s">
        <v>7419</v>
      </c>
      <c r="I2260" s="17"/>
      <c r="J2260" s="17"/>
      <c r="K2260" s="17"/>
      <c r="L2260" s="17"/>
      <c r="T2260" s="13"/>
      <c r="U2260" s="13"/>
      <c r="V2260" s="13"/>
      <c r="W2260" s="13"/>
    </row>
    <row r="2261" spans="4:23" ht="27" customHeight="1" x14ac:dyDescent="0.25">
      <c r="D2261" s="14" t="s">
        <v>7420</v>
      </c>
      <c r="E2261" s="14" t="s">
        <v>455</v>
      </c>
      <c r="F2261" s="84" t="s">
        <v>494</v>
      </c>
      <c r="G2261" s="15" t="s">
        <v>27</v>
      </c>
      <c r="H2261" s="16" t="s">
        <v>7421</v>
      </c>
      <c r="I2261" s="17"/>
      <c r="J2261" s="17"/>
      <c r="K2261" s="17"/>
      <c r="L2261" s="17"/>
      <c r="T2261" s="13"/>
      <c r="U2261" s="13"/>
      <c r="V2261" s="13"/>
      <c r="W2261" s="13"/>
    </row>
    <row r="2262" spans="4:23" ht="27" customHeight="1" x14ac:dyDescent="0.25">
      <c r="D2262" s="14" t="s">
        <v>7422</v>
      </c>
      <c r="E2262" s="14" t="s">
        <v>7423</v>
      </c>
      <c r="F2262" s="84" t="s">
        <v>524</v>
      </c>
      <c r="G2262" s="15" t="s">
        <v>27</v>
      </c>
      <c r="H2262" s="16" t="s">
        <v>7424</v>
      </c>
      <c r="I2262" s="17"/>
      <c r="J2262" s="17"/>
      <c r="K2262" s="17"/>
      <c r="L2262" s="17"/>
      <c r="T2262" s="13"/>
      <c r="U2262" s="13"/>
      <c r="V2262" s="13"/>
      <c r="W2262" s="13"/>
    </row>
    <row r="2263" spans="4:23" ht="27" customHeight="1" x14ac:dyDescent="0.25">
      <c r="D2263" s="14" t="s">
        <v>7425</v>
      </c>
      <c r="E2263" s="14" t="s">
        <v>1175</v>
      </c>
      <c r="F2263" s="84" t="s">
        <v>490</v>
      </c>
      <c r="G2263" s="15" t="s">
        <v>27</v>
      </c>
      <c r="H2263" s="16" t="s">
        <v>7426</v>
      </c>
      <c r="I2263" s="17"/>
      <c r="J2263" s="17"/>
      <c r="K2263" s="17"/>
      <c r="L2263" s="17"/>
      <c r="T2263" s="13"/>
      <c r="U2263" s="13"/>
      <c r="V2263" s="13"/>
      <c r="W2263" s="13"/>
    </row>
    <row r="2264" spans="4:23" ht="27" customHeight="1" x14ac:dyDescent="0.25">
      <c r="D2264" s="14" t="s">
        <v>7427</v>
      </c>
      <c r="E2264" s="14" t="s">
        <v>971</v>
      </c>
      <c r="F2264" s="84" t="s">
        <v>1551</v>
      </c>
      <c r="G2264" s="15" t="s">
        <v>68</v>
      </c>
      <c r="H2264" s="16" t="s">
        <v>7428</v>
      </c>
      <c r="I2264" s="17"/>
      <c r="J2264" s="17"/>
      <c r="K2264" s="17"/>
      <c r="L2264" s="17"/>
      <c r="T2264" s="13"/>
      <c r="U2264" s="13"/>
      <c r="V2264" s="13"/>
      <c r="W2264" s="13"/>
    </row>
    <row r="2265" spans="4:23" ht="27" customHeight="1" x14ac:dyDescent="0.25">
      <c r="D2265" s="14" t="s">
        <v>7429</v>
      </c>
      <c r="E2265" s="14" t="s">
        <v>7430</v>
      </c>
      <c r="F2265" s="84" t="s">
        <v>969</v>
      </c>
      <c r="G2265" s="15" t="s">
        <v>27</v>
      </c>
      <c r="H2265" s="16" t="s">
        <v>7431</v>
      </c>
      <c r="I2265" s="17"/>
      <c r="J2265" s="17"/>
      <c r="K2265" s="17"/>
      <c r="L2265" s="17"/>
      <c r="T2265" s="13"/>
      <c r="U2265" s="13"/>
      <c r="V2265" s="13"/>
      <c r="W2265" s="13"/>
    </row>
    <row r="2266" spans="4:23" ht="27" customHeight="1" x14ac:dyDescent="0.25">
      <c r="D2266" s="14" t="s">
        <v>7432</v>
      </c>
      <c r="E2266" s="14" t="s">
        <v>7433</v>
      </c>
      <c r="F2266" s="84" t="s">
        <v>670</v>
      </c>
      <c r="G2266" s="15" t="s">
        <v>68</v>
      </c>
      <c r="H2266" s="16" t="s">
        <v>7434</v>
      </c>
      <c r="I2266" s="17"/>
      <c r="J2266" s="17"/>
      <c r="K2266" s="17"/>
      <c r="L2266" s="17"/>
      <c r="T2266" s="13"/>
      <c r="U2266" s="13"/>
      <c r="V2266" s="13"/>
      <c r="W2266" s="13"/>
    </row>
    <row r="2267" spans="4:23" ht="27" customHeight="1" x14ac:dyDescent="0.25">
      <c r="D2267" s="14" t="s">
        <v>7435</v>
      </c>
      <c r="E2267" s="14" t="s">
        <v>3261</v>
      </c>
      <c r="F2267" s="84" t="s">
        <v>538</v>
      </c>
      <c r="G2267" s="15" t="s">
        <v>27</v>
      </c>
      <c r="H2267" s="16" t="s">
        <v>7436</v>
      </c>
      <c r="I2267" s="17"/>
      <c r="J2267" s="17"/>
      <c r="K2267" s="17"/>
      <c r="L2267" s="17"/>
      <c r="T2267" s="13"/>
      <c r="U2267" s="13"/>
      <c r="V2267" s="13"/>
      <c r="W2267" s="13"/>
    </row>
    <row r="2268" spans="4:23" ht="27" customHeight="1" x14ac:dyDescent="0.25">
      <c r="D2268" s="14" t="s">
        <v>7437</v>
      </c>
      <c r="E2268" s="14" t="s">
        <v>268</v>
      </c>
      <c r="F2268" s="84" t="s">
        <v>1716</v>
      </c>
      <c r="G2268" s="15" t="s">
        <v>27</v>
      </c>
      <c r="H2268" s="16" t="s">
        <v>7438</v>
      </c>
      <c r="I2268" s="17"/>
      <c r="J2268" s="17"/>
      <c r="K2268" s="17"/>
      <c r="L2268" s="17"/>
      <c r="T2268" s="13"/>
      <c r="U2268" s="13"/>
      <c r="V2268" s="13"/>
      <c r="W2268" s="13"/>
    </row>
    <row r="2269" spans="4:23" ht="27" customHeight="1" x14ac:dyDescent="0.25">
      <c r="D2269" s="14" t="s">
        <v>7439</v>
      </c>
      <c r="E2269" s="14" t="s">
        <v>3509</v>
      </c>
      <c r="F2269" s="84" t="s">
        <v>566</v>
      </c>
      <c r="G2269" s="15" t="s">
        <v>27</v>
      </c>
      <c r="H2269" s="16" t="s">
        <v>7440</v>
      </c>
      <c r="I2269" s="17"/>
      <c r="J2269" s="17"/>
      <c r="K2269" s="17"/>
      <c r="L2269" s="17"/>
      <c r="T2269" s="13"/>
      <c r="U2269" s="13"/>
      <c r="V2269" s="13"/>
      <c r="W2269" s="13"/>
    </row>
    <row r="2270" spans="4:23" ht="27" customHeight="1" x14ac:dyDescent="0.25">
      <c r="D2270" s="14" t="s">
        <v>7441</v>
      </c>
      <c r="E2270" s="14" t="s">
        <v>7442</v>
      </c>
      <c r="F2270" s="84" t="s">
        <v>266</v>
      </c>
      <c r="G2270" s="15" t="s">
        <v>27</v>
      </c>
      <c r="H2270" s="16" t="s">
        <v>7443</v>
      </c>
      <c r="I2270" s="17"/>
      <c r="J2270" s="17"/>
      <c r="K2270" s="17"/>
      <c r="L2270" s="17"/>
      <c r="T2270" s="13"/>
      <c r="U2270" s="13"/>
      <c r="V2270" s="13"/>
      <c r="W2270" s="13"/>
    </row>
    <row r="2271" spans="4:23" ht="27" customHeight="1" x14ac:dyDescent="0.25">
      <c r="D2271" s="14" t="s">
        <v>7444</v>
      </c>
      <c r="E2271" s="14" t="s">
        <v>7445</v>
      </c>
      <c r="F2271" s="84" t="s">
        <v>256</v>
      </c>
      <c r="G2271" s="15" t="s">
        <v>68</v>
      </c>
      <c r="H2271" s="16" t="s">
        <v>7446</v>
      </c>
      <c r="I2271" s="17"/>
      <c r="J2271" s="17"/>
      <c r="K2271" s="17"/>
      <c r="L2271" s="17"/>
      <c r="T2271" s="13"/>
      <c r="U2271" s="13"/>
      <c r="V2271" s="13"/>
      <c r="W2271" s="13"/>
    </row>
    <row r="2272" spans="4:23" ht="27" customHeight="1" x14ac:dyDescent="0.25">
      <c r="D2272" s="14" t="s">
        <v>7447</v>
      </c>
      <c r="E2272" s="14" t="s">
        <v>7448</v>
      </c>
      <c r="F2272" s="84" t="s">
        <v>92</v>
      </c>
      <c r="G2272" s="15" t="s">
        <v>68</v>
      </c>
      <c r="H2272" s="16" t="s">
        <v>7449</v>
      </c>
      <c r="I2272" s="17"/>
      <c r="J2272" s="17"/>
      <c r="K2272" s="17"/>
      <c r="L2272" s="17"/>
      <c r="T2272" s="13"/>
      <c r="U2272" s="13"/>
      <c r="V2272" s="13"/>
      <c r="W2272" s="13"/>
    </row>
    <row r="2273" spans="4:23" ht="27" customHeight="1" x14ac:dyDescent="0.25">
      <c r="D2273" s="14" t="s">
        <v>7450</v>
      </c>
      <c r="E2273" s="14" t="s">
        <v>1561</v>
      </c>
      <c r="F2273" s="84" t="s">
        <v>508</v>
      </c>
      <c r="G2273" s="15" t="s">
        <v>27</v>
      </c>
      <c r="H2273" s="16" t="s">
        <v>7451</v>
      </c>
      <c r="I2273" s="17"/>
      <c r="J2273" s="17"/>
      <c r="K2273" s="17"/>
      <c r="L2273" s="17"/>
      <c r="T2273" s="13"/>
      <c r="U2273" s="13"/>
      <c r="V2273" s="13"/>
      <c r="W2273" s="13"/>
    </row>
    <row r="2274" spans="4:23" ht="27" customHeight="1" x14ac:dyDescent="0.25">
      <c r="D2274" s="14" t="s">
        <v>7452</v>
      </c>
      <c r="E2274" s="14" t="s">
        <v>526</v>
      </c>
      <c r="F2274" s="84" t="s">
        <v>228</v>
      </c>
      <c r="G2274" s="15" t="s">
        <v>27</v>
      </c>
      <c r="H2274" s="16" t="s">
        <v>7453</v>
      </c>
      <c r="I2274" s="17"/>
      <c r="J2274" s="17"/>
      <c r="K2274" s="17"/>
      <c r="L2274" s="17"/>
      <c r="T2274" s="13"/>
      <c r="U2274" s="13"/>
      <c r="V2274" s="13"/>
      <c r="W2274" s="13"/>
    </row>
    <row r="2275" spans="4:23" ht="27" customHeight="1" x14ac:dyDescent="0.25">
      <c r="D2275" s="14" t="s">
        <v>7454</v>
      </c>
      <c r="E2275" s="14" t="s">
        <v>3884</v>
      </c>
      <c r="F2275" s="84" t="s">
        <v>61</v>
      </c>
      <c r="G2275" s="15" t="s">
        <v>68</v>
      </c>
      <c r="H2275" s="16" t="s">
        <v>7455</v>
      </c>
      <c r="I2275" s="17"/>
      <c r="J2275" s="17"/>
      <c r="K2275" s="17"/>
      <c r="L2275" s="17"/>
      <c r="T2275" s="13"/>
      <c r="U2275" s="13"/>
      <c r="V2275" s="13"/>
      <c r="W2275" s="13"/>
    </row>
    <row r="2276" spans="4:23" ht="27" customHeight="1" x14ac:dyDescent="0.25">
      <c r="D2276" s="14" t="s">
        <v>7456</v>
      </c>
      <c r="E2276" s="14" t="s">
        <v>5120</v>
      </c>
      <c r="F2276" s="84" t="s">
        <v>206</v>
      </c>
      <c r="G2276" s="15" t="s">
        <v>68</v>
      </c>
      <c r="H2276" s="16" t="s">
        <v>7457</v>
      </c>
      <c r="I2276" s="17"/>
      <c r="J2276" s="17"/>
      <c r="K2276" s="17"/>
      <c r="L2276" s="17"/>
      <c r="T2276" s="13"/>
      <c r="U2276" s="13"/>
      <c r="V2276" s="13"/>
      <c r="W2276" s="13"/>
    </row>
    <row r="2277" spans="4:23" ht="27" customHeight="1" x14ac:dyDescent="0.25">
      <c r="D2277" s="14" t="s">
        <v>7458</v>
      </c>
      <c r="E2277" s="14" t="s">
        <v>7459</v>
      </c>
      <c r="F2277" s="84" t="s">
        <v>302</v>
      </c>
      <c r="G2277" s="15" t="s">
        <v>27</v>
      </c>
      <c r="H2277" s="16" t="s">
        <v>7460</v>
      </c>
      <c r="I2277" s="17"/>
      <c r="J2277" s="17"/>
      <c r="K2277" s="17"/>
      <c r="L2277" s="17"/>
      <c r="T2277" s="13"/>
      <c r="U2277" s="13"/>
      <c r="V2277" s="13"/>
      <c r="W2277" s="13"/>
    </row>
    <row r="2278" spans="4:23" ht="27" customHeight="1" x14ac:dyDescent="0.25">
      <c r="D2278" s="14" t="s">
        <v>7461</v>
      </c>
      <c r="E2278" s="14" t="s">
        <v>2786</v>
      </c>
      <c r="F2278" s="84" t="s">
        <v>296</v>
      </c>
      <c r="G2278" s="15" t="s">
        <v>68</v>
      </c>
      <c r="H2278" s="16" t="s">
        <v>7462</v>
      </c>
      <c r="I2278" s="17"/>
      <c r="J2278" s="17"/>
      <c r="K2278" s="17"/>
      <c r="L2278" s="17"/>
      <c r="T2278" s="13"/>
      <c r="U2278" s="13"/>
      <c r="V2278" s="13"/>
      <c r="W2278" s="13"/>
    </row>
    <row r="2279" spans="4:23" ht="27" customHeight="1" x14ac:dyDescent="0.25">
      <c r="D2279" s="14" t="s">
        <v>7463</v>
      </c>
      <c r="E2279" s="14" t="s">
        <v>7464</v>
      </c>
      <c r="F2279" s="84" t="s">
        <v>533</v>
      </c>
      <c r="G2279" s="15" t="s">
        <v>27</v>
      </c>
      <c r="H2279" s="16" t="s">
        <v>7465</v>
      </c>
      <c r="I2279" s="17"/>
      <c r="J2279" s="17"/>
      <c r="K2279" s="17"/>
      <c r="L2279" s="17"/>
      <c r="T2279" s="13"/>
      <c r="U2279" s="13"/>
      <c r="V2279" s="13"/>
      <c r="W2279" s="13"/>
    </row>
    <row r="2280" spans="4:23" ht="27" customHeight="1" x14ac:dyDescent="0.25">
      <c r="D2280" s="14" t="s">
        <v>7466</v>
      </c>
      <c r="E2280" s="14" t="s">
        <v>7467</v>
      </c>
      <c r="F2280" s="84" t="s">
        <v>38</v>
      </c>
      <c r="G2280" s="15" t="s">
        <v>27</v>
      </c>
      <c r="H2280" s="16" t="s">
        <v>7468</v>
      </c>
      <c r="I2280" s="17"/>
      <c r="J2280" s="17"/>
      <c r="K2280" s="17"/>
      <c r="L2280" s="17"/>
      <c r="T2280" s="13"/>
      <c r="U2280" s="13"/>
      <c r="V2280" s="13"/>
      <c r="W2280" s="13"/>
    </row>
    <row r="2281" spans="4:23" ht="27" customHeight="1" x14ac:dyDescent="0.25">
      <c r="D2281" s="14" t="s">
        <v>7469</v>
      </c>
      <c r="E2281" s="14" t="s">
        <v>3463</v>
      </c>
      <c r="F2281" s="84" t="s">
        <v>566</v>
      </c>
      <c r="G2281" s="15" t="s">
        <v>68</v>
      </c>
      <c r="H2281" s="16" t="s">
        <v>7470</v>
      </c>
      <c r="I2281" s="17"/>
      <c r="J2281" s="17"/>
      <c r="K2281" s="17"/>
      <c r="L2281" s="17"/>
      <c r="T2281" s="13"/>
      <c r="U2281" s="13"/>
      <c r="V2281" s="13"/>
      <c r="W2281" s="13"/>
    </row>
    <row r="2282" spans="4:23" ht="27" customHeight="1" x14ac:dyDescent="0.25">
      <c r="D2282" s="14" t="s">
        <v>7471</v>
      </c>
      <c r="E2282" s="14" t="s">
        <v>1751</v>
      </c>
      <c r="F2282" s="84" t="s">
        <v>211</v>
      </c>
      <c r="G2282" s="15" t="s">
        <v>68</v>
      </c>
      <c r="H2282" s="16" t="s">
        <v>7472</v>
      </c>
      <c r="I2282" s="17"/>
      <c r="J2282" s="17"/>
      <c r="K2282" s="17"/>
      <c r="L2282" s="17"/>
      <c r="T2282" s="13"/>
      <c r="U2282" s="13"/>
      <c r="V2282" s="13"/>
      <c r="W2282" s="13"/>
    </row>
    <row r="2283" spans="4:23" ht="27" customHeight="1" x14ac:dyDescent="0.25">
      <c r="D2283" s="14" t="s">
        <v>7473</v>
      </c>
      <c r="E2283" s="14" t="s">
        <v>4628</v>
      </c>
      <c r="F2283" s="84" t="s">
        <v>261</v>
      </c>
      <c r="G2283" s="15" t="s">
        <v>27</v>
      </c>
      <c r="H2283" s="16" t="s">
        <v>7474</v>
      </c>
      <c r="I2283" s="17"/>
      <c r="J2283" s="17"/>
      <c r="K2283" s="17"/>
      <c r="L2283" s="17"/>
      <c r="T2283" s="13"/>
      <c r="U2283" s="13"/>
      <c r="V2283" s="13"/>
      <c r="W2283" s="13"/>
    </row>
    <row r="2284" spans="4:23" ht="27" customHeight="1" x14ac:dyDescent="0.25">
      <c r="D2284" s="14" t="s">
        <v>7475</v>
      </c>
      <c r="E2284" s="14" t="s">
        <v>3896</v>
      </c>
      <c r="F2284" s="84" t="s">
        <v>61</v>
      </c>
      <c r="G2284" s="15" t="s">
        <v>27</v>
      </c>
      <c r="H2284" s="16" t="s">
        <v>7476</v>
      </c>
      <c r="I2284" s="17"/>
      <c r="J2284" s="17"/>
      <c r="K2284" s="17"/>
      <c r="L2284" s="17"/>
      <c r="T2284" s="13"/>
      <c r="U2284" s="13"/>
      <c r="V2284" s="13"/>
      <c r="W2284" s="13"/>
    </row>
    <row r="2285" spans="4:23" ht="27" customHeight="1" x14ac:dyDescent="0.25">
      <c r="D2285" s="14" t="s">
        <v>7477</v>
      </c>
      <c r="E2285" s="14" t="s">
        <v>4632</v>
      </c>
      <c r="F2285" s="84" t="s">
        <v>261</v>
      </c>
      <c r="G2285" s="15" t="s">
        <v>68</v>
      </c>
      <c r="H2285" s="16" t="s">
        <v>7478</v>
      </c>
      <c r="I2285" s="17"/>
      <c r="J2285" s="17"/>
      <c r="K2285" s="17"/>
      <c r="L2285" s="17"/>
      <c r="T2285" s="13"/>
      <c r="U2285" s="13"/>
      <c r="V2285" s="13"/>
      <c r="W2285" s="13"/>
    </row>
    <row r="2286" spans="4:23" ht="27" customHeight="1" x14ac:dyDescent="0.25">
      <c r="D2286" s="14" t="s">
        <v>7479</v>
      </c>
      <c r="E2286" s="14" t="s">
        <v>5415</v>
      </c>
      <c r="F2286" s="84" t="s">
        <v>407</v>
      </c>
      <c r="G2286" s="15" t="s">
        <v>27</v>
      </c>
      <c r="H2286" s="16" t="s">
        <v>7480</v>
      </c>
      <c r="I2286" s="17"/>
      <c r="J2286" s="17"/>
      <c r="K2286" s="17"/>
      <c r="L2286" s="17"/>
      <c r="T2286" s="13"/>
      <c r="U2286" s="13"/>
      <c r="V2286" s="13"/>
      <c r="W2286" s="13"/>
    </row>
    <row r="2287" spans="4:23" ht="27" customHeight="1" x14ac:dyDescent="0.25">
      <c r="D2287" s="14" t="s">
        <v>7481</v>
      </c>
      <c r="E2287" s="14" t="s">
        <v>3471</v>
      </c>
      <c r="F2287" s="84" t="s">
        <v>566</v>
      </c>
      <c r="G2287" s="15" t="s">
        <v>27</v>
      </c>
      <c r="H2287" s="16" t="s">
        <v>7482</v>
      </c>
      <c r="I2287" s="17"/>
      <c r="J2287" s="17"/>
      <c r="K2287" s="17"/>
      <c r="L2287" s="17"/>
      <c r="T2287" s="13"/>
      <c r="U2287" s="13"/>
      <c r="V2287" s="13"/>
      <c r="W2287" s="13"/>
    </row>
    <row r="2288" spans="4:23" ht="27" customHeight="1" x14ac:dyDescent="0.25">
      <c r="D2288" s="14" t="s">
        <v>7483</v>
      </c>
      <c r="E2288" s="14" t="s">
        <v>7484</v>
      </c>
      <c r="F2288" s="84" t="s">
        <v>653</v>
      </c>
      <c r="G2288" s="15" t="s">
        <v>27</v>
      </c>
      <c r="H2288" s="16" t="s">
        <v>7485</v>
      </c>
      <c r="I2288" s="17"/>
      <c r="J2288" s="17"/>
      <c r="K2288" s="17"/>
      <c r="L2288" s="17"/>
      <c r="T2288" s="13"/>
      <c r="U2288" s="13"/>
      <c r="V2288" s="13"/>
      <c r="W2288" s="13"/>
    </row>
    <row r="2289" spans="4:23" ht="27" customHeight="1" x14ac:dyDescent="0.25">
      <c r="D2289" s="14" t="s">
        <v>7486</v>
      </c>
      <c r="E2289" s="14" t="s">
        <v>7487</v>
      </c>
      <c r="F2289" s="84" t="s">
        <v>887</v>
      </c>
      <c r="G2289" s="15" t="s">
        <v>27</v>
      </c>
      <c r="H2289" s="16" t="s">
        <v>7488</v>
      </c>
      <c r="I2289" s="17"/>
      <c r="J2289" s="17"/>
      <c r="K2289" s="17"/>
      <c r="L2289" s="17"/>
      <c r="T2289" s="13"/>
      <c r="U2289" s="13"/>
      <c r="V2289" s="13"/>
      <c r="W2289" s="13"/>
    </row>
    <row r="2290" spans="4:23" ht="27" customHeight="1" x14ac:dyDescent="0.25">
      <c r="D2290" s="14" t="s">
        <v>7489</v>
      </c>
      <c r="E2290" s="14" t="s">
        <v>3026</v>
      </c>
      <c r="F2290" s="84" t="s">
        <v>92</v>
      </c>
      <c r="G2290" s="15" t="s">
        <v>27</v>
      </c>
      <c r="H2290" s="16" t="s">
        <v>7490</v>
      </c>
      <c r="I2290" s="17"/>
      <c r="J2290" s="17"/>
      <c r="K2290" s="17"/>
      <c r="L2290" s="17"/>
      <c r="T2290" s="13"/>
      <c r="U2290" s="13"/>
      <c r="V2290" s="13"/>
      <c r="W2290" s="13"/>
    </row>
    <row r="2291" spans="4:23" ht="27" customHeight="1" x14ac:dyDescent="0.25">
      <c r="D2291" s="14" t="s">
        <v>7491</v>
      </c>
      <c r="E2291" s="14" t="s">
        <v>7492</v>
      </c>
      <c r="F2291" s="84" t="s">
        <v>670</v>
      </c>
      <c r="G2291" s="15" t="s">
        <v>68</v>
      </c>
      <c r="H2291" s="16" t="s">
        <v>7493</v>
      </c>
      <c r="I2291" s="17"/>
      <c r="J2291" s="17"/>
      <c r="K2291" s="17"/>
      <c r="L2291" s="17"/>
      <c r="T2291" s="13"/>
      <c r="U2291" s="13"/>
      <c r="V2291" s="13"/>
      <c r="W2291" s="13"/>
    </row>
    <row r="2292" spans="4:23" ht="27" customHeight="1" x14ac:dyDescent="0.25">
      <c r="D2292" s="14" t="s">
        <v>7494</v>
      </c>
      <c r="E2292" s="14" t="s">
        <v>7495</v>
      </c>
      <c r="F2292" s="84" t="s">
        <v>266</v>
      </c>
      <c r="G2292" s="15" t="s">
        <v>27</v>
      </c>
      <c r="H2292" s="16" t="s">
        <v>7496</v>
      </c>
      <c r="I2292" s="17"/>
      <c r="J2292" s="17"/>
      <c r="K2292" s="17"/>
      <c r="L2292" s="17"/>
      <c r="T2292" s="13"/>
      <c r="U2292" s="13"/>
      <c r="V2292" s="13"/>
      <c r="W2292" s="13"/>
    </row>
    <row r="2293" spans="4:23" ht="27" customHeight="1" x14ac:dyDescent="0.25">
      <c r="D2293" s="14" t="s">
        <v>7497</v>
      </c>
      <c r="E2293" s="14" t="s">
        <v>7498</v>
      </c>
      <c r="F2293" s="84" t="s">
        <v>587</v>
      </c>
      <c r="G2293" s="15" t="s">
        <v>68</v>
      </c>
      <c r="H2293" s="16" t="s">
        <v>7499</v>
      </c>
      <c r="I2293" s="17"/>
      <c r="J2293" s="17"/>
      <c r="K2293" s="17"/>
      <c r="L2293" s="17"/>
      <c r="T2293" s="13"/>
      <c r="U2293" s="13"/>
      <c r="V2293" s="13"/>
      <c r="W2293" s="13"/>
    </row>
    <row r="2294" spans="4:23" ht="27" customHeight="1" x14ac:dyDescent="0.25">
      <c r="D2294" s="14" t="s">
        <v>7500</v>
      </c>
      <c r="E2294" s="14" t="s">
        <v>7501</v>
      </c>
      <c r="F2294" s="84" t="s">
        <v>561</v>
      </c>
      <c r="G2294" s="15" t="s">
        <v>68</v>
      </c>
      <c r="H2294" s="16" t="s">
        <v>7502</v>
      </c>
      <c r="I2294" s="17"/>
      <c r="J2294" s="17"/>
      <c r="K2294" s="17"/>
      <c r="L2294" s="17"/>
      <c r="T2294" s="13"/>
      <c r="U2294" s="13"/>
      <c r="V2294" s="13"/>
      <c r="W2294" s="13"/>
    </row>
    <row r="2295" spans="4:23" ht="27" customHeight="1" x14ac:dyDescent="0.25">
      <c r="D2295" s="14" t="s">
        <v>7503</v>
      </c>
      <c r="E2295" s="14" t="s">
        <v>1553</v>
      </c>
      <c r="F2295" s="84" t="s">
        <v>508</v>
      </c>
      <c r="G2295" s="15" t="s">
        <v>27</v>
      </c>
      <c r="H2295" s="16" t="s">
        <v>7504</v>
      </c>
      <c r="I2295" s="17"/>
      <c r="J2295" s="17"/>
      <c r="K2295" s="17"/>
      <c r="L2295" s="17"/>
      <c r="T2295" s="13"/>
      <c r="U2295" s="13"/>
      <c r="V2295" s="13"/>
      <c r="W2295" s="13"/>
    </row>
    <row r="2296" spans="4:23" ht="27" customHeight="1" x14ac:dyDescent="0.25">
      <c r="D2296" s="14" t="s">
        <v>7505</v>
      </c>
      <c r="E2296" s="14" t="s">
        <v>7506</v>
      </c>
      <c r="F2296" s="84" t="s">
        <v>137</v>
      </c>
      <c r="G2296" s="15" t="s">
        <v>68</v>
      </c>
      <c r="H2296" s="16" t="s">
        <v>7507</v>
      </c>
      <c r="I2296" s="17"/>
      <c r="J2296" s="17"/>
      <c r="K2296" s="17"/>
      <c r="L2296" s="17"/>
      <c r="T2296" s="13"/>
      <c r="U2296" s="13"/>
      <c r="V2296" s="13"/>
      <c r="W2296" s="13"/>
    </row>
    <row r="2297" spans="4:23" ht="27" customHeight="1" x14ac:dyDescent="0.25">
      <c r="D2297" s="14" t="s">
        <v>7508</v>
      </c>
      <c r="E2297" s="14" t="s">
        <v>4903</v>
      </c>
      <c r="F2297" s="84" t="s">
        <v>444</v>
      </c>
      <c r="G2297" s="15" t="s">
        <v>27</v>
      </c>
      <c r="H2297" s="16" t="s">
        <v>7509</v>
      </c>
      <c r="I2297" s="17"/>
      <c r="J2297" s="17"/>
      <c r="K2297" s="17"/>
      <c r="L2297" s="17"/>
      <c r="T2297" s="13"/>
      <c r="U2297" s="13"/>
      <c r="V2297" s="13"/>
      <c r="W2297" s="13"/>
    </row>
    <row r="2298" spans="4:23" ht="27" customHeight="1" x14ac:dyDescent="0.25">
      <c r="D2298" s="14" t="s">
        <v>7510</v>
      </c>
      <c r="E2298" s="14" t="s">
        <v>7511</v>
      </c>
      <c r="F2298" s="84" t="s">
        <v>524</v>
      </c>
      <c r="G2298" s="15" t="s">
        <v>68</v>
      </c>
      <c r="H2298" s="16" t="s">
        <v>7512</v>
      </c>
      <c r="I2298" s="17"/>
      <c r="J2298" s="17"/>
      <c r="K2298" s="17"/>
      <c r="L2298" s="17"/>
      <c r="T2298" s="13"/>
      <c r="U2298" s="13"/>
      <c r="V2298" s="13"/>
      <c r="W2298" s="13"/>
    </row>
    <row r="2299" spans="4:23" ht="27" customHeight="1" x14ac:dyDescent="0.25">
      <c r="D2299" s="14" t="s">
        <v>7513</v>
      </c>
      <c r="E2299" s="14" t="s">
        <v>7514</v>
      </c>
      <c r="F2299" s="84" t="s">
        <v>149</v>
      </c>
      <c r="G2299" s="15" t="s">
        <v>27</v>
      </c>
      <c r="H2299" s="16" t="s">
        <v>7515</v>
      </c>
      <c r="I2299" s="17"/>
      <c r="J2299" s="17"/>
      <c r="K2299" s="17"/>
      <c r="L2299" s="17"/>
      <c r="T2299" s="13"/>
      <c r="U2299" s="13"/>
      <c r="V2299" s="13"/>
      <c r="W2299" s="13"/>
    </row>
    <row r="2300" spans="4:23" ht="27" customHeight="1" x14ac:dyDescent="0.25">
      <c r="D2300" s="14" t="s">
        <v>7516</v>
      </c>
      <c r="E2300" s="14" t="s">
        <v>807</v>
      </c>
      <c r="F2300" s="84" t="s">
        <v>3891</v>
      </c>
      <c r="G2300" s="15" t="s">
        <v>27</v>
      </c>
      <c r="H2300" s="16" t="s">
        <v>7517</v>
      </c>
      <c r="I2300" s="17"/>
      <c r="J2300" s="17"/>
      <c r="K2300" s="17"/>
      <c r="L2300" s="17"/>
      <c r="T2300" s="13"/>
      <c r="U2300" s="13"/>
      <c r="V2300" s="13"/>
      <c r="W2300" s="13"/>
    </row>
    <row r="2301" spans="4:23" ht="27" customHeight="1" x14ac:dyDescent="0.25">
      <c r="D2301" s="14" t="s">
        <v>7518</v>
      </c>
      <c r="E2301" s="14" t="s">
        <v>4645</v>
      </c>
      <c r="F2301" s="84" t="s">
        <v>261</v>
      </c>
      <c r="G2301" s="15" t="s">
        <v>27</v>
      </c>
      <c r="H2301" s="16" t="s">
        <v>7519</v>
      </c>
      <c r="I2301" s="17"/>
      <c r="J2301" s="17"/>
      <c r="K2301" s="17"/>
      <c r="L2301" s="17"/>
      <c r="T2301" s="13"/>
      <c r="U2301" s="13"/>
      <c r="V2301" s="13"/>
      <c r="W2301" s="13"/>
    </row>
    <row r="2302" spans="4:23" ht="27" customHeight="1" x14ac:dyDescent="0.25">
      <c r="D2302" s="14" t="s">
        <v>7520</v>
      </c>
      <c r="E2302" s="14" t="s">
        <v>7521</v>
      </c>
      <c r="F2302" s="84" t="s">
        <v>280</v>
      </c>
      <c r="G2302" s="15" t="s">
        <v>27</v>
      </c>
      <c r="H2302" s="16" t="s">
        <v>7522</v>
      </c>
      <c r="I2302" s="17"/>
      <c r="J2302" s="17"/>
      <c r="K2302" s="17"/>
      <c r="L2302" s="17"/>
      <c r="T2302" s="13"/>
      <c r="U2302" s="13"/>
      <c r="V2302" s="13"/>
      <c r="W2302" s="13"/>
    </row>
    <row r="2303" spans="4:23" ht="27" customHeight="1" x14ac:dyDescent="0.25">
      <c r="D2303" s="14" t="s">
        <v>7523</v>
      </c>
      <c r="E2303" s="14" t="s">
        <v>7524</v>
      </c>
      <c r="F2303" s="84" t="s">
        <v>114</v>
      </c>
      <c r="G2303" s="15" t="s">
        <v>68</v>
      </c>
      <c r="H2303" s="16" t="s">
        <v>7525</v>
      </c>
      <c r="I2303" s="17"/>
      <c r="J2303" s="17"/>
      <c r="K2303" s="17"/>
      <c r="L2303" s="17"/>
      <c r="T2303" s="13"/>
      <c r="U2303" s="13"/>
      <c r="V2303" s="13"/>
      <c r="W2303" s="13"/>
    </row>
    <row r="2304" spans="4:23" ht="27" customHeight="1" x14ac:dyDescent="0.25">
      <c r="D2304" s="14" t="s">
        <v>7526</v>
      </c>
      <c r="E2304" s="14" t="s">
        <v>7527</v>
      </c>
      <c r="F2304" s="84" t="s">
        <v>51</v>
      </c>
      <c r="G2304" s="15" t="s">
        <v>27</v>
      </c>
      <c r="H2304" s="16" t="s">
        <v>7528</v>
      </c>
      <c r="I2304" s="17"/>
      <c r="J2304" s="17"/>
      <c r="K2304" s="17"/>
      <c r="L2304" s="17"/>
      <c r="T2304" s="13"/>
      <c r="U2304" s="13"/>
      <c r="V2304" s="13"/>
      <c r="W2304" s="13"/>
    </row>
    <row r="2305" spans="4:23" ht="27" customHeight="1" x14ac:dyDescent="0.25">
      <c r="D2305" s="14" t="s">
        <v>7529</v>
      </c>
      <c r="E2305" s="14" t="s">
        <v>7530</v>
      </c>
      <c r="F2305" s="84" t="s">
        <v>92</v>
      </c>
      <c r="G2305" s="15" t="s">
        <v>27</v>
      </c>
      <c r="H2305" s="16" t="s">
        <v>7531</v>
      </c>
      <c r="I2305" s="17"/>
      <c r="J2305" s="17"/>
      <c r="K2305" s="17"/>
      <c r="L2305" s="17"/>
      <c r="T2305" s="13"/>
      <c r="U2305" s="13"/>
      <c r="V2305" s="13"/>
      <c r="W2305" s="13"/>
    </row>
    <row r="2306" spans="4:23" ht="27" customHeight="1" x14ac:dyDescent="0.25">
      <c r="D2306" s="14" t="s">
        <v>7532</v>
      </c>
      <c r="E2306" s="14" t="s">
        <v>7533</v>
      </c>
      <c r="F2306" s="84" t="s">
        <v>129</v>
      </c>
      <c r="G2306" s="15" t="s">
        <v>68</v>
      </c>
      <c r="H2306" s="16" t="s">
        <v>7534</v>
      </c>
      <c r="I2306" s="17"/>
      <c r="J2306" s="17"/>
      <c r="K2306" s="17"/>
      <c r="L2306" s="17"/>
      <c r="T2306" s="13"/>
      <c r="U2306" s="13"/>
      <c r="V2306" s="13"/>
      <c r="W2306" s="13"/>
    </row>
    <row r="2307" spans="4:23" ht="27" customHeight="1" x14ac:dyDescent="0.25">
      <c r="D2307" s="14" t="s">
        <v>7535</v>
      </c>
      <c r="E2307" s="14" t="s">
        <v>3904</v>
      </c>
      <c r="F2307" s="84" t="s">
        <v>61</v>
      </c>
      <c r="G2307" s="15" t="s">
        <v>27</v>
      </c>
      <c r="H2307" s="16" t="s">
        <v>7536</v>
      </c>
      <c r="I2307" s="17"/>
      <c r="J2307" s="17"/>
      <c r="K2307" s="17"/>
      <c r="L2307" s="17"/>
      <c r="T2307" s="13"/>
      <c r="U2307" s="13"/>
      <c r="V2307" s="13"/>
      <c r="W2307" s="13"/>
    </row>
    <row r="2308" spans="4:23" ht="27" customHeight="1" x14ac:dyDescent="0.25">
      <c r="D2308" s="14" t="s">
        <v>7537</v>
      </c>
      <c r="E2308" s="14" t="s">
        <v>7538</v>
      </c>
      <c r="F2308" s="84" t="s">
        <v>3253</v>
      </c>
      <c r="G2308" s="15" t="s">
        <v>27</v>
      </c>
      <c r="H2308" s="16" t="s">
        <v>7539</v>
      </c>
      <c r="I2308" s="17"/>
      <c r="J2308" s="17"/>
      <c r="K2308" s="17"/>
      <c r="L2308" s="17"/>
      <c r="T2308" s="13"/>
      <c r="U2308" s="13"/>
      <c r="V2308" s="13"/>
      <c r="W2308" s="13"/>
    </row>
    <row r="2309" spans="4:23" ht="27" customHeight="1" x14ac:dyDescent="0.25">
      <c r="D2309" s="14" t="s">
        <v>7540</v>
      </c>
      <c r="E2309" s="14" t="s">
        <v>7541</v>
      </c>
      <c r="F2309" s="84" t="s">
        <v>551</v>
      </c>
      <c r="G2309" s="15" t="s">
        <v>68</v>
      </c>
      <c r="H2309" s="16" t="s">
        <v>7542</v>
      </c>
      <c r="I2309" s="17"/>
      <c r="J2309" s="17"/>
      <c r="K2309" s="17"/>
      <c r="L2309" s="17"/>
      <c r="T2309" s="13"/>
      <c r="U2309" s="13"/>
      <c r="V2309" s="13"/>
      <c r="W2309" s="13"/>
    </row>
    <row r="2310" spans="4:23" ht="27" customHeight="1" x14ac:dyDescent="0.25">
      <c r="D2310" s="14" t="s">
        <v>7543</v>
      </c>
      <c r="E2310" s="14" t="s">
        <v>7544</v>
      </c>
      <c r="F2310" s="84" t="s">
        <v>3580</v>
      </c>
      <c r="G2310" s="15" t="s">
        <v>27</v>
      </c>
      <c r="H2310" s="16" t="s">
        <v>7545</v>
      </c>
      <c r="I2310" s="17"/>
      <c r="J2310" s="17"/>
      <c r="K2310" s="17"/>
      <c r="L2310" s="17"/>
      <c r="T2310" s="13"/>
      <c r="U2310" s="13"/>
      <c r="V2310" s="13"/>
      <c r="W2310" s="13"/>
    </row>
    <row r="2311" spans="4:23" ht="27" customHeight="1" x14ac:dyDescent="0.25">
      <c r="D2311" s="14" t="s">
        <v>7546</v>
      </c>
      <c r="E2311" s="14" t="s">
        <v>1906</v>
      </c>
      <c r="F2311" s="84" t="s">
        <v>381</v>
      </c>
      <c r="G2311" s="15" t="s">
        <v>27</v>
      </c>
      <c r="H2311" s="16" t="s">
        <v>7547</v>
      </c>
      <c r="I2311" s="17"/>
      <c r="J2311" s="17"/>
      <c r="K2311" s="17"/>
      <c r="L2311" s="17"/>
      <c r="T2311" s="13"/>
      <c r="U2311" s="13"/>
      <c r="V2311" s="13"/>
      <c r="W2311" s="13"/>
    </row>
    <row r="2312" spans="4:23" ht="27" customHeight="1" x14ac:dyDescent="0.25">
      <c r="D2312" s="14" t="s">
        <v>7548</v>
      </c>
      <c r="E2312" s="14" t="s">
        <v>3593</v>
      </c>
      <c r="F2312" s="84" t="s">
        <v>1201</v>
      </c>
      <c r="G2312" s="15" t="s">
        <v>68</v>
      </c>
      <c r="H2312" s="16" t="s">
        <v>7549</v>
      </c>
      <c r="I2312" s="17"/>
      <c r="J2312" s="17"/>
      <c r="K2312" s="17"/>
      <c r="L2312" s="17"/>
      <c r="T2312" s="13"/>
      <c r="U2312" s="13"/>
      <c r="V2312" s="13"/>
      <c r="W2312" s="13"/>
    </row>
    <row r="2313" spans="4:23" ht="27" customHeight="1" x14ac:dyDescent="0.25">
      <c r="D2313" s="14" t="s">
        <v>7550</v>
      </c>
      <c r="E2313" s="14" t="s">
        <v>3963</v>
      </c>
      <c r="F2313" s="84" t="s">
        <v>194</v>
      </c>
      <c r="G2313" s="15" t="s">
        <v>68</v>
      </c>
      <c r="H2313" s="16" t="s">
        <v>7551</v>
      </c>
      <c r="I2313" s="17"/>
      <c r="J2313" s="17"/>
      <c r="K2313" s="17"/>
      <c r="L2313" s="17"/>
      <c r="T2313" s="13"/>
      <c r="U2313" s="13"/>
      <c r="V2313" s="13"/>
      <c r="W2313" s="13"/>
    </row>
    <row r="2314" spans="4:23" ht="27" customHeight="1" x14ac:dyDescent="0.25">
      <c r="D2314" s="14" t="s">
        <v>7552</v>
      </c>
      <c r="E2314" s="14" t="s">
        <v>2873</v>
      </c>
      <c r="F2314" s="84" t="s">
        <v>422</v>
      </c>
      <c r="G2314" s="15" t="s">
        <v>27</v>
      </c>
      <c r="H2314" s="16" t="s">
        <v>7553</v>
      </c>
      <c r="I2314" s="17"/>
      <c r="J2314" s="17"/>
      <c r="K2314" s="17"/>
      <c r="L2314" s="17"/>
      <c r="T2314" s="13"/>
      <c r="U2314" s="13"/>
      <c r="V2314" s="13"/>
      <c r="W2314" s="13"/>
    </row>
    <row r="2315" spans="4:23" ht="27" customHeight="1" x14ac:dyDescent="0.25">
      <c r="D2315" s="14" t="s">
        <v>7554</v>
      </c>
      <c r="E2315" s="14" t="s">
        <v>1035</v>
      </c>
      <c r="F2315" s="84" t="s">
        <v>587</v>
      </c>
      <c r="G2315" s="15" t="s">
        <v>27</v>
      </c>
      <c r="H2315" s="16" t="s">
        <v>7555</v>
      </c>
      <c r="I2315" s="17"/>
      <c r="J2315" s="17"/>
      <c r="K2315" s="17"/>
      <c r="L2315" s="17"/>
      <c r="T2315" s="13"/>
      <c r="U2315" s="13"/>
      <c r="V2315" s="13"/>
      <c r="W2315" s="13"/>
    </row>
    <row r="2316" spans="4:23" ht="27" customHeight="1" x14ac:dyDescent="0.25">
      <c r="D2316" s="14" t="s">
        <v>7556</v>
      </c>
      <c r="E2316" s="14" t="s">
        <v>580</v>
      </c>
      <c r="F2316" s="84" t="s">
        <v>5599</v>
      </c>
      <c r="G2316" s="15" t="s">
        <v>27</v>
      </c>
      <c r="H2316" s="16" t="s">
        <v>7557</v>
      </c>
      <c r="I2316" s="17"/>
      <c r="J2316" s="17"/>
      <c r="K2316" s="17"/>
      <c r="L2316" s="17"/>
      <c r="T2316" s="13"/>
      <c r="U2316" s="13"/>
      <c r="V2316" s="13"/>
      <c r="W2316" s="13"/>
    </row>
    <row r="2317" spans="4:23" ht="27" customHeight="1" x14ac:dyDescent="0.25">
      <c r="D2317" s="14" t="s">
        <v>7558</v>
      </c>
      <c r="E2317" s="14" t="s">
        <v>3113</v>
      </c>
      <c r="F2317" s="84" t="s">
        <v>485</v>
      </c>
      <c r="G2317" s="15" t="s">
        <v>27</v>
      </c>
      <c r="H2317" s="16" t="s">
        <v>7559</v>
      </c>
      <c r="I2317" s="17"/>
      <c r="J2317" s="17"/>
      <c r="K2317" s="17"/>
      <c r="L2317" s="17"/>
      <c r="T2317" s="13"/>
      <c r="U2317" s="13"/>
      <c r="V2317" s="13"/>
      <c r="W2317" s="13"/>
    </row>
    <row r="2318" spans="4:23" ht="27" customHeight="1" x14ac:dyDescent="0.25">
      <c r="D2318" s="14" t="s">
        <v>7560</v>
      </c>
      <c r="E2318" s="14" t="s">
        <v>7561</v>
      </c>
      <c r="F2318" s="84" t="s">
        <v>290</v>
      </c>
      <c r="G2318" s="15" t="s">
        <v>27</v>
      </c>
      <c r="H2318" s="16" t="s">
        <v>7562</v>
      </c>
      <c r="I2318" s="17"/>
      <c r="J2318" s="17"/>
      <c r="K2318" s="17"/>
      <c r="L2318" s="17"/>
      <c r="T2318" s="13"/>
      <c r="U2318" s="13"/>
      <c r="V2318" s="13"/>
      <c r="W2318" s="13"/>
    </row>
    <row r="2319" spans="4:23" ht="27" customHeight="1" x14ac:dyDescent="0.25">
      <c r="D2319" s="14" t="s">
        <v>7563</v>
      </c>
      <c r="E2319" s="14" t="s">
        <v>7564</v>
      </c>
      <c r="F2319" s="84" t="s">
        <v>302</v>
      </c>
      <c r="G2319" s="15" t="s">
        <v>27</v>
      </c>
      <c r="H2319" s="16" t="s">
        <v>7565</v>
      </c>
      <c r="I2319" s="17"/>
      <c r="J2319" s="17"/>
      <c r="K2319" s="17"/>
      <c r="L2319" s="17"/>
      <c r="T2319" s="13"/>
      <c r="U2319" s="13"/>
      <c r="V2319" s="13"/>
      <c r="W2319" s="13"/>
    </row>
    <row r="2320" spans="4:23" ht="27" customHeight="1" x14ac:dyDescent="0.25">
      <c r="D2320" s="14" t="s">
        <v>7566</v>
      </c>
      <c r="E2320" s="14" t="s">
        <v>7567</v>
      </c>
      <c r="F2320" s="84" t="s">
        <v>107</v>
      </c>
      <c r="G2320" s="15" t="s">
        <v>68</v>
      </c>
      <c r="H2320" s="16" t="s">
        <v>7568</v>
      </c>
      <c r="I2320" s="17"/>
      <c r="J2320" s="17"/>
      <c r="K2320" s="17"/>
      <c r="L2320" s="17"/>
      <c r="T2320" s="13"/>
      <c r="U2320" s="13"/>
      <c r="V2320" s="13"/>
      <c r="W2320" s="13"/>
    </row>
    <row r="2321" spans="4:23" ht="27" customHeight="1" x14ac:dyDescent="0.25">
      <c r="D2321" s="14" t="s">
        <v>7569</v>
      </c>
      <c r="E2321" s="14" t="s">
        <v>7570</v>
      </c>
      <c r="F2321" s="84" t="s">
        <v>266</v>
      </c>
      <c r="G2321" s="15" t="s">
        <v>27</v>
      </c>
      <c r="H2321" s="16" t="s">
        <v>7571</v>
      </c>
      <c r="I2321" s="17"/>
      <c r="J2321" s="17"/>
      <c r="K2321" s="17"/>
      <c r="L2321" s="17"/>
      <c r="T2321" s="13"/>
      <c r="U2321" s="13"/>
      <c r="V2321" s="13"/>
      <c r="W2321" s="13"/>
    </row>
    <row r="2322" spans="4:23" ht="27" customHeight="1" x14ac:dyDescent="0.25">
      <c r="D2322" s="14" t="s">
        <v>7572</v>
      </c>
      <c r="E2322" s="14" t="s">
        <v>4714</v>
      </c>
      <c r="F2322" s="84" t="s">
        <v>261</v>
      </c>
      <c r="G2322" s="15" t="s">
        <v>68</v>
      </c>
      <c r="H2322" s="16" t="s">
        <v>7573</v>
      </c>
      <c r="I2322" s="17"/>
      <c r="J2322" s="17"/>
      <c r="K2322" s="17"/>
      <c r="L2322" s="17"/>
      <c r="T2322" s="13"/>
      <c r="U2322" s="13"/>
      <c r="V2322" s="13"/>
      <c r="W2322" s="13"/>
    </row>
    <row r="2323" spans="4:23" ht="27" customHeight="1" x14ac:dyDescent="0.25">
      <c r="D2323" s="14" t="s">
        <v>7574</v>
      </c>
      <c r="E2323" s="14" t="s">
        <v>7575</v>
      </c>
      <c r="F2323" s="84" t="s">
        <v>302</v>
      </c>
      <c r="G2323" s="15" t="s">
        <v>68</v>
      </c>
      <c r="H2323" s="16" t="s">
        <v>7576</v>
      </c>
      <c r="I2323" s="17"/>
      <c r="J2323" s="17"/>
      <c r="K2323" s="17"/>
      <c r="L2323" s="17"/>
      <c r="T2323" s="13"/>
      <c r="U2323" s="13"/>
      <c r="V2323" s="13"/>
      <c r="W2323" s="13"/>
    </row>
    <row r="2324" spans="4:23" ht="27" customHeight="1" x14ac:dyDescent="0.25">
      <c r="D2324" s="14" t="s">
        <v>7577</v>
      </c>
      <c r="E2324" s="14" t="s">
        <v>7578</v>
      </c>
      <c r="F2324" s="84" t="s">
        <v>524</v>
      </c>
      <c r="G2324" s="15" t="s">
        <v>27</v>
      </c>
      <c r="H2324" s="16" t="s">
        <v>7579</v>
      </c>
      <c r="I2324" s="17"/>
      <c r="J2324" s="17"/>
      <c r="K2324" s="17"/>
      <c r="L2324" s="17"/>
      <c r="T2324" s="13"/>
      <c r="U2324" s="13"/>
      <c r="V2324" s="13"/>
      <c r="W2324" s="13"/>
    </row>
    <row r="2325" spans="4:23" ht="27" customHeight="1" x14ac:dyDescent="0.25">
      <c r="D2325" s="14" t="s">
        <v>7580</v>
      </c>
      <c r="E2325" s="14" t="s">
        <v>1215</v>
      </c>
      <c r="F2325" s="84" t="s">
        <v>674</v>
      </c>
      <c r="G2325" s="15" t="s">
        <v>27</v>
      </c>
      <c r="H2325" s="16" t="s">
        <v>7581</v>
      </c>
      <c r="I2325" s="17"/>
      <c r="J2325" s="17"/>
      <c r="K2325" s="17"/>
      <c r="L2325" s="17"/>
      <c r="T2325" s="13"/>
      <c r="U2325" s="13"/>
      <c r="V2325" s="13"/>
      <c r="W2325" s="13"/>
    </row>
    <row r="2326" spans="4:23" ht="27" customHeight="1" x14ac:dyDescent="0.25">
      <c r="D2326" s="14" t="s">
        <v>7582</v>
      </c>
      <c r="E2326" s="14" t="s">
        <v>3842</v>
      </c>
      <c r="F2326" s="84" t="s">
        <v>61</v>
      </c>
      <c r="G2326" s="15" t="s">
        <v>27</v>
      </c>
      <c r="H2326" s="16" t="s">
        <v>7583</v>
      </c>
      <c r="I2326" s="17"/>
      <c r="J2326" s="17"/>
      <c r="K2326" s="17"/>
      <c r="L2326" s="17"/>
      <c r="T2326" s="13"/>
      <c r="U2326" s="13"/>
      <c r="V2326" s="13"/>
      <c r="W2326" s="13"/>
    </row>
    <row r="2327" spans="4:23" ht="27" customHeight="1" x14ac:dyDescent="0.25">
      <c r="D2327" s="14" t="s">
        <v>7584</v>
      </c>
      <c r="E2327" s="14" t="s">
        <v>3109</v>
      </c>
      <c r="F2327" s="84" t="s">
        <v>485</v>
      </c>
      <c r="G2327" s="15" t="s">
        <v>27</v>
      </c>
      <c r="H2327" s="16" t="s">
        <v>7585</v>
      </c>
      <c r="I2327" s="17"/>
      <c r="J2327" s="17"/>
      <c r="K2327" s="17"/>
      <c r="L2327" s="17"/>
      <c r="T2327" s="13"/>
      <c r="U2327" s="13"/>
      <c r="V2327" s="13"/>
      <c r="W2327" s="13"/>
    </row>
    <row r="2328" spans="4:23" ht="27" customHeight="1" x14ac:dyDescent="0.25">
      <c r="D2328" s="14" t="s">
        <v>7586</v>
      </c>
      <c r="E2328" s="14" t="s">
        <v>7587</v>
      </c>
      <c r="F2328" s="84" t="s">
        <v>114</v>
      </c>
      <c r="G2328" s="15" t="s">
        <v>27</v>
      </c>
      <c r="H2328" s="16" t="s">
        <v>7588</v>
      </c>
      <c r="I2328" s="17"/>
      <c r="J2328" s="17"/>
      <c r="K2328" s="17"/>
      <c r="L2328" s="17"/>
      <c r="T2328" s="13"/>
      <c r="U2328" s="13"/>
      <c r="V2328" s="13"/>
      <c r="W2328" s="13"/>
    </row>
    <row r="2329" spans="4:23" ht="27" customHeight="1" x14ac:dyDescent="0.25">
      <c r="D2329" s="14" t="s">
        <v>7589</v>
      </c>
      <c r="E2329" s="14" t="s">
        <v>7590</v>
      </c>
      <c r="F2329" s="84" t="s">
        <v>256</v>
      </c>
      <c r="G2329" s="15" t="s">
        <v>27</v>
      </c>
      <c r="H2329" s="16" t="s">
        <v>7591</v>
      </c>
      <c r="I2329" s="17"/>
      <c r="J2329" s="17"/>
      <c r="K2329" s="17"/>
      <c r="L2329" s="17"/>
      <c r="T2329" s="13"/>
      <c r="U2329" s="13"/>
      <c r="V2329" s="13"/>
      <c r="W2329" s="13"/>
    </row>
    <row r="2330" spans="4:23" ht="27" customHeight="1" x14ac:dyDescent="0.25">
      <c r="D2330" s="14" t="s">
        <v>7592</v>
      </c>
      <c r="E2330" s="14" t="s">
        <v>4748</v>
      </c>
      <c r="F2330" s="84" t="s">
        <v>402</v>
      </c>
      <c r="G2330" s="15" t="s">
        <v>27</v>
      </c>
      <c r="H2330" s="16" t="s">
        <v>7593</v>
      </c>
      <c r="I2330" s="17"/>
      <c r="J2330" s="17"/>
      <c r="K2330" s="17"/>
      <c r="L2330" s="17"/>
      <c r="T2330" s="13"/>
      <c r="U2330" s="13"/>
      <c r="V2330" s="13"/>
      <c r="W2330" s="13"/>
    </row>
    <row r="2331" spans="4:23" ht="27" customHeight="1" x14ac:dyDescent="0.25">
      <c r="D2331" s="14" t="s">
        <v>7594</v>
      </c>
      <c r="E2331" s="14" t="s">
        <v>1933</v>
      </c>
      <c r="F2331" s="84" t="s">
        <v>381</v>
      </c>
      <c r="G2331" s="15" t="s">
        <v>27</v>
      </c>
      <c r="H2331" s="16" t="s">
        <v>7595</v>
      </c>
      <c r="I2331" s="17"/>
      <c r="J2331" s="17"/>
      <c r="K2331" s="17"/>
      <c r="L2331" s="17"/>
      <c r="T2331" s="13"/>
      <c r="U2331" s="13"/>
      <c r="V2331" s="13"/>
      <c r="W2331" s="13"/>
    </row>
    <row r="2332" spans="4:23" ht="27" customHeight="1" x14ac:dyDescent="0.25">
      <c r="D2332" s="14" t="s">
        <v>7596</v>
      </c>
      <c r="E2332" s="14" t="s">
        <v>7597</v>
      </c>
      <c r="F2332" s="84" t="s">
        <v>296</v>
      </c>
      <c r="G2332" s="15" t="s">
        <v>27</v>
      </c>
      <c r="H2332" s="16" t="s">
        <v>7598</v>
      </c>
      <c r="I2332" s="17"/>
      <c r="J2332" s="17"/>
      <c r="K2332" s="17"/>
      <c r="L2332" s="17"/>
      <c r="T2332" s="13"/>
      <c r="U2332" s="13"/>
      <c r="V2332" s="13"/>
      <c r="W2332" s="13"/>
    </row>
    <row r="2333" spans="4:23" ht="27" customHeight="1" x14ac:dyDescent="0.25">
      <c r="D2333" s="14" t="s">
        <v>7599</v>
      </c>
      <c r="E2333" s="14" t="s">
        <v>7600</v>
      </c>
      <c r="F2333" s="84" t="s">
        <v>266</v>
      </c>
      <c r="G2333" s="15" t="s">
        <v>27</v>
      </c>
      <c r="H2333" s="16" t="s">
        <v>7601</v>
      </c>
      <c r="I2333" s="17"/>
      <c r="J2333" s="17"/>
      <c r="K2333" s="17"/>
      <c r="L2333" s="17"/>
      <c r="T2333" s="13"/>
      <c r="U2333" s="13"/>
      <c r="V2333" s="13"/>
      <c r="W2333" s="13"/>
    </row>
    <row r="2334" spans="4:23" ht="27" customHeight="1" x14ac:dyDescent="0.25">
      <c r="D2334" s="14" t="s">
        <v>7602</v>
      </c>
      <c r="E2334" s="14" t="s">
        <v>7603</v>
      </c>
      <c r="F2334" s="84" t="s">
        <v>26</v>
      </c>
      <c r="G2334" s="15" t="s">
        <v>27</v>
      </c>
      <c r="H2334" s="16" t="s">
        <v>7604</v>
      </c>
      <c r="I2334" s="17"/>
      <c r="J2334" s="17"/>
      <c r="K2334" s="17"/>
      <c r="L2334" s="17"/>
      <c r="T2334" s="13"/>
      <c r="U2334" s="13"/>
      <c r="V2334" s="13"/>
      <c r="W2334" s="13"/>
    </row>
    <row r="2335" spans="4:23" ht="27" customHeight="1" x14ac:dyDescent="0.25">
      <c r="D2335" s="14" t="s">
        <v>7605</v>
      </c>
      <c r="E2335" s="14" t="s">
        <v>2325</v>
      </c>
      <c r="F2335" s="84" t="s">
        <v>597</v>
      </c>
      <c r="G2335" s="15" t="s">
        <v>27</v>
      </c>
      <c r="H2335" s="16" t="s">
        <v>7606</v>
      </c>
      <c r="I2335" s="17"/>
      <c r="J2335" s="17"/>
      <c r="K2335" s="17"/>
      <c r="L2335" s="17"/>
      <c r="T2335" s="13"/>
      <c r="U2335" s="13"/>
      <c r="V2335" s="13"/>
      <c r="W2335" s="13"/>
    </row>
    <row r="2336" spans="4:23" ht="27" customHeight="1" x14ac:dyDescent="0.25">
      <c r="D2336" s="14" t="s">
        <v>7607</v>
      </c>
      <c r="E2336" s="14" t="s">
        <v>1124</v>
      </c>
      <c r="F2336" s="84" t="s">
        <v>556</v>
      </c>
      <c r="G2336" s="15" t="s">
        <v>27</v>
      </c>
      <c r="H2336" s="16" t="s">
        <v>7608</v>
      </c>
      <c r="I2336" s="17"/>
      <c r="J2336" s="17"/>
      <c r="K2336" s="17"/>
      <c r="L2336" s="17"/>
      <c r="T2336" s="13"/>
      <c r="U2336" s="13"/>
      <c r="V2336" s="13"/>
      <c r="W2336" s="13"/>
    </row>
    <row r="2337" spans="4:23" ht="27" customHeight="1" x14ac:dyDescent="0.25">
      <c r="D2337" s="14" t="s">
        <v>7609</v>
      </c>
      <c r="E2337" s="14" t="s">
        <v>7610</v>
      </c>
      <c r="F2337" s="84" t="s">
        <v>847</v>
      </c>
      <c r="G2337" s="15" t="s">
        <v>27</v>
      </c>
      <c r="H2337" s="16" t="s">
        <v>7611</v>
      </c>
      <c r="I2337" s="17"/>
      <c r="J2337" s="17"/>
      <c r="K2337" s="17"/>
      <c r="L2337" s="17"/>
      <c r="T2337" s="13"/>
      <c r="U2337" s="13"/>
      <c r="V2337" s="13"/>
      <c r="W2337" s="13"/>
    </row>
    <row r="2338" spans="4:23" ht="27" customHeight="1" x14ac:dyDescent="0.25">
      <c r="D2338" s="14" t="s">
        <v>7612</v>
      </c>
      <c r="E2338" s="14" t="s">
        <v>2208</v>
      </c>
      <c r="F2338" s="84" t="s">
        <v>466</v>
      </c>
      <c r="G2338" s="15" t="s">
        <v>27</v>
      </c>
      <c r="H2338" s="16" t="s">
        <v>7613</v>
      </c>
      <c r="I2338" s="17"/>
      <c r="J2338" s="17"/>
      <c r="K2338" s="17"/>
      <c r="L2338" s="17"/>
      <c r="T2338" s="13"/>
      <c r="U2338" s="13"/>
      <c r="V2338" s="13"/>
      <c r="W2338" s="13"/>
    </row>
    <row r="2339" spans="4:23" ht="27" customHeight="1" x14ac:dyDescent="0.25">
      <c r="D2339" s="14" t="s">
        <v>7614</v>
      </c>
      <c r="E2339" s="14" t="s">
        <v>2068</v>
      </c>
      <c r="F2339" s="84" t="s">
        <v>934</v>
      </c>
      <c r="G2339" s="15" t="s">
        <v>27</v>
      </c>
      <c r="H2339" s="16" t="s">
        <v>7615</v>
      </c>
      <c r="I2339" s="17"/>
      <c r="J2339" s="17"/>
      <c r="K2339" s="17"/>
      <c r="L2339" s="17"/>
      <c r="T2339" s="13"/>
      <c r="U2339" s="13"/>
      <c r="V2339" s="13"/>
      <c r="W2339" s="13"/>
    </row>
    <row r="2340" spans="4:23" ht="27" customHeight="1" x14ac:dyDescent="0.25">
      <c r="D2340" s="14" t="s">
        <v>7616</v>
      </c>
      <c r="E2340" s="14" t="s">
        <v>7617</v>
      </c>
      <c r="F2340" s="84" t="s">
        <v>302</v>
      </c>
      <c r="G2340" s="15" t="s">
        <v>27</v>
      </c>
      <c r="H2340" s="16" t="s">
        <v>7618</v>
      </c>
      <c r="I2340" s="17"/>
      <c r="J2340" s="17"/>
      <c r="K2340" s="17"/>
      <c r="L2340" s="17"/>
      <c r="T2340" s="13"/>
      <c r="U2340" s="13"/>
      <c r="V2340" s="13"/>
      <c r="W2340" s="13"/>
    </row>
    <row r="2341" spans="4:23" ht="27" customHeight="1" x14ac:dyDescent="0.25">
      <c r="D2341" s="14" t="s">
        <v>7619</v>
      </c>
      <c r="E2341" s="14" t="s">
        <v>7620</v>
      </c>
      <c r="F2341" s="84" t="s">
        <v>1626</v>
      </c>
      <c r="G2341" s="15" t="s">
        <v>27</v>
      </c>
      <c r="H2341" s="16" t="s">
        <v>7621</v>
      </c>
      <c r="I2341" s="17"/>
      <c r="J2341" s="17"/>
      <c r="K2341" s="17"/>
      <c r="L2341" s="17"/>
      <c r="T2341" s="13"/>
      <c r="U2341" s="13"/>
      <c r="V2341" s="13"/>
      <c r="W2341" s="13"/>
    </row>
    <row r="2342" spans="4:23" ht="27" customHeight="1" x14ac:dyDescent="0.25">
      <c r="D2342" s="14" t="s">
        <v>7622</v>
      </c>
      <c r="E2342" s="14" t="s">
        <v>7623</v>
      </c>
      <c r="F2342" s="84" t="s">
        <v>381</v>
      </c>
      <c r="G2342" s="15" t="s">
        <v>27</v>
      </c>
      <c r="H2342" s="16" t="s">
        <v>7624</v>
      </c>
      <c r="I2342" s="17"/>
      <c r="J2342" s="17"/>
      <c r="K2342" s="17"/>
      <c r="L2342" s="17"/>
      <c r="T2342" s="13"/>
      <c r="U2342" s="13"/>
      <c r="V2342" s="13"/>
      <c r="W2342" s="13"/>
    </row>
    <row r="2343" spans="4:23" ht="27" customHeight="1" x14ac:dyDescent="0.25">
      <c r="D2343" s="14" t="s">
        <v>7625</v>
      </c>
      <c r="E2343" s="14" t="s">
        <v>3923</v>
      </c>
      <c r="F2343" s="84" t="s">
        <v>61</v>
      </c>
      <c r="G2343" s="15" t="s">
        <v>27</v>
      </c>
      <c r="H2343" s="16" t="s">
        <v>7626</v>
      </c>
      <c r="I2343" s="17"/>
      <c r="J2343" s="17"/>
      <c r="K2343" s="17"/>
      <c r="L2343" s="17"/>
      <c r="T2343" s="13"/>
      <c r="U2343" s="13"/>
      <c r="V2343" s="13"/>
      <c r="W2343" s="13"/>
    </row>
    <row r="2344" spans="4:23" ht="27" customHeight="1" x14ac:dyDescent="0.25">
      <c r="D2344" s="14" t="s">
        <v>7627</v>
      </c>
      <c r="E2344" s="14" t="s">
        <v>2164</v>
      </c>
      <c r="F2344" s="84" t="s">
        <v>1886</v>
      </c>
      <c r="G2344" s="15" t="s">
        <v>68</v>
      </c>
      <c r="H2344" s="16" t="s">
        <v>7628</v>
      </c>
      <c r="I2344" s="17"/>
      <c r="J2344" s="17"/>
      <c r="K2344" s="17"/>
      <c r="L2344" s="17"/>
      <c r="T2344" s="13"/>
      <c r="U2344" s="13"/>
      <c r="V2344" s="13"/>
      <c r="W2344" s="13"/>
    </row>
    <row r="2345" spans="4:23" ht="27" customHeight="1" x14ac:dyDescent="0.25">
      <c r="D2345" s="14" t="s">
        <v>7629</v>
      </c>
      <c r="E2345" s="14" t="s">
        <v>4694</v>
      </c>
      <c r="F2345" s="84" t="s">
        <v>261</v>
      </c>
      <c r="G2345" s="15" t="s">
        <v>68</v>
      </c>
      <c r="H2345" s="16" t="s">
        <v>7630</v>
      </c>
      <c r="I2345" s="17"/>
      <c r="J2345" s="17"/>
      <c r="K2345" s="17"/>
      <c r="L2345" s="17"/>
      <c r="T2345" s="13"/>
      <c r="U2345" s="13"/>
      <c r="V2345" s="13"/>
      <c r="W2345" s="13"/>
    </row>
    <row r="2346" spans="4:23" ht="27" customHeight="1" x14ac:dyDescent="0.25">
      <c r="D2346" s="14" t="s">
        <v>7631</v>
      </c>
      <c r="E2346" s="14" t="s">
        <v>7632</v>
      </c>
      <c r="F2346" s="84" t="s">
        <v>524</v>
      </c>
      <c r="G2346" s="15" t="s">
        <v>68</v>
      </c>
      <c r="H2346" s="16" t="s">
        <v>7633</v>
      </c>
      <c r="I2346" s="17"/>
      <c r="J2346" s="17"/>
      <c r="K2346" s="17"/>
      <c r="L2346" s="17"/>
      <c r="T2346" s="13"/>
      <c r="U2346" s="13"/>
      <c r="V2346" s="13"/>
      <c r="W2346" s="13"/>
    </row>
    <row r="2347" spans="4:23" ht="27" customHeight="1" x14ac:dyDescent="0.25">
      <c r="D2347" s="14" t="s">
        <v>7634</v>
      </c>
      <c r="E2347" s="14" t="s">
        <v>3849</v>
      </c>
      <c r="F2347" s="84" t="s">
        <v>61</v>
      </c>
      <c r="G2347" s="15" t="s">
        <v>68</v>
      </c>
      <c r="H2347" s="16" t="s">
        <v>7635</v>
      </c>
      <c r="I2347" s="17"/>
      <c r="J2347" s="17"/>
      <c r="K2347" s="17"/>
      <c r="L2347" s="17"/>
      <c r="T2347" s="13"/>
      <c r="U2347" s="13"/>
      <c r="V2347" s="13"/>
      <c r="W2347" s="13"/>
    </row>
    <row r="2348" spans="4:23" ht="27" customHeight="1" x14ac:dyDescent="0.25">
      <c r="D2348" s="14" t="s">
        <v>7636</v>
      </c>
      <c r="E2348" s="14" t="s">
        <v>7637</v>
      </c>
      <c r="F2348" s="84" t="s">
        <v>2461</v>
      </c>
      <c r="G2348" s="15" t="s">
        <v>68</v>
      </c>
      <c r="H2348" s="16" t="s">
        <v>7638</v>
      </c>
      <c r="I2348" s="17"/>
      <c r="J2348" s="17"/>
      <c r="K2348" s="17"/>
      <c r="L2348" s="17"/>
      <c r="T2348" s="13"/>
      <c r="U2348" s="13"/>
      <c r="V2348" s="13"/>
      <c r="W2348" s="13"/>
    </row>
    <row r="2349" spans="4:23" ht="27" customHeight="1" x14ac:dyDescent="0.25">
      <c r="D2349" s="14" t="s">
        <v>7639</v>
      </c>
      <c r="E2349" s="14" t="s">
        <v>1011</v>
      </c>
      <c r="F2349" s="84" t="s">
        <v>587</v>
      </c>
      <c r="G2349" s="15" t="s">
        <v>68</v>
      </c>
      <c r="H2349" s="16" t="s">
        <v>7640</v>
      </c>
      <c r="I2349" s="17"/>
      <c r="J2349" s="17"/>
      <c r="K2349" s="17"/>
      <c r="L2349" s="17"/>
      <c r="T2349" s="13"/>
      <c r="U2349" s="13"/>
      <c r="V2349" s="13"/>
      <c r="W2349" s="13"/>
    </row>
    <row r="2350" spans="4:23" ht="27" customHeight="1" x14ac:dyDescent="0.25">
      <c r="D2350" s="14" t="s">
        <v>7641</v>
      </c>
      <c r="E2350" s="14" t="s">
        <v>7642</v>
      </c>
      <c r="F2350" s="84" t="s">
        <v>2488</v>
      </c>
      <c r="G2350" s="15" t="s">
        <v>27</v>
      </c>
      <c r="H2350" s="16" t="s">
        <v>7643</v>
      </c>
      <c r="I2350" s="17"/>
      <c r="J2350" s="17"/>
      <c r="K2350" s="17"/>
      <c r="L2350" s="17"/>
      <c r="T2350" s="13"/>
      <c r="U2350" s="13"/>
      <c r="V2350" s="13"/>
      <c r="W2350" s="13"/>
    </row>
    <row r="2351" spans="4:23" ht="27" customHeight="1" x14ac:dyDescent="0.25">
      <c r="D2351" s="14" t="s">
        <v>7644</v>
      </c>
      <c r="E2351" s="14" t="s">
        <v>4329</v>
      </c>
      <c r="F2351" s="84" t="s">
        <v>710</v>
      </c>
      <c r="G2351" s="15" t="s">
        <v>68</v>
      </c>
      <c r="H2351" s="16" t="s">
        <v>7645</v>
      </c>
      <c r="I2351" s="17"/>
      <c r="J2351" s="17"/>
      <c r="K2351" s="17"/>
      <c r="L2351" s="17"/>
      <c r="T2351" s="13"/>
      <c r="U2351" s="13"/>
      <c r="V2351" s="13"/>
      <c r="W2351" s="13"/>
    </row>
    <row r="2352" spans="4:23" ht="27" customHeight="1" x14ac:dyDescent="0.25">
      <c r="D2352" s="14" t="s">
        <v>7646</v>
      </c>
      <c r="E2352" s="14" t="s">
        <v>3551</v>
      </c>
      <c r="F2352" s="84" t="s">
        <v>566</v>
      </c>
      <c r="G2352" s="15" t="s">
        <v>27</v>
      </c>
      <c r="H2352" s="16" t="s">
        <v>7647</v>
      </c>
      <c r="I2352" s="17"/>
      <c r="J2352" s="17"/>
      <c r="K2352" s="17"/>
      <c r="L2352" s="17"/>
      <c r="T2352" s="13"/>
      <c r="U2352" s="13"/>
      <c r="V2352" s="13"/>
      <c r="W2352" s="13"/>
    </row>
    <row r="2353" spans="4:23" ht="27" customHeight="1" x14ac:dyDescent="0.25">
      <c r="D2353" s="14" t="s">
        <v>7648</v>
      </c>
      <c r="E2353" s="14" t="s">
        <v>2337</v>
      </c>
      <c r="F2353" s="84" t="s">
        <v>597</v>
      </c>
      <c r="G2353" s="15" t="s">
        <v>27</v>
      </c>
      <c r="H2353" s="16" t="s">
        <v>7649</v>
      </c>
      <c r="I2353" s="17"/>
      <c r="J2353" s="17"/>
      <c r="K2353" s="17"/>
      <c r="L2353" s="17"/>
      <c r="T2353" s="13"/>
      <c r="U2353" s="13"/>
      <c r="V2353" s="13"/>
      <c r="W2353" s="13"/>
    </row>
    <row r="2354" spans="4:23" ht="27" customHeight="1" x14ac:dyDescent="0.25">
      <c r="D2354" s="14" t="s">
        <v>7650</v>
      </c>
      <c r="E2354" s="14" t="s">
        <v>7651</v>
      </c>
      <c r="F2354" s="84" t="s">
        <v>343</v>
      </c>
      <c r="G2354" s="15" t="s">
        <v>27</v>
      </c>
      <c r="H2354" s="16" t="s">
        <v>7652</v>
      </c>
      <c r="I2354" s="17"/>
      <c r="J2354" s="17"/>
      <c r="K2354" s="17"/>
      <c r="L2354" s="17"/>
      <c r="T2354" s="13"/>
      <c r="U2354" s="13"/>
      <c r="V2354" s="13"/>
      <c r="W2354" s="13"/>
    </row>
    <row r="2355" spans="4:23" ht="27" customHeight="1" x14ac:dyDescent="0.25">
      <c r="D2355" s="14" t="s">
        <v>7653</v>
      </c>
      <c r="E2355" s="14" t="s">
        <v>7654</v>
      </c>
      <c r="F2355" s="84" t="s">
        <v>592</v>
      </c>
      <c r="G2355" s="15" t="s">
        <v>68</v>
      </c>
      <c r="H2355" s="16" t="s">
        <v>7655</v>
      </c>
      <c r="I2355" s="17"/>
      <c r="J2355" s="17"/>
      <c r="K2355" s="17"/>
      <c r="L2355" s="17"/>
      <c r="T2355" s="13"/>
      <c r="U2355" s="13"/>
      <c r="V2355" s="13"/>
      <c r="W2355" s="13"/>
    </row>
    <row r="2356" spans="4:23" ht="27" customHeight="1" x14ac:dyDescent="0.25">
      <c r="D2356" s="14" t="s">
        <v>7656</v>
      </c>
      <c r="E2356" s="14" t="s">
        <v>7657</v>
      </c>
      <c r="F2356" s="84" t="s">
        <v>887</v>
      </c>
      <c r="G2356" s="15" t="s">
        <v>27</v>
      </c>
      <c r="H2356" s="16" t="s">
        <v>7658</v>
      </c>
      <c r="I2356" s="17"/>
      <c r="J2356" s="17"/>
      <c r="K2356" s="17"/>
      <c r="L2356" s="17"/>
      <c r="T2356" s="13"/>
      <c r="U2356" s="13"/>
      <c r="V2356" s="13"/>
      <c r="W2356" s="13"/>
    </row>
    <row r="2357" spans="4:23" ht="27" customHeight="1" x14ac:dyDescent="0.25">
      <c r="D2357" s="14" t="s">
        <v>7659</v>
      </c>
      <c r="E2357" s="14" t="s">
        <v>7660</v>
      </c>
      <c r="F2357" s="84" t="s">
        <v>290</v>
      </c>
      <c r="G2357" s="15" t="s">
        <v>68</v>
      </c>
      <c r="H2357" s="16" t="s">
        <v>7661</v>
      </c>
      <c r="I2357" s="17"/>
      <c r="J2357" s="17"/>
      <c r="K2357" s="17"/>
      <c r="L2357" s="17"/>
      <c r="T2357" s="13"/>
      <c r="U2357" s="13"/>
      <c r="V2357" s="13"/>
      <c r="W2357" s="13"/>
    </row>
    <row r="2358" spans="4:23" ht="27" customHeight="1" x14ac:dyDescent="0.25">
      <c r="D2358" s="14" t="s">
        <v>7662</v>
      </c>
      <c r="E2358" s="14" t="s">
        <v>7663</v>
      </c>
      <c r="F2358" s="84" t="s">
        <v>114</v>
      </c>
      <c r="G2358" s="15" t="s">
        <v>27</v>
      </c>
      <c r="H2358" s="16" t="s">
        <v>7664</v>
      </c>
      <c r="I2358" s="17"/>
      <c r="J2358" s="17"/>
      <c r="K2358" s="17"/>
      <c r="L2358" s="17"/>
      <c r="T2358" s="13"/>
      <c r="U2358" s="13"/>
      <c r="V2358" s="13"/>
      <c r="W2358" s="13"/>
    </row>
    <row r="2359" spans="4:23" ht="27" customHeight="1" x14ac:dyDescent="0.25">
      <c r="D2359" s="14" t="s">
        <v>7665</v>
      </c>
      <c r="E2359" s="14" t="s">
        <v>4956</v>
      </c>
      <c r="F2359" s="84" t="s">
        <v>444</v>
      </c>
      <c r="G2359" s="15" t="s">
        <v>27</v>
      </c>
      <c r="H2359" s="16" t="s">
        <v>7666</v>
      </c>
      <c r="I2359" s="17"/>
      <c r="J2359" s="17"/>
      <c r="K2359" s="17"/>
      <c r="L2359" s="17"/>
      <c r="T2359" s="13"/>
      <c r="U2359" s="13"/>
      <c r="V2359" s="13"/>
      <c r="W2359" s="13"/>
    </row>
    <row r="2360" spans="4:23" ht="27" customHeight="1" x14ac:dyDescent="0.25">
      <c r="D2360" s="14" t="s">
        <v>7667</v>
      </c>
      <c r="E2360" s="14" t="s">
        <v>7668</v>
      </c>
      <c r="F2360" s="84" t="s">
        <v>3891</v>
      </c>
      <c r="G2360" s="15" t="s">
        <v>27</v>
      </c>
      <c r="H2360" s="16" t="s">
        <v>7669</v>
      </c>
      <c r="I2360" s="17"/>
      <c r="J2360" s="17"/>
      <c r="K2360" s="17"/>
      <c r="L2360" s="17"/>
      <c r="T2360" s="13"/>
      <c r="U2360" s="13"/>
      <c r="V2360" s="13"/>
      <c r="W2360" s="13"/>
    </row>
    <row r="2361" spans="4:23" ht="27" customHeight="1" x14ac:dyDescent="0.25">
      <c r="D2361" s="14" t="s">
        <v>7670</v>
      </c>
      <c r="E2361" s="14" t="s">
        <v>1549</v>
      </c>
      <c r="F2361" s="84" t="s">
        <v>508</v>
      </c>
      <c r="G2361" s="15" t="s">
        <v>27</v>
      </c>
      <c r="H2361" s="16" t="s">
        <v>7671</v>
      </c>
      <c r="I2361" s="17"/>
      <c r="J2361" s="17"/>
      <c r="K2361" s="17"/>
      <c r="L2361" s="17"/>
      <c r="T2361" s="13"/>
      <c r="U2361" s="13"/>
      <c r="V2361" s="13"/>
      <c r="W2361" s="13"/>
    </row>
    <row r="2362" spans="4:23" ht="27" customHeight="1" x14ac:dyDescent="0.25">
      <c r="D2362" s="14" t="s">
        <v>7672</v>
      </c>
      <c r="E2362" s="14" t="s">
        <v>7673</v>
      </c>
      <c r="F2362" s="84" t="s">
        <v>175</v>
      </c>
      <c r="G2362" s="15" t="s">
        <v>27</v>
      </c>
      <c r="H2362" s="16" t="s">
        <v>7674</v>
      </c>
      <c r="I2362" s="17"/>
      <c r="J2362" s="17"/>
      <c r="K2362" s="17"/>
      <c r="L2362" s="17"/>
      <c r="T2362" s="13"/>
      <c r="U2362" s="13"/>
      <c r="V2362" s="13"/>
      <c r="W2362" s="13"/>
    </row>
    <row r="2363" spans="4:23" ht="27" customHeight="1" x14ac:dyDescent="0.25">
      <c r="D2363" s="14" t="s">
        <v>7675</v>
      </c>
      <c r="E2363" s="14" t="s">
        <v>7676</v>
      </c>
      <c r="F2363" s="84" t="s">
        <v>533</v>
      </c>
      <c r="G2363" s="15" t="s">
        <v>27</v>
      </c>
      <c r="H2363" s="16" t="s">
        <v>7677</v>
      </c>
      <c r="I2363" s="17"/>
      <c r="J2363" s="17"/>
      <c r="K2363" s="17"/>
      <c r="L2363" s="17"/>
      <c r="T2363" s="13"/>
      <c r="U2363" s="13"/>
      <c r="V2363" s="13"/>
      <c r="W2363" s="13"/>
    </row>
    <row r="2364" spans="4:23" ht="27" customHeight="1" x14ac:dyDescent="0.25">
      <c r="D2364" s="14" t="s">
        <v>7678</v>
      </c>
      <c r="E2364" s="14" t="s">
        <v>7679</v>
      </c>
      <c r="F2364" s="84" t="s">
        <v>614</v>
      </c>
      <c r="G2364" s="15" t="s">
        <v>27</v>
      </c>
      <c r="H2364" s="16" t="s">
        <v>7680</v>
      </c>
      <c r="I2364" s="17"/>
      <c r="J2364" s="17"/>
      <c r="K2364" s="17"/>
      <c r="L2364" s="17"/>
      <c r="T2364" s="13"/>
      <c r="U2364" s="13"/>
      <c r="V2364" s="13"/>
      <c r="W2364" s="13"/>
    </row>
    <row r="2365" spans="4:23" ht="27" customHeight="1" x14ac:dyDescent="0.25">
      <c r="D2365" s="14" t="s">
        <v>7681</v>
      </c>
      <c r="E2365" s="14" t="s">
        <v>7682</v>
      </c>
      <c r="F2365" s="84" t="s">
        <v>302</v>
      </c>
      <c r="G2365" s="15" t="s">
        <v>27</v>
      </c>
      <c r="H2365" s="16" t="s">
        <v>7683</v>
      </c>
      <c r="I2365" s="17"/>
      <c r="J2365" s="17"/>
      <c r="K2365" s="17"/>
      <c r="L2365" s="17"/>
      <c r="T2365" s="13"/>
      <c r="U2365" s="13"/>
      <c r="V2365" s="13"/>
      <c r="W2365" s="13"/>
    </row>
    <row r="2366" spans="4:23" ht="27" customHeight="1" x14ac:dyDescent="0.25">
      <c r="D2366" s="14" t="s">
        <v>7684</v>
      </c>
      <c r="E2366" s="14" t="s">
        <v>2128</v>
      </c>
      <c r="F2366" s="84" t="s">
        <v>1572</v>
      </c>
      <c r="G2366" s="15" t="s">
        <v>68</v>
      </c>
      <c r="H2366" s="16" t="s">
        <v>7685</v>
      </c>
      <c r="I2366" s="17"/>
      <c r="J2366" s="17"/>
      <c r="K2366" s="17"/>
      <c r="L2366" s="17"/>
      <c r="T2366" s="13"/>
      <c r="U2366" s="13"/>
      <c r="V2366" s="13"/>
      <c r="W2366" s="13"/>
    </row>
    <row r="2367" spans="4:23" ht="27" customHeight="1" x14ac:dyDescent="0.25">
      <c r="D2367" s="14" t="s">
        <v>7686</v>
      </c>
      <c r="E2367" s="14" t="s">
        <v>7687</v>
      </c>
      <c r="F2367" s="84" t="s">
        <v>233</v>
      </c>
      <c r="G2367" s="15" t="s">
        <v>27</v>
      </c>
      <c r="H2367" s="16" t="s">
        <v>7688</v>
      </c>
      <c r="I2367" s="17"/>
      <c r="J2367" s="17"/>
      <c r="K2367" s="17"/>
      <c r="L2367" s="17"/>
      <c r="T2367" s="13"/>
      <c r="U2367" s="13"/>
      <c r="V2367" s="13"/>
      <c r="W2367" s="13"/>
    </row>
    <row r="2368" spans="4:23" ht="27" customHeight="1" x14ac:dyDescent="0.25">
      <c r="D2368" s="14" t="s">
        <v>7689</v>
      </c>
      <c r="E2368" s="14" t="s">
        <v>2790</v>
      </c>
      <c r="F2368" s="84" t="s">
        <v>296</v>
      </c>
      <c r="G2368" s="15" t="s">
        <v>27</v>
      </c>
      <c r="H2368" s="16" t="s">
        <v>7690</v>
      </c>
      <c r="I2368" s="17"/>
      <c r="J2368" s="17"/>
      <c r="K2368" s="17"/>
      <c r="L2368" s="17"/>
      <c r="T2368" s="13"/>
      <c r="U2368" s="13"/>
      <c r="V2368" s="13"/>
      <c r="W2368" s="13"/>
    </row>
    <row r="2369" spans="4:23" ht="27" customHeight="1" x14ac:dyDescent="0.25">
      <c r="D2369" s="14" t="s">
        <v>7691</v>
      </c>
      <c r="E2369" s="14" t="s">
        <v>7692</v>
      </c>
      <c r="F2369" s="84" t="s">
        <v>51</v>
      </c>
      <c r="G2369" s="15" t="s">
        <v>68</v>
      </c>
      <c r="H2369" s="16" t="s">
        <v>7693</v>
      </c>
      <c r="I2369" s="17"/>
      <c r="J2369" s="17"/>
      <c r="K2369" s="17"/>
      <c r="L2369" s="17"/>
      <c r="T2369" s="13"/>
      <c r="U2369" s="13"/>
      <c r="V2369" s="13"/>
      <c r="W2369" s="13"/>
    </row>
    <row r="2370" spans="4:23" ht="27" customHeight="1" x14ac:dyDescent="0.25">
      <c r="D2370" s="14" t="s">
        <v>7694</v>
      </c>
      <c r="E2370" s="14" t="s">
        <v>2843</v>
      </c>
      <c r="F2370" s="84" t="s">
        <v>422</v>
      </c>
      <c r="G2370" s="15" t="s">
        <v>27</v>
      </c>
      <c r="H2370" s="16" t="s">
        <v>7695</v>
      </c>
      <c r="I2370" s="17"/>
      <c r="J2370" s="17"/>
      <c r="K2370" s="17"/>
      <c r="L2370" s="17"/>
      <c r="T2370" s="13"/>
      <c r="U2370" s="13"/>
      <c r="V2370" s="13"/>
      <c r="W2370" s="13"/>
    </row>
    <row r="2371" spans="4:23" ht="27" customHeight="1" x14ac:dyDescent="0.25">
      <c r="D2371" s="14" t="s">
        <v>7696</v>
      </c>
      <c r="E2371" s="14" t="s">
        <v>7697</v>
      </c>
      <c r="F2371" s="84" t="s">
        <v>847</v>
      </c>
      <c r="G2371" s="15" t="s">
        <v>68</v>
      </c>
      <c r="H2371" s="16" t="s">
        <v>7698</v>
      </c>
      <c r="I2371" s="17"/>
      <c r="J2371" s="17"/>
      <c r="K2371" s="17"/>
      <c r="L2371" s="17"/>
      <c r="T2371" s="13"/>
      <c r="U2371" s="13"/>
      <c r="V2371" s="13"/>
      <c r="W2371" s="13"/>
    </row>
    <row r="2372" spans="4:23" ht="27" customHeight="1" x14ac:dyDescent="0.25">
      <c r="D2372" s="14" t="s">
        <v>7699</v>
      </c>
      <c r="E2372" s="14" t="s">
        <v>1398</v>
      </c>
      <c r="F2372" s="84" t="s">
        <v>74</v>
      </c>
      <c r="G2372" s="15" t="s">
        <v>68</v>
      </c>
      <c r="H2372" s="16" t="s">
        <v>7700</v>
      </c>
      <c r="I2372" s="17"/>
      <c r="J2372" s="17"/>
      <c r="K2372" s="17"/>
      <c r="L2372" s="17"/>
      <c r="T2372" s="13"/>
      <c r="U2372" s="13"/>
      <c r="V2372" s="13"/>
      <c r="W2372" s="13"/>
    </row>
    <row r="2373" spans="4:23" ht="27" customHeight="1" x14ac:dyDescent="0.25">
      <c r="D2373" s="14" t="s">
        <v>7701</v>
      </c>
      <c r="E2373" s="14" t="s">
        <v>7702</v>
      </c>
      <c r="F2373" s="84" t="s">
        <v>175</v>
      </c>
      <c r="G2373" s="15" t="s">
        <v>27</v>
      </c>
      <c r="H2373" s="16" t="s">
        <v>7703</v>
      </c>
      <c r="I2373" s="17"/>
      <c r="J2373" s="17"/>
      <c r="K2373" s="17"/>
      <c r="L2373" s="17"/>
      <c r="T2373" s="13"/>
      <c r="U2373" s="13"/>
      <c r="V2373" s="13"/>
      <c r="W2373" s="13"/>
    </row>
    <row r="2374" spans="4:23" ht="27" customHeight="1" x14ac:dyDescent="0.25">
      <c r="D2374" s="14" t="s">
        <v>7704</v>
      </c>
      <c r="E2374" s="14" t="s">
        <v>7705</v>
      </c>
      <c r="F2374" s="84" t="s">
        <v>653</v>
      </c>
      <c r="G2374" s="15" t="s">
        <v>27</v>
      </c>
      <c r="H2374" s="16" t="s">
        <v>7706</v>
      </c>
      <c r="I2374" s="17"/>
      <c r="J2374" s="17"/>
      <c r="K2374" s="17"/>
      <c r="L2374" s="17"/>
      <c r="T2374" s="13"/>
      <c r="U2374" s="13"/>
      <c r="V2374" s="13"/>
      <c r="W2374" s="13"/>
    </row>
    <row r="2375" spans="4:23" ht="27" customHeight="1" x14ac:dyDescent="0.25">
      <c r="D2375" s="14" t="s">
        <v>7707</v>
      </c>
      <c r="E2375" s="14" t="s">
        <v>2821</v>
      </c>
      <c r="F2375" s="84" t="s">
        <v>422</v>
      </c>
      <c r="G2375" s="15" t="s">
        <v>27</v>
      </c>
      <c r="H2375" s="16" t="s">
        <v>7708</v>
      </c>
      <c r="I2375" s="17"/>
      <c r="J2375" s="17"/>
      <c r="K2375" s="17"/>
      <c r="L2375" s="17"/>
      <c r="T2375" s="13"/>
      <c r="U2375" s="13"/>
      <c r="V2375" s="13"/>
      <c r="W2375" s="13"/>
    </row>
    <row r="2376" spans="4:23" ht="27" customHeight="1" x14ac:dyDescent="0.25">
      <c r="D2376" s="14" t="s">
        <v>7709</v>
      </c>
      <c r="E2376" s="14" t="s">
        <v>7710</v>
      </c>
      <c r="F2376" s="84" t="s">
        <v>280</v>
      </c>
      <c r="G2376" s="15" t="s">
        <v>27</v>
      </c>
      <c r="H2376" s="16" t="s">
        <v>7711</v>
      </c>
      <c r="I2376" s="17"/>
      <c r="J2376" s="17"/>
      <c r="K2376" s="17"/>
      <c r="L2376" s="17"/>
      <c r="T2376" s="13"/>
      <c r="U2376" s="13"/>
      <c r="V2376" s="13"/>
      <c r="W2376" s="13"/>
    </row>
    <row r="2377" spans="4:23" ht="27" customHeight="1" x14ac:dyDescent="0.25">
      <c r="D2377" s="14" t="s">
        <v>7712</v>
      </c>
      <c r="E2377" s="14" t="s">
        <v>4110</v>
      </c>
      <c r="F2377" s="84" t="s">
        <v>239</v>
      </c>
      <c r="G2377" s="15" t="s">
        <v>68</v>
      </c>
      <c r="H2377" s="16" t="s">
        <v>7713</v>
      </c>
      <c r="I2377" s="17"/>
      <c r="J2377" s="17"/>
      <c r="K2377" s="17"/>
      <c r="L2377" s="17"/>
      <c r="T2377" s="13"/>
      <c r="U2377" s="13"/>
      <c r="V2377" s="13"/>
      <c r="W2377" s="13"/>
    </row>
    <row r="2378" spans="4:23" ht="27" customHeight="1" x14ac:dyDescent="0.25">
      <c r="D2378" s="14" t="s">
        <v>7714</v>
      </c>
      <c r="E2378" s="14" t="s">
        <v>1975</v>
      </c>
      <c r="F2378" s="84" t="s">
        <v>143</v>
      </c>
      <c r="G2378" s="15" t="s">
        <v>27</v>
      </c>
      <c r="H2378" s="16" t="s">
        <v>7715</v>
      </c>
      <c r="I2378" s="17"/>
      <c r="J2378" s="17"/>
      <c r="K2378" s="17"/>
      <c r="L2378" s="17"/>
      <c r="T2378" s="13"/>
      <c r="U2378" s="13"/>
      <c r="V2378" s="13"/>
      <c r="W2378" s="13"/>
    </row>
    <row r="2379" spans="4:23" ht="27" customHeight="1" x14ac:dyDescent="0.25">
      <c r="D2379" s="14" t="s">
        <v>7716</v>
      </c>
      <c r="E2379" s="14" t="s">
        <v>7717</v>
      </c>
      <c r="F2379" s="84" t="s">
        <v>3891</v>
      </c>
      <c r="G2379" s="15" t="s">
        <v>27</v>
      </c>
      <c r="H2379" s="16" t="s">
        <v>7718</v>
      </c>
      <c r="I2379" s="17"/>
      <c r="J2379" s="17"/>
      <c r="K2379" s="17"/>
      <c r="L2379" s="17"/>
      <c r="T2379" s="13"/>
      <c r="U2379" s="13"/>
      <c r="V2379" s="13"/>
      <c r="W2379" s="13"/>
    </row>
    <row r="2380" spans="4:23" ht="27" customHeight="1" x14ac:dyDescent="0.25">
      <c r="D2380" s="14" t="s">
        <v>7719</v>
      </c>
      <c r="E2380" s="14" t="s">
        <v>4661</v>
      </c>
      <c r="F2380" s="84" t="s">
        <v>261</v>
      </c>
      <c r="G2380" s="15" t="s">
        <v>27</v>
      </c>
      <c r="H2380" s="16" t="s">
        <v>7720</v>
      </c>
      <c r="I2380" s="17"/>
      <c r="J2380" s="17"/>
      <c r="K2380" s="17"/>
      <c r="L2380" s="17"/>
      <c r="T2380" s="13"/>
      <c r="U2380" s="13"/>
      <c r="V2380" s="13"/>
      <c r="W2380" s="13"/>
    </row>
    <row r="2381" spans="4:23" ht="27" customHeight="1" x14ac:dyDescent="0.25">
      <c r="D2381" s="14" t="s">
        <v>7721</v>
      </c>
      <c r="E2381" s="14" t="s">
        <v>5471</v>
      </c>
      <c r="F2381" s="84" t="s">
        <v>46</v>
      </c>
      <c r="G2381" s="15" t="s">
        <v>27</v>
      </c>
      <c r="H2381" s="16" t="s">
        <v>7722</v>
      </c>
      <c r="I2381" s="17"/>
      <c r="J2381" s="17"/>
      <c r="K2381" s="17"/>
      <c r="L2381" s="17"/>
      <c r="T2381" s="13"/>
      <c r="U2381" s="13"/>
      <c r="V2381" s="13"/>
      <c r="W2381" s="13"/>
    </row>
    <row r="2382" spans="4:23" ht="27" customHeight="1" x14ac:dyDescent="0.25">
      <c r="D2382" s="14" t="s">
        <v>7723</v>
      </c>
      <c r="E2382" s="14" t="s">
        <v>7724</v>
      </c>
      <c r="F2382" s="84" t="s">
        <v>302</v>
      </c>
      <c r="G2382" s="15" t="s">
        <v>27</v>
      </c>
      <c r="H2382" s="16" t="s">
        <v>7725</v>
      </c>
      <c r="I2382" s="17"/>
      <c r="J2382" s="17"/>
      <c r="K2382" s="17"/>
      <c r="L2382" s="17"/>
      <c r="T2382" s="13"/>
      <c r="U2382" s="13"/>
      <c r="V2382" s="13"/>
      <c r="W2382" s="13"/>
    </row>
    <row r="2383" spans="4:23" ht="27" customHeight="1" x14ac:dyDescent="0.25">
      <c r="D2383" s="14" t="s">
        <v>7726</v>
      </c>
      <c r="E2383" s="14" t="s">
        <v>4451</v>
      </c>
      <c r="F2383" s="84" t="s">
        <v>1535</v>
      </c>
      <c r="G2383" s="15" t="s">
        <v>68</v>
      </c>
      <c r="H2383" s="16" t="s">
        <v>7727</v>
      </c>
      <c r="I2383" s="17"/>
      <c r="J2383" s="17"/>
      <c r="K2383" s="17"/>
      <c r="L2383" s="17"/>
      <c r="T2383" s="13"/>
      <c r="U2383" s="13"/>
      <c r="V2383" s="13"/>
      <c r="W2383" s="13"/>
    </row>
    <row r="2384" spans="4:23" ht="27" customHeight="1" x14ac:dyDescent="0.25">
      <c r="D2384" s="14" t="s">
        <v>7728</v>
      </c>
      <c r="E2384" s="14" t="s">
        <v>4116</v>
      </c>
      <c r="F2384" s="84" t="s">
        <v>239</v>
      </c>
      <c r="G2384" s="15" t="s">
        <v>27</v>
      </c>
      <c r="H2384" s="16" t="s">
        <v>7729</v>
      </c>
      <c r="I2384" s="17"/>
      <c r="J2384" s="17"/>
      <c r="K2384" s="17"/>
      <c r="L2384" s="17"/>
      <c r="T2384" s="13"/>
      <c r="U2384" s="13"/>
      <c r="V2384" s="13"/>
      <c r="W2384" s="13"/>
    </row>
    <row r="2385" spans="4:23" ht="27" customHeight="1" x14ac:dyDescent="0.25">
      <c r="D2385" s="14" t="s">
        <v>7730</v>
      </c>
      <c r="E2385" s="14" t="s">
        <v>1726</v>
      </c>
      <c r="F2385" s="84" t="s">
        <v>211</v>
      </c>
      <c r="G2385" s="15" t="s">
        <v>27</v>
      </c>
      <c r="H2385" s="16" t="s">
        <v>7731</v>
      </c>
      <c r="I2385" s="17"/>
      <c r="J2385" s="17"/>
      <c r="K2385" s="17"/>
      <c r="L2385" s="17"/>
      <c r="T2385" s="13"/>
      <c r="U2385" s="13"/>
      <c r="V2385" s="13"/>
      <c r="W2385" s="13"/>
    </row>
    <row r="2386" spans="4:23" ht="27" customHeight="1" x14ac:dyDescent="0.25">
      <c r="D2386" s="14" t="s">
        <v>7732</v>
      </c>
      <c r="E2386" s="14" t="s">
        <v>7733</v>
      </c>
      <c r="F2386" s="84" t="s">
        <v>233</v>
      </c>
      <c r="G2386" s="15" t="s">
        <v>68</v>
      </c>
      <c r="H2386" s="16" t="s">
        <v>7734</v>
      </c>
      <c r="I2386" s="17"/>
      <c r="J2386" s="17"/>
      <c r="K2386" s="17"/>
      <c r="L2386" s="17"/>
      <c r="T2386" s="13"/>
      <c r="U2386" s="13"/>
      <c r="V2386" s="13"/>
      <c r="W2386" s="13"/>
    </row>
    <row r="2387" spans="4:23" ht="27" customHeight="1" x14ac:dyDescent="0.25">
      <c r="D2387" s="14" t="s">
        <v>7735</v>
      </c>
      <c r="E2387" s="14" t="s">
        <v>1628</v>
      </c>
      <c r="F2387" s="84" t="s">
        <v>2773</v>
      </c>
      <c r="G2387" s="15" t="s">
        <v>27</v>
      </c>
      <c r="H2387" s="16" t="s">
        <v>7736</v>
      </c>
      <c r="I2387" s="17"/>
      <c r="J2387" s="17"/>
      <c r="K2387" s="17"/>
      <c r="L2387" s="17"/>
      <c r="T2387" s="13"/>
      <c r="U2387" s="13"/>
      <c r="V2387" s="13"/>
      <c r="W2387" s="13"/>
    </row>
    <row r="2388" spans="4:23" ht="27" customHeight="1" x14ac:dyDescent="0.25">
      <c r="D2388" s="14" t="s">
        <v>7737</v>
      </c>
      <c r="E2388" s="14" t="s">
        <v>7738</v>
      </c>
      <c r="F2388" s="84" t="s">
        <v>602</v>
      </c>
      <c r="G2388" s="15" t="s">
        <v>27</v>
      </c>
      <c r="H2388" s="16" t="s">
        <v>7739</v>
      </c>
      <c r="I2388" s="17"/>
      <c r="J2388" s="17"/>
      <c r="K2388" s="17"/>
      <c r="L2388" s="17"/>
      <c r="T2388" s="13"/>
      <c r="U2388" s="13"/>
      <c r="V2388" s="13"/>
      <c r="W2388" s="13"/>
    </row>
    <row r="2389" spans="4:23" ht="27" customHeight="1" x14ac:dyDescent="0.25">
      <c r="D2389" s="14" t="s">
        <v>7740</v>
      </c>
      <c r="E2389" s="14" t="s">
        <v>7741</v>
      </c>
      <c r="F2389" s="84" t="s">
        <v>422</v>
      </c>
      <c r="G2389" s="15" t="s">
        <v>27</v>
      </c>
      <c r="H2389" s="16" t="s">
        <v>7742</v>
      </c>
      <c r="I2389" s="17"/>
      <c r="J2389" s="17"/>
      <c r="K2389" s="17"/>
      <c r="L2389" s="17"/>
      <c r="T2389" s="13"/>
      <c r="U2389" s="13"/>
      <c r="V2389" s="13"/>
      <c r="W2389" s="13"/>
    </row>
    <row r="2390" spans="4:23" ht="27" customHeight="1" x14ac:dyDescent="0.25">
      <c r="D2390" s="14" t="s">
        <v>7743</v>
      </c>
      <c r="E2390" s="14" t="s">
        <v>7744</v>
      </c>
      <c r="F2390" s="84" t="s">
        <v>7745</v>
      </c>
      <c r="G2390" s="15" t="s">
        <v>68</v>
      </c>
      <c r="H2390" s="16" t="s">
        <v>7746</v>
      </c>
      <c r="I2390" s="17"/>
      <c r="J2390" s="17"/>
      <c r="K2390" s="17"/>
      <c r="L2390" s="17"/>
      <c r="T2390" s="13"/>
      <c r="U2390" s="13"/>
      <c r="V2390" s="13"/>
      <c r="W2390" s="13"/>
    </row>
    <row r="2391" spans="4:23" ht="27" customHeight="1" x14ac:dyDescent="0.25">
      <c r="D2391" s="14" t="s">
        <v>7747</v>
      </c>
      <c r="E2391" s="14" t="s">
        <v>770</v>
      </c>
      <c r="F2391" s="84" t="s">
        <v>2997</v>
      </c>
      <c r="G2391" s="15" t="s">
        <v>27</v>
      </c>
      <c r="H2391" s="16" t="s">
        <v>7748</v>
      </c>
      <c r="I2391" s="17"/>
      <c r="J2391" s="17"/>
      <c r="K2391" s="17"/>
      <c r="L2391" s="17"/>
      <c r="T2391" s="13"/>
      <c r="U2391" s="13"/>
      <c r="V2391" s="13"/>
      <c r="W2391" s="13"/>
    </row>
    <row r="2392" spans="4:23" ht="27" customHeight="1" x14ac:dyDescent="0.25">
      <c r="D2392" s="14" t="s">
        <v>7749</v>
      </c>
      <c r="E2392" s="14" t="s">
        <v>3399</v>
      </c>
      <c r="F2392" s="84" t="s">
        <v>316</v>
      </c>
      <c r="G2392" s="15" t="s">
        <v>27</v>
      </c>
      <c r="H2392" s="16" t="s">
        <v>7750</v>
      </c>
      <c r="I2392" s="17"/>
      <c r="J2392" s="17"/>
      <c r="K2392" s="17"/>
      <c r="L2392" s="17"/>
      <c r="T2392" s="13"/>
      <c r="U2392" s="13"/>
      <c r="V2392" s="13"/>
      <c r="W2392" s="13"/>
    </row>
    <row r="2393" spans="4:23" ht="27" customHeight="1" x14ac:dyDescent="0.25">
      <c r="D2393" s="14" t="s">
        <v>7751</v>
      </c>
      <c r="E2393" s="14" t="s">
        <v>707</v>
      </c>
      <c r="F2393" s="84" t="s">
        <v>285</v>
      </c>
      <c r="G2393" s="15" t="s">
        <v>68</v>
      </c>
      <c r="H2393" s="16" t="s">
        <v>7752</v>
      </c>
      <c r="I2393" s="17"/>
      <c r="J2393" s="17"/>
      <c r="K2393" s="17"/>
      <c r="L2393" s="17"/>
      <c r="T2393" s="13"/>
      <c r="U2393" s="13"/>
      <c r="V2393" s="13"/>
      <c r="W2393" s="13"/>
    </row>
    <row r="2394" spans="4:23" ht="27" customHeight="1" x14ac:dyDescent="0.25">
      <c r="D2394" s="14" t="s">
        <v>7753</v>
      </c>
      <c r="E2394" s="14" t="s">
        <v>3395</v>
      </c>
      <c r="F2394" s="84" t="s">
        <v>316</v>
      </c>
      <c r="G2394" s="15" t="s">
        <v>27</v>
      </c>
      <c r="H2394" s="16" t="s">
        <v>7754</v>
      </c>
      <c r="I2394" s="17"/>
      <c r="J2394" s="17"/>
      <c r="K2394" s="17"/>
      <c r="L2394" s="17"/>
      <c r="T2394" s="13"/>
      <c r="U2394" s="13"/>
      <c r="V2394" s="13"/>
      <c r="W2394" s="13"/>
    </row>
    <row r="2395" spans="4:23" ht="27" customHeight="1" x14ac:dyDescent="0.25">
      <c r="D2395" s="14" t="s">
        <v>7755</v>
      </c>
      <c r="E2395" s="14" t="s">
        <v>4270</v>
      </c>
      <c r="F2395" s="84" t="s">
        <v>348</v>
      </c>
      <c r="G2395" s="15" t="s">
        <v>68</v>
      </c>
      <c r="H2395" s="16" t="s">
        <v>7756</v>
      </c>
      <c r="I2395" s="17"/>
      <c r="J2395" s="17"/>
      <c r="K2395" s="17"/>
      <c r="L2395" s="17"/>
      <c r="T2395" s="13"/>
      <c r="U2395" s="13"/>
      <c r="V2395" s="13"/>
      <c r="W2395" s="13"/>
    </row>
    <row r="2396" spans="4:23" ht="27" customHeight="1" x14ac:dyDescent="0.25">
      <c r="D2396" s="14" t="s">
        <v>7757</v>
      </c>
      <c r="E2396" s="14" t="s">
        <v>3145</v>
      </c>
      <c r="F2396" s="84" t="s">
        <v>453</v>
      </c>
      <c r="G2396" s="15" t="s">
        <v>27</v>
      </c>
      <c r="H2396" s="16" t="s">
        <v>7758</v>
      </c>
      <c r="I2396" s="17"/>
      <c r="J2396" s="17"/>
      <c r="K2396" s="17"/>
      <c r="L2396" s="17"/>
      <c r="T2396" s="13"/>
      <c r="U2396" s="13"/>
      <c r="V2396" s="13"/>
      <c r="W2396" s="13"/>
    </row>
    <row r="2397" spans="4:23" ht="27" customHeight="1" x14ac:dyDescent="0.25">
      <c r="D2397" s="14" t="s">
        <v>7759</v>
      </c>
      <c r="E2397" s="14" t="s">
        <v>7760</v>
      </c>
      <c r="F2397" s="84" t="s">
        <v>200</v>
      </c>
      <c r="G2397" s="15" t="s">
        <v>27</v>
      </c>
      <c r="H2397" s="16" t="s">
        <v>7761</v>
      </c>
      <c r="I2397" s="17"/>
      <c r="J2397" s="17"/>
      <c r="K2397" s="17"/>
      <c r="L2397" s="17"/>
      <c r="T2397" s="13"/>
      <c r="U2397" s="13"/>
      <c r="V2397" s="13"/>
      <c r="W2397" s="13"/>
    </row>
    <row r="2398" spans="4:23" ht="27" customHeight="1" x14ac:dyDescent="0.25">
      <c r="D2398" s="14" t="s">
        <v>7762</v>
      </c>
      <c r="E2398" s="14" t="s">
        <v>975</v>
      </c>
      <c r="F2398" s="84" t="s">
        <v>1551</v>
      </c>
      <c r="G2398" s="15" t="s">
        <v>68</v>
      </c>
      <c r="H2398" s="16" t="s">
        <v>7763</v>
      </c>
      <c r="I2398" s="17"/>
      <c r="J2398" s="17"/>
      <c r="K2398" s="17"/>
      <c r="L2398" s="17"/>
      <c r="T2398" s="13"/>
      <c r="U2398" s="13"/>
      <c r="V2398" s="13"/>
      <c r="W2398" s="13"/>
    </row>
    <row r="2399" spans="4:23" ht="27" customHeight="1" x14ac:dyDescent="0.25">
      <c r="D2399" s="14" t="s">
        <v>7764</v>
      </c>
      <c r="E2399" s="14" t="s">
        <v>923</v>
      </c>
      <c r="F2399" s="84" t="s">
        <v>653</v>
      </c>
      <c r="G2399" s="15" t="s">
        <v>27</v>
      </c>
      <c r="H2399" s="16" t="s">
        <v>7765</v>
      </c>
      <c r="I2399" s="17"/>
      <c r="J2399" s="17"/>
      <c r="K2399" s="17"/>
      <c r="L2399" s="17"/>
      <c r="T2399" s="13"/>
      <c r="U2399" s="13"/>
      <c r="V2399" s="13"/>
      <c r="W2399" s="13"/>
    </row>
    <row r="2400" spans="4:23" ht="27" customHeight="1" x14ac:dyDescent="0.25">
      <c r="D2400" s="14" t="s">
        <v>7766</v>
      </c>
      <c r="E2400" s="14" t="s">
        <v>7767</v>
      </c>
      <c r="F2400" s="84" t="s">
        <v>587</v>
      </c>
      <c r="G2400" s="15" t="s">
        <v>27</v>
      </c>
      <c r="H2400" s="16" t="s">
        <v>7768</v>
      </c>
      <c r="I2400" s="17"/>
      <c r="J2400" s="17"/>
      <c r="K2400" s="17"/>
      <c r="L2400" s="17"/>
      <c r="T2400" s="13"/>
      <c r="U2400" s="13"/>
      <c r="V2400" s="13"/>
      <c r="W2400" s="13"/>
    </row>
    <row r="2401" spans="4:23" ht="27" customHeight="1" x14ac:dyDescent="0.25">
      <c r="D2401" s="14" t="s">
        <v>7769</v>
      </c>
      <c r="E2401" s="14" t="s">
        <v>156</v>
      </c>
      <c r="F2401" s="84" t="s">
        <v>5826</v>
      </c>
      <c r="G2401" s="15" t="s">
        <v>68</v>
      </c>
      <c r="H2401" s="16" t="s">
        <v>7770</v>
      </c>
      <c r="I2401" s="17"/>
      <c r="J2401" s="17"/>
      <c r="K2401" s="17"/>
      <c r="L2401" s="17"/>
      <c r="T2401" s="13"/>
      <c r="U2401" s="13"/>
      <c r="V2401" s="13"/>
      <c r="W2401" s="13"/>
    </row>
    <row r="2402" spans="4:23" ht="27" customHeight="1" x14ac:dyDescent="0.25">
      <c r="D2402" s="14" t="s">
        <v>7771</v>
      </c>
      <c r="E2402" s="14" t="s">
        <v>404</v>
      </c>
      <c r="F2402" s="84" t="s">
        <v>1288</v>
      </c>
      <c r="G2402" s="15" t="s">
        <v>27</v>
      </c>
      <c r="H2402" s="16" t="s">
        <v>7772</v>
      </c>
      <c r="I2402" s="17"/>
      <c r="J2402" s="17"/>
      <c r="K2402" s="17"/>
      <c r="L2402" s="17"/>
      <c r="T2402" s="13"/>
      <c r="U2402" s="13"/>
      <c r="V2402" s="13"/>
      <c r="W2402" s="13"/>
    </row>
    <row r="2403" spans="4:23" ht="27" customHeight="1" x14ac:dyDescent="0.25">
      <c r="D2403" s="14" t="s">
        <v>7773</v>
      </c>
      <c r="E2403" s="14" t="s">
        <v>7774</v>
      </c>
      <c r="F2403" s="84" t="s">
        <v>764</v>
      </c>
      <c r="G2403" s="15" t="s">
        <v>27</v>
      </c>
      <c r="H2403" s="16" t="s">
        <v>7775</v>
      </c>
      <c r="I2403" s="17"/>
      <c r="J2403" s="17"/>
      <c r="K2403" s="17"/>
      <c r="L2403" s="17"/>
      <c r="T2403" s="13"/>
      <c r="U2403" s="13"/>
      <c r="V2403" s="13"/>
      <c r="W2403" s="13"/>
    </row>
    <row r="2404" spans="4:23" ht="27" customHeight="1" x14ac:dyDescent="0.25">
      <c r="D2404" s="14" t="s">
        <v>7776</v>
      </c>
      <c r="E2404" s="14" t="s">
        <v>5395</v>
      </c>
      <c r="F2404" s="84" t="s">
        <v>407</v>
      </c>
      <c r="G2404" s="15" t="s">
        <v>27</v>
      </c>
      <c r="H2404" s="16" t="s">
        <v>7777</v>
      </c>
      <c r="I2404" s="17"/>
      <c r="J2404" s="17"/>
      <c r="K2404" s="17"/>
      <c r="L2404" s="17"/>
      <c r="T2404" s="13"/>
      <c r="U2404" s="13"/>
      <c r="V2404" s="13"/>
      <c r="W2404" s="13"/>
    </row>
    <row r="2405" spans="4:23" ht="27" customHeight="1" x14ac:dyDescent="0.25">
      <c r="D2405" s="14" t="s">
        <v>7778</v>
      </c>
      <c r="E2405" s="14" t="s">
        <v>791</v>
      </c>
      <c r="F2405" s="84" t="s">
        <v>939</v>
      </c>
      <c r="G2405" s="15" t="s">
        <v>68</v>
      </c>
      <c r="H2405" s="16" t="s">
        <v>7779</v>
      </c>
      <c r="I2405" s="17"/>
      <c r="J2405" s="17"/>
      <c r="K2405" s="17"/>
      <c r="L2405" s="17"/>
      <c r="T2405" s="13"/>
      <c r="U2405" s="13"/>
      <c r="V2405" s="13"/>
      <c r="W2405" s="13"/>
    </row>
    <row r="2406" spans="4:23" ht="27" customHeight="1" x14ac:dyDescent="0.25">
      <c r="D2406" s="14" t="s">
        <v>7780</v>
      </c>
      <c r="E2406" s="14" t="s">
        <v>7781</v>
      </c>
      <c r="F2406" s="84" t="s">
        <v>302</v>
      </c>
      <c r="G2406" s="15" t="s">
        <v>27</v>
      </c>
      <c r="H2406" s="16" t="s">
        <v>7782</v>
      </c>
      <c r="I2406" s="17"/>
      <c r="J2406" s="17"/>
      <c r="K2406" s="17"/>
      <c r="L2406" s="17"/>
      <c r="T2406" s="13"/>
      <c r="U2406" s="13"/>
      <c r="V2406" s="13"/>
      <c r="W2406" s="13"/>
    </row>
    <row r="2407" spans="4:23" ht="27" customHeight="1" x14ac:dyDescent="0.25">
      <c r="D2407" s="14" t="s">
        <v>7783</v>
      </c>
      <c r="E2407" s="14" t="s">
        <v>5257</v>
      </c>
      <c r="F2407" s="84" t="s">
        <v>407</v>
      </c>
      <c r="G2407" s="15" t="s">
        <v>27</v>
      </c>
      <c r="H2407" s="16" t="s">
        <v>7784</v>
      </c>
      <c r="I2407" s="17"/>
      <c r="J2407" s="17"/>
      <c r="K2407" s="17"/>
      <c r="L2407" s="17"/>
      <c r="T2407" s="13"/>
      <c r="U2407" s="13"/>
      <c r="V2407" s="13"/>
      <c r="W2407" s="13"/>
    </row>
    <row r="2408" spans="4:23" ht="27" customHeight="1" x14ac:dyDescent="0.25">
      <c r="D2408" s="14" t="s">
        <v>7785</v>
      </c>
      <c r="E2408" s="14" t="s">
        <v>2577</v>
      </c>
      <c r="F2408" s="84" t="s">
        <v>159</v>
      </c>
      <c r="G2408" s="15" t="s">
        <v>27</v>
      </c>
      <c r="H2408" s="16" t="s">
        <v>7786</v>
      </c>
      <c r="I2408" s="17"/>
      <c r="J2408" s="17"/>
      <c r="K2408" s="17"/>
      <c r="L2408" s="17"/>
      <c r="T2408" s="13"/>
      <c r="U2408" s="13"/>
      <c r="V2408" s="13"/>
      <c r="W2408" s="13"/>
    </row>
    <row r="2409" spans="4:23" ht="27" customHeight="1" x14ac:dyDescent="0.25">
      <c r="D2409" s="14" t="s">
        <v>7787</v>
      </c>
      <c r="E2409" s="14" t="s">
        <v>7788</v>
      </c>
      <c r="F2409" s="84" t="s">
        <v>533</v>
      </c>
      <c r="G2409" s="15" t="s">
        <v>68</v>
      </c>
      <c r="H2409" s="16" t="s">
        <v>7789</v>
      </c>
      <c r="I2409" s="17"/>
      <c r="J2409" s="17"/>
      <c r="K2409" s="17"/>
      <c r="L2409" s="17"/>
      <c r="T2409" s="13"/>
      <c r="U2409" s="13"/>
      <c r="V2409" s="13"/>
      <c r="W2409" s="13"/>
    </row>
    <row r="2410" spans="4:23" ht="27" customHeight="1" x14ac:dyDescent="0.25">
      <c r="D2410" s="14" t="s">
        <v>7790</v>
      </c>
      <c r="E2410" s="14" t="s">
        <v>5204</v>
      </c>
      <c r="F2410" s="84" t="s">
        <v>121</v>
      </c>
      <c r="G2410" s="15" t="s">
        <v>68</v>
      </c>
      <c r="H2410" s="16" t="s">
        <v>7791</v>
      </c>
      <c r="I2410" s="17"/>
      <c r="J2410" s="17"/>
      <c r="K2410" s="17"/>
      <c r="L2410" s="17"/>
      <c r="T2410" s="13"/>
      <c r="U2410" s="13"/>
      <c r="V2410" s="13"/>
      <c r="W2410" s="13"/>
    </row>
    <row r="2411" spans="4:23" ht="27" customHeight="1" x14ac:dyDescent="0.25">
      <c r="D2411" s="14" t="s">
        <v>7792</v>
      </c>
      <c r="E2411" s="14" t="s">
        <v>7793</v>
      </c>
      <c r="F2411" s="84" t="s">
        <v>92</v>
      </c>
      <c r="G2411" s="15" t="s">
        <v>68</v>
      </c>
      <c r="H2411" s="16" t="s">
        <v>7794</v>
      </c>
      <c r="I2411" s="17"/>
      <c r="J2411" s="17"/>
      <c r="K2411" s="17"/>
      <c r="L2411" s="17"/>
      <c r="T2411" s="13"/>
      <c r="U2411" s="13"/>
      <c r="V2411" s="13"/>
      <c r="W2411" s="13"/>
    </row>
    <row r="2412" spans="4:23" ht="27" customHeight="1" x14ac:dyDescent="0.25">
      <c r="D2412" s="14" t="s">
        <v>7795</v>
      </c>
      <c r="E2412" s="14" t="s">
        <v>7796</v>
      </c>
      <c r="F2412" s="84" t="s">
        <v>561</v>
      </c>
      <c r="G2412" s="15" t="s">
        <v>68</v>
      </c>
      <c r="H2412" s="16" t="s">
        <v>7797</v>
      </c>
      <c r="I2412" s="17"/>
      <c r="J2412" s="17"/>
      <c r="K2412" s="17"/>
      <c r="L2412" s="17"/>
      <c r="T2412" s="13"/>
      <c r="U2412" s="13"/>
      <c r="V2412" s="13"/>
      <c r="W2412" s="13"/>
    </row>
    <row r="2413" spans="4:23" ht="27" customHeight="1" x14ac:dyDescent="0.25">
      <c r="D2413" s="14" t="s">
        <v>7798</v>
      </c>
      <c r="E2413" s="14" t="s">
        <v>7799</v>
      </c>
      <c r="F2413" s="84" t="s">
        <v>1093</v>
      </c>
      <c r="G2413" s="15" t="s">
        <v>27</v>
      </c>
      <c r="H2413" s="16" t="s">
        <v>7800</v>
      </c>
      <c r="I2413" s="17"/>
      <c r="J2413" s="17"/>
      <c r="K2413" s="17"/>
      <c r="L2413" s="17"/>
      <c r="T2413" s="13"/>
      <c r="U2413" s="13"/>
      <c r="V2413" s="13"/>
      <c r="W2413" s="13"/>
    </row>
    <row r="2414" spans="4:23" ht="27" customHeight="1" x14ac:dyDescent="0.25">
      <c r="D2414" s="14" t="s">
        <v>7801</v>
      </c>
      <c r="E2414" s="14" t="s">
        <v>7802</v>
      </c>
      <c r="F2414" s="84" t="s">
        <v>764</v>
      </c>
      <c r="G2414" s="15" t="s">
        <v>27</v>
      </c>
      <c r="H2414" s="16" t="s">
        <v>7803</v>
      </c>
      <c r="I2414" s="17"/>
      <c r="J2414" s="17"/>
      <c r="K2414" s="17"/>
      <c r="L2414" s="17"/>
      <c r="T2414" s="13"/>
      <c r="U2414" s="13"/>
      <c r="V2414" s="13"/>
      <c r="W2414" s="13"/>
    </row>
    <row r="2415" spans="4:23" ht="27" customHeight="1" x14ac:dyDescent="0.25">
      <c r="D2415" s="14" t="s">
        <v>7804</v>
      </c>
      <c r="E2415" s="14" t="s">
        <v>7805</v>
      </c>
      <c r="F2415" s="84" t="s">
        <v>367</v>
      </c>
      <c r="G2415" s="15" t="s">
        <v>27</v>
      </c>
      <c r="H2415" s="16" t="s">
        <v>7806</v>
      </c>
      <c r="I2415" s="17"/>
      <c r="J2415" s="17"/>
      <c r="K2415" s="17"/>
      <c r="L2415" s="17"/>
      <c r="T2415" s="13"/>
      <c r="U2415" s="13"/>
      <c r="V2415" s="13"/>
      <c r="W2415" s="13"/>
    </row>
    <row r="2416" spans="4:23" ht="27" customHeight="1" x14ac:dyDescent="0.25">
      <c r="D2416" s="14" t="s">
        <v>7807</v>
      </c>
      <c r="E2416" s="14" t="s">
        <v>7808</v>
      </c>
      <c r="F2416" s="84" t="s">
        <v>343</v>
      </c>
      <c r="G2416" s="15" t="s">
        <v>68</v>
      </c>
      <c r="H2416" s="16" t="s">
        <v>7809</v>
      </c>
      <c r="I2416" s="17"/>
      <c r="J2416" s="17"/>
      <c r="K2416" s="17"/>
      <c r="L2416" s="17"/>
      <c r="T2416" s="13"/>
      <c r="U2416" s="13"/>
      <c r="V2416" s="13"/>
      <c r="W2416" s="13"/>
    </row>
    <row r="2417" spans="4:23" ht="27" customHeight="1" x14ac:dyDescent="0.25">
      <c r="D2417" s="14" t="s">
        <v>7810</v>
      </c>
      <c r="E2417" s="14" t="s">
        <v>2913</v>
      </c>
      <c r="F2417" s="84" t="s">
        <v>92</v>
      </c>
      <c r="G2417" s="15" t="s">
        <v>68</v>
      </c>
      <c r="H2417" s="16" t="s">
        <v>7811</v>
      </c>
      <c r="I2417" s="17"/>
      <c r="J2417" s="17"/>
      <c r="K2417" s="17"/>
      <c r="L2417" s="17"/>
      <c r="T2417" s="13"/>
      <c r="U2417" s="13"/>
      <c r="V2417" s="13"/>
      <c r="W2417" s="13"/>
    </row>
    <row r="2418" spans="4:23" ht="27" customHeight="1" x14ac:dyDescent="0.25">
      <c r="D2418" s="14" t="s">
        <v>7812</v>
      </c>
      <c r="E2418" s="14" t="s">
        <v>7813</v>
      </c>
      <c r="F2418" s="84" t="s">
        <v>969</v>
      </c>
      <c r="G2418" s="15" t="s">
        <v>68</v>
      </c>
      <c r="H2418" s="16" t="s">
        <v>7814</v>
      </c>
      <c r="I2418" s="17"/>
      <c r="J2418" s="17"/>
      <c r="K2418" s="17"/>
      <c r="L2418" s="17"/>
      <c r="T2418" s="13"/>
      <c r="U2418" s="13"/>
      <c r="V2418" s="13"/>
      <c r="W2418" s="13"/>
    </row>
    <row r="2419" spans="4:23" ht="27" customHeight="1" x14ac:dyDescent="0.25">
      <c r="D2419" s="14" t="s">
        <v>7815</v>
      </c>
      <c r="E2419" s="14" t="s">
        <v>7816</v>
      </c>
      <c r="F2419" s="84" t="s">
        <v>114</v>
      </c>
      <c r="G2419" s="15" t="s">
        <v>27</v>
      </c>
      <c r="H2419" s="16" t="s">
        <v>7817</v>
      </c>
      <c r="I2419" s="17"/>
      <c r="J2419" s="17"/>
      <c r="K2419" s="17"/>
      <c r="L2419" s="17"/>
      <c r="T2419" s="13"/>
      <c r="U2419" s="13"/>
      <c r="V2419" s="13"/>
      <c r="W2419" s="13"/>
    </row>
    <row r="2420" spans="4:23" ht="27" customHeight="1" x14ac:dyDescent="0.25">
      <c r="D2420" s="14" t="s">
        <v>7818</v>
      </c>
      <c r="E2420" s="14" t="s">
        <v>1103</v>
      </c>
      <c r="F2420" s="84" t="s">
        <v>556</v>
      </c>
      <c r="G2420" s="15" t="s">
        <v>27</v>
      </c>
      <c r="H2420" s="16" t="s">
        <v>7819</v>
      </c>
      <c r="I2420" s="17"/>
      <c r="J2420" s="17"/>
      <c r="K2420" s="17"/>
      <c r="L2420" s="17"/>
      <c r="T2420" s="13"/>
      <c r="U2420" s="13"/>
      <c r="V2420" s="13"/>
      <c r="W2420" s="13"/>
    </row>
    <row r="2421" spans="4:23" ht="27" customHeight="1" x14ac:dyDescent="0.25">
      <c r="D2421" s="14" t="s">
        <v>7820</v>
      </c>
      <c r="E2421" s="14" t="s">
        <v>663</v>
      </c>
      <c r="F2421" s="84" t="s">
        <v>1919</v>
      </c>
      <c r="G2421" s="15" t="s">
        <v>27</v>
      </c>
      <c r="H2421" s="16" t="s">
        <v>7821</v>
      </c>
      <c r="I2421" s="17"/>
      <c r="J2421" s="17"/>
      <c r="K2421" s="17"/>
      <c r="L2421" s="17"/>
      <c r="T2421" s="13"/>
      <c r="U2421" s="13"/>
      <c r="V2421" s="13"/>
      <c r="W2421" s="13"/>
    </row>
    <row r="2422" spans="4:23" ht="27" customHeight="1" x14ac:dyDescent="0.25">
      <c r="D2422" s="14" t="s">
        <v>7822</v>
      </c>
      <c r="E2422" s="14" t="s">
        <v>2623</v>
      </c>
      <c r="F2422" s="84" t="s">
        <v>183</v>
      </c>
      <c r="G2422" s="15" t="s">
        <v>68</v>
      </c>
      <c r="H2422" s="16" t="s">
        <v>7823</v>
      </c>
      <c r="I2422" s="17"/>
      <c r="J2422" s="17"/>
      <c r="K2422" s="17"/>
      <c r="L2422" s="17"/>
      <c r="T2422" s="13"/>
      <c r="U2422" s="13"/>
      <c r="V2422" s="13"/>
      <c r="W2422" s="13"/>
    </row>
    <row r="2423" spans="4:23" ht="27" customHeight="1" x14ac:dyDescent="0.25">
      <c r="D2423" s="14" t="s">
        <v>7824</v>
      </c>
      <c r="E2423" s="14" t="s">
        <v>3777</v>
      </c>
      <c r="F2423" s="84" t="s">
        <v>471</v>
      </c>
      <c r="G2423" s="15" t="s">
        <v>27</v>
      </c>
      <c r="H2423" s="16" t="s">
        <v>7825</v>
      </c>
      <c r="I2423" s="17"/>
      <c r="J2423" s="17"/>
      <c r="K2423" s="17"/>
      <c r="L2423" s="17"/>
      <c r="T2423" s="13"/>
      <c r="U2423" s="13"/>
      <c r="V2423" s="13"/>
      <c r="W2423" s="13"/>
    </row>
    <row r="2424" spans="4:23" ht="27" customHeight="1" x14ac:dyDescent="0.25">
      <c r="D2424" s="14" t="s">
        <v>7826</v>
      </c>
      <c r="E2424" s="14" t="s">
        <v>7827</v>
      </c>
      <c r="F2424" s="84" t="s">
        <v>1505</v>
      </c>
      <c r="G2424" s="15" t="s">
        <v>27</v>
      </c>
      <c r="H2424" s="16" t="s">
        <v>7828</v>
      </c>
      <c r="I2424" s="17"/>
      <c r="J2424" s="17"/>
      <c r="K2424" s="17"/>
      <c r="L2424" s="17"/>
      <c r="T2424" s="13"/>
      <c r="U2424" s="13"/>
      <c r="V2424" s="13"/>
      <c r="W2424" s="13"/>
    </row>
    <row r="2425" spans="4:23" ht="27" customHeight="1" x14ac:dyDescent="0.25">
      <c r="D2425" s="14" t="s">
        <v>7829</v>
      </c>
      <c r="E2425" s="14" t="s">
        <v>7830</v>
      </c>
      <c r="F2425" s="84" t="s">
        <v>290</v>
      </c>
      <c r="G2425" s="15" t="s">
        <v>27</v>
      </c>
      <c r="H2425" s="16" t="s">
        <v>7831</v>
      </c>
      <c r="I2425" s="17"/>
      <c r="J2425" s="17"/>
      <c r="K2425" s="17"/>
      <c r="L2425" s="17"/>
      <c r="T2425" s="13"/>
      <c r="U2425" s="13"/>
      <c r="V2425" s="13"/>
      <c r="W2425" s="13"/>
    </row>
    <row r="2426" spans="4:23" ht="27" customHeight="1" x14ac:dyDescent="0.25">
      <c r="D2426" s="14" t="s">
        <v>7832</v>
      </c>
      <c r="E2426" s="14" t="s">
        <v>7833</v>
      </c>
      <c r="F2426" s="84" t="s">
        <v>290</v>
      </c>
      <c r="G2426" s="15" t="s">
        <v>27</v>
      </c>
      <c r="H2426" s="16" t="s">
        <v>7834</v>
      </c>
      <c r="I2426" s="17"/>
      <c r="J2426" s="17"/>
      <c r="K2426" s="17"/>
      <c r="L2426" s="17"/>
      <c r="T2426" s="13"/>
      <c r="U2426" s="13"/>
      <c r="V2426" s="13"/>
      <c r="W2426" s="13"/>
    </row>
    <row r="2427" spans="4:23" ht="27" customHeight="1" x14ac:dyDescent="0.25">
      <c r="D2427" s="14" t="s">
        <v>7835</v>
      </c>
      <c r="E2427" s="14" t="s">
        <v>7836</v>
      </c>
      <c r="F2427" s="84" t="s">
        <v>296</v>
      </c>
      <c r="G2427" s="15" t="s">
        <v>27</v>
      </c>
      <c r="H2427" s="16" t="s">
        <v>7837</v>
      </c>
      <c r="I2427" s="17"/>
      <c r="J2427" s="17"/>
      <c r="K2427" s="17"/>
      <c r="L2427" s="17"/>
      <c r="T2427" s="13"/>
      <c r="U2427" s="13"/>
      <c r="V2427" s="13"/>
      <c r="W2427" s="13"/>
    </row>
    <row r="2428" spans="4:23" ht="27" customHeight="1" x14ac:dyDescent="0.25">
      <c r="D2428" s="14" t="s">
        <v>7838</v>
      </c>
      <c r="E2428" s="14" t="s">
        <v>7839</v>
      </c>
      <c r="F2428" s="84" t="s">
        <v>412</v>
      </c>
      <c r="G2428" s="15" t="s">
        <v>27</v>
      </c>
      <c r="H2428" s="16" t="s">
        <v>7840</v>
      </c>
      <c r="I2428" s="17"/>
      <c r="J2428" s="17"/>
      <c r="K2428" s="17"/>
      <c r="L2428" s="17"/>
      <c r="T2428" s="13"/>
      <c r="U2428" s="13"/>
      <c r="V2428" s="13"/>
      <c r="W2428" s="13"/>
    </row>
    <row r="2429" spans="4:23" ht="27" customHeight="1" x14ac:dyDescent="0.25">
      <c r="D2429" s="14" t="s">
        <v>7841</v>
      </c>
      <c r="E2429" s="14" t="s">
        <v>7842</v>
      </c>
      <c r="F2429" s="84" t="s">
        <v>561</v>
      </c>
      <c r="G2429" s="15" t="s">
        <v>27</v>
      </c>
      <c r="H2429" s="16" t="s">
        <v>7843</v>
      </c>
      <c r="I2429" s="17"/>
      <c r="J2429" s="17"/>
      <c r="K2429" s="17"/>
      <c r="L2429" s="17"/>
      <c r="T2429" s="13"/>
      <c r="U2429" s="13"/>
      <c r="V2429" s="13"/>
      <c r="W2429" s="13"/>
    </row>
    <row r="2430" spans="4:23" ht="27" customHeight="1" x14ac:dyDescent="0.25">
      <c r="D2430" s="14" t="s">
        <v>7844</v>
      </c>
      <c r="E2430" s="14" t="s">
        <v>3385</v>
      </c>
      <c r="F2430" s="84" t="s">
        <v>316</v>
      </c>
      <c r="G2430" s="15" t="s">
        <v>27</v>
      </c>
      <c r="H2430" s="16" t="s">
        <v>7845</v>
      </c>
      <c r="I2430" s="17"/>
      <c r="J2430" s="17"/>
      <c r="K2430" s="17"/>
      <c r="L2430" s="17"/>
      <c r="T2430" s="13"/>
      <c r="U2430" s="13"/>
      <c r="V2430" s="13"/>
      <c r="W2430" s="13"/>
    </row>
    <row r="2431" spans="4:23" ht="27" customHeight="1" x14ac:dyDescent="0.25">
      <c r="D2431" s="14" t="s">
        <v>7846</v>
      </c>
      <c r="E2431" s="14" t="s">
        <v>5114</v>
      </c>
      <c r="F2431" s="84" t="s">
        <v>206</v>
      </c>
      <c r="G2431" s="15" t="s">
        <v>27</v>
      </c>
      <c r="H2431" s="16" t="s">
        <v>7847</v>
      </c>
      <c r="I2431" s="17"/>
      <c r="J2431" s="17"/>
      <c r="K2431" s="17"/>
      <c r="L2431" s="17"/>
      <c r="T2431" s="13"/>
      <c r="U2431" s="13"/>
      <c r="V2431" s="13"/>
      <c r="W2431" s="13"/>
    </row>
    <row r="2432" spans="4:23" ht="27" customHeight="1" x14ac:dyDescent="0.25">
      <c r="D2432" s="14" t="s">
        <v>7848</v>
      </c>
      <c r="E2432" s="14" t="s">
        <v>7849</v>
      </c>
      <c r="F2432" s="84" t="s">
        <v>26</v>
      </c>
      <c r="G2432" s="15" t="s">
        <v>27</v>
      </c>
      <c r="H2432" s="16" t="s">
        <v>7850</v>
      </c>
      <c r="I2432" s="17"/>
      <c r="J2432" s="17"/>
      <c r="K2432" s="17"/>
      <c r="L2432" s="17"/>
      <c r="T2432" s="13"/>
      <c r="U2432" s="13"/>
      <c r="V2432" s="13"/>
      <c r="W2432" s="13"/>
    </row>
    <row r="2433" spans="4:23" ht="27" customHeight="1" x14ac:dyDescent="0.25">
      <c r="D2433" s="14" t="s">
        <v>7851</v>
      </c>
      <c r="E2433" s="14" t="s">
        <v>5520</v>
      </c>
      <c r="F2433" s="84" t="s">
        <v>46</v>
      </c>
      <c r="G2433" s="15" t="s">
        <v>27</v>
      </c>
      <c r="H2433" s="16" t="s">
        <v>7852</v>
      </c>
      <c r="I2433" s="17"/>
      <c r="J2433" s="17"/>
      <c r="K2433" s="17"/>
      <c r="L2433" s="17"/>
      <c r="T2433" s="13"/>
      <c r="U2433" s="13"/>
      <c r="V2433" s="13"/>
      <c r="W2433" s="13"/>
    </row>
    <row r="2434" spans="4:23" ht="27" customHeight="1" x14ac:dyDescent="0.25">
      <c r="D2434" s="14" t="s">
        <v>7853</v>
      </c>
      <c r="E2434" s="14" t="s">
        <v>7854</v>
      </c>
      <c r="F2434" s="84" t="s">
        <v>233</v>
      </c>
      <c r="G2434" s="15" t="s">
        <v>68</v>
      </c>
      <c r="H2434" s="16" t="s">
        <v>7855</v>
      </c>
      <c r="I2434" s="17"/>
      <c r="J2434" s="17"/>
      <c r="K2434" s="17"/>
      <c r="L2434" s="17"/>
      <c r="T2434" s="13"/>
      <c r="U2434" s="13"/>
      <c r="V2434" s="13"/>
      <c r="W2434" s="13"/>
    </row>
    <row r="2435" spans="4:23" ht="27" customHeight="1" x14ac:dyDescent="0.25">
      <c r="D2435" s="14" t="s">
        <v>7856</v>
      </c>
      <c r="E2435" s="14" t="s">
        <v>7857</v>
      </c>
      <c r="F2435" s="84" t="s">
        <v>233</v>
      </c>
      <c r="G2435" s="15" t="s">
        <v>27</v>
      </c>
      <c r="H2435" s="16" t="s">
        <v>7858</v>
      </c>
      <c r="I2435" s="17"/>
      <c r="J2435" s="17"/>
      <c r="K2435" s="17"/>
      <c r="L2435" s="17"/>
      <c r="T2435" s="13"/>
      <c r="U2435" s="13"/>
      <c r="V2435" s="13"/>
      <c r="W2435" s="13"/>
    </row>
    <row r="2436" spans="4:23" ht="27" customHeight="1" x14ac:dyDescent="0.25">
      <c r="D2436" s="14" t="s">
        <v>7859</v>
      </c>
      <c r="E2436" s="14" t="s">
        <v>1375</v>
      </c>
      <c r="F2436" s="84" t="s">
        <v>480</v>
      </c>
      <c r="G2436" s="15" t="s">
        <v>68</v>
      </c>
      <c r="H2436" s="16" t="s">
        <v>7860</v>
      </c>
      <c r="I2436" s="17"/>
      <c r="J2436" s="17"/>
      <c r="K2436" s="17"/>
      <c r="L2436" s="17"/>
      <c r="T2436" s="13"/>
      <c r="U2436" s="13"/>
      <c r="V2436" s="13"/>
      <c r="W2436" s="13"/>
    </row>
    <row r="2437" spans="4:23" ht="27" customHeight="1" x14ac:dyDescent="0.25">
      <c r="D2437" s="14" t="s">
        <v>7861</v>
      </c>
      <c r="E2437" s="14" t="s">
        <v>7862</v>
      </c>
      <c r="F2437" s="84" t="s">
        <v>1919</v>
      </c>
      <c r="G2437" s="15" t="s">
        <v>27</v>
      </c>
      <c r="H2437" s="16" t="s">
        <v>7863</v>
      </c>
      <c r="I2437" s="17"/>
      <c r="J2437" s="17"/>
      <c r="K2437" s="17"/>
      <c r="L2437" s="17"/>
      <c r="T2437" s="13"/>
      <c r="U2437" s="13"/>
      <c r="V2437" s="13"/>
      <c r="W2437" s="13"/>
    </row>
    <row r="2438" spans="4:23" ht="27" customHeight="1" x14ac:dyDescent="0.25">
      <c r="D2438" s="14" t="s">
        <v>7864</v>
      </c>
      <c r="E2438" s="14" t="s">
        <v>7865</v>
      </c>
      <c r="F2438" s="84" t="s">
        <v>159</v>
      </c>
      <c r="G2438" s="15" t="s">
        <v>68</v>
      </c>
      <c r="H2438" s="16" t="s">
        <v>7866</v>
      </c>
      <c r="I2438" s="17"/>
      <c r="J2438" s="17"/>
      <c r="K2438" s="17"/>
      <c r="L2438" s="17"/>
      <c r="T2438" s="13"/>
      <c r="U2438" s="13"/>
      <c r="V2438" s="13"/>
      <c r="W2438" s="13"/>
    </row>
    <row r="2439" spans="4:23" ht="27" customHeight="1" x14ac:dyDescent="0.25">
      <c r="D2439" s="14" t="s">
        <v>7867</v>
      </c>
      <c r="E2439" s="14" t="s">
        <v>7868</v>
      </c>
      <c r="F2439" s="84" t="s">
        <v>1093</v>
      </c>
      <c r="G2439" s="15" t="s">
        <v>27</v>
      </c>
      <c r="H2439" s="16" t="s">
        <v>7869</v>
      </c>
      <c r="I2439" s="17"/>
      <c r="J2439" s="17"/>
      <c r="K2439" s="17"/>
      <c r="L2439" s="17"/>
      <c r="T2439" s="13"/>
      <c r="U2439" s="13"/>
      <c r="V2439" s="13"/>
      <c r="W2439" s="13"/>
    </row>
    <row r="2440" spans="4:23" ht="27" customHeight="1" x14ac:dyDescent="0.25">
      <c r="D2440" s="14" t="s">
        <v>7870</v>
      </c>
      <c r="E2440" s="14" t="s">
        <v>4578</v>
      </c>
      <c r="F2440" s="84" t="s">
        <v>1118</v>
      </c>
      <c r="G2440" s="15" t="s">
        <v>27</v>
      </c>
      <c r="H2440" s="16" t="s">
        <v>7871</v>
      </c>
      <c r="I2440" s="17"/>
      <c r="J2440" s="17"/>
      <c r="K2440" s="17"/>
      <c r="L2440" s="17"/>
      <c r="T2440" s="13"/>
      <c r="U2440" s="13"/>
      <c r="V2440" s="13"/>
      <c r="W2440" s="13"/>
    </row>
    <row r="2441" spans="4:23" ht="27" customHeight="1" x14ac:dyDescent="0.25">
      <c r="D2441" s="14" t="s">
        <v>7872</v>
      </c>
      <c r="E2441" s="14" t="s">
        <v>7873</v>
      </c>
      <c r="F2441" s="84" t="s">
        <v>290</v>
      </c>
      <c r="G2441" s="15" t="s">
        <v>27</v>
      </c>
      <c r="H2441" s="16" t="s">
        <v>7874</v>
      </c>
      <c r="I2441" s="17"/>
      <c r="J2441" s="17"/>
      <c r="K2441" s="17"/>
      <c r="L2441" s="17"/>
      <c r="T2441" s="13"/>
      <c r="U2441" s="13"/>
      <c r="V2441" s="13"/>
      <c r="W2441" s="13"/>
    </row>
    <row r="2442" spans="4:23" ht="27" customHeight="1" x14ac:dyDescent="0.25">
      <c r="D2442" s="14" t="s">
        <v>7875</v>
      </c>
      <c r="E2442" s="14" t="s">
        <v>3990</v>
      </c>
      <c r="F2442" s="84" t="s">
        <v>194</v>
      </c>
      <c r="G2442" s="15" t="s">
        <v>27</v>
      </c>
      <c r="H2442" s="16" t="s">
        <v>7876</v>
      </c>
      <c r="I2442" s="17"/>
      <c r="J2442" s="17"/>
      <c r="K2442" s="17"/>
      <c r="L2442" s="17"/>
      <c r="T2442" s="13"/>
      <c r="U2442" s="13"/>
      <c r="V2442" s="13"/>
      <c r="W2442" s="13"/>
    </row>
    <row r="2443" spans="4:23" ht="27" customHeight="1" x14ac:dyDescent="0.25">
      <c r="D2443" s="14" t="s">
        <v>7877</v>
      </c>
      <c r="E2443" s="14" t="s">
        <v>563</v>
      </c>
      <c r="F2443" s="84" t="s">
        <v>1166</v>
      </c>
      <c r="G2443" s="15" t="s">
        <v>68</v>
      </c>
      <c r="H2443" s="16" t="s">
        <v>7878</v>
      </c>
      <c r="I2443" s="17"/>
      <c r="J2443" s="17"/>
      <c r="K2443" s="17"/>
      <c r="L2443" s="17"/>
      <c r="T2443" s="13"/>
      <c r="U2443" s="13"/>
      <c r="V2443" s="13"/>
      <c r="W2443" s="13"/>
    </row>
    <row r="2444" spans="4:23" ht="27" customHeight="1" x14ac:dyDescent="0.25">
      <c r="D2444" s="14" t="s">
        <v>7879</v>
      </c>
      <c r="E2444" s="14" t="s">
        <v>4545</v>
      </c>
      <c r="F2444" s="84" t="s">
        <v>1118</v>
      </c>
      <c r="G2444" s="15" t="s">
        <v>27</v>
      </c>
      <c r="H2444" s="16" t="s">
        <v>7880</v>
      </c>
      <c r="I2444" s="17"/>
      <c r="J2444" s="17"/>
      <c r="K2444" s="17"/>
      <c r="L2444" s="17"/>
      <c r="T2444" s="13"/>
      <c r="U2444" s="13"/>
      <c r="V2444" s="13"/>
      <c r="W2444" s="13"/>
    </row>
    <row r="2445" spans="4:23" ht="27" customHeight="1" x14ac:dyDescent="0.25">
      <c r="D2445" s="14" t="s">
        <v>7881</v>
      </c>
      <c r="E2445" s="14" t="s">
        <v>7882</v>
      </c>
      <c r="F2445" s="84" t="s">
        <v>256</v>
      </c>
      <c r="G2445" s="15" t="s">
        <v>27</v>
      </c>
      <c r="H2445" s="16" t="s">
        <v>7883</v>
      </c>
      <c r="I2445" s="17"/>
      <c r="J2445" s="17"/>
      <c r="K2445" s="17"/>
      <c r="L2445" s="17"/>
      <c r="T2445" s="13"/>
      <c r="U2445" s="13"/>
      <c r="V2445" s="13"/>
      <c r="W2445" s="13"/>
    </row>
    <row r="2446" spans="4:23" ht="27" customHeight="1" x14ac:dyDescent="0.25">
      <c r="D2446" s="14" t="s">
        <v>7884</v>
      </c>
      <c r="E2446" s="14" t="s">
        <v>7885</v>
      </c>
      <c r="F2446" s="84" t="s">
        <v>3869</v>
      </c>
      <c r="G2446" s="15" t="s">
        <v>27</v>
      </c>
      <c r="H2446" s="16" t="s">
        <v>7886</v>
      </c>
      <c r="I2446" s="17"/>
      <c r="J2446" s="17"/>
      <c r="K2446" s="17"/>
      <c r="L2446" s="17"/>
      <c r="T2446" s="13"/>
      <c r="U2446" s="13"/>
      <c r="V2446" s="13"/>
      <c r="W2446" s="13"/>
    </row>
    <row r="2447" spans="4:23" ht="27" customHeight="1" x14ac:dyDescent="0.25">
      <c r="D2447" s="14" t="s">
        <v>7887</v>
      </c>
      <c r="E2447" s="14" t="s">
        <v>7888</v>
      </c>
      <c r="F2447" s="84" t="s">
        <v>372</v>
      </c>
      <c r="G2447" s="15" t="s">
        <v>27</v>
      </c>
      <c r="H2447" s="16" t="s">
        <v>7889</v>
      </c>
      <c r="I2447" s="17"/>
      <c r="J2447" s="17"/>
      <c r="K2447" s="17"/>
      <c r="L2447" s="17"/>
      <c r="T2447" s="13"/>
      <c r="U2447" s="13"/>
      <c r="V2447" s="13"/>
      <c r="W2447" s="13"/>
    </row>
    <row r="2448" spans="4:23" ht="27" customHeight="1" x14ac:dyDescent="0.25">
      <c r="D2448" s="14" t="s">
        <v>7890</v>
      </c>
      <c r="E2448" s="14" t="s">
        <v>2043</v>
      </c>
      <c r="F2448" s="84" t="s">
        <v>412</v>
      </c>
      <c r="G2448" s="15" t="s">
        <v>27</v>
      </c>
      <c r="H2448" s="16" t="s">
        <v>7891</v>
      </c>
      <c r="I2448" s="17"/>
      <c r="J2448" s="17"/>
      <c r="K2448" s="17"/>
      <c r="L2448" s="17"/>
      <c r="T2448" s="13"/>
      <c r="U2448" s="13"/>
      <c r="V2448" s="13"/>
      <c r="W2448" s="13"/>
    </row>
    <row r="2449" spans="4:23" ht="27" customHeight="1" x14ac:dyDescent="0.25">
      <c r="D2449" s="14" t="s">
        <v>7892</v>
      </c>
      <c r="E2449" s="14" t="s">
        <v>3984</v>
      </c>
      <c r="F2449" s="84" t="s">
        <v>194</v>
      </c>
      <c r="G2449" s="15" t="s">
        <v>27</v>
      </c>
      <c r="H2449" s="16" t="s">
        <v>7893</v>
      </c>
      <c r="I2449" s="17"/>
      <c r="J2449" s="17"/>
      <c r="K2449" s="17"/>
      <c r="L2449" s="17"/>
      <c r="T2449" s="13"/>
      <c r="U2449" s="13"/>
      <c r="V2449" s="13"/>
      <c r="W2449" s="13"/>
    </row>
    <row r="2450" spans="4:23" ht="27" customHeight="1" x14ac:dyDescent="0.25">
      <c r="D2450" s="14" t="s">
        <v>7894</v>
      </c>
      <c r="E2450" s="14" t="s">
        <v>7895</v>
      </c>
      <c r="F2450" s="84" t="s">
        <v>92</v>
      </c>
      <c r="G2450" s="15" t="s">
        <v>27</v>
      </c>
      <c r="H2450" s="16" t="s">
        <v>7896</v>
      </c>
      <c r="I2450" s="17"/>
      <c r="J2450" s="17"/>
      <c r="K2450" s="17"/>
      <c r="L2450" s="17"/>
      <c r="T2450" s="13"/>
      <c r="U2450" s="13"/>
      <c r="V2450" s="13"/>
      <c r="W2450" s="13"/>
    </row>
    <row r="2451" spans="4:23" ht="27" customHeight="1" x14ac:dyDescent="0.25">
      <c r="D2451" s="14" t="s">
        <v>7897</v>
      </c>
      <c r="E2451" s="14" t="s">
        <v>1364</v>
      </c>
      <c r="F2451" s="84" t="s">
        <v>480</v>
      </c>
      <c r="G2451" s="15" t="s">
        <v>68</v>
      </c>
      <c r="H2451" s="16" t="s">
        <v>7898</v>
      </c>
      <c r="I2451" s="17"/>
      <c r="J2451" s="17"/>
      <c r="K2451" s="17"/>
      <c r="L2451" s="17"/>
      <c r="T2451" s="13"/>
      <c r="U2451" s="13"/>
      <c r="V2451" s="13"/>
      <c r="W2451" s="13"/>
    </row>
    <row r="2452" spans="4:23" ht="27" customHeight="1" x14ac:dyDescent="0.25">
      <c r="D2452" s="14" t="s">
        <v>7899</v>
      </c>
      <c r="E2452" s="14" t="s">
        <v>3707</v>
      </c>
      <c r="F2452" s="84" t="s">
        <v>1201</v>
      </c>
      <c r="G2452" s="15" t="s">
        <v>27</v>
      </c>
      <c r="H2452" s="16" t="s">
        <v>7900</v>
      </c>
      <c r="I2452" s="17"/>
      <c r="J2452" s="17"/>
      <c r="K2452" s="17"/>
      <c r="L2452" s="17"/>
      <c r="T2452" s="13"/>
      <c r="U2452" s="13"/>
      <c r="V2452" s="13"/>
      <c r="W2452" s="13"/>
    </row>
    <row r="2453" spans="4:23" ht="27" customHeight="1" x14ac:dyDescent="0.25">
      <c r="D2453" s="14" t="s">
        <v>7901</v>
      </c>
      <c r="E2453" s="14" t="s">
        <v>5273</v>
      </c>
      <c r="F2453" s="84" t="s">
        <v>407</v>
      </c>
      <c r="G2453" s="15" t="s">
        <v>27</v>
      </c>
      <c r="H2453" s="16" t="s">
        <v>7902</v>
      </c>
      <c r="I2453" s="17"/>
      <c r="J2453" s="17"/>
      <c r="K2453" s="17"/>
      <c r="L2453" s="17"/>
      <c r="T2453" s="13"/>
      <c r="U2453" s="13"/>
      <c r="V2453" s="13"/>
      <c r="W2453" s="13"/>
    </row>
    <row r="2454" spans="4:23" ht="27" customHeight="1" x14ac:dyDescent="0.25">
      <c r="D2454" s="14" t="s">
        <v>7903</v>
      </c>
      <c r="E2454" s="14" t="s">
        <v>1557</v>
      </c>
      <c r="F2454" s="84" t="s">
        <v>508</v>
      </c>
      <c r="G2454" s="15" t="s">
        <v>27</v>
      </c>
      <c r="H2454" s="16" t="s">
        <v>7904</v>
      </c>
      <c r="I2454" s="17"/>
      <c r="J2454" s="17"/>
      <c r="K2454" s="17"/>
      <c r="L2454" s="17"/>
      <c r="T2454" s="13"/>
      <c r="U2454" s="13"/>
      <c r="V2454" s="13"/>
      <c r="W2454" s="13"/>
    </row>
    <row r="2455" spans="4:23" ht="27" customHeight="1" x14ac:dyDescent="0.25">
      <c r="D2455" s="14" t="s">
        <v>7905</v>
      </c>
      <c r="E2455" s="14" t="s">
        <v>5295</v>
      </c>
      <c r="F2455" s="84" t="s">
        <v>407</v>
      </c>
      <c r="G2455" s="15" t="s">
        <v>27</v>
      </c>
      <c r="H2455" s="16" t="s">
        <v>7906</v>
      </c>
      <c r="I2455" s="17"/>
      <c r="J2455" s="17"/>
      <c r="K2455" s="17"/>
      <c r="L2455" s="17"/>
      <c r="T2455" s="13"/>
      <c r="U2455" s="13"/>
      <c r="V2455" s="13"/>
      <c r="W2455" s="13"/>
    </row>
    <row r="2456" spans="4:23" ht="27" customHeight="1" x14ac:dyDescent="0.25">
      <c r="D2456" s="14" t="s">
        <v>7907</v>
      </c>
      <c r="E2456" s="14" t="s">
        <v>3542</v>
      </c>
      <c r="F2456" s="84" t="s">
        <v>566</v>
      </c>
      <c r="G2456" s="15" t="s">
        <v>27</v>
      </c>
      <c r="H2456" s="16" t="s">
        <v>7908</v>
      </c>
      <c r="I2456" s="17"/>
      <c r="J2456" s="17"/>
      <c r="K2456" s="17"/>
      <c r="L2456" s="17"/>
      <c r="T2456" s="13"/>
      <c r="U2456" s="13"/>
      <c r="V2456" s="13"/>
      <c r="W2456" s="13"/>
    </row>
    <row r="2457" spans="4:23" ht="27" customHeight="1" x14ac:dyDescent="0.25">
      <c r="D2457" s="14" t="s">
        <v>7909</v>
      </c>
      <c r="E2457" s="14" t="s">
        <v>2524</v>
      </c>
      <c r="F2457" s="84" t="s">
        <v>159</v>
      </c>
      <c r="G2457" s="15" t="s">
        <v>68</v>
      </c>
      <c r="H2457" s="16" t="s">
        <v>7910</v>
      </c>
      <c r="I2457" s="17"/>
      <c r="J2457" s="17"/>
      <c r="K2457" s="17"/>
      <c r="L2457" s="17"/>
      <c r="T2457" s="13"/>
      <c r="U2457" s="13"/>
      <c r="V2457" s="13"/>
      <c r="W2457" s="13"/>
    </row>
    <row r="2458" spans="4:23" ht="27" customHeight="1" x14ac:dyDescent="0.25">
      <c r="D2458" s="14" t="s">
        <v>7911</v>
      </c>
      <c r="E2458" s="14" t="s">
        <v>2761</v>
      </c>
      <c r="F2458" s="84" t="s">
        <v>296</v>
      </c>
      <c r="G2458" s="15" t="s">
        <v>68</v>
      </c>
      <c r="H2458" s="16" t="s">
        <v>7912</v>
      </c>
      <c r="I2458" s="17"/>
      <c r="J2458" s="17"/>
      <c r="K2458" s="17"/>
      <c r="L2458" s="17"/>
      <c r="T2458" s="13"/>
      <c r="U2458" s="13"/>
      <c r="V2458" s="13"/>
      <c r="W2458" s="13"/>
    </row>
    <row r="2459" spans="4:23" ht="27" customHeight="1" x14ac:dyDescent="0.25">
      <c r="D2459" s="14" t="s">
        <v>7913</v>
      </c>
      <c r="E2459" s="14" t="s">
        <v>3083</v>
      </c>
      <c r="F2459" s="84" t="s">
        <v>485</v>
      </c>
      <c r="G2459" s="15" t="s">
        <v>27</v>
      </c>
      <c r="H2459" s="16" t="s">
        <v>7914</v>
      </c>
      <c r="I2459" s="17"/>
      <c r="J2459" s="17"/>
      <c r="K2459" s="17"/>
      <c r="L2459" s="17"/>
      <c r="T2459" s="13"/>
      <c r="U2459" s="13"/>
      <c r="V2459" s="13"/>
      <c r="W2459" s="13"/>
    </row>
    <row r="2460" spans="4:23" ht="27" customHeight="1" x14ac:dyDescent="0.25">
      <c r="D2460" s="14" t="s">
        <v>7915</v>
      </c>
      <c r="E2460" s="14" t="s">
        <v>2775</v>
      </c>
      <c r="F2460" s="84" t="s">
        <v>296</v>
      </c>
      <c r="G2460" s="15" t="s">
        <v>27</v>
      </c>
      <c r="H2460" s="16" t="s">
        <v>7916</v>
      </c>
      <c r="I2460" s="17"/>
      <c r="J2460" s="17"/>
      <c r="K2460" s="17"/>
      <c r="L2460" s="17"/>
      <c r="T2460" s="13"/>
      <c r="U2460" s="13"/>
      <c r="V2460" s="13"/>
      <c r="W2460" s="13"/>
    </row>
    <row r="2461" spans="4:23" ht="27" customHeight="1" x14ac:dyDescent="0.25">
      <c r="D2461" s="14" t="s">
        <v>7917</v>
      </c>
      <c r="E2461" s="14" t="s">
        <v>7918</v>
      </c>
      <c r="F2461" s="84" t="s">
        <v>266</v>
      </c>
      <c r="G2461" s="15" t="s">
        <v>27</v>
      </c>
      <c r="H2461" s="16" t="s">
        <v>7919</v>
      </c>
      <c r="I2461" s="17"/>
      <c r="J2461" s="17"/>
      <c r="K2461" s="17"/>
      <c r="L2461" s="17"/>
      <c r="T2461" s="13"/>
      <c r="U2461" s="13"/>
      <c r="V2461" s="13"/>
      <c r="W2461" s="13"/>
    </row>
    <row r="2462" spans="4:23" ht="27" customHeight="1" x14ac:dyDescent="0.25">
      <c r="D2462" s="14" t="s">
        <v>7920</v>
      </c>
      <c r="E2462" s="14" t="s">
        <v>7921</v>
      </c>
      <c r="F2462" s="84" t="s">
        <v>524</v>
      </c>
      <c r="G2462" s="15" t="s">
        <v>27</v>
      </c>
      <c r="H2462" s="16" t="s">
        <v>7922</v>
      </c>
      <c r="I2462" s="17"/>
      <c r="J2462" s="17"/>
      <c r="K2462" s="17"/>
      <c r="L2462" s="17"/>
      <c r="T2462" s="13"/>
      <c r="U2462" s="13"/>
      <c r="V2462" s="13"/>
      <c r="W2462" s="13"/>
    </row>
    <row r="2463" spans="4:23" ht="27" customHeight="1" x14ac:dyDescent="0.25">
      <c r="D2463" s="14" t="s">
        <v>7923</v>
      </c>
      <c r="E2463" s="14" t="s">
        <v>2858</v>
      </c>
      <c r="F2463" s="84" t="s">
        <v>422</v>
      </c>
      <c r="G2463" s="15" t="s">
        <v>68</v>
      </c>
      <c r="H2463" s="16" t="s">
        <v>7924</v>
      </c>
      <c r="I2463" s="17"/>
      <c r="J2463" s="17"/>
      <c r="K2463" s="17"/>
      <c r="L2463" s="17"/>
      <c r="T2463" s="13"/>
      <c r="U2463" s="13"/>
      <c r="V2463" s="13"/>
      <c r="W2463" s="13"/>
    </row>
    <row r="2464" spans="4:23" ht="27" customHeight="1" x14ac:dyDescent="0.25">
      <c r="D2464" s="14" t="s">
        <v>7925</v>
      </c>
      <c r="E2464" s="14" t="s">
        <v>2675</v>
      </c>
      <c r="F2464" s="84" t="s">
        <v>183</v>
      </c>
      <c r="G2464" s="15" t="s">
        <v>27</v>
      </c>
      <c r="H2464" s="16" t="s">
        <v>7926</v>
      </c>
      <c r="I2464" s="17"/>
      <c r="J2464" s="17"/>
      <c r="K2464" s="17"/>
      <c r="L2464" s="17"/>
      <c r="T2464" s="13"/>
      <c r="U2464" s="13"/>
      <c r="V2464" s="13"/>
      <c r="W2464" s="13"/>
    </row>
    <row r="2465" spans="4:23" ht="27" customHeight="1" x14ac:dyDescent="0.25">
      <c r="D2465" s="14" t="s">
        <v>7927</v>
      </c>
      <c r="E2465" s="14" t="s">
        <v>3407</v>
      </c>
      <c r="F2465" s="84" t="s">
        <v>316</v>
      </c>
      <c r="G2465" s="15" t="s">
        <v>68</v>
      </c>
      <c r="H2465" s="16" t="s">
        <v>7928</v>
      </c>
      <c r="I2465" s="17"/>
      <c r="J2465" s="17"/>
      <c r="K2465" s="17"/>
      <c r="L2465" s="17"/>
      <c r="T2465" s="13"/>
      <c r="U2465" s="13"/>
      <c r="V2465" s="13"/>
      <c r="W2465" s="13"/>
    </row>
    <row r="2466" spans="4:23" ht="27" customHeight="1" x14ac:dyDescent="0.25">
      <c r="D2466" s="14" t="s">
        <v>7929</v>
      </c>
      <c r="E2466" s="14" t="s">
        <v>2397</v>
      </c>
      <c r="F2466" s="84" t="s">
        <v>372</v>
      </c>
      <c r="G2466" s="15" t="s">
        <v>68</v>
      </c>
      <c r="H2466" s="16" t="s">
        <v>7930</v>
      </c>
      <c r="I2466" s="17"/>
      <c r="J2466" s="17"/>
      <c r="K2466" s="17"/>
      <c r="L2466" s="17"/>
      <c r="T2466" s="13"/>
      <c r="U2466" s="13"/>
      <c r="V2466" s="13"/>
      <c r="W2466" s="13"/>
    </row>
    <row r="2467" spans="4:23" ht="27" customHeight="1" x14ac:dyDescent="0.25">
      <c r="D2467" s="14" t="s">
        <v>7931</v>
      </c>
      <c r="E2467" s="14" t="s">
        <v>3168</v>
      </c>
      <c r="F2467" s="84" t="s">
        <v>453</v>
      </c>
      <c r="G2467" s="15" t="s">
        <v>27</v>
      </c>
      <c r="H2467" s="16" t="s">
        <v>7932</v>
      </c>
      <c r="I2467" s="17"/>
      <c r="J2467" s="17"/>
      <c r="K2467" s="17"/>
      <c r="L2467" s="17"/>
      <c r="T2467" s="13"/>
      <c r="U2467" s="13"/>
      <c r="V2467" s="13"/>
      <c r="W2467" s="13"/>
    </row>
    <row r="2468" spans="4:23" ht="27" customHeight="1" x14ac:dyDescent="0.25">
      <c r="D2468" s="14" t="s">
        <v>7933</v>
      </c>
      <c r="E2468" s="14" t="s">
        <v>2614</v>
      </c>
      <c r="F2468" s="84" t="s">
        <v>834</v>
      </c>
      <c r="G2468" s="15" t="s">
        <v>27</v>
      </c>
      <c r="H2468" s="16" t="s">
        <v>7934</v>
      </c>
      <c r="I2468" s="17"/>
      <c r="J2468" s="17"/>
      <c r="K2468" s="17"/>
      <c r="L2468" s="17"/>
      <c r="T2468" s="13"/>
      <c r="U2468" s="13"/>
      <c r="V2468" s="13"/>
      <c r="W2468" s="13"/>
    </row>
    <row r="2469" spans="4:23" ht="27" customHeight="1" x14ac:dyDescent="0.25">
      <c r="D2469" s="14" t="s">
        <v>7935</v>
      </c>
      <c r="E2469" s="14" t="s">
        <v>3330</v>
      </c>
      <c r="F2469" s="84" t="s">
        <v>538</v>
      </c>
      <c r="G2469" s="15" t="s">
        <v>27</v>
      </c>
      <c r="H2469" s="16" t="s">
        <v>7936</v>
      </c>
      <c r="I2469" s="17"/>
      <c r="J2469" s="17"/>
      <c r="K2469" s="17"/>
      <c r="L2469" s="17"/>
      <c r="T2469" s="13"/>
      <c r="U2469" s="13"/>
      <c r="V2469" s="13"/>
      <c r="W2469" s="13"/>
    </row>
    <row r="2470" spans="4:23" ht="27" customHeight="1" x14ac:dyDescent="0.25">
      <c r="D2470" s="14" t="s">
        <v>7937</v>
      </c>
      <c r="E2470" s="14" t="s">
        <v>4564</v>
      </c>
      <c r="F2470" s="84" t="s">
        <v>1118</v>
      </c>
      <c r="G2470" s="15" t="s">
        <v>68</v>
      </c>
      <c r="H2470" s="16" t="s">
        <v>7938</v>
      </c>
      <c r="I2470" s="17"/>
      <c r="J2470" s="17"/>
      <c r="K2470" s="17"/>
      <c r="L2470" s="17"/>
      <c r="T2470" s="13"/>
      <c r="U2470" s="13"/>
      <c r="V2470" s="13"/>
      <c r="W2470" s="13"/>
    </row>
    <row r="2471" spans="4:23" ht="27" customHeight="1" x14ac:dyDescent="0.25">
      <c r="D2471" s="14" t="s">
        <v>7939</v>
      </c>
      <c r="E2471" s="14" t="s">
        <v>5524</v>
      </c>
      <c r="F2471" s="84" t="s">
        <v>46</v>
      </c>
      <c r="G2471" s="15" t="s">
        <v>27</v>
      </c>
      <c r="H2471" s="16" t="s">
        <v>7940</v>
      </c>
      <c r="I2471" s="17"/>
      <c r="J2471" s="17"/>
      <c r="K2471" s="17"/>
      <c r="L2471" s="17"/>
      <c r="T2471" s="13"/>
      <c r="U2471" s="13"/>
      <c r="V2471" s="13"/>
      <c r="W2471" s="13"/>
    </row>
    <row r="2472" spans="4:23" ht="27" customHeight="1" x14ac:dyDescent="0.25">
      <c r="D2472" s="14" t="s">
        <v>7941</v>
      </c>
      <c r="E2472" s="14" t="s">
        <v>7942</v>
      </c>
      <c r="F2472" s="84" t="s">
        <v>302</v>
      </c>
      <c r="G2472" s="15" t="s">
        <v>27</v>
      </c>
      <c r="H2472" s="16" t="s">
        <v>7943</v>
      </c>
      <c r="I2472" s="17"/>
      <c r="J2472" s="17"/>
      <c r="K2472" s="17"/>
      <c r="L2472" s="17"/>
      <c r="T2472" s="13"/>
      <c r="U2472" s="13"/>
      <c r="V2472" s="13"/>
      <c r="W2472" s="13"/>
    </row>
    <row r="2473" spans="4:23" ht="27" customHeight="1" x14ac:dyDescent="0.25">
      <c r="D2473" s="14" t="s">
        <v>7944</v>
      </c>
      <c r="E2473" s="14" t="s">
        <v>1851</v>
      </c>
      <c r="F2473" s="84" t="s">
        <v>149</v>
      </c>
      <c r="G2473" s="15" t="s">
        <v>68</v>
      </c>
      <c r="H2473" s="16" t="s">
        <v>7945</v>
      </c>
      <c r="I2473" s="17"/>
      <c r="J2473" s="17"/>
      <c r="K2473" s="17"/>
      <c r="L2473" s="17"/>
      <c r="T2473" s="13"/>
      <c r="U2473" s="13"/>
      <c r="V2473" s="13"/>
      <c r="W2473" s="13"/>
    </row>
    <row r="2474" spans="4:23" ht="27" customHeight="1" x14ac:dyDescent="0.25">
      <c r="D2474" s="14" t="s">
        <v>7946</v>
      </c>
      <c r="E2474" s="14" t="s">
        <v>2995</v>
      </c>
      <c r="F2474" s="84" t="s">
        <v>92</v>
      </c>
      <c r="G2474" s="15" t="s">
        <v>27</v>
      </c>
      <c r="H2474" s="16" t="s">
        <v>7947</v>
      </c>
      <c r="I2474" s="17"/>
      <c r="J2474" s="17"/>
      <c r="K2474" s="17"/>
      <c r="L2474" s="17"/>
      <c r="T2474" s="13"/>
      <c r="U2474" s="13"/>
      <c r="V2474" s="13"/>
      <c r="W2474" s="13"/>
    </row>
    <row r="2475" spans="4:23" ht="27" customHeight="1" x14ac:dyDescent="0.25">
      <c r="D2475" s="14" t="s">
        <v>7948</v>
      </c>
      <c r="E2475" s="14" t="s">
        <v>5157</v>
      </c>
      <c r="F2475" s="84" t="s">
        <v>121</v>
      </c>
      <c r="G2475" s="15" t="s">
        <v>27</v>
      </c>
      <c r="H2475" s="16" t="s">
        <v>7949</v>
      </c>
      <c r="I2475" s="17"/>
      <c r="J2475" s="17"/>
      <c r="K2475" s="17"/>
      <c r="L2475" s="17"/>
      <c r="T2475" s="13"/>
      <c r="U2475" s="13"/>
      <c r="V2475" s="13"/>
      <c r="W2475" s="13"/>
    </row>
    <row r="2476" spans="4:23" ht="27" customHeight="1" x14ac:dyDescent="0.25">
      <c r="D2476" s="14" t="s">
        <v>7950</v>
      </c>
      <c r="E2476" s="14" t="s">
        <v>492</v>
      </c>
      <c r="F2476" s="84" t="s">
        <v>1661</v>
      </c>
      <c r="G2476" s="15" t="s">
        <v>27</v>
      </c>
      <c r="H2476" s="16" t="s">
        <v>7951</v>
      </c>
      <c r="I2476" s="17"/>
      <c r="J2476" s="17"/>
      <c r="K2476" s="17"/>
      <c r="L2476" s="17"/>
      <c r="T2476" s="13"/>
      <c r="U2476" s="13"/>
      <c r="V2476" s="13"/>
      <c r="W2476" s="13"/>
    </row>
    <row r="2477" spans="4:23" ht="27" customHeight="1" x14ac:dyDescent="0.25">
      <c r="D2477" s="14" t="s">
        <v>7952</v>
      </c>
      <c r="E2477" s="14" t="s">
        <v>7953</v>
      </c>
      <c r="F2477" s="84" t="s">
        <v>2247</v>
      </c>
      <c r="G2477" s="15" t="s">
        <v>68</v>
      </c>
      <c r="H2477" s="16" t="s">
        <v>7954</v>
      </c>
      <c r="I2477" s="17"/>
      <c r="J2477" s="17"/>
      <c r="K2477" s="17"/>
      <c r="L2477" s="17"/>
      <c r="T2477" s="13"/>
      <c r="U2477" s="13"/>
      <c r="V2477" s="13"/>
      <c r="W2477" s="13"/>
    </row>
    <row r="2478" spans="4:23" ht="27" customHeight="1" x14ac:dyDescent="0.25">
      <c r="D2478" s="14" t="s">
        <v>7955</v>
      </c>
      <c r="E2478" s="14" t="s">
        <v>5509</v>
      </c>
      <c r="F2478" s="84" t="s">
        <v>46</v>
      </c>
      <c r="G2478" s="15" t="s">
        <v>68</v>
      </c>
      <c r="H2478" s="16" t="s">
        <v>7956</v>
      </c>
      <c r="I2478" s="17"/>
      <c r="J2478" s="17"/>
      <c r="K2478" s="17"/>
      <c r="L2478" s="17"/>
      <c r="T2478" s="13"/>
      <c r="U2478" s="13"/>
      <c r="V2478" s="13"/>
      <c r="W2478" s="13"/>
    </row>
    <row r="2479" spans="4:23" ht="27" customHeight="1" x14ac:dyDescent="0.25">
      <c r="D2479" s="14" t="s">
        <v>7957</v>
      </c>
      <c r="E2479" s="14" t="s">
        <v>7958</v>
      </c>
      <c r="F2479" s="84" t="s">
        <v>280</v>
      </c>
      <c r="G2479" s="15" t="s">
        <v>27</v>
      </c>
      <c r="H2479" s="16" t="s">
        <v>7959</v>
      </c>
      <c r="I2479" s="17"/>
      <c r="J2479" s="17"/>
      <c r="K2479" s="17"/>
      <c r="L2479" s="17"/>
      <c r="T2479" s="13"/>
      <c r="U2479" s="13"/>
      <c r="V2479" s="13"/>
      <c r="W2479" s="13"/>
    </row>
    <row r="2480" spans="4:23" ht="27" customHeight="1" x14ac:dyDescent="0.25">
      <c r="D2480" s="14" t="s">
        <v>7960</v>
      </c>
      <c r="E2480" s="14" t="s">
        <v>2311</v>
      </c>
      <c r="F2480" s="84" t="s">
        <v>597</v>
      </c>
      <c r="G2480" s="15" t="s">
        <v>27</v>
      </c>
      <c r="H2480" s="16" t="s">
        <v>7961</v>
      </c>
      <c r="I2480" s="17"/>
      <c r="J2480" s="17"/>
      <c r="K2480" s="17"/>
      <c r="L2480" s="17"/>
      <c r="T2480" s="13"/>
      <c r="U2480" s="13"/>
      <c r="V2480" s="13"/>
      <c r="W2480" s="13"/>
    </row>
    <row r="2481" spans="4:23" ht="27" customHeight="1" x14ac:dyDescent="0.25">
      <c r="D2481" s="14" t="s">
        <v>7962</v>
      </c>
      <c r="E2481" s="14" t="s">
        <v>7963</v>
      </c>
      <c r="F2481" s="84" t="s">
        <v>1626</v>
      </c>
      <c r="G2481" s="15" t="s">
        <v>27</v>
      </c>
      <c r="H2481" s="16" t="s">
        <v>7964</v>
      </c>
      <c r="I2481" s="17"/>
      <c r="J2481" s="17"/>
      <c r="K2481" s="17"/>
      <c r="L2481" s="17"/>
      <c r="T2481" s="13"/>
      <c r="U2481" s="13"/>
      <c r="V2481" s="13"/>
      <c r="W2481" s="13"/>
    </row>
    <row r="2482" spans="4:23" ht="27" customHeight="1" x14ac:dyDescent="0.25">
      <c r="D2482" s="14" t="s">
        <v>7965</v>
      </c>
      <c r="E2482" s="14" t="s">
        <v>7966</v>
      </c>
      <c r="F2482" s="84" t="s">
        <v>372</v>
      </c>
      <c r="G2482" s="15" t="s">
        <v>68</v>
      </c>
      <c r="H2482" s="16" t="s">
        <v>7967</v>
      </c>
      <c r="I2482" s="17"/>
      <c r="J2482" s="17"/>
      <c r="K2482" s="17"/>
      <c r="L2482" s="17"/>
      <c r="T2482" s="13"/>
      <c r="U2482" s="13"/>
      <c r="V2482" s="13"/>
      <c r="W2482" s="13"/>
    </row>
    <row r="2483" spans="4:23" ht="27" customHeight="1" x14ac:dyDescent="0.25">
      <c r="D2483" s="14" t="s">
        <v>7968</v>
      </c>
      <c r="E2483" s="14" t="s">
        <v>111</v>
      </c>
      <c r="F2483" s="84" t="s">
        <v>2461</v>
      </c>
      <c r="G2483" s="15" t="s">
        <v>27</v>
      </c>
      <c r="H2483" s="16" t="s">
        <v>7969</v>
      </c>
      <c r="I2483" s="17"/>
      <c r="J2483" s="17"/>
      <c r="K2483" s="17"/>
      <c r="L2483" s="17"/>
      <c r="T2483" s="13"/>
      <c r="U2483" s="13"/>
      <c r="V2483" s="13"/>
      <c r="W2483" s="13"/>
    </row>
    <row r="2484" spans="4:23" ht="27" customHeight="1" x14ac:dyDescent="0.25">
      <c r="D2484" s="14" t="s">
        <v>7970</v>
      </c>
      <c r="E2484" s="14" t="s">
        <v>7971</v>
      </c>
      <c r="F2484" s="84" t="s">
        <v>524</v>
      </c>
      <c r="G2484" s="15" t="s">
        <v>27</v>
      </c>
      <c r="H2484" s="16" t="s">
        <v>7972</v>
      </c>
      <c r="I2484" s="17"/>
      <c r="J2484" s="17"/>
      <c r="K2484" s="17"/>
      <c r="L2484" s="17"/>
      <c r="T2484" s="13"/>
      <c r="U2484" s="13"/>
      <c r="V2484" s="13"/>
      <c r="W2484" s="13"/>
    </row>
    <row r="2485" spans="4:23" ht="27" customHeight="1" x14ac:dyDescent="0.25">
      <c r="D2485" s="14" t="s">
        <v>7973</v>
      </c>
      <c r="E2485" s="14" t="s">
        <v>7974</v>
      </c>
      <c r="F2485" s="84" t="s">
        <v>296</v>
      </c>
      <c r="G2485" s="15" t="s">
        <v>68</v>
      </c>
      <c r="H2485" s="16" t="s">
        <v>7975</v>
      </c>
      <c r="I2485" s="17"/>
      <c r="J2485" s="17"/>
      <c r="K2485" s="17"/>
      <c r="L2485" s="17"/>
      <c r="T2485" s="13"/>
      <c r="U2485" s="13"/>
      <c r="V2485" s="13"/>
      <c r="W2485" s="13"/>
    </row>
    <row r="2486" spans="4:23" ht="27" customHeight="1" x14ac:dyDescent="0.25">
      <c r="D2486" s="14" t="s">
        <v>7976</v>
      </c>
      <c r="E2486" s="14" t="s">
        <v>7977</v>
      </c>
      <c r="F2486" s="84" t="s">
        <v>302</v>
      </c>
      <c r="G2486" s="15" t="s">
        <v>68</v>
      </c>
      <c r="H2486" s="16" t="s">
        <v>7978</v>
      </c>
      <c r="I2486" s="17"/>
      <c r="J2486" s="17"/>
      <c r="K2486" s="17"/>
      <c r="L2486" s="17"/>
      <c r="T2486" s="13"/>
      <c r="U2486" s="13"/>
      <c r="V2486" s="13"/>
      <c r="W2486" s="13"/>
    </row>
    <row r="2487" spans="4:23" ht="27" customHeight="1" x14ac:dyDescent="0.25">
      <c r="D2487" s="14" t="s">
        <v>7979</v>
      </c>
      <c r="E2487" s="14" t="s">
        <v>1910</v>
      </c>
      <c r="F2487" s="84" t="s">
        <v>381</v>
      </c>
      <c r="G2487" s="15" t="s">
        <v>27</v>
      </c>
      <c r="H2487" s="16" t="s">
        <v>7980</v>
      </c>
      <c r="I2487" s="17"/>
      <c r="J2487" s="17"/>
      <c r="K2487" s="17"/>
      <c r="L2487" s="17"/>
      <c r="T2487" s="13"/>
      <c r="U2487" s="13"/>
      <c r="V2487" s="13"/>
      <c r="W2487" s="13"/>
    </row>
    <row r="2488" spans="4:23" ht="27" customHeight="1" x14ac:dyDescent="0.25">
      <c r="D2488" s="14" t="s">
        <v>7981</v>
      </c>
      <c r="E2488" s="14" t="s">
        <v>7982</v>
      </c>
      <c r="F2488" s="84" t="s">
        <v>480</v>
      </c>
      <c r="G2488" s="15" t="s">
        <v>68</v>
      </c>
      <c r="H2488" s="16" t="s">
        <v>7983</v>
      </c>
      <c r="I2488" s="17"/>
      <c r="J2488" s="17"/>
      <c r="K2488" s="17"/>
      <c r="L2488" s="17"/>
      <c r="T2488" s="13"/>
      <c r="U2488" s="13"/>
      <c r="V2488" s="13"/>
      <c r="W2488" s="13"/>
    </row>
    <row r="2489" spans="4:23" ht="27" customHeight="1" x14ac:dyDescent="0.25">
      <c r="D2489" s="14" t="s">
        <v>7984</v>
      </c>
      <c r="E2489" s="14" t="s">
        <v>1140</v>
      </c>
      <c r="F2489" s="84" t="s">
        <v>67</v>
      </c>
      <c r="G2489" s="15" t="s">
        <v>27</v>
      </c>
      <c r="H2489" s="16" t="s">
        <v>7985</v>
      </c>
      <c r="I2489" s="17"/>
      <c r="J2489" s="17"/>
      <c r="K2489" s="17"/>
      <c r="L2489" s="17"/>
      <c r="T2489" s="13"/>
      <c r="U2489" s="13"/>
      <c r="V2489" s="13"/>
      <c r="W2489" s="13"/>
    </row>
    <row r="2490" spans="4:23" ht="27" customHeight="1" x14ac:dyDescent="0.25">
      <c r="D2490" s="14" t="s">
        <v>7986</v>
      </c>
      <c r="E2490" s="14" t="s">
        <v>7987</v>
      </c>
      <c r="F2490" s="84" t="s">
        <v>233</v>
      </c>
      <c r="G2490" s="15" t="s">
        <v>68</v>
      </c>
      <c r="H2490" s="16" t="s">
        <v>7988</v>
      </c>
      <c r="I2490" s="17"/>
      <c r="J2490" s="17"/>
      <c r="K2490" s="17"/>
      <c r="L2490" s="17"/>
      <c r="T2490" s="13"/>
      <c r="U2490" s="13"/>
      <c r="V2490" s="13"/>
      <c r="W2490" s="13"/>
    </row>
    <row r="2491" spans="4:23" ht="27" customHeight="1" x14ac:dyDescent="0.25">
      <c r="D2491" s="14" t="s">
        <v>7989</v>
      </c>
      <c r="E2491" s="14" t="s">
        <v>1231</v>
      </c>
      <c r="F2491" s="84" t="s">
        <v>674</v>
      </c>
      <c r="G2491" s="15" t="s">
        <v>27</v>
      </c>
      <c r="H2491" s="16" t="s">
        <v>7990</v>
      </c>
      <c r="I2491" s="17"/>
      <c r="J2491" s="17"/>
      <c r="K2491" s="17"/>
      <c r="L2491" s="17"/>
      <c r="T2491" s="13"/>
      <c r="U2491" s="13"/>
      <c r="V2491" s="13"/>
      <c r="W2491" s="13"/>
    </row>
    <row r="2492" spans="4:23" ht="27" customHeight="1" x14ac:dyDescent="0.25">
      <c r="D2492" s="14" t="s">
        <v>7991</v>
      </c>
      <c r="E2492" s="14" t="s">
        <v>7992</v>
      </c>
      <c r="F2492" s="84" t="s">
        <v>266</v>
      </c>
      <c r="G2492" s="15" t="s">
        <v>68</v>
      </c>
      <c r="H2492" s="16" t="s">
        <v>7993</v>
      </c>
      <c r="I2492" s="17"/>
      <c r="J2492" s="17"/>
      <c r="K2492" s="17"/>
      <c r="L2492" s="17"/>
      <c r="T2492" s="13"/>
      <c r="U2492" s="13"/>
      <c r="V2492" s="13"/>
      <c r="W2492" s="13"/>
    </row>
    <row r="2493" spans="4:23" ht="27" customHeight="1" x14ac:dyDescent="0.25">
      <c r="D2493" s="14" t="s">
        <v>7994</v>
      </c>
      <c r="E2493" s="14" t="s">
        <v>2637</v>
      </c>
      <c r="F2493" s="84" t="s">
        <v>183</v>
      </c>
      <c r="G2493" s="15" t="s">
        <v>27</v>
      </c>
      <c r="H2493" s="16" t="s">
        <v>7995</v>
      </c>
      <c r="I2493" s="17"/>
      <c r="J2493" s="17"/>
      <c r="K2493" s="17"/>
      <c r="L2493" s="17"/>
      <c r="T2493" s="13"/>
      <c r="U2493" s="13"/>
      <c r="V2493" s="13"/>
      <c r="W2493" s="13"/>
    </row>
    <row r="2494" spans="4:23" ht="27" customHeight="1" x14ac:dyDescent="0.25">
      <c r="D2494" s="14" t="s">
        <v>7996</v>
      </c>
      <c r="E2494" s="14" t="s">
        <v>7997</v>
      </c>
      <c r="F2494" s="84" t="s">
        <v>490</v>
      </c>
      <c r="G2494" s="15" t="s">
        <v>68</v>
      </c>
      <c r="H2494" s="16" t="s">
        <v>7998</v>
      </c>
      <c r="I2494" s="17"/>
      <c r="J2494" s="17"/>
      <c r="K2494" s="17"/>
      <c r="L2494" s="17"/>
      <c r="T2494" s="13"/>
      <c r="U2494" s="13"/>
      <c r="V2494" s="13"/>
      <c r="W2494" s="13"/>
    </row>
    <row r="2495" spans="4:23" ht="27" customHeight="1" x14ac:dyDescent="0.25">
      <c r="D2495" s="14" t="s">
        <v>7999</v>
      </c>
      <c r="E2495" s="14" t="s">
        <v>8000</v>
      </c>
      <c r="F2495" s="84" t="s">
        <v>466</v>
      </c>
      <c r="G2495" s="15" t="s">
        <v>27</v>
      </c>
      <c r="H2495" s="16" t="s">
        <v>8001</v>
      </c>
      <c r="I2495" s="17"/>
      <c r="J2495" s="17"/>
      <c r="K2495" s="17"/>
      <c r="L2495" s="17"/>
      <c r="T2495" s="13"/>
      <c r="U2495" s="13"/>
      <c r="V2495" s="13"/>
      <c r="W2495" s="13"/>
    </row>
    <row r="2496" spans="4:23" ht="27" customHeight="1" x14ac:dyDescent="0.25">
      <c r="D2496" s="14" t="s">
        <v>8002</v>
      </c>
      <c r="E2496" s="14" t="s">
        <v>8003</v>
      </c>
      <c r="F2496" s="84" t="s">
        <v>233</v>
      </c>
      <c r="G2496" s="15" t="s">
        <v>27</v>
      </c>
      <c r="H2496" s="16" t="s">
        <v>8004</v>
      </c>
      <c r="I2496" s="17"/>
      <c r="J2496" s="17"/>
      <c r="K2496" s="17"/>
      <c r="L2496" s="17"/>
      <c r="T2496" s="13"/>
      <c r="U2496" s="13"/>
      <c r="V2496" s="13"/>
      <c r="W2496" s="13"/>
    </row>
    <row r="2497" spans="4:23" ht="27" customHeight="1" x14ac:dyDescent="0.25">
      <c r="D2497" s="14" t="s">
        <v>8005</v>
      </c>
      <c r="E2497" s="14" t="s">
        <v>8006</v>
      </c>
      <c r="F2497" s="84" t="s">
        <v>524</v>
      </c>
      <c r="G2497" s="15" t="s">
        <v>27</v>
      </c>
      <c r="H2497" s="16" t="s">
        <v>8007</v>
      </c>
      <c r="I2497" s="17"/>
      <c r="J2497" s="17"/>
      <c r="K2497" s="17"/>
      <c r="L2497" s="17"/>
      <c r="T2497" s="13"/>
      <c r="U2497" s="13"/>
      <c r="V2497" s="13"/>
      <c r="W2497" s="13"/>
    </row>
    <row r="2498" spans="4:23" ht="27" customHeight="1" x14ac:dyDescent="0.25">
      <c r="D2498" s="14" t="s">
        <v>8008</v>
      </c>
      <c r="E2498" s="14" t="s">
        <v>8009</v>
      </c>
      <c r="F2498" s="84" t="s">
        <v>149</v>
      </c>
      <c r="G2498" s="15" t="s">
        <v>27</v>
      </c>
      <c r="H2498" s="16" t="s">
        <v>8010</v>
      </c>
      <c r="I2498" s="17"/>
      <c r="J2498" s="17"/>
      <c r="K2498" s="17"/>
      <c r="L2498" s="17"/>
      <c r="T2498" s="13"/>
      <c r="U2498" s="13"/>
      <c r="V2498" s="13"/>
      <c r="W2498" s="13"/>
    </row>
    <row r="2499" spans="4:23" ht="27" customHeight="1" x14ac:dyDescent="0.25">
      <c r="D2499" s="14" t="s">
        <v>8011</v>
      </c>
      <c r="E2499" s="14" t="s">
        <v>1612</v>
      </c>
      <c r="F2499" s="84" t="s">
        <v>2773</v>
      </c>
      <c r="G2499" s="15" t="s">
        <v>27</v>
      </c>
      <c r="H2499" s="16" t="s">
        <v>8012</v>
      </c>
      <c r="I2499" s="17"/>
      <c r="J2499" s="17"/>
      <c r="K2499" s="17"/>
      <c r="L2499" s="17"/>
      <c r="T2499" s="13"/>
      <c r="U2499" s="13"/>
      <c r="V2499" s="13"/>
      <c r="W2499" s="13"/>
    </row>
    <row r="2500" spans="4:23" ht="27" customHeight="1" x14ac:dyDescent="0.25">
      <c r="D2500" s="14" t="s">
        <v>8013</v>
      </c>
      <c r="E2500" s="14" t="s">
        <v>5447</v>
      </c>
      <c r="F2500" s="84" t="s">
        <v>46</v>
      </c>
      <c r="G2500" s="15" t="s">
        <v>68</v>
      </c>
      <c r="H2500" s="16" t="s">
        <v>8014</v>
      </c>
      <c r="I2500" s="17"/>
      <c r="J2500" s="17"/>
      <c r="K2500" s="17"/>
      <c r="L2500" s="17"/>
      <c r="T2500" s="13"/>
      <c r="U2500" s="13"/>
      <c r="V2500" s="13"/>
      <c r="W2500" s="13"/>
    </row>
    <row r="2501" spans="4:23" ht="27" customHeight="1" x14ac:dyDescent="0.25">
      <c r="D2501" s="14" t="s">
        <v>8015</v>
      </c>
      <c r="E2501" s="14" t="s">
        <v>2919</v>
      </c>
      <c r="F2501" s="84" t="s">
        <v>92</v>
      </c>
      <c r="G2501" s="15" t="s">
        <v>27</v>
      </c>
      <c r="H2501" s="16" t="s">
        <v>8016</v>
      </c>
      <c r="I2501" s="17"/>
      <c r="J2501" s="17"/>
      <c r="K2501" s="17"/>
      <c r="L2501" s="17"/>
      <c r="T2501" s="13"/>
      <c r="U2501" s="13"/>
      <c r="V2501" s="13"/>
      <c r="W2501" s="13"/>
    </row>
    <row r="2502" spans="4:23" ht="27" customHeight="1" x14ac:dyDescent="0.25">
      <c r="D2502" s="14" t="s">
        <v>8017</v>
      </c>
      <c r="E2502" s="14" t="s">
        <v>8018</v>
      </c>
      <c r="F2502" s="84" t="s">
        <v>149</v>
      </c>
      <c r="G2502" s="15" t="s">
        <v>68</v>
      </c>
      <c r="H2502" s="16" t="s">
        <v>8019</v>
      </c>
      <c r="I2502" s="17"/>
      <c r="J2502" s="17"/>
      <c r="K2502" s="17"/>
      <c r="L2502" s="17"/>
      <c r="T2502" s="13"/>
      <c r="U2502" s="13"/>
      <c r="V2502" s="13"/>
      <c r="W2502" s="13"/>
    </row>
    <row r="2503" spans="4:23" ht="27" customHeight="1" x14ac:dyDescent="0.25">
      <c r="D2503" s="14" t="s">
        <v>8020</v>
      </c>
      <c r="E2503" s="14" t="s">
        <v>328</v>
      </c>
      <c r="F2503" s="84" t="s">
        <v>3869</v>
      </c>
      <c r="G2503" s="15" t="s">
        <v>27</v>
      </c>
      <c r="H2503" s="16" t="s">
        <v>8021</v>
      </c>
      <c r="I2503" s="17"/>
      <c r="J2503" s="17"/>
      <c r="K2503" s="17"/>
      <c r="L2503" s="17"/>
      <c r="T2503" s="13"/>
      <c r="U2503" s="13"/>
      <c r="V2503" s="13"/>
      <c r="W2503" s="13"/>
    </row>
    <row r="2504" spans="4:23" ht="27" customHeight="1" x14ac:dyDescent="0.25">
      <c r="D2504" s="14" t="s">
        <v>8022</v>
      </c>
      <c r="E2504" s="14" t="s">
        <v>8023</v>
      </c>
      <c r="F2504" s="84" t="s">
        <v>143</v>
      </c>
      <c r="G2504" s="15" t="s">
        <v>27</v>
      </c>
      <c r="H2504" s="16" t="s">
        <v>8024</v>
      </c>
      <c r="I2504" s="17"/>
      <c r="J2504" s="17"/>
      <c r="K2504" s="17"/>
      <c r="L2504" s="17"/>
      <c r="T2504" s="13"/>
      <c r="U2504" s="13"/>
      <c r="V2504" s="13"/>
      <c r="W2504" s="13"/>
    </row>
    <row r="2505" spans="4:23" ht="27" customHeight="1" x14ac:dyDescent="0.25">
      <c r="D2505" s="14" t="s">
        <v>8025</v>
      </c>
      <c r="E2505" s="14" t="s">
        <v>8026</v>
      </c>
      <c r="F2505" s="84" t="s">
        <v>508</v>
      </c>
      <c r="G2505" s="15" t="s">
        <v>27</v>
      </c>
      <c r="H2505" s="16" t="s">
        <v>8027</v>
      </c>
      <c r="I2505" s="17"/>
      <c r="J2505" s="17"/>
      <c r="K2505" s="17"/>
      <c r="L2505" s="17"/>
      <c r="T2505" s="13"/>
      <c r="U2505" s="13"/>
      <c r="V2505" s="13"/>
      <c r="W2505" s="13"/>
    </row>
    <row r="2506" spans="4:23" ht="27" customHeight="1" x14ac:dyDescent="0.25">
      <c r="D2506" s="14" t="s">
        <v>8028</v>
      </c>
      <c r="E2506" s="14" t="s">
        <v>8029</v>
      </c>
      <c r="F2506" s="84" t="s">
        <v>233</v>
      </c>
      <c r="G2506" s="15" t="s">
        <v>27</v>
      </c>
      <c r="H2506" s="16" t="s">
        <v>8030</v>
      </c>
      <c r="I2506" s="17"/>
      <c r="J2506" s="17"/>
      <c r="K2506" s="17"/>
      <c r="L2506" s="17"/>
      <c r="T2506" s="13"/>
      <c r="U2506" s="13"/>
      <c r="V2506" s="13"/>
      <c r="W2506" s="13"/>
    </row>
    <row r="2507" spans="4:23" ht="27" customHeight="1" x14ac:dyDescent="0.25">
      <c r="D2507" s="14" t="s">
        <v>8031</v>
      </c>
      <c r="E2507" s="14" t="s">
        <v>8032</v>
      </c>
      <c r="F2507" s="84" t="s">
        <v>900</v>
      </c>
      <c r="G2507" s="15" t="s">
        <v>68</v>
      </c>
      <c r="H2507" s="16" t="s">
        <v>8033</v>
      </c>
      <c r="I2507" s="17"/>
      <c r="J2507" s="17"/>
      <c r="K2507" s="17"/>
      <c r="L2507" s="17"/>
      <c r="T2507" s="13"/>
      <c r="U2507" s="13"/>
      <c r="V2507" s="13"/>
      <c r="W2507" s="13"/>
    </row>
    <row r="2508" spans="4:23" ht="27" customHeight="1" x14ac:dyDescent="0.25">
      <c r="D2508" s="14" t="s">
        <v>8034</v>
      </c>
      <c r="E2508" s="14" t="s">
        <v>8035</v>
      </c>
      <c r="F2508" s="84" t="s">
        <v>485</v>
      </c>
      <c r="G2508" s="15" t="s">
        <v>27</v>
      </c>
      <c r="H2508" s="16" t="s">
        <v>8036</v>
      </c>
      <c r="I2508" s="17"/>
      <c r="J2508" s="17"/>
      <c r="K2508" s="17"/>
      <c r="L2508" s="17"/>
      <c r="T2508" s="13"/>
      <c r="U2508" s="13"/>
      <c r="V2508" s="13"/>
      <c r="W2508" s="13"/>
    </row>
    <row r="2509" spans="4:23" ht="27" customHeight="1" x14ac:dyDescent="0.25">
      <c r="D2509" s="14" t="s">
        <v>8037</v>
      </c>
      <c r="E2509" s="14" t="s">
        <v>8038</v>
      </c>
      <c r="F2509" s="84" t="s">
        <v>887</v>
      </c>
      <c r="G2509" s="15" t="s">
        <v>68</v>
      </c>
      <c r="H2509" s="16" t="s">
        <v>8039</v>
      </c>
      <c r="I2509" s="17"/>
      <c r="J2509" s="17"/>
      <c r="K2509" s="17"/>
      <c r="L2509" s="17"/>
      <c r="T2509" s="13"/>
      <c r="U2509" s="13"/>
      <c r="V2509" s="13"/>
      <c r="W2509" s="13"/>
    </row>
    <row r="2510" spans="4:23" ht="27" customHeight="1" x14ac:dyDescent="0.25">
      <c r="D2510" s="14" t="s">
        <v>8040</v>
      </c>
      <c r="E2510" s="14" t="s">
        <v>5261</v>
      </c>
      <c r="F2510" s="84" t="s">
        <v>407</v>
      </c>
      <c r="G2510" s="15" t="s">
        <v>68</v>
      </c>
      <c r="H2510" s="16" t="s">
        <v>8041</v>
      </c>
      <c r="I2510" s="17"/>
      <c r="J2510" s="17"/>
      <c r="K2510" s="17"/>
      <c r="L2510" s="17"/>
      <c r="T2510" s="13"/>
      <c r="U2510" s="13"/>
      <c r="V2510" s="13"/>
      <c r="W2510" s="13"/>
    </row>
    <row r="2511" spans="4:23" ht="27" customHeight="1" x14ac:dyDescent="0.25">
      <c r="D2511" s="14" t="s">
        <v>8042</v>
      </c>
      <c r="E2511" s="14" t="s">
        <v>2739</v>
      </c>
      <c r="F2511" s="84" t="s">
        <v>592</v>
      </c>
      <c r="G2511" s="15" t="s">
        <v>27</v>
      </c>
      <c r="H2511" s="16" t="s">
        <v>8043</v>
      </c>
      <c r="I2511" s="17"/>
      <c r="J2511" s="17"/>
      <c r="K2511" s="17"/>
      <c r="L2511" s="17"/>
      <c r="T2511" s="13"/>
      <c r="U2511" s="13"/>
      <c r="V2511" s="13"/>
      <c r="W2511" s="13"/>
    </row>
    <row r="2512" spans="4:23" ht="27" customHeight="1" x14ac:dyDescent="0.25">
      <c r="D2512" s="14" t="s">
        <v>8044</v>
      </c>
      <c r="E2512" s="14" t="s">
        <v>388</v>
      </c>
      <c r="F2512" s="84" t="s">
        <v>3580</v>
      </c>
      <c r="G2512" s="15" t="s">
        <v>68</v>
      </c>
      <c r="H2512" s="16" t="s">
        <v>8045</v>
      </c>
      <c r="I2512" s="17"/>
      <c r="J2512" s="17"/>
      <c r="K2512" s="17"/>
      <c r="L2512" s="17"/>
      <c r="T2512" s="13"/>
      <c r="U2512" s="13"/>
      <c r="V2512" s="13"/>
      <c r="W2512" s="13"/>
    </row>
    <row r="2513" spans="4:23" ht="27" customHeight="1" x14ac:dyDescent="0.25">
      <c r="D2513" s="14" t="s">
        <v>8046</v>
      </c>
      <c r="E2513" s="14" t="s">
        <v>8047</v>
      </c>
      <c r="F2513" s="84" t="s">
        <v>183</v>
      </c>
      <c r="G2513" s="15" t="s">
        <v>68</v>
      </c>
      <c r="H2513" s="16" t="s">
        <v>8048</v>
      </c>
      <c r="I2513" s="17"/>
      <c r="J2513" s="17"/>
      <c r="K2513" s="17"/>
      <c r="L2513" s="17"/>
      <c r="T2513" s="13"/>
      <c r="U2513" s="13"/>
      <c r="V2513" s="13"/>
      <c r="W2513" s="13"/>
    </row>
    <row r="2514" spans="4:23" ht="27" customHeight="1" x14ac:dyDescent="0.25">
      <c r="D2514" s="14" t="s">
        <v>8049</v>
      </c>
      <c r="E2514" s="14" t="s">
        <v>3915</v>
      </c>
      <c r="F2514" s="84" t="s">
        <v>61</v>
      </c>
      <c r="G2514" s="15" t="s">
        <v>27</v>
      </c>
      <c r="H2514" s="16" t="s">
        <v>8050</v>
      </c>
      <c r="I2514" s="17"/>
      <c r="J2514" s="17"/>
      <c r="K2514" s="17"/>
      <c r="L2514" s="17"/>
      <c r="T2514" s="13"/>
      <c r="U2514" s="13"/>
      <c r="V2514" s="13"/>
      <c r="W2514" s="13"/>
    </row>
    <row r="2515" spans="4:23" ht="27" customHeight="1" x14ac:dyDescent="0.25">
      <c r="D2515" s="14" t="s">
        <v>8051</v>
      </c>
      <c r="E2515" s="14" t="s">
        <v>8052</v>
      </c>
      <c r="F2515" s="84" t="s">
        <v>466</v>
      </c>
      <c r="G2515" s="15" t="s">
        <v>27</v>
      </c>
      <c r="H2515" s="16" t="s">
        <v>8053</v>
      </c>
      <c r="I2515" s="17"/>
      <c r="J2515" s="17"/>
      <c r="K2515" s="17"/>
      <c r="L2515" s="17"/>
      <c r="T2515" s="13"/>
      <c r="U2515" s="13"/>
      <c r="V2515" s="13"/>
      <c r="W2515" s="13"/>
    </row>
    <row r="2516" spans="4:23" ht="27" customHeight="1" x14ac:dyDescent="0.25">
      <c r="D2516" s="14" t="s">
        <v>8054</v>
      </c>
      <c r="E2516" s="14" t="s">
        <v>8055</v>
      </c>
      <c r="F2516" s="84" t="s">
        <v>1551</v>
      </c>
      <c r="G2516" s="15" t="s">
        <v>27</v>
      </c>
      <c r="H2516" s="16" t="s">
        <v>8056</v>
      </c>
      <c r="I2516" s="17"/>
      <c r="J2516" s="17"/>
      <c r="K2516" s="17"/>
      <c r="L2516" s="17"/>
      <c r="T2516" s="13"/>
      <c r="U2516" s="13"/>
      <c r="V2516" s="13"/>
      <c r="W2516" s="13"/>
    </row>
    <row r="2517" spans="4:23" ht="27" customHeight="1" x14ac:dyDescent="0.25">
      <c r="D2517" s="14" t="s">
        <v>8057</v>
      </c>
      <c r="E2517" s="14" t="s">
        <v>8058</v>
      </c>
      <c r="F2517" s="84" t="s">
        <v>674</v>
      </c>
      <c r="G2517" s="15" t="s">
        <v>27</v>
      </c>
      <c r="H2517" s="16" t="s">
        <v>8059</v>
      </c>
      <c r="I2517" s="17"/>
      <c r="J2517" s="17"/>
      <c r="K2517" s="17"/>
      <c r="L2517" s="17"/>
      <c r="T2517" s="13"/>
      <c r="U2517" s="13"/>
      <c r="V2517" s="13"/>
      <c r="W2517" s="13"/>
    </row>
    <row r="2518" spans="4:23" ht="27" customHeight="1" x14ac:dyDescent="0.25">
      <c r="D2518" s="14" t="s">
        <v>8060</v>
      </c>
      <c r="E2518" s="14" t="s">
        <v>4399</v>
      </c>
      <c r="F2518" s="84" t="s">
        <v>1535</v>
      </c>
      <c r="G2518" s="15" t="s">
        <v>27</v>
      </c>
      <c r="H2518" s="16" t="s">
        <v>8061</v>
      </c>
      <c r="I2518" s="17"/>
      <c r="J2518" s="17"/>
      <c r="K2518" s="17"/>
      <c r="L2518" s="17"/>
      <c r="T2518" s="13"/>
      <c r="U2518" s="13"/>
      <c r="V2518" s="13"/>
      <c r="W2518" s="13"/>
    </row>
    <row r="2519" spans="4:23" ht="27" customHeight="1" x14ac:dyDescent="0.25">
      <c r="D2519" s="14" t="s">
        <v>8062</v>
      </c>
      <c r="E2519" s="14" t="s">
        <v>2382</v>
      </c>
      <c r="F2519" s="84" t="s">
        <v>372</v>
      </c>
      <c r="G2519" s="15" t="s">
        <v>27</v>
      </c>
      <c r="H2519" s="16" t="s">
        <v>8063</v>
      </c>
      <c r="I2519" s="17"/>
      <c r="J2519" s="17"/>
      <c r="K2519" s="17"/>
      <c r="L2519" s="17"/>
      <c r="T2519" s="13"/>
      <c r="U2519" s="13"/>
      <c r="V2519" s="13"/>
      <c r="W2519" s="13"/>
    </row>
    <row r="2520" spans="4:23" ht="27" customHeight="1" x14ac:dyDescent="0.25">
      <c r="D2520" s="14" t="s">
        <v>8064</v>
      </c>
      <c r="E2520" s="14" t="s">
        <v>4960</v>
      </c>
      <c r="F2520" s="84" t="s">
        <v>444</v>
      </c>
      <c r="G2520" s="15" t="s">
        <v>27</v>
      </c>
      <c r="H2520" s="16" t="s">
        <v>8065</v>
      </c>
      <c r="I2520" s="17"/>
      <c r="J2520" s="17"/>
      <c r="K2520" s="17"/>
      <c r="L2520" s="17"/>
      <c r="T2520" s="13"/>
      <c r="U2520" s="13"/>
      <c r="V2520" s="13"/>
      <c r="W2520" s="13"/>
    </row>
    <row r="2521" spans="4:23" ht="27" customHeight="1" x14ac:dyDescent="0.25">
      <c r="D2521" s="14" t="s">
        <v>8066</v>
      </c>
      <c r="E2521" s="14" t="s">
        <v>4471</v>
      </c>
      <c r="F2521" s="84" t="s">
        <v>1535</v>
      </c>
      <c r="G2521" s="15" t="s">
        <v>68</v>
      </c>
      <c r="H2521" s="16" t="s">
        <v>8067</v>
      </c>
      <c r="I2521" s="17"/>
      <c r="J2521" s="17"/>
      <c r="K2521" s="17"/>
      <c r="L2521" s="17"/>
      <c r="T2521" s="13"/>
      <c r="U2521" s="13"/>
      <c r="V2521" s="13"/>
      <c r="W2521" s="13"/>
    </row>
    <row r="2522" spans="4:23" ht="27" customHeight="1" x14ac:dyDescent="0.25">
      <c r="D2522" s="14" t="s">
        <v>8068</v>
      </c>
      <c r="E2522" s="14" t="s">
        <v>8069</v>
      </c>
      <c r="F2522" s="84" t="s">
        <v>597</v>
      </c>
      <c r="G2522" s="15" t="s">
        <v>27</v>
      </c>
      <c r="H2522" s="16" t="s">
        <v>8070</v>
      </c>
      <c r="I2522" s="17"/>
      <c r="J2522" s="17"/>
      <c r="K2522" s="17"/>
      <c r="L2522" s="17"/>
      <c r="T2522" s="13"/>
      <c r="U2522" s="13"/>
      <c r="V2522" s="13"/>
      <c r="W2522" s="13"/>
    </row>
    <row r="2523" spans="4:23" ht="27" customHeight="1" x14ac:dyDescent="0.25">
      <c r="D2523" s="14" t="s">
        <v>8071</v>
      </c>
      <c r="E2523" s="14" t="s">
        <v>4873</v>
      </c>
      <c r="F2523" s="84" t="s">
        <v>444</v>
      </c>
      <c r="G2523" s="15" t="s">
        <v>27</v>
      </c>
      <c r="H2523" s="16" t="s">
        <v>8072</v>
      </c>
      <c r="I2523" s="17"/>
      <c r="J2523" s="17"/>
      <c r="K2523" s="17"/>
      <c r="L2523" s="17"/>
      <c r="T2523" s="13"/>
      <c r="U2523" s="13"/>
      <c r="V2523" s="13"/>
      <c r="W2523" s="13"/>
    </row>
    <row r="2524" spans="4:23" ht="27" customHeight="1" x14ac:dyDescent="0.25">
      <c r="D2524" s="14" t="s">
        <v>8073</v>
      </c>
      <c r="E2524" s="14" t="s">
        <v>8074</v>
      </c>
      <c r="F2524" s="84" t="s">
        <v>480</v>
      </c>
      <c r="G2524" s="15" t="s">
        <v>27</v>
      </c>
      <c r="H2524" s="16" t="s">
        <v>8075</v>
      </c>
      <c r="I2524" s="17"/>
      <c r="J2524" s="17"/>
      <c r="K2524" s="17"/>
      <c r="L2524" s="17"/>
      <c r="T2524" s="13"/>
      <c r="U2524" s="13"/>
      <c r="V2524" s="13"/>
      <c r="W2524" s="13"/>
    </row>
    <row r="2525" spans="4:23" ht="27" customHeight="1" x14ac:dyDescent="0.25">
      <c r="D2525" s="14" t="s">
        <v>8076</v>
      </c>
      <c r="E2525" s="14" t="s">
        <v>584</v>
      </c>
      <c r="F2525" s="84" t="s">
        <v>2488</v>
      </c>
      <c r="G2525" s="15" t="s">
        <v>27</v>
      </c>
      <c r="H2525" s="16" t="s">
        <v>8077</v>
      </c>
      <c r="I2525" s="17"/>
      <c r="J2525" s="17"/>
      <c r="K2525" s="17"/>
      <c r="L2525" s="17"/>
      <c r="T2525" s="13"/>
      <c r="U2525" s="13"/>
      <c r="V2525" s="13"/>
      <c r="W2525" s="13"/>
    </row>
    <row r="2526" spans="4:23" ht="27" customHeight="1" x14ac:dyDescent="0.25">
      <c r="D2526" s="14" t="s">
        <v>8078</v>
      </c>
      <c r="E2526" s="14" t="s">
        <v>8079</v>
      </c>
      <c r="F2526" s="84" t="s">
        <v>7745</v>
      </c>
      <c r="G2526" s="15" t="s">
        <v>27</v>
      </c>
      <c r="H2526" s="16" t="s">
        <v>8080</v>
      </c>
      <c r="I2526" s="17"/>
      <c r="J2526" s="17"/>
      <c r="K2526" s="17"/>
      <c r="L2526" s="17"/>
      <c r="T2526" s="13"/>
      <c r="U2526" s="13"/>
      <c r="V2526" s="13"/>
      <c r="W2526" s="13"/>
    </row>
    <row r="2527" spans="4:23" ht="27" customHeight="1" x14ac:dyDescent="0.25">
      <c r="D2527" s="14" t="s">
        <v>8081</v>
      </c>
      <c r="E2527" s="14" t="s">
        <v>8082</v>
      </c>
      <c r="F2527" s="84" t="s">
        <v>129</v>
      </c>
      <c r="G2527" s="15" t="s">
        <v>27</v>
      </c>
      <c r="H2527" s="16" t="s">
        <v>8083</v>
      </c>
      <c r="I2527" s="17"/>
      <c r="J2527" s="17"/>
      <c r="K2527" s="17"/>
      <c r="L2527" s="17"/>
      <c r="T2527" s="13"/>
      <c r="U2527" s="13"/>
      <c r="V2527" s="13"/>
      <c r="W2527" s="13"/>
    </row>
    <row r="2528" spans="4:23" ht="27" customHeight="1" x14ac:dyDescent="0.25">
      <c r="D2528" s="14" t="s">
        <v>8084</v>
      </c>
      <c r="E2528" s="14" t="s">
        <v>8085</v>
      </c>
      <c r="F2528" s="84" t="s">
        <v>129</v>
      </c>
      <c r="G2528" s="15" t="s">
        <v>27</v>
      </c>
      <c r="H2528" s="16" t="s">
        <v>8086</v>
      </c>
      <c r="I2528" s="17"/>
      <c r="J2528" s="17"/>
      <c r="K2528" s="17"/>
      <c r="L2528" s="17"/>
      <c r="T2528" s="13"/>
      <c r="U2528" s="13"/>
      <c r="V2528" s="13"/>
      <c r="W2528" s="13"/>
    </row>
    <row r="2529" spans="4:23" ht="27" customHeight="1" x14ac:dyDescent="0.25">
      <c r="D2529" s="14" t="s">
        <v>8087</v>
      </c>
      <c r="E2529" s="14" t="s">
        <v>2132</v>
      </c>
      <c r="F2529" s="84" t="s">
        <v>1572</v>
      </c>
      <c r="G2529" s="15" t="s">
        <v>27</v>
      </c>
      <c r="H2529" s="16" t="s">
        <v>8088</v>
      </c>
      <c r="I2529" s="17"/>
      <c r="J2529" s="17"/>
      <c r="K2529" s="17"/>
      <c r="L2529" s="17"/>
      <c r="T2529" s="13"/>
      <c r="U2529" s="13"/>
      <c r="V2529" s="13"/>
      <c r="W2529" s="13"/>
    </row>
    <row r="2530" spans="4:23" ht="27" customHeight="1" x14ac:dyDescent="0.25">
      <c r="D2530" s="14" t="s">
        <v>8089</v>
      </c>
      <c r="E2530" s="14" t="s">
        <v>473</v>
      </c>
      <c r="F2530" s="84" t="s">
        <v>715</v>
      </c>
      <c r="G2530" s="15" t="s">
        <v>68</v>
      </c>
      <c r="H2530" s="16" t="s">
        <v>8090</v>
      </c>
      <c r="I2530" s="17"/>
      <c r="J2530" s="17"/>
      <c r="K2530" s="17"/>
      <c r="L2530" s="17"/>
      <c r="T2530" s="13"/>
      <c r="U2530" s="13"/>
      <c r="V2530" s="13"/>
      <c r="W2530" s="13"/>
    </row>
    <row r="2531" spans="4:23" ht="27" customHeight="1" x14ac:dyDescent="0.25">
      <c r="D2531" s="14" t="s">
        <v>8091</v>
      </c>
      <c r="E2531" s="14" t="s">
        <v>8092</v>
      </c>
      <c r="F2531" s="84" t="s">
        <v>211</v>
      </c>
      <c r="G2531" s="15" t="s">
        <v>27</v>
      </c>
      <c r="H2531" s="16" t="s">
        <v>8093</v>
      </c>
      <c r="I2531" s="17"/>
      <c r="J2531" s="17"/>
      <c r="K2531" s="17"/>
      <c r="L2531" s="17"/>
      <c r="T2531" s="13"/>
      <c r="U2531" s="13"/>
      <c r="V2531" s="13"/>
      <c r="W2531" s="13"/>
    </row>
    <row r="2532" spans="4:23" ht="27" customHeight="1" x14ac:dyDescent="0.25">
      <c r="D2532" s="14" t="s">
        <v>8094</v>
      </c>
      <c r="E2532" s="14" t="s">
        <v>8095</v>
      </c>
      <c r="F2532" s="84" t="s">
        <v>587</v>
      </c>
      <c r="G2532" s="15" t="s">
        <v>27</v>
      </c>
      <c r="H2532" s="16" t="s">
        <v>8096</v>
      </c>
      <c r="I2532" s="17"/>
      <c r="J2532" s="17"/>
      <c r="K2532" s="17"/>
      <c r="L2532" s="17"/>
      <c r="T2532" s="13"/>
      <c r="U2532" s="13"/>
      <c r="V2532" s="13"/>
      <c r="W2532" s="13"/>
    </row>
    <row r="2533" spans="4:23" ht="27" customHeight="1" x14ac:dyDescent="0.25">
      <c r="D2533" s="14" t="s">
        <v>8097</v>
      </c>
      <c r="E2533" s="14" t="s">
        <v>8098</v>
      </c>
      <c r="F2533" s="84" t="s">
        <v>114</v>
      </c>
      <c r="G2533" s="15" t="s">
        <v>68</v>
      </c>
      <c r="H2533" s="16" t="s">
        <v>8099</v>
      </c>
      <c r="I2533" s="17"/>
      <c r="J2533" s="17"/>
      <c r="K2533" s="17"/>
      <c r="L2533" s="17"/>
      <c r="T2533" s="13"/>
      <c r="U2533" s="13"/>
      <c r="V2533" s="13"/>
      <c r="W2533" s="13"/>
    </row>
    <row r="2534" spans="4:23" ht="27" customHeight="1" x14ac:dyDescent="0.25">
      <c r="D2534" s="14" t="s">
        <v>8100</v>
      </c>
      <c r="E2534" s="14" t="s">
        <v>8101</v>
      </c>
      <c r="F2534" s="84" t="s">
        <v>332</v>
      </c>
      <c r="G2534" s="15" t="s">
        <v>27</v>
      </c>
      <c r="H2534" s="16" t="s">
        <v>8102</v>
      </c>
      <c r="I2534" s="17"/>
      <c r="J2534" s="17"/>
      <c r="K2534" s="17"/>
      <c r="L2534" s="17"/>
      <c r="T2534" s="13"/>
      <c r="U2534" s="13"/>
      <c r="V2534" s="13"/>
      <c r="W2534" s="13"/>
    </row>
    <row r="2535" spans="4:23" ht="27" customHeight="1" x14ac:dyDescent="0.25">
      <c r="D2535" s="14" t="s">
        <v>8103</v>
      </c>
      <c r="E2535" s="14" t="s">
        <v>2054</v>
      </c>
      <c r="F2535" s="84" t="s">
        <v>412</v>
      </c>
      <c r="G2535" s="15" t="s">
        <v>68</v>
      </c>
      <c r="H2535" s="16" t="s">
        <v>8104</v>
      </c>
      <c r="I2535" s="17"/>
      <c r="J2535" s="17"/>
      <c r="K2535" s="17"/>
      <c r="L2535" s="17"/>
      <c r="T2535" s="13"/>
      <c r="U2535" s="13"/>
      <c r="V2535" s="13"/>
      <c r="W2535" s="13"/>
    </row>
    <row r="2536" spans="4:23" ht="27" customHeight="1" x14ac:dyDescent="0.25">
      <c r="D2536" s="14" t="s">
        <v>8105</v>
      </c>
      <c r="E2536" s="14" t="s">
        <v>8106</v>
      </c>
      <c r="F2536" s="84" t="s">
        <v>887</v>
      </c>
      <c r="G2536" s="15" t="s">
        <v>27</v>
      </c>
      <c r="H2536" s="16" t="s">
        <v>8107</v>
      </c>
      <c r="I2536" s="17"/>
      <c r="J2536" s="17"/>
      <c r="K2536" s="17"/>
      <c r="L2536" s="17"/>
      <c r="T2536" s="13"/>
      <c r="U2536" s="13"/>
      <c r="V2536" s="13"/>
      <c r="W2536" s="13"/>
    </row>
    <row r="2537" spans="4:23" ht="27" customHeight="1" x14ac:dyDescent="0.25">
      <c r="D2537" s="14" t="s">
        <v>8108</v>
      </c>
      <c r="E2537" s="14" t="s">
        <v>8109</v>
      </c>
      <c r="F2537" s="84" t="s">
        <v>175</v>
      </c>
      <c r="G2537" s="15" t="s">
        <v>27</v>
      </c>
      <c r="H2537" s="16" t="s">
        <v>8110</v>
      </c>
      <c r="I2537" s="17"/>
      <c r="J2537" s="17"/>
      <c r="K2537" s="17"/>
      <c r="L2537" s="17"/>
      <c r="T2537" s="13"/>
      <c r="U2537" s="13"/>
      <c r="V2537" s="13"/>
      <c r="W2537" s="13"/>
    </row>
    <row r="2538" spans="4:23" ht="27" customHeight="1" x14ac:dyDescent="0.25">
      <c r="D2538" s="14" t="s">
        <v>8111</v>
      </c>
      <c r="E2538" s="14" t="s">
        <v>1258</v>
      </c>
      <c r="F2538" s="84" t="s">
        <v>332</v>
      </c>
      <c r="G2538" s="15" t="s">
        <v>68</v>
      </c>
      <c r="H2538" s="16" t="s">
        <v>8112</v>
      </c>
      <c r="I2538" s="17"/>
      <c r="J2538" s="17"/>
      <c r="K2538" s="17"/>
      <c r="L2538" s="17"/>
      <c r="T2538" s="13"/>
      <c r="U2538" s="13"/>
      <c r="V2538" s="13"/>
      <c r="W2538" s="13"/>
    </row>
    <row r="2539" spans="4:23" ht="27" customHeight="1" x14ac:dyDescent="0.25">
      <c r="D2539" s="14" t="s">
        <v>8113</v>
      </c>
      <c r="E2539" s="14" t="s">
        <v>482</v>
      </c>
      <c r="F2539" s="84" t="s">
        <v>1661</v>
      </c>
      <c r="G2539" s="15" t="s">
        <v>68</v>
      </c>
      <c r="H2539" s="16" t="s">
        <v>8114</v>
      </c>
      <c r="I2539" s="17"/>
      <c r="J2539" s="17"/>
      <c r="K2539" s="17"/>
      <c r="L2539" s="17"/>
      <c r="T2539" s="13"/>
      <c r="U2539" s="13"/>
      <c r="V2539" s="13"/>
      <c r="W2539" s="13"/>
    </row>
    <row r="2540" spans="4:23" ht="27" customHeight="1" x14ac:dyDescent="0.25">
      <c r="D2540" s="14" t="s">
        <v>8115</v>
      </c>
      <c r="E2540" s="14" t="s">
        <v>4060</v>
      </c>
      <c r="F2540" s="84" t="s">
        <v>194</v>
      </c>
      <c r="G2540" s="15" t="s">
        <v>68</v>
      </c>
      <c r="H2540" s="16" t="s">
        <v>8116</v>
      </c>
      <c r="I2540" s="17"/>
      <c r="J2540" s="17"/>
      <c r="K2540" s="17"/>
      <c r="L2540" s="17"/>
      <c r="T2540" s="13"/>
      <c r="U2540" s="13"/>
      <c r="V2540" s="13"/>
      <c r="W2540" s="13"/>
    </row>
    <row r="2541" spans="4:23" ht="27" customHeight="1" x14ac:dyDescent="0.25">
      <c r="D2541" s="14" t="s">
        <v>8117</v>
      </c>
      <c r="E2541" s="14" t="s">
        <v>3756</v>
      </c>
      <c r="F2541" s="84" t="s">
        <v>471</v>
      </c>
      <c r="G2541" s="15" t="s">
        <v>27</v>
      </c>
      <c r="H2541" s="16" t="s">
        <v>8118</v>
      </c>
      <c r="I2541" s="17"/>
      <c r="J2541" s="17"/>
      <c r="K2541" s="17"/>
      <c r="L2541" s="17"/>
      <c r="T2541" s="13"/>
      <c r="U2541" s="13"/>
      <c r="V2541" s="13"/>
      <c r="W2541" s="13"/>
    </row>
    <row r="2542" spans="4:23" ht="27" customHeight="1" x14ac:dyDescent="0.25">
      <c r="D2542" s="14" t="s">
        <v>8119</v>
      </c>
      <c r="E2542" s="14" t="s">
        <v>8120</v>
      </c>
      <c r="F2542" s="84" t="s">
        <v>159</v>
      </c>
      <c r="G2542" s="15" t="s">
        <v>68</v>
      </c>
      <c r="H2542" s="16" t="s">
        <v>8121</v>
      </c>
      <c r="I2542" s="17"/>
      <c r="J2542" s="17"/>
      <c r="K2542" s="17"/>
      <c r="L2542" s="17"/>
      <c r="T2542" s="13"/>
      <c r="U2542" s="13"/>
      <c r="V2542" s="13"/>
      <c r="W2542" s="13"/>
    </row>
    <row r="2543" spans="4:23" ht="27" customHeight="1" x14ac:dyDescent="0.25">
      <c r="D2543" s="14" t="s">
        <v>8122</v>
      </c>
      <c r="E2543" s="14" t="s">
        <v>1690</v>
      </c>
      <c r="F2543" s="84" t="s">
        <v>781</v>
      </c>
      <c r="G2543" s="15" t="s">
        <v>27</v>
      </c>
      <c r="H2543" s="16" t="s">
        <v>8123</v>
      </c>
      <c r="I2543" s="17"/>
      <c r="J2543" s="17"/>
      <c r="K2543" s="17"/>
      <c r="L2543" s="17"/>
      <c r="T2543" s="13"/>
      <c r="U2543" s="13"/>
      <c r="V2543" s="13"/>
      <c r="W2543" s="13"/>
    </row>
    <row r="2544" spans="4:23" ht="27" customHeight="1" x14ac:dyDescent="0.25">
      <c r="D2544" s="14" t="s">
        <v>8124</v>
      </c>
      <c r="E2544" s="14" t="s">
        <v>5200</v>
      </c>
      <c r="F2544" s="84" t="s">
        <v>121</v>
      </c>
      <c r="G2544" s="15" t="s">
        <v>68</v>
      </c>
      <c r="H2544" s="16" t="s">
        <v>8125</v>
      </c>
      <c r="I2544" s="17"/>
      <c r="J2544" s="17"/>
      <c r="K2544" s="17"/>
      <c r="L2544" s="17"/>
      <c r="T2544" s="13"/>
      <c r="U2544" s="13"/>
      <c r="V2544" s="13"/>
      <c r="W2544" s="13"/>
    </row>
    <row r="2545" spans="4:23" ht="27" customHeight="1" x14ac:dyDescent="0.25">
      <c r="D2545" s="14" t="s">
        <v>8126</v>
      </c>
      <c r="E2545" s="14" t="s">
        <v>1642</v>
      </c>
      <c r="F2545" s="84" t="s">
        <v>952</v>
      </c>
      <c r="G2545" s="15" t="s">
        <v>68</v>
      </c>
      <c r="H2545" s="16" t="s">
        <v>8127</v>
      </c>
      <c r="I2545" s="17"/>
      <c r="J2545" s="17"/>
      <c r="K2545" s="17"/>
      <c r="L2545" s="17"/>
      <c r="T2545" s="13"/>
      <c r="U2545" s="13"/>
      <c r="V2545" s="13"/>
      <c r="W2545" s="13"/>
    </row>
    <row r="2546" spans="4:23" ht="27" customHeight="1" x14ac:dyDescent="0.25">
      <c r="D2546" s="14" t="s">
        <v>8128</v>
      </c>
      <c r="E2546" s="14" t="s">
        <v>2932</v>
      </c>
      <c r="F2546" s="84" t="s">
        <v>92</v>
      </c>
      <c r="G2546" s="15" t="s">
        <v>27</v>
      </c>
      <c r="H2546" s="16" t="s">
        <v>8129</v>
      </c>
      <c r="I2546" s="17"/>
      <c r="J2546" s="17"/>
      <c r="K2546" s="17"/>
      <c r="L2546" s="17"/>
      <c r="T2546" s="13"/>
      <c r="U2546" s="13"/>
      <c r="V2546" s="13"/>
      <c r="W2546" s="13"/>
    </row>
    <row r="2547" spans="4:23" ht="27" customHeight="1" x14ac:dyDescent="0.25">
      <c r="D2547" s="14" t="s">
        <v>8130</v>
      </c>
      <c r="E2547" s="14" t="s">
        <v>5017</v>
      </c>
      <c r="F2547" s="84" t="s">
        <v>206</v>
      </c>
      <c r="G2547" s="15" t="s">
        <v>27</v>
      </c>
      <c r="H2547" s="16" t="s">
        <v>8131</v>
      </c>
      <c r="I2547" s="17"/>
      <c r="J2547" s="17"/>
      <c r="K2547" s="17"/>
      <c r="L2547" s="17"/>
      <c r="T2547" s="13"/>
      <c r="U2547" s="13"/>
      <c r="V2547" s="13"/>
      <c r="W2547" s="13"/>
    </row>
    <row r="2548" spans="4:23" ht="27" customHeight="1" x14ac:dyDescent="0.25">
      <c r="D2548" s="14" t="s">
        <v>8132</v>
      </c>
      <c r="E2548" s="14" t="s">
        <v>8133</v>
      </c>
      <c r="F2548" s="84" t="s">
        <v>67</v>
      </c>
      <c r="G2548" s="15" t="s">
        <v>27</v>
      </c>
      <c r="H2548" s="16" t="s">
        <v>8134</v>
      </c>
      <c r="I2548" s="17"/>
      <c r="J2548" s="17"/>
      <c r="K2548" s="17"/>
      <c r="L2548" s="17"/>
      <c r="T2548" s="13"/>
      <c r="U2548" s="13"/>
      <c r="V2548" s="13"/>
      <c r="W2548" s="13"/>
    </row>
    <row r="2549" spans="4:23" ht="27" customHeight="1" x14ac:dyDescent="0.25">
      <c r="D2549" s="14" t="s">
        <v>8135</v>
      </c>
      <c r="E2549" s="14" t="s">
        <v>8136</v>
      </c>
      <c r="F2549" s="84" t="s">
        <v>561</v>
      </c>
      <c r="G2549" s="15" t="s">
        <v>27</v>
      </c>
      <c r="H2549" s="16" t="s">
        <v>8137</v>
      </c>
      <c r="I2549" s="17"/>
      <c r="J2549" s="17"/>
      <c r="K2549" s="17"/>
      <c r="L2549" s="17"/>
      <c r="T2549" s="13"/>
      <c r="U2549" s="13"/>
      <c r="V2549" s="13"/>
      <c r="W2549" s="13"/>
    </row>
    <row r="2550" spans="4:23" ht="27" customHeight="1" x14ac:dyDescent="0.25">
      <c r="D2550" s="14" t="s">
        <v>8138</v>
      </c>
      <c r="E2550" s="14" t="s">
        <v>8139</v>
      </c>
      <c r="F2550" s="84" t="s">
        <v>381</v>
      </c>
      <c r="G2550" s="15" t="s">
        <v>27</v>
      </c>
      <c r="H2550" s="16" t="s">
        <v>8140</v>
      </c>
      <c r="I2550" s="17"/>
      <c r="J2550" s="17"/>
      <c r="K2550" s="17"/>
      <c r="L2550" s="17"/>
      <c r="T2550" s="13"/>
      <c r="U2550" s="13"/>
      <c r="V2550" s="13"/>
      <c r="W2550" s="13"/>
    </row>
    <row r="2551" spans="4:23" ht="27" customHeight="1" x14ac:dyDescent="0.25">
      <c r="D2551" s="14" t="s">
        <v>8141</v>
      </c>
      <c r="E2551" s="14" t="s">
        <v>8142</v>
      </c>
      <c r="F2551" s="84" t="s">
        <v>533</v>
      </c>
      <c r="G2551" s="15" t="s">
        <v>68</v>
      </c>
      <c r="H2551" s="16" t="s">
        <v>8143</v>
      </c>
      <c r="I2551" s="17"/>
      <c r="J2551" s="17"/>
      <c r="K2551" s="17"/>
      <c r="L2551" s="17"/>
      <c r="T2551" s="13"/>
      <c r="U2551" s="13"/>
      <c r="V2551" s="13"/>
      <c r="W2551" s="13"/>
    </row>
    <row r="2552" spans="4:23" ht="27" customHeight="1" x14ac:dyDescent="0.25">
      <c r="D2552" s="14" t="s">
        <v>8144</v>
      </c>
      <c r="E2552" s="14" t="s">
        <v>8145</v>
      </c>
      <c r="F2552" s="84" t="s">
        <v>909</v>
      </c>
      <c r="G2552" s="15" t="s">
        <v>68</v>
      </c>
      <c r="H2552" s="16" t="s">
        <v>8146</v>
      </c>
      <c r="I2552" s="17"/>
      <c r="J2552" s="17"/>
      <c r="K2552" s="17"/>
      <c r="L2552" s="17"/>
      <c r="T2552" s="13"/>
      <c r="U2552" s="13"/>
      <c r="V2552" s="13"/>
      <c r="W2552" s="13"/>
    </row>
    <row r="2553" spans="4:23" ht="27" customHeight="1" x14ac:dyDescent="0.25">
      <c r="D2553" s="14" t="s">
        <v>8147</v>
      </c>
      <c r="E2553" s="14" t="s">
        <v>8148</v>
      </c>
      <c r="F2553" s="84" t="s">
        <v>2997</v>
      </c>
      <c r="G2553" s="15" t="s">
        <v>68</v>
      </c>
      <c r="H2553" s="16" t="s">
        <v>8149</v>
      </c>
      <c r="I2553" s="17"/>
      <c r="J2553" s="17"/>
      <c r="K2553" s="17"/>
      <c r="L2553" s="17"/>
      <c r="T2553" s="13"/>
      <c r="U2553" s="13"/>
      <c r="V2553" s="13"/>
      <c r="W2553" s="13"/>
    </row>
    <row r="2554" spans="4:23" ht="27" customHeight="1" x14ac:dyDescent="0.25">
      <c r="D2554" s="14" t="s">
        <v>8150</v>
      </c>
      <c r="E2554" s="14" t="s">
        <v>2446</v>
      </c>
      <c r="F2554" s="84" t="s">
        <v>114</v>
      </c>
      <c r="G2554" s="15" t="s">
        <v>27</v>
      </c>
      <c r="H2554" s="16" t="s">
        <v>8151</v>
      </c>
      <c r="I2554" s="17"/>
      <c r="J2554" s="17"/>
      <c r="K2554" s="17"/>
      <c r="L2554" s="17"/>
      <c r="T2554" s="13"/>
      <c r="U2554" s="13"/>
      <c r="V2554" s="13"/>
      <c r="W2554" s="13"/>
    </row>
    <row r="2555" spans="4:23" ht="27" customHeight="1" x14ac:dyDescent="0.25">
      <c r="D2555" s="14" t="s">
        <v>8152</v>
      </c>
      <c r="E2555" s="14" t="s">
        <v>5350</v>
      </c>
      <c r="F2555" s="84" t="s">
        <v>407</v>
      </c>
      <c r="G2555" s="15" t="s">
        <v>68</v>
      </c>
      <c r="H2555" s="16" t="s">
        <v>8153</v>
      </c>
      <c r="I2555" s="17"/>
      <c r="J2555" s="17"/>
      <c r="K2555" s="17"/>
      <c r="L2555" s="17"/>
      <c r="T2555" s="13"/>
      <c r="U2555" s="13"/>
      <c r="V2555" s="13"/>
      <c r="W2555" s="13"/>
    </row>
    <row r="2556" spans="4:23" ht="27" customHeight="1" x14ac:dyDescent="0.25">
      <c r="D2556" s="14" t="s">
        <v>8154</v>
      </c>
      <c r="E2556" s="14" t="s">
        <v>8155</v>
      </c>
      <c r="F2556" s="84" t="s">
        <v>159</v>
      </c>
      <c r="G2556" s="15" t="s">
        <v>27</v>
      </c>
      <c r="H2556" s="16" t="s">
        <v>8156</v>
      </c>
      <c r="I2556" s="17"/>
      <c r="J2556" s="17"/>
      <c r="K2556" s="17"/>
      <c r="L2556" s="17"/>
      <c r="T2556" s="13"/>
      <c r="U2556" s="13"/>
      <c r="V2556" s="13"/>
      <c r="W2556" s="13"/>
    </row>
    <row r="2557" spans="4:23" ht="27" customHeight="1" x14ac:dyDescent="0.25">
      <c r="D2557" s="14" t="s">
        <v>8157</v>
      </c>
      <c r="E2557" s="14" t="s">
        <v>8158</v>
      </c>
      <c r="F2557" s="84" t="s">
        <v>1572</v>
      </c>
      <c r="G2557" s="15" t="s">
        <v>27</v>
      </c>
      <c r="H2557" s="16" t="s">
        <v>8159</v>
      </c>
      <c r="I2557" s="17"/>
      <c r="J2557" s="17"/>
      <c r="K2557" s="17"/>
      <c r="L2557" s="17"/>
      <c r="T2557" s="13"/>
      <c r="U2557" s="13"/>
      <c r="V2557" s="13"/>
      <c r="W2557" s="13"/>
    </row>
    <row r="2558" spans="4:23" ht="27" customHeight="1" x14ac:dyDescent="0.25">
      <c r="D2558" s="14" t="s">
        <v>8160</v>
      </c>
      <c r="E2558" s="14" t="s">
        <v>8161</v>
      </c>
      <c r="F2558" s="84" t="s">
        <v>627</v>
      </c>
      <c r="G2558" s="15" t="s">
        <v>68</v>
      </c>
      <c r="H2558" s="16" t="s">
        <v>8162</v>
      </c>
      <c r="I2558" s="17"/>
      <c r="J2558" s="17"/>
      <c r="K2558" s="17"/>
      <c r="L2558" s="17"/>
      <c r="T2558" s="13"/>
      <c r="U2558" s="13"/>
      <c r="V2558" s="13"/>
      <c r="W2558" s="13"/>
    </row>
    <row r="2559" spans="4:23" ht="27" customHeight="1" x14ac:dyDescent="0.25">
      <c r="D2559" s="14" t="s">
        <v>8163</v>
      </c>
      <c r="E2559" s="14" t="s">
        <v>8164</v>
      </c>
      <c r="F2559" s="84" t="s">
        <v>143</v>
      </c>
      <c r="G2559" s="15" t="s">
        <v>27</v>
      </c>
      <c r="H2559" s="16" t="s">
        <v>8165</v>
      </c>
      <c r="I2559" s="17"/>
      <c r="J2559" s="17"/>
      <c r="K2559" s="17"/>
      <c r="L2559" s="17"/>
      <c r="T2559" s="13"/>
      <c r="U2559" s="13"/>
      <c r="V2559" s="13"/>
      <c r="W2559" s="13"/>
    </row>
    <row r="2560" spans="4:23" ht="27" customHeight="1" x14ac:dyDescent="0.25">
      <c r="D2560" s="14" t="s">
        <v>8166</v>
      </c>
      <c r="E2560" s="14" t="s">
        <v>8167</v>
      </c>
      <c r="F2560" s="84" t="s">
        <v>422</v>
      </c>
      <c r="G2560" s="15" t="s">
        <v>68</v>
      </c>
      <c r="H2560" s="16" t="s">
        <v>8168</v>
      </c>
      <c r="I2560" s="17"/>
      <c r="J2560" s="17"/>
      <c r="K2560" s="17"/>
      <c r="L2560" s="17"/>
      <c r="T2560" s="13"/>
      <c r="U2560" s="13"/>
      <c r="V2560" s="13"/>
      <c r="W2560" s="13"/>
    </row>
    <row r="2561" spans="4:23" ht="27" customHeight="1" x14ac:dyDescent="0.25">
      <c r="D2561" s="14" t="s">
        <v>8169</v>
      </c>
      <c r="E2561" s="14" t="s">
        <v>8170</v>
      </c>
      <c r="F2561" s="84" t="s">
        <v>114</v>
      </c>
      <c r="G2561" s="15" t="s">
        <v>68</v>
      </c>
      <c r="H2561" s="16" t="s">
        <v>8171</v>
      </c>
      <c r="I2561" s="17"/>
      <c r="J2561" s="17"/>
      <c r="K2561" s="17"/>
      <c r="L2561" s="17"/>
      <c r="T2561" s="13"/>
      <c r="U2561" s="13"/>
      <c r="V2561" s="13"/>
      <c r="W2561" s="13"/>
    </row>
    <row r="2562" spans="4:23" ht="27" customHeight="1" x14ac:dyDescent="0.25">
      <c r="D2562" s="14" t="s">
        <v>8172</v>
      </c>
      <c r="E2562" s="14" t="s">
        <v>911</v>
      </c>
      <c r="F2562" s="84" t="s">
        <v>742</v>
      </c>
      <c r="G2562" s="15" t="s">
        <v>27</v>
      </c>
      <c r="H2562" s="16" t="s">
        <v>8173</v>
      </c>
      <c r="I2562" s="17"/>
      <c r="J2562" s="17"/>
      <c r="K2562" s="17"/>
      <c r="L2562" s="17"/>
      <c r="T2562" s="13"/>
      <c r="U2562" s="13"/>
      <c r="V2562" s="13"/>
      <c r="W2562" s="13"/>
    </row>
    <row r="2563" spans="4:23" ht="27" customHeight="1" x14ac:dyDescent="0.25">
      <c r="D2563" s="14" t="s">
        <v>8174</v>
      </c>
      <c r="E2563" s="14" t="s">
        <v>2888</v>
      </c>
      <c r="F2563" s="84" t="s">
        <v>422</v>
      </c>
      <c r="G2563" s="15" t="s">
        <v>27</v>
      </c>
      <c r="H2563" s="16" t="s">
        <v>8175</v>
      </c>
      <c r="I2563" s="17"/>
      <c r="J2563" s="17"/>
      <c r="K2563" s="17"/>
      <c r="L2563" s="17"/>
      <c r="T2563" s="13"/>
      <c r="U2563" s="13"/>
      <c r="V2563" s="13"/>
      <c r="W2563" s="13"/>
    </row>
    <row r="2564" spans="4:23" ht="27" customHeight="1" x14ac:dyDescent="0.25">
      <c r="D2564" s="14" t="s">
        <v>8176</v>
      </c>
      <c r="E2564" s="14" t="s">
        <v>2588</v>
      </c>
      <c r="F2564" s="84" t="s">
        <v>834</v>
      </c>
      <c r="G2564" s="15" t="s">
        <v>68</v>
      </c>
      <c r="H2564" s="16" t="s">
        <v>8177</v>
      </c>
      <c r="I2564" s="17"/>
      <c r="J2564" s="17"/>
      <c r="K2564" s="17"/>
      <c r="L2564" s="17"/>
      <c r="T2564" s="13"/>
      <c r="U2564" s="13"/>
      <c r="V2564" s="13"/>
      <c r="W2564" s="13"/>
    </row>
    <row r="2565" spans="4:23" ht="27" customHeight="1" x14ac:dyDescent="0.25">
      <c r="D2565" s="14" t="s">
        <v>8178</v>
      </c>
      <c r="E2565" s="14" t="s">
        <v>5327</v>
      </c>
      <c r="F2565" s="84" t="s">
        <v>407</v>
      </c>
      <c r="G2565" s="15" t="s">
        <v>68</v>
      </c>
      <c r="H2565" s="16" t="s">
        <v>8179</v>
      </c>
      <c r="I2565" s="17"/>
      <c r="J2565" s="17"/>
      <c r="K2565" s="17"/>
      <c r="L2565" s="17"/>
      <c r="T2565" s="13"/>
      <c r="U2565" s="13"/>
      <c r="V2565" s="13"/>
      <c r="W2565" s="13"/>
    </row>
    <row r="2566" spans="4:23" ht="27" customHeight="1" x14ac:dyDescent="0.25">
      <c r="D2566" s="14" t="s">
        <v>8180</v>
      </c>
      <c r="E2566" s="14" t="s">
        <v>8181</v>
      </c>
      <c r="F2566" s="84" t="s">
        <v>149</v>
      </c>
      <c r="G2566" s="15" t="s">
        <v>27</v>
      </c>
      <c r="H2566" s="16" t="s">
        <v>8182</v>
      </c>
      <c r="I2566" s="17"/>
      <c r="J2566" s="17"/>
      <c r="K2566" s="17"/>
      <c r="L2566" s="17"/>
      <c r="T2566" s="13"/>
      <c r="U2566" s="13"/>
      <c r="V2566" s="13"/>
      <c r="W2566" s="13"/>
    </row>
    <row r="2567" spans="4:23" ht="27" customHeight="1" x14ac:dyDescent="0.25">
      <c r="D2567" s="14" t="s">
        <v>8183</v>
      </c>
      <c r="E2567" s="14" t="s">
        <v>8184</v>
      </c>
      <c r="F2567" s="84" t="s">
        <v>5985</v>
      </c>
      <c r="G2567" s="15" t="s">
        <v>68</v>
      </c>
      <c r="H2567" s="16" t="s">
        <v>8185</v>
      </c>
      <c r="I2567" s="17"/>
      <c r="J2567" s="17"/>
      <c r="K2567" s="17"/>
      <c r="L2567" s="17"/>
      <c r="T2567" s="13"/>
      <c r="U2567" s="13"/>
      <c r="V2567" s="13"/>
      <c r="W2567" s="13"/>
    </row>
    <row r="2568" spans="4:23" ht="27" customHeight="1" x14ac:dyDescent="0.25">
      <c r="D2568" s="14" t="s">
        <v>8186</v>
      </c>
      <c r="E2568" s="14" t="s">
        <v>736</v>
      </c>
      <c r="F2568" s="84" t="s">
        <v>188</v>
      </c>
      <c r="G2568" s="15" t="s">
        <v>27</v>
      </c>
      <c r="H2568" s="16" t="s">
        <v>8187</v>
      </c>
      <c r="I2568" s="17"/>
      <c r="J2568" s="17"/>
      <c r="K2568" s="17"/>
      <c r="L2568" s="17"/>
      <c r="T2568" s="13"/>
      <c r="U2568" s="13"/>
      <c r="V2568" s="13"/>
      <c r="W2568" s="13"/>
    </row>
    <row r="2569" spans="4:23" ht="27" customHeight="1" x14ac:dyDescent="0.25">
      <c r="D2569" s="14" t="s">
        <v>8188</v>
      </c>
      <c r="E2569" s="14" t="s">
        <v>2682</v>
      </c>
      <c r="F2569" s="84" t="s">
        <v>183</v>
      </c>
      <c r="G2569" s="15" t="s">
        <v>68</v>
      </c>
      <c r="H2569" s="16" t="s">
        <v>8189</v>
      </c>
      <c r="I2569" s="17"/>
      <c r="J2569" s="17"/>
      <c r="K2569" s="17"/>
      <c r="L2569" s="17"/>
      <c r="T2569" s="13"/>
      <c r="U2569" s="13"/>
      <c r="V2569" s="13"/>
      <c r="W2569" s="13"/>
    </row>
    <row r="2570" spans="4:23" ht="27" customHeight="1" x14ac:dyDescent="0.25">
      <c r="D2570" s="14" t="s">
        <v>8190</v>
      </c>
      <c r="E2570" s="14" t="s">
        <v>8191</v>
      </c>
      <c r="F2570" s="84" t="s">
        <v>183</v>
      </c>
      <c r="G2570" s="15" t="s">
        <v>27</v>
      </c>
      <c r="H2570" s="16" t="s">
        <v>8192</v>
      </c>
      <c r="I2570" s="17"/>
      <c r="J2570" s="17"/>
      <c r="K2570" s="17"/>
      <c r="L2570" s="17"/>
      <c r="T2570" s="13"/>
      <c r="U2570" s="13"/>
      <c r="V2570" s="13"/>
      <c r="W2570" s="13"/>
    </row>
    <row r="2571" spans="4:23" ht="27" customHeight="1" x14ac:dyDescent="0.25">
      <c r="D2571" s="14" t="s">
        <v>8193</v>
      </c>
      <c r="E2571" s="14" t="s">
        <v>3363</v>
      </c>
      <c r="F2571" s="84" t="s">
        <v>316</v>
      </c>
      <c r="G2571" s="15" t="s">
        <v>27</v>
      </c>
      <c r="H2571" s="16" t="s">
        <v>8194</v>
      </c>
      <c r="I2571" s="17"/>
      <c r="J2571" s="17"/>
      <c r="K2571" s="17"/>
      <c r="L2571" s="17"/>
      <c r="T2571" s="13"/>
      <c r="U2571" s="13"/>
      <c r="V2571" s="13"/>
      <c r="W2571" s="13"/>
    </row>
    <row r="2572" spans="4:23" ht="27" customHeight="1" x14ac:dyDescent="0.25">
      <c r="D2572" s="14" t="s">
        <v>8195</v>
      </c>
      <c r="E2572" s="14" t="s">
        <v>2272</v>
      </c>
      <c r="F2572" s="84" t="s">
        <v>627</v>
      </c>
      <c r="G2572" s="15" t="s">
        <v>27</v>
      </c>
      <c r="H2572" s="16" t="s">
        <v>8196</v>
      </c>
      <c r="I2572" s="17"/>
      <c r="J2572" s="17"/>
      <c r="K2572" s="17"/>
      <c r="L2572" s="17"/>
      <c r="T2572" s="13"/>
      <c r="U2572" s="13"/>
      <c r="V2572" s="13"/>
      <c r="W2572" s="13"/>
    </row>
    <row r="2573" spans="4:23" ht="27" customHeight="1" x14ac:dyDescent="0.25">
      <c r="D2573" s="14" t="s">
        <v>8197</v>
      </c>
      <c r="E2573" s="14" t="s">
        <v>4480</v>
      </c>
      <c r="F2573" s="84" t="s">
        <v>1535</v>
      </c>
      <c r="G2573" s="15" t="s">
        <v>68</v>
      </c>
      <c r="H2573" s="16" t="s">
        <v>8198</v>
      </c>
      <c r="I2573" s="17"/>
      <c r="J2573" s="17"/>
      <c r="K2573" s="17"/>
      <c r="L2573" s="17"/>
      <c r="T2573" s="13"/>
      <c r="U2573" s="13"/>
      <c r="V2573" s="13"/>
      <c r="W2573" s="13"/>
    </row>
    <row r="2574" spans="4:23" ht="27" customHeight="1" x14ac:dyDescent="0.25">
      <c r="D2574" s="14" t="s">
        <v>8199</v>
      </c>
      <c r="E2574" s="14" t="s">
        <v>757</v>
      </c>
      <c r="F2574" s="84" t="s">
        <v>805</v>
      </c>
      <c r="G2574" s="15" t="s">
        <v>27</v>
      </c>
      <c r="H2574" s="16" t="s">
        <v>8200</v>
      </c>
      <c r="I2574" s="17"/>
      <c r="J2574" s="17"/>
      <c r="K2574" s="17"/>
      <c r="L2574" s="17"/>
      <c r="T2574" s="13"/>
      <c r="U2574" s="13"/>
      <c r="V2574" s="13"/>
      <c r="W2574" s="13"/>
    </row>
    <row r="2575" spans="4:23" ht="27" customHeight="1" x14ac:dyDescent="0.25">
      <c r="D2575" s="14" t="s">
        <v>8201</v>
      </c>
      <c r="E2575" s="14" t="s">
        <v>8202</v>
      </c>
      <c r="F2575" s="84" t="s">
        <v>3869</v>
      </c>
      <c r="G2575" s="15" t="s">
        <v>68</v>
      </c>
      <c r="H2575" s="16" t="s">
        <v>8203</v>
      </c>
      <c r="I2575" s="17"/>
      <c r="J2575" s="17"/>
      <c r="K2575" s="17"/>
      <c r="L2575" s="17"/>
      <c r="T2575" s="13"/>
      <c r="U2575" s="13"/>
      <c r="V2575" s="13"/>
      <c r="W2575" s="13"/>
    </row>
    <row r="2576" spans="4:23" ht="27" customHeight="1" x14ac:dyDescent="0.25">
      <c r="D2576" s="14" t="s">
        <v>8204</v>
      </c>
      <c r="E2576" s="14" t="s">
        <v>2471</v>
      </c>
      <c r="F2576" s="84" t="s">
        <v>114</v>
      </c>
      <c r="G2576" s="15" t="s">
        <v>27</v>
      </c>
      <c r="H2576" s="16" t="s">
        <v>8205</v>
      </c>
      <c r="I2576" s="17"/>
      <c r="J2576" s="17"/>
      <c r="K2576" s="17"/>
      <c r="L2576" s="17"/>
      <c r="T2576" s="13"/>
      <c r="U2576" s="13"/>
      <c r="V2576" s="13"/>
      <c r="W2576" s="13"/>
    </row>
    <row r="2577" spans="4:23" ht="27" customHeight="1" x14ac:dyDescent="0.25">
      <c r="D2577" s="14" t="s">
        <v>8206</v>
      </c>
      <c r="E2577" s="14" t="s">
        <v>2600</v>
      </c>
      <c r="F2577" s="84" t="s">
        <v>834</v>
      </c>
      <c r="G2577" s="15" t="s">
        <v>68</v>
      </c>
      <c r="H2577" s="16" t="s">
        <v>8207</v>
      </c>
      <c r="I2577" s="17"/>
      <c r="J2577" s="17"/>
      <c r="K2577" s="17"/>
      <c r="L2577" s="17"/>
      <c r="T2577" s="13"/>
      <c r="U2577" s="13"/>
      <c r="V2577" s="13"/>
      <c r="W2577" s="13"/>
    </row>
    <row r="2578" spans="4:23" ht="27" customHeight="1" x14ac:dyDescent="0.25">
      <c r="D2578" s="14" t="s">
        <v>8208</v>
      </c>
      <c r="E2578" s="14" t="s">
        <v>8209</v>
      </c>
      <c r="F2578" s="84" t="s">
        <v>343</v>
      </c>
      <c r="G2578" s="15" t="s">
        <v>68</v>
      </c>
      <c r="H2578" s="16" t="s">
        <v>8210</v>
      </c>
      <c r="I2578" s="17"/>
      <c r="J2578" s="17"/>
      <c r="K2578" s="17"/>
      <c r="L2578" s="17"/>
      <c r="T2578" s="13"/>
      <c r="U2578" s="13"/>
      <c r="V2578" s="13"/>
      <c r="W2578" s="13"/>
    </row>
    <row r="2579" spans="4:23" ht="27" customHeight="1" x14ac:dyDescent="0.25">
      <c r="D2579" s="14" t="s">
        <v>8211</v>
      </c>
      <c r="E2579" s="14" t="s">
        <v>8212</v>
      </c>
      <c r="F2579" s="84" t="s">
        <v>169</v>
      </c>
      <c r="G2579" s="15" t="s">
        <v>27</v>
      </c>
      <c r="H2579" s="16" t="s">
        <v>8213</v>
      </c>
      <c r="I2579" s="17"/>
      <c r="J2579" s="17"/>
      <c r="K2579" s="17"/>
      <c r="L2579" s="17"/>
      <c r="T2579" s="13"/>
      <c r="U2579" s="13"/>
      <c r="V2579" s="13"/>
      <c r="W2579" s="13"/>
    </row>
    <row r="2580" spans="4:23" ht="27" customHeight="1" x14ac:dyDescent="0.25">
      <c r="D2580" s="14" t="s">
        <v>8214</v>
      </c>
      <c r="E2580" s="14" t="s">
        <v>8215</v>
      </c>
      <c r="F2580" s="84" t="s">
        <v>2773</v>
      </c>
      <c r="G2580" s="15" t="s">
        <v>27</v>
      </c>
      <c r="H2580" s="16" t="s">
        <v>8216</v>
      </c>
      <c r="I2580" s="17"/>
      <c r="J2580" s="17"/>
      <c r="K2580" s="17"/>
      <c r="L2580" s="17"/>
      <c r="T2580" s="13"/>
      <c r="U2580" s="13"/>
      <c r="V2580" s="13"/>
      <c r="W2580" s="13"/>
    </row>
    <row r="2581" spans="4:23" ht="27" customHeight="1" x14ac:dyDescent="0.25">
      <c r="D2581" s="14" t="s">
        <v>8217</v>
      </c>
      <c r="E2581" s="14" t="s">
        <v>8218</v>
      </c>
      <c r="F2581" s="84" t="s">
        <v>8219</v>
      </c>
      <c r="G2581" s="15" t="s">
        <v>27</v>
      </c>
      <c r="H2581" s="16" t="s">
        <v>8220</v>
      </c>
      <c r="I2581" s="17"/>
      <c r="J2581" s="17"/>
      <c r="K2581" s="17"/>
      <c r="L2581" s="17"/>
      <c r="T2581" s="13"/>
      <c r="U2581" s="13"/>
      <c r="V2581" s="13"/>
      <c r="W2581" s="13"/>
    </row>
    <row r="2582" spans="4:23" ht="27" customHeight="1" x14ac:dyDescent="0.25">
      <c r="D2582" s="14" t="s">
        <v>8221</v>
      </c>
      <c r="E2582" s="14" t="s">
        <v>1759</v>
      </c>
      <c r="F2582" s="84" t="s">
        <v>211</v>
      </c>
      <c r="G2582" s="15" t="s">
        <v>68</v>
      </c>
      <c r="H2582" s="16" t="s">
        <v>8222</v>
      </c>
      <c r="I2582" s="17"/>
      <c r="J2582" s="17"/>
      <c r="K2582" s="17"/>
      <c r="L2582" s="17"/>
      <c r="T2582" s="13"/>
      <c r="U2582" s="13"/>
      <c r="V2582" s="13"/>
      <c r="W2582" s="13"/>
    </row>
    <row r="2583" spans="4:23" ht="27" customHeight="1" x14ac:dyDescent="0.25">
      <c r="D2583" s="14" t="s">
        <v>8223</v>
      </c>
      <c r="E2583" s="14" t="s">
        <v>8224</v>
      </c>
      <c r="F2583" s="84" t="s">
        <v>280</v>
      </c>
      <c r="G2583" s="15" t="s">
        <v>27</v>
      </c>
      <c r="H2583" s="16" t="s">
        <v>8225</v>
      </c>
      <c r="I2583" s="17"/>
      <c r="J2583" s="17"/>
      <c r="K2583" s="17"/>
      <c r="L2583" s="17"/>
      <c r="T2583" s="13"/>
      <c r="U2583" s="13"/>
      <c r="V2583" s="13"/>
      <c r="W2583" s="13"/>
    </row>
    <row r="2584" spans="4:23" ht="27" customHeight="1" x14ac:dyDescent="0.25">
      <c r="D2584" s="14" t="s">
        <v>8226</v>
      </c>
      <c r="E2584" s="14" t="s">
        <v>5030</v>
      </c>
      <c r="F2584" s="84" t="s">
        <v>206</v>
      </c>
      <c r="G2584" s="15" t="s">
        <v>68</v>
      </c>
      <c r="H2584" s="16" t="s">
        <v>8227</v>
      </c>
      <c r="I2584" s="17"/>
      <c r="J2584" s="17"/>
      <c r="K2584" s="17"/>
      <c r="L2584" s="17"/>
      <c r="T2584" s="13"/>
      <c r="U2584" s="13"/>
      <c r="V2584" s="13"/>
      <c r="W2584" s="13"/>
    </row>
    <row r="2585" spans="4:23" ht="27" customHeight="1" x14ac:dyDescent="0.25">
      <c r="D2585" s="14" t="s">
        <v>8228</v>
      </c>
      <c r="E2585" s="14" t="s">
        <v>3773</v>
      </c>
      <c r="F2585" s="84" t="s">
        <v>471</v>
      </c>
      <c r="G2585" s="15" t="s">
        <v>27</v>
      </c>
      <c r="H2585" s="16" t="s">
        <v>8229</v>
      </c>
      <c r="I2585" s="17"/>
      <c r="J2585" s="17"/>
      <c r="K2585" s="17"/>
      <c r="L2585" s="17"/>
      <c r="T2585" s="13"/>
      <c r="U2585" s="13"/>
      <c r="V2585" s="13"/>
      <c r="W2585" s="13"/>
    </row>
    <row r="2586" spans="4:23" ht="27" customHeight="1" x14ac:dyDescent="0.25">
      <c r="D2586" s="14" t="s">
        <v>8230</v>
      </c>
      <c r="E2586" s="14" t="s">
        <v>3281</v>
      </c>
      <c r="F2586" s="84" t="s">
        <v>538</v>
      </c>
      <c r="G2586" s="15" t="s">
        <v>68</v>
      </c>
      <c r="H2586" s="16" t="s">
        <v>8231</v>
      </c>
      <c r="I2586" s="17"/>
      <c r="J2586" s="17"/>
      <c r="K2586" s="17"/>
      <c r="L2586" s="17"/>
      <c r="T2586" s="13"/>
      <c r="U2586" s="13"/>
      <c r="V2586" s="13"/>
      <c r="W2586" s="13"/>
    </row>
    <row r="2587" spans="4:23" ht="27" customHeight="1" x14ac:dyDescent="0.25">
      <c r="D2587" s="14" t="s">
        <v>8232</v>
      </c>
      <c r="E2587" s="14" t="s">
        <v>8233</v>
      </c>
      <c r="F2587" s="84" t="s">
        <v>74</v>
      </c>
      <c r="G2587" s="15" t="s">
        <v>27</v>
      </c>
      <c r="H2587" s="16" t="s">
        <v>8234</v>
      </c>
      <c r="I2587" s="17"/>
      <c r="J2587" s="17"/>
      <c r="K2587" s="17"/>
      <c r="L2587" s="17"/>
      <c r="T2587" s="13"/>
      <c r="U2587" s="13"/>
      <c r="V2587" s="13"/>
      <c r="W2587" s="13"/>
    </row>
    <row r="2588" spans="4:23" ht="27" customHeight="1" x14ac:dyDescent="0.25">
      <c r="D2588" s="14" t="s">
        <v>8235</v>
      </c>
      <c r="E2588" s="14" t="s">
        <v>3009</v>
      </c>
      <c r="F2588" s="84" t="s">
        <v>92</v>
      </c>
      <c r="G2588" s="15" t="s">
        <v>27</v>
      </c>
      <c r="H2588" s="16" t="s">
        <v>8236</v>
      </c>
      <c r="I2588" s="17"/>
      <c r="J2588" s="17"/>
      <c r="K2588" s="17"/>
      <c r="L2588" s="17"/>
      <c r="T2588" s="13"/>
      <c r="U2588" s="13"/>
      <c r="V2588" s="13"/>
      <c r="W2588" s="13"/>
    </row>
    <row r="2589" spans="4:23" ht="27" customHeight="1" x14ac:dyDescent="0.25">
      <c r="D2589" s="14" t="s">
        <v>8237</v>
      </c>
      <c r="E2589" s="14" t="s">
        <v>8238</v>
      </c>
      <c r="F2589" s="84" t="s">
        <v>92</v>
      </c>
      <c r="G2589" s="15" t="s">
        <v>68</v>
      </c>
      <c r="H2589" s="16" t="s">
        <v>8239</v>
      </c>
      <c r="I2589" s="17"/>
      <c r="J2589" s="17"/>
      <c r="K2589" s="17"/>
      <c r="L2589" s="17"/>
      <c r="T2589" s="13"/>
      <c r="U2589" s="13"/>
      <c r="V2589" s="13"/>
      <c r="W2589" s="13"/>
    </row>
    <row r="2590" spans="4:23" ht="27" customHeight="1" x14ac:dyDescent="0.25">
      <c r="D2590" s="14" t="s">
        <v>8240</v>
      </c>
      <c r="E2590" s="14" t="s">
        <v>5093</v>
      </c>
      <c r="F2590" s="84" t="s">
        <v>206</v>
      </c>
      <c r="G2590" s="15" t="s">
        <v>27</v>
      </c>
      <c r="H2590" s="16" t="s">
        <v>8241</v>
      </c>
      <c r="I2590" s="17"/>
      <c r="J2590" s="17"/>
      <c r="K2590" s="17"/>
      <c r="L2590" s="17"/>
      <c r="T2590" s="13"/>
      <c r="U2590" s="13"/>
      <c r="V2590" s="13"/>
      <c r="W2590" s="13"/>
    </row>
    <row r="2591" spans="4:23" ht="27" customHeight="1" x14ac:dyDescent="0.25">
      <c r="D2591" s="14" t="s">
        <v>8242</v>
      </c>
      <c r="E2591" s="14" t="s">
        <v>8243</v>
      </c>
      <c r="F2591" s="84" t="s">
        <v>524</v>
      </c>
      <c r="G2591" s="15" t="s">
        <v>27</v>
      </c>
      <c r="H2591" s="16" t="s">
        <v>8244</v>
      </c>
      <c r="I2591" s="17"/>
      <c r="J2591" s="17"/>
      <c r="K2591" s="17"/>
      <c r="L2591" s="17"/>
      <c r="T2591" s="13"/>
      <c r="U2591" s="13"/>
      <c r="V2591" s="13"/>
      <c r="W2591" s="13"/>
    </row>
    <row r="2592" spans="4:23" ht="27" customHeight="1" x14ac:dyDescent="0.25">
      <c r="D2592" s="14" t="s">
        <v>8245</v>
      </c>
      <c r="E2592" s="14" t="s">
        <v>8246</v>
      </c>
      <c r="F2592" s="84" t="s">
        <v>1919</v>
      </c>
      <c r="G2592" s="15" t="s">
        <v>68</v>
      </c>
      <c r="H2592" s="16" t="s">
        <v>8247</v>
      </c>
      <c r="I2592" s="17"/>
      <c r="J2592" s="17"/>
      <c r="K2592" s="17"/>
      <c r="L2592" s="17"/>
      <c r="T2592" s="13"/>
      <c r="U2592" s="13"/>
      <c r="V2592" s="13"/>
      <c r="W2592" s="13"/>
    </row>
    <row r="2593" spans="4:23" ht="27" customHeight="1" x14ac:dyDescent="0.25">
      <c r="D2593" s="14" t="s">
        <v>8248</v>
      </c>
      <c r="E2593" s="14" t="s">
        <v>8249</v>
      </c>
      <c r="F2593" s="84" t="s">
        <v>343</v>
      </c>
      <c r="G2593" s="15" t="s">
        <v>27</v>
      </c>
      <c r="H2593" s="16" t="s">
        <v>8250</v>
      </c>
      <c r="I2593" s="17"/>
      <c r="J2593" s="17"/>
      <c r="K2593" s="17"/>
      <c r="L2593" s="17"/>
      <c r="T2593" s="13"/>
      <c r="U2593" s="13"/>
      <c r="V2593" s="13"/>
      <c r="W2593" s="13"/>
    </row>
    <row r="2594" spans="4:23" ht="27" customHeight="1" x14ac:dyDescent="0.25">
      <c r="D2594" s="14" t="s">
        <v>8251</v>
      </c>
      <c r="E2594" s="14" t="s">
        <v>8252</v>
      </c>
      <c r="F2594" s="84" t="s">
        <v>1551</v>
      </c>
      <c r="G2594" s="15" t="s">
        <v>27</v>
      </c>
      <c r="H2594" s="16" t="s">
        <v>8253</v>
      </c>
      <c r="I2594" s="17"/>
      <c r="J2594" s="17"/>
      <c r="K2594" s="17"/>
      <c r="L2594" s="17"/>
      <c r="T2594" s="13"/>
      <c r="U2594" s="13"/>
      <c r="V2594" s="13"/>
      <c r="W2594" s="13"/>
    </row>
    <row r="2595" spans="4:23" ht="27" customHeight="1" x14ac:dyDescent="0.25">
      <c r="D2595" s="14" t="s">
        <v>8254</v>
      </c>
      <c r="E2595" s="14" t="s">
        <v>5046</v>
      </c>
      <c r="F2595" s="84" t="s">
        <v>206</v>
      </c>
      <c r="G2595" s="15" t="s">
        <v>27</v>
      </c>
      <c r="H2595" s="16" t="s">
        <v>8255</v>
      </c>
      <c r="I2595" s="17"/>
      <c r="J2595" s="17"/>
      <c r="K2595" s="17"/>
      <c r="L2595" s="17"/>
      <c r="T2595" s="13"/>
      <c r="U2595" s="13"/>
      <c r="V2595" s="13"/>
      <c r="W2595" s="13"/>
    </row>
    <row r="2596" spans="4:23" ht="27" customHeight="1" x14ac:dyDescent="0.25">
      <c r="D2596" s="14" t="s">
        <v>8256</v>
      </c>
      <c r="E2596" s="14" t="s">
        <v>8257</v>
      </c>
      <c r="F2596" s="84" t="s">
        <v>233</v>
      </c>
      <c r="G2596" s="15" t="s">
        <v>27</v>
      </c>
      <c r="H2596" s="16" t="s">
        <v>8258</v>
      </c>
      <c r="I2596" s="17"/>
      <c r="J2596" s="17"/>
      <c r="K2596" s="17"/>
      <c r="L2596" s="17"/>
      <c r="T2596" s="13"/>
      <c r="U2596" s="13"/>
      <c r="V2596" s="13"/>
      <c r="W2596" s="13"/>
    </row>
    <row r="2597" spans="4:23" ht="27" customHeight="1" x14ac:dyDescent="0.25">
      <c r="D2597" s="14" t="s">
        <v>8259</v>
      </c>
      <c r="E2597" s="14" t="s">
        <v>2145</v>
      </c>
      <c r="F2597" s="84" t="s">
        <v>1572</v>
      </c>
      <c r="G2597" s="15" t="s">
        <v>27</v>
      </c>
      <c r="H2597" s="16" t="s">
        <v>8260</v>
      </c>
      <c r="I2597" s="17"/>
      <c r="J2597" s="17"/>
      <c r="K2597" s="17"/>
      <c r="L2597" s="17"/>
      <c r="T2597" s="13"/>
      <c r="U2597" s="13"/>
      <c r="V2597" s="13"/>
      <c r="W2597" s="13"/>
    </row>
    <row r="2598" spans="4:23" ht="27" customHeight="1" x14ac:dyDescent="0.25">
      <c r="D2598" s="14" t="s">
        <v>8261</v>
      </c>
      <c r="E2598" s="14" t="s">
        <v>3811</v>
      </c>
      <c r="F2598" s="84" t="s">
        <v>61</v>
      </c>
      <c r="G2598" s="15" t="s">
        <v>27</v>
      </c>
      <c r="H2598" s="16" t="s">
        <v>8262</v>
      </c>
      <c r="I2598" s="17"/>
      <c r="J2598" s="17"/>
      <c r="K2598" s="17"/>
      <c r="L2598" s="17"/>
      <c r="T2598" s="13"/>
      <c r="U2598" s="13"/>
      <c r="V2598" s="13"/>
      <c r="W2598" s="13"/>
    </row>
    <row r="2599" spans="4:23" ht="27" customHeight="1" x14ac:dyDescent="0.25">
      <c r="D2599" s="14" t="s">
        <v>8263</v>
      </c>
      <c r="E2599" s="14" t="s">
        <v>2283</v>
      </c>
      <c r="F2599" s="84" t="s">
        <v>627</v>
      </c>
      <c r="G2599" s="15" t="s">
        <v>27</v>
      </c>
      <c r="H2599" s="16" t="s">
        <v>8264</v>
      </c>
      <c r="I2599" s="17"/>
      <c r="J2599" s="17"/>
      <c r="K2599" s="17"/>
      <c r="L2599" s="17"/>
      <c r="T2599" s="13"/>
      <c r="U2599" s="13"/>
      <c r="V2599" s="13"/>
      <c r="W2599" s="13"/>
    </row>
    <row r="2600" spans="4:23" ht="27" customHeight="1" x14ac:dyDescent="0.25">
      <c r="D2600" s="14" t="s">
        <v>8265</v>
      </c>
      <c r="E2600" s="14" t="s">
        <v>8266</v>
      </c>
      <c r="F2600" s="84" t="s">
        <v>302</v>
      </c>
      <c r="G2600" s="15" t="s">
        <v>27</v>
      </c>
      <c r="H2600" s="16" t="s">
        <v>8267</v>
      </c>
      <c r="I2600" s="17"/>
      <c r="J2600" s="17"/>
      <c r="K2600" s="17"/>
      <c r="L2600" s="17"/>
      <c r="T2600" s="13"/>
      <c r="U2600" s="13"/>
      <c r="V2600" s="13"/>
      <c r="W2600" s="13"/>
    </row>
    <row r="2601" spans="4:23" ht="27" customHeight="1" x14ac:dyDescent="0.25">
      <c r="D2601" s="14" t="s">
        <v>8268</v>
      </c>
      <c r="E2601" s="14" t="s">
        <v>8269</v>
      </c>
      <c r="F2601" s="84" t="s">
        <v>524</v>
      </c>
      <c r="G2601" s="15" t="s">
        <v>27</v>
      </c>
      <c r="H2601" s="16" t="s">
        <v>8270</v>
      </c>
      <c r="I2601" s="17"/>
      <c r="J2601" s="17"/>
      <c r="K2601" s="17"/>
      <c r="L2601" s="17"/>
      <c r="T2601" s="13"/>
      <c r="U2601" s="13"/>
      <c r="V2601" s="13"/>
      <c r="W2601" s="13"/>
    </row>
    <row r="2602" spans="4:23" ht="27" customHeight="1" x14ac:dyDescent="0.25">
      <c r="D2602" s="14" t="s">
        <v>8271</v>
      </c>
      <c r="E2602" s="14" t="s">
        <v>2735</v>
      </c>
      <c r="F2602" s="84" t="s">
        <v>592</v>
      </c>
      <c r="G2602" s="15" t="s">
        <v>27</v>
      </c>
      <c r="H2602" s="16" t="s">
        <v>8272</v>
      </c>
      <c r="I2602" s="17"/>
      <c r="J2602" s="17"/>
      <c r="K2602" s="17"/>
      <c r="L2602" s="17"/>
      <c r="T2602" s="13"/>
      <c r="U2602" s="13"/>
      <c r="V2602" s="13"/>
      <c r="W2602" s="13"/>
    </row>
    <row r="2603" spans="4:23" ht="27" customHeight="1" x14ac:dyDescent="0.25">
      <c r="D2603" s="14" t="s">
        <v>8273</v>
      </c>
      <c r="E2603" s="14" t="s">
        <v>4763</v>
      </c>
      <c r="F2603" s="84" t="s">
        <v>402</v>
      </c>
      <c r="G2603" s="15" t="s">
        <v>27</v>
      </c>
      <c r="H2603" s="16" t="s">
        <v>8274</v>
      </c>
      <c r="I2603" s="17"/>
      <c r="J2603" s="17"/>
      <c r="K2603" s="17"/>
      <c r="L2603" s="17"/>
      <c r="T2603" s="13"/>
      <c r="U2603" s="13"/>
      <c r="V2603" s="13"/>
      <c r="W2603" s="13"/>
    </row>
    <row r="2604" spans="4:23" ht="27" customHeight="1" x14ac:dyDescent="0.25">
      <c r="D2604" s="14" t="s">
        <v>8275</v>
      </c>
      <c r="E2604" s="14" t="s">
        <v>5106</v>
      </c>
      <c r="F2604" s="84" t="s">
        <v>206</v>
      </c>
      <c r="G2604" s="15" t="s">
        <v>27</v>
      </c>
      <c r="H2604" s="16" t="s">
        <v>8276</v>
      </c>
      <c r="I2604" s="17"/>
      <c r="J2604" s="17"/>
      <c r="K2604" s="17"/>
      <c r="L2604" s="17"/>
      <c r="T2604" s="13"/>
      <c r="U2604" s="13"/>
      <c r="V2604" s="13"/>
      <c r="W2604" s="13"/>
    </row>
    <row r="2605" spans="4:23" ht="27" customHeight="1" x14ac:dyDescent="0.25">
      <c r="D2605" s="14" t="s">
        <v>8277</v>
      </c>
      <c r="E2605" s="14" t="s">
        <v>1107</v>
      </c>
      <c r="F2605" s="84" t="s">
        <v>556</v>
      </c>
      <c r="G2605" s="15" t="s">
        <v>27</v>
      </c>
      <c r="H2605" s="16" t="s">
        <v>8278</v>
      </c>
      <c r="I2605" s="17"/>
      <c r="J2605" s="17"/>
      <c r="K2605" s="17"/>
      <c r="L2605" s="17"/>
      <c r="T2605" s="13"/>
      <c r="U2605" s="13"/>
      <c r="V2605" s="13"/>
      <c r="W2605" s="13"/>
    </row>
    <row r="2606" spans="4:23" ht="27" customHeight="1" x14ac:dyDescent="0.25">
      <c r="D2606" s="14" t="s">
        <v>8279</v>
      </c>
      <c r="E2606" s="14" t="s">
        <v>2466</v>
      </c>
      <c r="F2606" s="84" t="s">
        <v>114</v>
      </c>
      <c r="G2606" s="15" t="s">
        <v>68</v>
      </c>
      <c r="H2606" s="16" t="s">
        <v>8280</v>
      </c>
      <c r="I2606" s="17"/>
      <c r="J2606" s="17"/>
      <c r="K2606" s="17"/>
      <c r="L2606" s="17"/>
      <c r="T2606" s="13"/>
      <c r="U2606" s="13"/>
      <c r="V2606" s="13"/>
      <c r="W2606" s="13"/>
    </row>
    <row r="2607" spans="4:23" ht="27" customHeight="1" x14ac:dyDescent="0.25">
      <c r="D2607" s="14" t="s">
        <v>8281</v>
      </c>
      <c r="E2607" s="14" t="s">
        <v>8282</v>
      </c>
      <c r="F2607" s="84" t="s">
        <v>280</v>
      </c>
      <c r="G2607" s="15" t="s">
        <v>27</v>
      </c>
      <c r="H2607" s="16" t="s">
        <v>8283</v>
      </c>
      <c r="I2607" s="17"/>
      <c r="J2607" s="17"/>
      <c r="K2607" s="17"/>
      <c r="L2607" s="17"/>
      <c r="T2607" s="13"/>
      <c r="U2607" s="13"/>
      <c r="V2607" s="13"/>
      <c r="W2607" s="13"/>
    </row>
    <row r="2608" spans="4:23" ht="27" customHeight="1" x14ac:dyDescent="0.25">
      <c r="D2608" s="14" t="s">
        <v>8284</v>
      </c>
      <c r="E2608" s="14" t="s">
        <v>5253</v>
      </c>
      <c r="F2608" s="84" t="s">
        <v>407</v>
      </c>
      <c r="G2608" s="15" t="s">
        <v>27</v>
      </c>
      <c r="H2608" s="16" t="s">
        <v>8285</v>
      </c>
      <c r="I2608" s="17"/>
      <c r="J2608" s="17"/>
      <c r="K2608" s="17"/>
      <c r="L2608" s="17"/>
      <c r="T2608" s="13"/>
      <c r="U2608" s="13"/>
      <c r="V2608" s="13"/>
      <c r="W2608" s="13"/>
    </row>
    <row r="2609" spans="4:23" ht="27" customHeight="1" x14ac:dyDescent="0.25">
      <c r="D2609" s="14" t="s">
        <v>8286</v>
      </c>
      <c r="E2609" s="14" t="s">
        <v>8287</v>
      </c>
      <c r="F2609" s="84" t="s">
        <v>805</v>
      </c>
      <c r="G2609" s="15" t="s">
        <v>27</v>
      </c>
      <c r="H2609" s="16" t="s">
        <v>8288</v>
      </c>
      <c r="I2609" s="17"/>
      <c r="J2609" s="17"/>
      <c r="K2609" s="17"/>
      <c r="L2609" s="17"/>
      <c r="T2609" s="13"/>
      <c r="U2609" s="13"/>
      <c r="V2609" s="13"/>
      <c r="W2609" s="13"/>
    </row>
    <row r="2610" spans="4:23" ht="27" customHeight="1" x14ac:dyDescent="0.25">
      <c r="D2610" s="14" t="s">
        <v>8289</v>
      </c>
      <c r="E2610" s="14" t="s">
        <v>8290</v>
      </c>
      <c r="F2610" s="84" t="s">
        <v>302</v>
      </c>
      <c r="G2610" s="15" t="s">
        <v>27</v>
      </c>
      <c r="H2610" s="16" t="s">
        <v>8291</v>
      </c>
      <c r="I2610" s="17"/>
      <c r="J2610" s="17"/>
      <c r="K2610" s="17"/>
      <c r="L2610" s="17"/>
      <c r="T2610" s="13"/>
      <c r="U2610" s="13"/>
      <c r="V2610" s="13"/>
      <c r="W2610" s="13"/>
    </row>
    <row r="2611" spans="4:23" ht="27" customHeight="1" x14ac:dyDescent="0.25">
      <c r="D2611" s="14" t="s">
        <v>8292</v>
      </c>
      <c r="E2611" s="14" t="s">
        <v>8293</v>
      </c>
      <c r="F2611" s="84" t="s">
        <v>343</v>
      </c>
      <c r="G2611" s="15" t="s">
        <v>27</v>
      </c>
      <c r="H2611" s="16" t="s">
        <v>8294</v>
      </c>
      <c r="I2611" s="17"/>
      <c r="J2611" s="17"/>
      <c r="K2611" s="17"/>
      <c r="L2611" s="17"/>
      <c r="T2611" s="13"/>
      <c r="U2611" s="13"/>
      <c r="V2611" s="13"/>
      <c r="W2611" s="13"/>
    </row>
    <row r="2612" spans="4:23" ht="27" customHeight="1" x14ac:dyDescent="0.25">
      <c r="D2612" s="14" t="s">
        <v>8295</v>
      </c>
      <c r="E2612" s="14" t="s">
        <v>356</v>
      </c>
      <c r="F2612" s="84" t="s">
        <v>6311</v>
      </c>
      <c r="G2612" s="15" t="s">
        <v>68</v>
      </c>
      <c r="H2612" s="16" t="s">
        <v>8296</v>
      </c>
      <c r="I2612" s="17"/>
      <c r="J2612" s="17"/>
      <c r="K2612" s="17"/>
      <c r="L2612" s="17"/>
      <c r="T2612" s="13"/>
      <c r="U2612" s="13"/>
      <c r="V2612" s="13"/>
      <c r="W2612" s="13"/>
    </row>
    <row r="2613" spans="4:23" ht="27" customHeight="1" x14ac:dyDescent="0.25">
      <c r="D2613" s="14" t="s">
        <v>8297</v>
      </c>
      <c r="E2613" s="14" t="s">
        <v>2832</v>
      </c>
      <c r="F2613" s="84" t="s">
        <v>422</v>
      </c>
      <c r="G2613" s="15" t="s">
        <v>27</v>
      </c>
      <c r="H2613" s="16" t="s">
        <v>8298</v>
      </c>
      <c r="I2613" s="17"/>
      <c r="J2613" s="17"/>
      <c r="K2613" s="17"/>
      <c r="L2613" s="17"/>
      <c r="T2613" s="13"/>
      <c r="U2613" s="13"/>
      <c r="V2613" s="13"/>
      <c r="W2613" s="13"/>
    </row>
    <row r="2614" spans="4:23" ht="27" customHeight="1" x14ac:dyDescent="0.25">
      <c r="D2614" s="14" t="s">
        <v>8299</v>
      </c>
      <c r="E2614" s="14" t="s">
        <v>1675</v>
      </c>
      <c r="F2614" s="84" t="s">
        <v>781</v>
      </c>
      <c r="G2614" s="15" t="s">
        <v>68</v>
      </c>
      <c r="H2614" s="16" t="s">
        <v>8300</v>
      </c>
      <c r="I2614" s="17"/>
      <c r="J2614" s="17"/>
      <c r="K2614" s="17"/>
      <c r="L2614" s="17"/>
      <c r="T2614" s="13"/>
      <c r="U2614" s="13"/>
      <c r="V2614" s="13"/>
      <c r="W2614" s="13"/>
    </row>
    <row r="2615" spans="4:23" ht="27" customHeight="1" x14ac:dyDescent="0.25">
      <c r="D2615" s="14" t="s">
        <v>8301</v>
      </c>
      <c r="E2615" s="14" t="s">
        <v>8302</v>
      </c>
      <c r="F2615" s="84" t="s">
        <v>602</v>
      </c>
      <c r="G2615" s="15" t="s">
        <v>68</v>
      </c>
      <c r="H2615" s="16" t="s">
        <v>8303</v>
      </c>
      <c r="I2615" s="17"/>
      <c r="J2615" s="17"/>
      <c r="K2615" s="17"/>
      <c r="L2615" s="17"/>
      <c r="T2615" s="13"/>
      <c r="U2615" s="13"/>
      <c r="V2615" s="13"/>
      <c r="W2615" s="13"/>
    </row>
    <row r="2616" spans="4:23" ht="27" customHeight="1" x14ac:dyDescent="0.25">
      <c r="D2616" s="14" t="s">
        <v>8304</v>
      </c>
      <c r="E2616" s="14" t="s">
        <v>8305</v>
      </c>
      <c r="F2616" s="84" t="s">
        <v>129</v>
      </c>
      <c r="G2616" s="15" t="s">
        <v>27</v>
      </c>
      <c r="H2616" s="16" t="s">
        <v>8306</v>
      </c>
      <c r="I2616" s="17"/>
      <c r="J2616" s="17"/>
      <c r="K2616" s="17"/>
      <c r="L2616" s="17"/>
      <c r="T2616" s="13"/>
      <c r="U2616" s="13"/>
      <c r="V2616" s="13"/>
      <c r="W2616" s="13"/>
    </row>
    <row r="2617" spans="4:23" ht="27" customHeight="1" x14ac:dyDescent="0.25">
      <c r="D2617" s="14" t="s">
        <v>8307</v>
      </c>
      <c r="E2617" s="14" t="s">
        <v>5305</v>
      </c>
      <c r="F2617" s="84" t="s">
        <v>407</v>
      </c>
      <c r="G2617" s="15" t="s">
        <v>27</v>
      </c>
      <c r="H2617" s="16" t="s">
        <v>8308</v>
      </c>
      <c r="I2617" s="17"/>
      <c r="J2617" s="17"/>
      <c r="K2617" s="17"/>
      <c r="L2617" s="17"/>
      <c r="T2617" s="13"/>
      <c r="U2617" s="13"/>
      <c r="V2617" s="13"/>
      <c r="W2617" s="13"/>
    </row>
    <row r="2618" spans="4:23" ht="27" customHeight="1" x14ac:dyDescent="0.25">
      <c r="D2618" s="14" t="s">
        <v>8309</v>
      </c>
      <c r="E2618" s="14" t="s">
        <v>5490</v>
      </c>
      <c r="F2618" s="84" t="s">
        <v>46</v>
      </c>
      <c r="G2618" s="15" t="s">
        <v>27</v>
      </c>
      <c r="H2618" s="16" t="s">
        <v>8310</v>
      </c>
      <c r="I2618" s="17"/>
      <c r="J2618" s="17"/>
      <c r="K2618" s="17"/>
      <c r="L2618" s="17"/>
      <c r="T2618" s="13"/>
      <c r="U2618" s="13"/>
      <c r="V2618" s="13"/>
      <c r="W2618" s="13"/>
    </row>
    <row r="2619" spans="4:23" ht="27" customHeight="1" x14ac:dyDescent="0.25">
      <c r="D2619" s="14" t="s">
        <v>8311</v>
      </c>
      <c r="E2619" s="14" t="s">
        <v>703</v>
      </c>
      <c r="F2619" s="84" t="s">
        <v>551</v>
      </c>
      <c r="G2619" s="15" t="s">
        <v>68</v>
      </c>
      <c r="H2619" s="16" t="s">
        <v>8312</v>
      </c>
      <c r="I2619" s="17"/>
      <c r="J2619" s="17"/>
      <c r="K2619" s="17"/>
      <c r="L2619" s="17"/>
      <c r="T2619" s="13"/>
      <c r="U2619" s="13"/>
      <c r="V2619" s="13"/>
      <c r="W2619" s="13"/>
    </row>
    <row r="2620" spans="4:23" ht="27" customHeight="1" x14ac:dyDescent="0.25">
      <c r="D2620" s="14" t="s">
        <v>8313</v>
      </c>
      <c r="E2620" s="14" t="s">
        <v>8314</v>
      </c>
      <c r="F2620" s="84" t="s">
        <v>67</v>
      </c>
      <c r="G2620" s="15" t="s">
        <v>27</v>
      </c>
      <c r="H2620" s="16" t="s">
        <v>8315</v>
      </c>
      <c r="I2620" s="17"/>
      <c r="J2620" s="17"/>
      <c r="K2620" s="17"/>
      <c r="L2620" s="17"/>
      <c r="T2620" s="13"/>
      <c r="U2620" s="13"/>
      <c r="V2620" s="13"/>
      <c r="W2620" s="13"/>
    </row>
    <row r="2621" spans="4:23" ht="27" customHeight="1" x14ac:dyDescent="0.25">
      <c r="D2621" s="14" t="s">
        <v>8316</v>
      </c>
      <c r="E2621" s="14" t="s">
        <v>8317</v>
      </c>
      <c r="F2621" s="84" t="s">
        <v>485</v>
      </c>
      <c r="G2621" s="15" t="s">
        <v>27</v>
      </c>
      <c r="H2621" s="16" t="s">
        <v>8318</v>
      </c>
      <c r="I2621" s="17"/>
      <c r="J2621" s="17"/>
      <c r="K2621" s="17"/>
      <c r="L2621" s="17"/>
      <c r="T2621" s="13"/>
      <c r="U2621" s="13"/>
      <c r="V2621" s="13"/>
      <c r="W2621" s="13"/>
    </row>
    <row r="2622" spans="4:23" ht="27" customHeight="1" x14ac:dyDescent="0.25">
      <c r="D2622" s="14" t="s">
        <v>8319</v>
      </c>
      <c r="E2622" s="14" t="s">
        <v>8320</v>
      </c>
      <c r="F2622" s="84" t="s">
        <v>233</v>
      </c>
      <c r="G2622" s="15" t="s">
        <v>68</v>
      </c>
      <c r="H2622" s="16" t="s">
        <v>8321</v>
      </c>
      <c r="I2622" s="17"/>
      <c r="J2622" s="17"/>
      <c r="K2622" s="17"/>
      <c r="L2622" s="17"/>
      <c r="T2622" s="13"/>
      <c r="U2622" s="13"/>
      <c r="V2622" s="13"/>
      <c r="W2622" s="13"/>
    </row>
    <row r="2623" spans="4:23" ht="27" customHeight="1" x14ac:dyDescent="0.25">
      <c r="D2623" s="14" t="s">
        <v>8322</v>
      </c>
      <c r="E2623" s="14" t="s">
        <v>1514</v>
      </c>
      <c r="F2623" s="84" t="s">
        <v>561</v>
      </c>
      <c r="G2623" s="15" t="s">
        <v>27</v>
      </c>
      <c r="H2623" s="16" t="s">
        <v>8323</v>
      </c>
      <c r="I2623" s="17"/>
      <c r="J2623" s="17"/>
      <c r="K2623" s="17"/>
      <c r="L2623" s="17"/>
      <c r="T2623" s="13"/>
      <c r="U2623" s="13"/>
      <c r="V2623" s="13"/>
      <c r="W2623" s="13"/>
    </row>
    <row r="2624" spans="4:23" ht="27" customHeight="1" x14ac:dyDescent="0.25">
      <c r="D2624" s="14" t="s">
        <v>8324</v>
      </c>
      <c r="E2624" s="14" t="s">
        <v>8325</v>
      </c>
      <c r="F2624" s="84" t="s">
        <v>524</v>
      </c>
      <c r="G2624" s="15" t="s">
        <v>27</v>
      </c>
      <c r="H2624" s="16" t="s">
        <v>8326</v>
      </c>
      <c r="I2624" s="17"/>
      <c r="J2624" s="17"/>
      <c r="K2624" s="17"/>
      <c r="L2624" s="17"/>
      <c r="T2624" s="13"/>
      <c r="U2624" s="13"/>
      <c r="V2624" s="13"/>
      <c r="W2624" s="13"/>
    </row>
    <row r="2625" spans="4:23" ht="27" customHeight="1" x14ac:dyDescent="0.25">
      <c r="D2625" s="14" t="s">
        <v>8327</v>
      </c>
      <c r="E2625" s="14" t="s">
        <v>8328</v>
      </c>
      <c r="F2625" s="84" t="s">
        <v>266</v>
      </c>
      <c r="G2625" s="15" t="s">
        <v>68</v>
      </c>
      <c r="H2625" s="16" t="s">
        <v>8329</v>
      </c>
      <c r="I2625" s="17"/>
      <c r="J2625" s="17"/>
      <c r="K2625" s="17"/>
      <c r="L2625" s="17"/>
      <c r="T2625" s="13"/>
      <c r="U2625" s="13"/>
      <c r="V2625" s="13"/>
      <c r="W2625" s="13"/>
    </row>
    <row r="2626" spans="4:23" ht="27" customHeight="1" x14ac:dyDescent="0.25">
      <c r="D2626" s="14" t="s">
        <v>8330</v>
      </c>
      <c r="E2626" s="14" t="s">
        <v>4106</v>
      </c>
      <c r="F2626" s="84" t="s">
        <v>239</v>
      </c>
      <c r="G2626" s="15" t="s">
        <v>27</v>
      </c>
      <c r="H2626" s="16" t="s">
        <v>8331</v>
      </c>
      <c r="I2626" s="17"/>
      <c r="J2626" s="17"/>
      <c r="K2626" s="17"/>
      <c r="L2626" s="17"/>
      <c r="T2626" s="13"/>
      <c r="U2626" s="13"/>
      <c r="V2626" s="13"/>
      <c r="W2626" s="13"/>
    </row>
    <row r="2627" spans="4:23" ht="27" customHeight="1" x14ac:dyDescent="0.25">
      <c r="D2627" s="14" t="s">
        <v>8332</v>
      </c>
      <c r="E2627" s="14" t="s">
        <v>1876</v>
      </c>
      <c r="F2627" s="84" t="s">
        <v>149</v>
      </c>
      <c r="G2627" s="15" t="s">
        <v>27</v>
      </c>
      <c r="H2627" s="16" t="s">
        <v>8333</v>
      </c>
      <c r="I2627" s="17"/>
      <c r="J2627" s="17"/>
      <c r="K2627" s="17"/>
      <c r="L2627" s="17"/>
      <c r="T2627" s="13"/>
      <c r="U2627" s="13"/>
      <c r="V2627" s="13"/>
      <c r="W2627" s="13"/>
    </row>
    <row r="2628" spans="4:23" ht="27" customHeight="1" x14ac:dyDescent="0.25">
      <c r="D2628" s="14" t="s">
        <v>8334</v>
      </c>
      <c r="E2628" s="14" t="s">
        <v>8335</v>
      </c>
      <c r="F2628" s="84" t="s">
        <v>670</v>
      </c>
      <c r="G2628" s="15" t="s">
        <v>27</v>
      </c>
      <c r="H2628" s="16" t="s">
        <v>8336</v>
      </c>
      <c r="I2628" s="17"/>
      <c r="J2628" s="17"/>
      <c r="K2628" s="17"/>
      <c r="L2628" s="17"/>
      <c r="T2628" s="13"/>
      <c r="U2628" s="13"/>
      <c r="V2628" s="13"/>
      <c r="W2628" s="13"/>
    </row>
    <row r="2629" spans="4:23" ht="27" customHeight="1" x14ac:dyDescent="0.25">
      <c r="D2629" s="14" t="s">
        <v>8337</v>
      </c>
      <c r="E2629" s="14" t="s">
        <v>8338</v>
      </c>
      <c r="F2629" s="84" t="s">
        <v>266</v>
      </c>
      <c r="G2629" s="15" t="s">
        <v>27</v>
      </c>
      <c r="H2629" s="16" t="s">
        <v>8339</v>
      </c>
      <c r="I2629" s="17"/>
      <c r="J2629" s="17"/>
      <c r="K2629" s="17"/>
      <c r="L2629" s="17"/>
      <c r="T2629" s="13"/>
      <c r="U2629" s="13"/>
      <c r="V2629" s="13"/>
      <c r="W2629" s="13"/>
    </row>
    <row r="2630" spans="4:23" ht="27" customHeight="1" x14ac:dyDescent="0.25">
      <c r="D2630" s="14" t="s">
        <v>8340</v>
      </c>
      <c r="E2630" s="14" t="s">
        <v>5368</v>
      </c>
      <c r="F2630" s="84" t="s">
        <v>407</v>
      </c>
      <c r="G2630" s="15" t="s">
        <v>27</v>
      </c>
      <c r="H2630" s="16" t="s">
        <v>8341</v>
      </c>
      <c r="I2630" s="17"/>
      <c r="J2630" s="17"/>
      <c r="K2630" s="17"/>
      <c r="L2630" s="17"/>
      <c r="T2630" s="13"/>
      <c r="U2630" s="13"/>
      <c r="V2630" s="13"/>
      <c r="W2630" s="13"/>
    </row>
    <row r="2631" spans="4:23" ht="27" customHeight="1" x14ac:dyDescent="0.25">
      <c r="D2631" s="14" t="s">
        <v>8342</v>
      </c>
      <c r="E2631" s="14" t="s">
        <v>8343</v>
      </c>
      <c r="F2631" s="84" t="s">
        <v>412</v>
      </c>
      <c r="G2631" s="15" t="s">
        <v>27</v>
      </c>
      <c r="H2631" s="16" t="s">
        <v>8344</v>
      </c>
      <c r="I2631" s="17"/>
      <c r="J2631" s="17"/>
      <c r="K2631" s="17"/>
      <c r="L2631" s="17"/>
      <c r="T2631" s="13"/>
      <c r="U2631" s="13"/>
      <c r="V2631" s="13"/>
      <c r="W2631" s="13"/>
    </row>
    <row r="2632" spans="4:23" ht="27" customHeight="1" x14ac:dyDescent="0.25">
      <c r="D2632" s="14" t="s">
        <v>8345</v>
      </c>
      <c r="E2632" s="14" t="s">
        <v>8346</v>
      </c>
      <c r="F2632" s="84" t="s">
        <v>233</v>
      </c>
      <c r="G2632" s="15" t="s">
        <v>27</v>
      </c>
      <c r="H2632" s="16" t="s">
        <v>8347</v>
      </c>
      <c r="I2632" s="17"/>
      <c r="J2632" s="17"/>
      <c r="K2632" s="17"/>
      <c r="L2632" s="17"/>
      <c r="T2632" s="13"/>
      <c r="U2632" s="13"/>
      <c r="V2632" s="13"/>
      <c r="W2632" s="13"/>
    </row>
    <row r="2633" spans="4:23" ht="27" customHeight="1" x14ac:dyDescent="0.25">
      <c r="D2633" s="14" t="s">
        <v>8348</v>
      </c>
      <c r="E2633" s="14" t="s">
        <v>8349</v>
      </c>
      <c r="F2633" s="84" t="s">
        <v>372</v>
      </c>
      <c r="G2633" s="15" t="s">
        <v>68</v>
      </c>
      <c r="H2633" s="16" t="s">
        <v>8350</v>
      </c>
      <c r="I2633" s="17"/>
      <c r="J2633" s="17"/>
      <c r="K2633" s="17"/>
      <c r="L2633" s="17"/>
      <c r="T2633" s="13"/>
      <c r="U2633" s="13"/>
      <c r="V2633" s="13"/>
      <c r="W2633" s="13"/>
    </row>
    <row r="2634" spans="4:23" ht="27" customHeight="1" x14ac:dyDescent="0.25">
      <c r="D2634" s="14" t="s">
        <v>8351</v>
      </c>
      <c r="E2634" s="14" t="s">
        <v>1120</v>
      </c>
      <c r="F2634" s="84" t="s">
        <v>556</v>
      </c>
      <c r="G2634" s="15" t="s">
        <v>68</v>
      </c>
      <c r="H2634" s="16" t="s">
        <v>8352</v>
      </c>
      <c r="I2634" s="17"/>
      <c r="J2634" s="17"/>
      <c r="K2634" s="17"/>
      <c r="L2634" s="17"/>
      <c r="T2634" s="13"/>
      <c r="U2634" s="13"/>
      <c r="V2634" s="13"/>
      <c r="W2634" s="13"/>
    </row>
    <row r="2635" spans="4:23" ht="27" customHeight="1" x14ac:dyDescent="0.25">
      <c r="D2635" s="14" t="s">
        <v>8353</v>
      </c>
      <c r="E2635" s="14" t="s">
        <v>8354</v>
      </c>
      <c r="F2635" s="84" t="s">
        <v>211</v>
      </c>
      <c r="G2635" s="15" t="s">
        <v>68</v>
      </c>
      <c r="H2635" s="16" t="s">
        <v>8355</v>
      </c>
      <c r="I2635" s="17"/>
      <c r="J2635" s="17"/>
      <c r="K2635" s="17"/>
      <c r="L2635" s="17"/>
      <c r="T2635" s="13"/>
      <c r="U2635" s="13"/>
      <c r="V2635" s="13"/>
      <c r="W2635" s="13"/>
    </row>
    <row r="2636" spans="4:23" ht="27" customHeight="1" x14ac:dyDescent="0.25">
      <c r="D2636" s="14" t="s">
        <v>8356</v>
      </c>
      <c r="E2636" s="14" t="s">
        <v>8357</v>
      </c>
      <c r="F2636" s="84" t="s">
        <v>602</v>
      </c>
      <c r="G2636" s="15" t="s">
        <v>27</v>
      </c>
      <c r="H2636" s="16" t="s">
        <v>8358</v>
      </c>
      <c r="I2636" s="17"/>
      <c r="J2636" s="17"/>
      <c r="K2636" s="17"/>
      <c r="L2636" s="17"/>
      <c r="T2636" s="13"/>
      <c r="U2636" s="13"/>
      <c r="V2636" s="13"/>
      <c r="W2636" s="13"/>
    </row>
    <row r="2637" spans="4:23" ht="27" customHeight="1" x14ac:dyDescent="0.25">
      <c r="D2637" s="14" t="s">
        <v>8359</v>
      </c>
      <c r="E2637" s="14" t="s">
        <v>8360</v>
      </c>
      <c r="F2637" s="84" t="s">
        <v>321</v>
      </c>
      <c r="G2637" s="15" t="s">
        <v>68</v>
      </c>
      <c r="H2637" s="16" t="s">
        <v>8361</v>
      </c>
      <c r="I2637" s="17"/>
      <c r="J2637" s="17"/>
      <c r="K2637" s="17"/>
      <c r="L2637" s="17"/>
      <c r="T2637" s="13"/>
      <c r="U2637" s="13"/>
      <c r="V2637" s="13"/>
      <c r="W2637" s="13"/>
    </row>
    <row r="2638" spans="4:23" ht="27" customHeight="1" x14ac:dyDescent="0.25">
      <c r="D2638" s="14" t="s">
        <v>8362</v>
      </c>
      <c r="E2638" s="14" t="s">
        <v>8363</v>
      </c>
      <c r="F2638" s="84" t="s">
        <v>847</v>
      </c>
      <c r="G2638" s="15" t="s">
        <v>68</v>
      </c>
      <c r="H2638" s="16" t="s">
        <v>8364</v>
      </c>
      <c r="I2638" s="17"/>
      <c r="J2638" s="17"/>
      <c r="K2638" s="17"/>
      <c r="L2638" s="17"/>
      <c r="T2638" s="13"/>
      <c r="U2638" s="13"/>
      <c r="V2638" s="13"/>
      <c r="W2638" s="13"/>
    </row>
    <row r="2639" spans="4:23" ht="27" customHeight="1" x14ac:dyDescent="0.25">
      <c r="D2639" s="14" t="s">
        <v>8365</v>
      </c>
      <c r="E2639" s="14" t="s">
        <v>8366</v>
      </c>
      <c r="F2639" s="84" t="s">
        <v>422</v>
      </c>
      <c r="G2639" s="15" t="s">
        <v>27</v>
      </c>
      <c r="H2639" s="16" t="s">
        <v>8367</v>
      </c>
      <c r="I2639" s="17"/>
      <c r="J2639" s="17"/>
      <c r="K2639" s="17"/>
      <c r="L2639" s="17"/>
      <c r="T2639" s="13"/>
      <c r="U2639" s="13"/>
      <c r="V2639" s="13"/>
      <c r="W2639" s="13"/>
    </row>
    <row r="2640" spans="4:23" ht="27" customHeight="1" x14ac:dyDescent="0.25">
      <c r="D2640" s="14" t="s">
        <v>8368</v>
      </c>
      <c r="E2640" s="14" t="s">
        <v>8369</v>
      </c>
      <c r="F2640" s="84" t="s">
        <v>422</v>
      </c>
      <c r="G2640" s="15" t="s">
        <v>27</v>
      </c>
      <c r="H2640" s="16" t="s">
        <v>8370</v>
      </c>
      <c r="I2640" s="17"/>
      <c r="J2640" s="17"/>
      <c r="K2640" s="17"/>
      <c r="L2640" s="17"/>
      <c r="T2640" s="13"/>
      <c r="U2640" s="13"/>
      <c r="V2640" s="13"/>
      <c r="W2640" s="13"/>
    </row>
    <row r="2641" spans="4:23" ht="27" customHeight="1" x14ac:dyDescent="0.25">
      <c r="D2641" s="14" t="s">
        <v>8371</v>
      </c>
      <c r="E2641" s="14" t="s">
        <v>8372</v>
      </c>
      <c r="F2641" s="84" t="s">
        <v>614</v>
      </c>
      <c r="G2641" s="15" t="s">
        <v>27</v>
      </c>
      <c r="H2641" s="16" t="s">
        <v>8373</v>
      </c>
      <c r="I2641" s="17"/>
      <c r="J2641" s="17"/>
      <c r="K2641" s="17"/>
      <c r="L2641" s="17"/>
      <c r="T2641" s="13"/>
      <c r="U2641" s="13"/>
      <c r="V2641" s="13"/>
      <c r="W2641" s="13"/>
    </row>
    <row r="2642" spans="4:23" ht="27" customHeight="1" x14ac:dyDescent="0.25">
      <c r="D2642" s="14" t="s">
        <v>8374</v>
      </c>
      <c r="E2642" s="14" t="s">
        <v>2016</v>
      </c>
      <c r="F2642" s="84" t="s">
        <v>200</v>
      </c>
      <c r="G2642" s="15" t="s">
        <v>68</v>
      </c>
      <c r="H2642" s="16" t="s">
        <v>8375</v>
      </c>
      <c r="I2642" s="17"/>
      <c r="J2642" s="17"/>
      <c r="K2642" s="17"/>
      <c r="L2642" s="17"/>
      <c r="T2642" s="13"/>
      <c r="U2642" s="13"/>
      <c r="V2642" s="13"/>
      <c r="W2642" s="13"/>
    </row>
    <row r="2643" spans="4:23" ht="27" customHeight="1" x14ac:dyDescent="0.25">
      <c r="D2643" s="14" t="s">
        <v>8376</v>
      </c>
      <c r="E2643" s="14" t="s">
        <v>2417</v>
      </c>
      <c r="F2643" s="84" t="s">
        <v>372</v>
      </c>
      <c r="G2643" s="15" t="s">
        <v>27</v>
      </c>
      <c r="H2643" s="16" t="s">
        <v>8377</v>
      </c>
      <c r="I2643" s="17"/>
      <c r="J2643" s="17"/>
      <c r="K2643" s="17"/>
      <c r="L2643" s="17"/>
      <c r="T2643" s="13"/>
      <c r="U2643" s="13"/>
      <c r="V2643" s="13"/>
      <c r="W2643" s="13"/>
    </row>
    <row r="2644" spans="4:23" ht="27" customHeight="1" x14ac:dyDescent="0.25">
      <c r="D2644" s="14" t="s">
        <v>8378</v>
      </c>
      <c r="E2644" s="14" t="s">
        <v>513</v>
      </c>
      <c r="F2644" s="84" t="s">
        <v>1029</v>
      </c>
      <c r="G2644" s="15" t="s">
        <v>68</v>
      </c>
      <c r="H2644" s="16" t="s">
        <v>8379</v>
      </c>
      <c r="I2644" s="17"/>
      <c r="J2644" s="17"/>
      <c r="K2644" s="17"/>
      <c r="L2644" s="17"/>
      <c r="T2644" s="13"/>
      <c r="U2644" s="13"/>
      <c r="V2644" s="13"/>
      <c r="W2644" s="13"/>
    </row>
    <row r="2645" spans="4:23" ht="27" customHeight="1" x14ac:dyDescent="0.25">
      <c r="D2645" s="14" t="s">
        <v>8380</v>
      </c>
      <c r="E2645" s="14" t="s">
        <v>8381</v>
      </c>
      <c r="F2645" s="84" t="s">
        <v>742</v>
      </c>
      <c r="G2645" s="15" t="s">
        <v>27</v>
      </c>
      <c r="H2645" s="16" t="s">
        <v>8382</v>
      </c>
      <c r="I2645" s="17"/>
      <c r="J2645" s="17"/>
      <c r="K2645" s="17"/>
      <c r="L2645" s="17"/>
      <c r="T2645" s="13"/>
      <c r="U2645" s="13"/>
      <c r="V2645" s="13"/>
      <c r="W2645" s="13"/>
    </row>
    <row r="2646" spans="4:23" ht="27" customHeight="1" x14ac:dyDescent="0.25">
      <c r="D2646" s="14" t="s">
        <v>8383</v>
      </c>
      <c r="E2646" s="14" t="s">
        <v>8384</v>
      </c>
      <c r="F2646" s="84" t="s">
        <v>781</v>
      </c>
      <c r="G2646" s="15" t="s">
        <v>27</v>
      </c>
      <c r="H2646" s="16" t="s">
        <v>8385</v>
      </c>
      <c r="I2646" s="17"/>
      <c r="J2646" s="17"/>
      <c r="K2646" s="17"/>
      <c r="L2646" s="17"/>
      <c r="T2646" s="13"/>
      <c r="U2646" s="13"/>
      <c r="V2646" s="13"/>
      <c r="W2646" s="13"/>
    </row>
    <row r="2647" spans="4:23" ht="27" customHeight="1" x14ac:dyDescent="0.25">
      <c r="D2647" s="14" t="s">
        <v>8386</v>
      </c>
      <c r="E2647" s="14" t="s">
        <v>3420</v>
      </c>
      <c r="F2647" s="84" t="s">
        <v>316</v>
      </c>
      <c r="G2647" s="15" t="s">
        <v>27</v>
      </c>
      <c r="H2647" s="16" t="s">
        <v>8387</v>
      </c>
      <c r="I2647" s="17"/>
      <c r="J2647" s="17"/>
      <c r="K2647" s="17"/>
      <c r="L2647" s="17"/>
      <c r="T2647" s="13"/>
      <c r="U2647" s="13"/>
      <c r="V2647" s="13"/>
      <c r="W2647" s="13"/>
    </row>
    <row r="2648" spans="4:23" ht="27" customHeight="1" x14ac:dyDescent="0.25">
      <c r="D2648" s="14" t="s">
        <v>8388</v>
      </c>
      <c r="E2648" s="14" t="s">
        <v>3158</v>
      </c>
      <c r="F2648" s="84" t="s">
        <v>453</v>
      </c>
      <c r="G2648" s="15" t="s">
        <v>27</v>
      </c>
      <c r="H2648" s="16" t="s">
        <v>8389</v>
      </c>
      <c r="I2648" s="17"/>
      <c r="J2648" s="17"/>
      <c r="K2648" s="17"/>
      <c r="L2648" s="17"/>
      <c r="T2648" s="13"/>
      <c r="U2648" s="13"/>
      <c r="V2648" s="13"/>
      <c r="W2648" s="13"/>
    </row>
    <row r="2649" spans="4:23" ht="27" customHeight="1" x14ac:dyDescent="0.25">
      <c r="D2649" s="14" t="s">
        <v>8390</v>
      </c>
      <c r="E2649" s="14" t="s">
        <v>4243</v>
      </c>
      <c r="F2649" s="84" t="s">
        <v>348</v>
      </c>
      <c r="G2649" s="15" t="s">
        <v>27</v>
      </c>
      <c r="H2649" s="16" t="s">
        <v>8391</v>
      </c>
      <c r="I2649" s="17"/>
      <c r="J2649" s="17"/>
      <c r="K2649" s="17"/>
      <c r="L2649" s="17"/>
      <c r="T2649" s="13"/>
      <c r="U2649" s="13"/>
      <c r="V2649" s="13"/>
      <c r="W2649" s="13"/>
    </row>
    <row r="2650" spans="4:23" ht="27" customHeight="1" x14ac:dyDescent="0.25">
      <c r="D2650" s="14" t="s">
        <v>8392</v>
      </c>
      <c r="E2650" s="14" t="s">
        <v>8393</v>
      </c>
      <c r="F2650" s="84" t="s">
        <v>494</v>
      </c>
      <c r="G2650" s="15" t="s">
        <v>68</v>
      </c>
      <c r="H2650" s="16" t="s">
        <v>8394</v>
      </c>
      <c r="I2650" s="17"/>
      <c r="J2650" s="17"/>
      <c r="K2650" s="17"/>
      <c r="L2650" s="17"/>
      <c r="T2650" s="13"/>
      <c r="U2650" s="13"/>
      <c r="V2650" s="13"/>
      <c r="W2650" s="13"/>
    </row>
    <row r="2651" spans="4:23" ht="27" customHeight="1" x14ac:dyDescent="0.25">
      <c r="D2651" s="14" t="s">
        <v>8395</v>
      </c>
      <c r="E2651" s="14" t="s">
        <v>3351</v>
      </c>
      <c r="F2651" s="84" t="s">
        <v>538</v>
      </c>
      <c r="G2651" s="15" t="s">
        <v>27</v>
      </c>
      <c r="H2651" s="16" t="s">
        <v>8396</v>
      </c>
      <c r="I2651" s="17"/>
      <c r="J2651" s="17"/>
      <c r="K2651" s="17"/>
      <c r="L2651" s="17"/>
      <c r="T2651" s="13"/>
      <c r="U2651" s="13"/>
      <c r="V2651" s="13"/>
      <c r="W2651" s="13"/>
    </row>
    <row r="2652" spans="4:23" ht="27" customHeight="1" x14ac:dyDescent="0.25">
      <c r="D2652" s="14" t="s">
        <v>8397</v>
      </c>
      <c r="E2652" s="14" t="s">
        <v>8398</v>
      </c>
      <c r="F2652" s="84" t="s">
        <v>302</v>
      </c>
      <c r="G2652" s="15" t="s">
        <v>27</v>
      </c>
      <c r="H2652" s="16" t="s">
        <v>8399</v>
      </c>
      <c r="I2652" s="17"/>
      <c r="J2652" s="17"/>
      <c r="K2652" s="17"/>
      <c r="L2652" s="17"/>
      <c r="T2652" s="13"/>
      <c r="U2652" s="13"/>
      <c r="V2652" s="13"/>
      <c r="W2652" s="13"/>
    </row>
    <row r="2653" spans="4:23" ht="27" customHeight="1" x14ac:dyDescent="0.25">
      <c r="D2653" s="14" t="s">
        <v>8400</v>
      </c>
      <c r="E2653" s="14" t="s">
        <v>8401</v>
      </c>
      <c r="F2653" s="84" t="s">
        <v>46</v>
      </c>
      <c r="G2653" s="15" t="s">
        <v>27</v>
      </c>
      <c r="H2653" s="16" t="s">
        <v>8402</v>
      </c>
      <c r="I2653" s="17"/>
      <c r="J2653" s="17"/>
      <c r="K2653" s="17"/>
      <c r="L2653" s="17"/>
      <c r="T2653" s="13"/>
      <c r="U2653" s="13"/>
      <c r="V2653" s="13"/>
      <c r="W2653" s="13"/>
    </row>
    <row r="2654" spans="4:23" ht="27" customHeight="1" x14ac:dyDescent="0.25">
      <c r="D2654" s="14" t="s">
        <v>8403</v>
      </c>
      <c r="E2654" s="14" t="s">
        <v>4043</v>
      </c>
      <c r="F2654" s="84" t="s">
        <v>194</v>
      </c>
      <c r="G2654" s="15" t="s">
        <v>27</v>
      </c>
      <c r="H2654" s="16" t="s">
        <v>8404</v>
      </c>
      <c r="I2654" s="17"/>
      <c r="J2654" s="17"/>
      <c r="K2654" s="17"/>
      <c r="L2654" s="17"/>
      <c r="T2654" s="13"/>
      <c r="U2654" s="13"/>
      <c r="V2654" s="13"/>
      <c r="W2654" s="13"/>
    </row>
    <row r="2655" spans="4:23" ht="27" customHeight="1" x14ac:dyDescent="0.25">
      <c r="D2655" s="14" t="s">
        <v>8405</v>
      </c>
      <c r="E2655" s="14" t="s">
        <v>8406</v>
      </c>
      <c r="F2655" s="84" t="s">
        <v>781</v>
      </c>
      <c r="G2655" s="15" t="s">
        <v>68</v>
      </c>
      <c r="H2655" s="16" t="s">
        <v>8407</v>
      </c>
      <c r="I2655" s="17"/>
      <c r="J2655" s="17"/>
      <c r="K2655" s="17"/>
      <c r="L2655" s="17"/>
      <c r="T2655" s="13"/>
      <c r="U2655" s="13"/>
      <c r="V2655" s="13"/>
      <c r="W2655" s="13"/>
    </row>
    <row r="2656" spans="4:23" ht="27" customHeight="1" x14ac:dyDescent="0.25">
      <c r="D2656" s="14" t="s">
        <v>8408</v>
      </c>
      <c r="E2656" s="14" t="s">
        <v>8409</v>
      </c>
      <c r="F2656" s="84" t="s">
        <v>290</v>
      </c>
      <c r="G2656" s="15" t="s">
        <v>27</v>
      </c>
      <c r="H2656" s="16" t="s">
        <v>8410</v>
      </c>
      <c r="I2656" s="17"/>
      <c r="J2656" s="17"/>
      <c r="K2656" s="17"/>
      <c r="L2656" s="17"/>
      <c r="T2656" s="13"/>
      <c r="U2656" s="13"/>
      <c r="V2656" s="13"/>
      <c r="W2656" s="13"/>
    </row>
    <row r="2657" spans="4:23" ht="27" customHeight="1" x14ac:dyDescent="0.25">
      <c r="D2657" s="14" t="s">
        <v>8411</v>
      </c>
      <c r="E2657" s="14" t="s">
        <v>3065</v>
      </c>
      <c r="F2657" s="84" t="s">
        <v>485</v>
      </c>
      <c r="G2657" s="15" t="s">
        <v>68</v>
      </c>
      <c r="H2657" s="16" t="s">
        <v>8412</v>
      </c>
      <c r="I2657" s="17"/>
      <c r="J2657" s="17"/>
      <c r="K2657" s="17"/>
      <c r="L2657" s="17"/>
      <c r="T2657" s="13"/>
      <c r="U2657" s="13"/>
      <c r="V2657" s="13"/>
      <c r="W2657" s="13"/>
    </row>
    <row r="2658" spans="4:23" ht="27" customHeight="1" x14ac:dyDescent="0.25">
      <c r="D2658" s="14" t="s">
        <v>8413</v>
      </c>
      <c r="E2658" s="14" t="s">
        <v>530</v>
      </c>
      <c r="F2658" s="84" t="s">
        <v>228</v>
      </c>
      <c r="G2658" s="15" t="s">
        <v>27</v>
      </c>
      <c r="H2658" s="16" t="s">
        <v>8414</v>
      </c>
      <c r="I2658" s="17"/>
      <c r="J2658" s="17"/>
      <c r="K2658" s="17"/>
      <c r="L2658" s="17"/>
      <c r="T2658" s="13"/>
      <c r="U2658" s="13"/>
      <c r="V2658" s="13"/>
      <c r="W2658" s="13"/>
    </row>
    <row r="2659" spans="4:23" ht="27" customHeight="1" x14ac:dyDescent="0.25">
      <c r="D2659" s="14" t="s">
        <v>8415</v>
      </c>
      <c r="E2659" s="14" t="s">
        <v>1211</v>
      </c>
      <c r="F2659" s="84" t="s">
        <v>674</v>
      </c>
      <c r="G2659" s="15" t="s">
        <v>27</v>
      </c>
      <c r="H2659" s="16" t="s">
        <v>8416</v>
      </c>
      <c r="I2659" s="17"/>
      <c r="J2659" s="17"/>
      <c r="K2659" s="17"/>
      <c r="L2659" s="17"/>
      <c r="T2659" s="13"/>
      <c r="U2659" s="13"/>
      <c r="V2659" s="13"/>
      <c r="W2659" s="13"/>
    </row>
    <row r="2660" spans="4:23" ht="27" customHeight="1" x14ac:dyDescent="0.25">
      <c r="D2660" s="14" t="s">
        <v>8417</v>
      </c>
      <c r="E2660" s="14" t="s">
        <v>8418</v>
      </c>
      <c r="F2660" s="84" t="s">
        <v>321</v>
      </c>
      <c r="G2660" s="15" t="s">
        <v>27</v>
      </c>
      <c r="H2660" s="16" t="s">
        <v>8419</v>
      </c>
      <c r="I2660" s="17"/>
      <c r="J2660" s="17"/>
      <c r="K2660" s="17"/>
      <c r="L2660" s="17"/>
      <c r="T2660" s="13"/>
      <c r="U2660" s="13"/>
      <c r="V2660" s="13"/>
      <c r="W2660" s="13"/>
    </row>
    <row r="2661" spans="4:23" ht="27" customHeight="1" x14ac:dyDescent="0.25">
      <c r="D2661" s="14" t="s">
        <v>8420</v>
      </c>
      <c r="E2661" s="14" t="s">
        <v>5377</v>
      </c>
      <c r="F2661" s="84" t="s">
        <v>407</v>
      </c>
      <c r="G2661" s="15" t="s">
        <v>68</v>
      </c>
      <c r="H2661" s="16" t="s">
        <v>8421</v>
      </c>
      <c r="I2661" s="17"/>
      <c r="J2661" s="17"/>
      <c r="K2661" s="17"/>
      <c r="L2661" s="17"/>
      <c r="T2661" s="13"/>
      <c r="U2661" s="13"/>
      <c r="V2661" s="13"/>
      <c r="W2661" s="13"/>
    </row>
    <row r="2662" spans="4:23" ht="27" customHeight="1" x14ac:dyDescent="0.25">
      <c r="D2662" s="14" t="s">
        <v>8422</v>
      </c>
      <c r="E2662" s="14" t="s">
        <v>962</v>
      </c>
      <c r="F2662" s="84" t="s">
        <v>1551</v>
      </c>
      <c r="G2662" s="15" t="s">
        <v>27</v>
      </c>
      <c r="H2662" s="16" t="s">
        <v>8423</v>
      </c>
      <c r="I2662" s="17"/>
      <c r="J2662" s="17"/>
      <c r="K2662" s="17"/>
      <c r="L2662" s="17"/>
      <c r="T2662" s="13"/>
      <c r="U2662" s="13"/>
      <c r="V2662" s="13"/>
      <c r="W2662" s="13"/>
    </row>
    <row r="2663" spans="4:23" ht="27" customHeight="1" x14ac:dyDescent="0.25">
      <c r="D2663" s="14" t="s">
        <v>8424</v>
      </c>
      <c r="E2663" s="14" t="s">
        <v>8425</v>
      </c>
      <c r="F2663" s="84" t="s">
        <v>280</v>
      </c>
      <c r="G2663" s="15" t="s">
        <v>27</v>
      </c>
      <c r="H2663" s="16" t="s">
        <v>8426</v>
      </c>
      <c r="I2663" s="17"/>
      <c r="J2663" s="17"/>
      <c r="K2663" s="17"/>
      <c r="L2663" s="17"/>
      <c r="T2663" s="13"/>
      <c r="U2663" s="13"/>
      <c r="V2663" s="13"/>
      <c r="W2663" s="13"/>
    </row>
    <row r="2664" spans="4:23" ht="27" customHeight="1" x14ac:dyDescent="0.25">
      <c r="D2664" s="14" t="s">
        <v>8427</v>
      </c>
      <c r="E2664" s="14" t="s">
        <v>3268</v>
      </c>
      <c r="F2664" s="84" t="s">
        <v>538</v>
      </c>
      <c r="G2664" s="15" t="s">
        <v>27</v>
      </c>
      <c r="H2664" s="16" t="s">
        <v>8428</v>
      </c>
      <c r="I2664" s="17"/>
      <c r="J2664" s="17"/>
      <c r="K2664" s="17"/>
      <c r="L2664" s="17"/>
      <c r="T2664" s="13"/>
      <c r="U2664" s="13"/>
      <c r="V2664" s="13"/>
      <c r="W2664" s="13"/>
    </row>
    <row r="2665" spans="4:23" ht="27" customHeight="1" x14ac:dyDescent="0.25">
      <c r="D2665" s="14" t="s">
        <v>8429</v>
      </c>
      <c r="E2665" s="14" t="s">
        <v>3570</v>
      </c>
      <c r="F2665" s="84" t="s">
        <v>566</v>
      </c>
      <c r="G2665" s="15" t="s">
        <v>68</v>
      </c>
      <c r="H2665" s="16" t="s">
        <v>8430</v>
      </c>
      <c r="I2665" s="17"/>
      <c r="J2665" s="17"/>
      <c r="K2665" s="17"/>
      <c r="L2665" s="17"/>
      <c r="T2665" s="13"/>
      <c r="U2665" s="13"/>
      <c r="V2665" s="13"/>
      <c r="W2665" s="13"/>
    </row>
    <row r="2666" spans="4:23" ht="27" customHeight="1" x14ac:dyDescent="0.25">
      <c r="D2666" s="14" t="s">
        <v>8431</v>
      </c>
      <c r="E2666" s="14" t="s">
        <v>8432</v>
      </c>
      <c r="F2666" s="84" t="s">
        <v>2796</v>
      </c>
      <c r="G2666" s="15" t="s">
        <v>27</v>
      </c>
      <c r="H2666" s="16" t="s">
        <v>8433</v>
      </c>
      <c r="I2666" s="17"/>
      <c r="J2666" s="17"/>
      <c r="K2666" s="17"/>
      <c r="L2666" s="17"/>
      <c r="T2666" s="13"/>
      <c r="U2666" s="13"/>
      <c r="V2666" s="13"/>
      <c r="W2666" s="13"/>
    </row>
    <row r="2667" spans="4:23" ht="27" customHeight="1" x14ac:dyDescent="0.25">
      <c r="D2667" s="14" t="s">
        <v>8434</v>
      </c>
      <c r="E2667" s="14" t="s">
        <v>4035</v>
      </c>
      <c r="F2667" s="84" t="s">
        <v>194</v>
      </c>
      <c r="G2667" s="15" t="s">
        <v>27</v>
      </c>
      <c r="H2667" s="16" t="s">
        <v>8435</v>
      </c>
      <c r="I2667" s="17"/>
      <c r="J2667" s="17"/>
      <c r="K2667" s="17"/>
      <c r="L2667" s="17"/>
      <c r="T2667" s="13"/>
      <c r="U2667" s="13"/>
      <c r="V2667" s="13"/>
      <c r="W2667" s="13"/>
    </row>
    <row r="2668" spans="4:23" ht="27" customHeight="1" x14ac:dyDescent="0.25">
      <c r="D2668" s="14" t="s">
        <v>8436</v>
      </c>
      <c r="E2668" s="14" t="s">
        <v>8437</v>
      </c>
      <c r="F2668" s="84" t="s">
        <v>183</v>
      </c>
      <c r="G2668" s="15" t="s">
        <v>27</v>
      </c>
      <c r="H2668" s="16" t="s">
        <v>8438</v>
      </c>
      <c r="I2668" s="17"/>
      <c r="J2668" s="17"/>
      <c r="K2668" s="17"/>
      <c r="L2668" s="17"/>
      <c r="T2668" s="13"/>
      <c r="U2668" s="13"/>
      <c r="V2668" s="13"/>
      <c r="W2668" s="13"/>
    </row>
    <row r="2669" spans="4:23" ht="27" customHeight="1" x14ac:dyDescent="0.25">
      <c r="D2669" s="14" t="s">
        <v>8439</v>
      </c>
      <c r="E2669" s="14" t="s">
        <v>8440</v>
      </c>
      <c r="F2669" s="84" t="s">
        <v>485</v>
      </c>
      <c r="G2669" s="15" t="s">
        <v>68</v>
      </c>
      <c r="H2669" s="16" t="s">
        <v>8441</v>
      </c>
      <c r="I2669" s="17"/>
      <c r="J2669" s="17"/>
      <c r="K2669" s="17"/>
      <c r="L2669" s="17"/>
      <c r="T2669" s="13"/>
      <c r="U2669" s="13"/>
      <c r="V2669" s="13"/>
      <c r="W2669" s="13"/>
    </row>
    <row r="2670" spans="4:23" ht="27" customHeight="1" x14ac:dyDescent="0.25">
      <c r="D2670" s="14" t="s">
        <v>8442</v>
      </c>
      <c r="E2670" s="14" t="s">
        <v>535</v>
      </c>
      <c r="F2670" s="84" t="s">
        <v>228</v>
      </c>
      <c r="G2670" s="15" t="s">
        <v>27</v>
      </c>
      <c r="H2670" s="16" t="s">
        <v>8443</v>
      </c>
      <c r="I2670" s="17"/>
      <c r="J2670" s="17"/>
      <c r="K2670" s="17"/>
      <c r="L2670" s="17"/>
      <c r="T2670" s="13"/>
      <c r="U2670" s="13"/>
      <c r="V2670" s="13"/>
      <c r="W2670" s="13"/>
    </row>
    <row r="2671" spans="4:23" ht="27" customHeight="1" x14ac:dyDescent="0.25">
      <c r="D2671" s="14" t="s">
        <v>8444</v>
      </c>
      <c r="E2671" s="14" t="s">
        <v>277</v>
      </c>
      <c r="F2671" s="84" t="s">
        <v>3469</v>
      </c>
      <c r="G2671" s="15" t="s">
        <v>27</v>
      </c>
      <c r="H2671" s="16" t="s">
        <v>8445</v>
      </c>
      <c r="I2671" s="17"/>
      <c r="J2671" s="17"/>
      <c r="K2671" s="17"/>
      <c r="L2671" s="17"/>
      <c r="T2671" s="13"/>
      <c r="U2671" s="13"/>
      <c r="V2671" s="13"/>
      <c r="W2671" s="13"/>
    </row>
    <row r="2672" spans="4:23" ht="27" customHeight="1" x14ac:dyDescent="0.25">
      <c r="D2672" s="14" t="s">
        <v>8446</v>
      </c>
      <c r="E2672" s="14" t="s">
        <v>8447</v>
      </c>
      <c r="F2672" s="84" t="s">
        <v>321</v>
      </c>
      <c r="G2672" s="15" t="s">
        <v>27</v>
      </c>
      <c r="H2672" s="16" t="s">
        <v>8448</v>
      </c>
      <c r="I2672" s="17"/>
      <c r="J2672" s="17"/>
      <c r="K2672" s="17"/>
      <c r="L2672" s="17"/>
      <c r="T2672" s="13"/>
      <c r="U2672" s="13"/>
      <c r="V2672" s="13"/>
      <c r="W2672" s="13"/>
    </row>
    <row r="2673" spans="4:23" ht="27" customHeight="1" x14ac:dyDescent="0.25">
      <c r="D2673" s="14" t="s">
        <v>8449</v>
      </c>
      <c r="E2673" s="14" t="s">
        <v>8450</v>
      </c>
      <c r="F2673" s="84" t="s">
        <v>2247</v>
      </c>
      <c r="G2673" s="15" t="s">
        <v>27</v>
      </c>
      <c r="H2673" s="16" t="s">
        <v>8451</v>
      </c>
      <c r="I2673" s="17"/>
      <c r="J2673" s="17"/>
      <c r="K2673" s="17"/>
      <c r="L2673" s="17"/>
      <c r="T2673" s="13"/>
      <c r="U2673" s="13"/>
      <c r="V2673" s="13"/>
      <c r="W2673" s="13"/>
    </row>
    <row r="2674" spans="4:23" ht="27" customHeight="1" x14ac:dyDescent="0.25">
      <c r="D2674" s="14" t="s">
        <v>8452</v>
      </c>
      <c r="E2674" s="14" t="s">
        <v>3534</v>
      </c>
      <c r="F2674" s="84" t="s">
        <v>566</v>
      </c>
      <c r="G2674" s="15" t="s">
        <v>27</v>
      </c>
      <c r="H2674" s="16" t="s">
        <v>8453</v>
      </c>
      <c r="I2674" s="17"/>
      <c r="J2674" s="17"/>
      <c r="K2674" s="17"/>
      <c r="L2674" s="17"/>
      <c r="T2674" s="13"/>
      <c r="U2674" s="13"/>
      <c r="V2674" s="13"/>
      <c r="W2674" s="13"/>
    </row>
    <row r="2675" spans="4:23" ht="27" customHeight="1" x14ac:dyDescent="0.25">
      <c r="D2675" s="14" t="s">
        <v>8454</v>
      </c>
      <c r="E2675" s="14" t="s">
        <v>8455</v>
      </c>
      <c r="F2675" s="84" t="s">
        <v>781</v>
      </c>
      <c r="G2675" s="15" t="s">
        <v>27</v>
      </c>
      <c r="H2675" s="16" t="s">
        <v>8456</v>
      </c>
      <c r="I2675" s="17"/>
      <c r="J2675" s="17"/>
      <c r="K2675" s="17"/>
      <c r="L2675" s="17"/>
      <c r="T2675" s="13"/>
      <c r="U2675" s="13"/>
      <c r="V2675" s="13"/>
      <c r="W2675" s="13"/>
    </row>
    <row r="2676" spans="4:23" ht="27" customHeight="1" x14ac:dyDescent="0.25">
      <c r="D2676" s="14" t="s">
        <v>8457</v>
      </c>
      <c r="E2676" s="14" t="s">
        <v>8458</v>
      </c>
      <c r="F2676" s="84" t="s">
        <v>2718</v>
      </c>
      <c r="G2676" s="15" t="s">
        <v>27</v>
      </c>
      <c r="H2676" s="16" t="s">
        <v>8459</v>
      </c>
      <c r="I2676" s="17"/>
      <c r="J2676" s="17"/>
      <c r="K2676" s="17"/>
      <c r="L2676" s="17"/>
      <c r="T2676" s="13"/>
      <c r="U2676" s="13"/>
      <c r="V2676" s="13"/>
      <c r="W2676" s="13"/>
    </row>
    <row r="2677" spans="4:23" ht="27" customHeight="1" x14ac:dyDescent="0.25">
      <c r="D2677" s="14" t="s">
        <v>8460</v>
      </c>
      <c r="E2677" s="14" t="s">
        <v>8461</v>
      </c>
      <c r="F2677" s="84" t="s">
        <v>597</v>
      </c>
      <c r="G2677" s="15" t="s">
        <v>27</v>
      </c>
      <c r="H2677" s="16" t="s">
        <v>8462</v>
      </c>
      <c r="I2677" s="17"/>
      <c r="J2677" s="17"/>
      <c r="K2677" s="17"/>
      <c r="L2677" s="17"/>
      <c r="T2677" s="13"/>
      <c r="U2677" s="13"/>
      <c r="V2677" s="13"/>
      <c r="W2677" s="13"/>
    </row>
    <row r="2678" spans="4:23" ht="27" customHeight="1" x14ac:dyDescent="0.25">
      <c r="D2678" s="14" t="s">
        <v>8463</v>
      </c>
      <c r="E2678" s="14" t="s">
        <v>2252</v>
      </c>
      <c r="F2678" s="84" t="s">
        <v>627</v>
      </c>
      <c r="G2678" s="15" t="s">
        <v>27</v>
      </c>
      <c r="H2678" s="16" t="s">
        <v>8464</v>
      </c>
      <c r="I2678" s="17"/>
      <c r="J2678" s="17"/>
      <c r="K2678" s="17"/>
      <c r="L2678" s="17"/>
      <c r="T2678" s="13"/>
      <c r="U2678" s="13"/>
      <c r="V2678" s="13"/>
      <c r="W2678" s="13"/>
    </row>
    <row r="2679" spans="4:23" ht="27" customHeight="1" x14ac:dyDescent="0.25">
      <c r="D2679" s="14" t="s">
        <v>8465</v>
      </c>
      <c r="E2679" s="14" t="s">
        <v>4475</v>
      </c>
      <c r="F2679" s="84" t="s">
        <v>1535</v>
      </c>
      <c r="G2679" s="15" t="s">
        <v>68</v>
      </c>
      <c r="H2679" s="16" t="s">
        <v>8466</v>
      </c>
      <c r="I2679" s="17"/>
      <c r="J2679" s="17"/>
      <c r="K2679" s="17"/>
      <c r="L2679" s="17"/>
      <c r="T2679" s="13"/>
      <c r="U2679" s="13"/>
      <c r="V2679" s="13"/>
      <c r="W2679" s="13"/>
    </row>
    <row r="2680" spans="4:23" ht="27" customHeight="1" x14ac:dyDescent="0.25">
      <c r="D2680" s="14" t="s">
        <v>8467</v>
      </c>
      <c r="E2680" s="14" t="s">
        <v>1219</v>
      </c>
      <c r="F2680" s="84" t="s">
        <v>674</v>
      </c>
      <c r="G2680" s="15" t="s">
        <v>27</v>
      </c>
      <c r="H2680" s="16" t="s">
        <v>8468</v>
      </c>
      <c r="I2680" s="17"/>
      <c r="J2680" s="17"/>
      <c r="K2680" s="17"/>
      <c r="L2680" s="17"/>
      <c r="T2680" s="13"/>
      <c r="U2680" s="13"/>
      <c r="V2680" s="13"/>
      <c r="W2680" s="13"/>
    </row>
    <row r="2681" spans="4:23" ht="27" customHeight="1" x14ac:dyDescent="0.25">
      <c r="D2681" s="14" t="s">
        <v>8469</v>
      </c>
      <c r="E2681" s="14" t="s">
        <v>1722</v>
      </c>
      <c r="F2681" s="84" t="s">
        <v>211</v>
      </c>
      <c r="G2681" s="15" t="s">
        <v>68</v>
      </c>
      <c r="H2681" s="16" t="s">
        <v>8470</v>
      </c>
      <c r="I2681" s="17"/>
      <c r="J2681" s="17"/>
      <c r="K2681" s="17"/>
      <c r="L2681" s="17"/>
      <c r="T2681" s="13"/>
      <c r="U2681" s="13"/>
      <c r="V2681" s="13"/>
      <c r="W2681" s="13"/>
    </row>
    <row r="2682" spans="4:23" ht="27" customHeight="1" x14ac:dyDescent="0.25">
      <c r="D2682" s="14" t="s">
        <v>8471</v>
      </c>
      <c r="E2682" s="14" t="s">
        <v>5124</v>
      </c>
      <c r="F2682" s="84" t="s">
        <v>206</v>
      </c>
      <c r="G2682" s="15" t="s">
        <v>27</v>
      </c>
      <c r="H2682" s="16" t="s">
        <v>8472</v>
      </c>
      <c r="I2682" s="17"/>
      <c r="J2682" s="17"/>
      <c r="K2682" s="17"/>
      <c r="L2682" s="17"/>
      <c r="T2682" s="13"/>
      <c r="U2682" s="13"/>
      <c r="V2682" s="13"/>
      <c r="W2682" s="13"/>
    </row>
    <row r="2683" spans="4:23" ht="27" customHeight="1" x14ac:dyDescent="0.25">
      <c r="D2683" s="14" t="s">
        <v>8473</v>
      </c>
      <c r="E2683" s="14" t="s">
        <v>1320</v>
      </c>
      <c r="F2683" s="84" t="s">
        <v>751</v>
      </c>
      <c r="G2683" s="15" t="s">
        <v>27</v>
      </c>
      <c r="H2683" s="16" t="s">
        <v>8474</v>
      </c>
      <c r="I2683" s="17"/>
      <c r="J2683" s="17"/>
      <c r="K2683" s="17"/>
      <c r="L2683" s="17"/>
      <c r="T2683" s="13"/>
      <c r="U2683" s="13"/>
      <c r="V2683" s="13"/>
      <c r="W2683" s="13"/>
    </row>
    <row r="2684" spans="4:23" ht="27" customHeight="1" x14ac:dyDescent="0.25">
      <c r="D2684" s="14" t="s">
        <v>8475</v>
      </c>
      <c r="E2684" s="14" t="s">
        <v>161</v>
      </c>
      <c r="F2684" s="84" t="s">
        <v>4620</v>
      </c>
      <c r="G2684" s="15" t="s">
        <v>27</v>
      </c>
      <c r="H2684" s="16" t="s">
        <v>8476</v>
      </c>
      <c r="I2684" s="17"/>
      <c r="J2684" s="17"/>
      <c r="K2684" s="17"/>
      <c r="L2684" s="17"/>
      <c r="T2684" s="13"/>
      <c r="U2684" s="13"/>
      <c r="V2684" s="13"/>
      <c r="W2684" s="13"/>
    </row>
    <row r="2685" spans="4:23" ht="27" customHeight="1" x14ac:dyDescent="0.25">
      <c r="D2685" s="14" t="s">
        <v>8477</v>
      </c>
      <c r="E2685" s="14" t="s">
        <v>5220</v>
      </c>
      <c r="F2685" s="84" t="s">
        <v>121</v>
      </c>
      <c r="G2685" s="15" t="s">
        <v>27</v>
      </c>
      <c r="H2685" s="16" t="s">
        <v>8478</v>
      </c>
      <c r="I2685" s="17"/>
      <c r="J2685" s="17"/>
      <c r="K2685" s="17"/>
      <c r="L2685" s="17"/>
      <c r="T2685" s="13"/>
      <c r="U2685" s="13"/>
      <c r="V2685" s="13"/>
      <c r="W2685" s="13"/>
    </row>
    <row r="2686" spans="4:23" ht="27" customHeight="1" x14ac:dyDescent="0.25">
      <c r="D2686" s="14" t="s">
        <v>8479</v>
      </c>
      <c r="E2686" s="14" t="s">
        <v>8480</v>
      </c>
      <c r="F2686" s="84" t="s">
        <v>129</v>
      </c>
      <c r="G2686" s="15" t="s">
        <v>68</v>
      </c>
      <c r="H2686" s="16" t="s">
        <v>8481</v>
      </c>
      <c r="I2686" s="17"/>
      <c r="J2686" s="17"/>
      <c r="K2686" s="17"/>
      <c r="L2686" s="17"/>
      <c r="T2686" s="13"/>
      <c r="U2686" s="13"/>
      <c r="V2686" s="13"/>
      <c r="W2686" s="13"/>
    </row>
    <row r="2687" spans="4:23" ht="27" customHeight="1" x14ac:dyDescent="0.25">
      <c r="D2687" s="14" t="s">
        <v>8482</v>
      </c>
      <c r="E2687" s="14" t="s">
        <v>2922</v>
      </c>
      <c r="F2687" s="84" t="s">
        <v>92</v>
      </c>
      <c r="G2687" s="15" t="s">
        <v>68</v>
      </c>
      <c r="H2687" s="16" t="s">
        <v>8483</v>
      </c>
      <c r="I2687" s="17"/>
      <c r="J2687" s="17"/>
      <c r="K2687" s="17"/>
      <c r="L2687" s="17"/>
      <c r="T2687" s="13"/>
      <c r="U2687" s="13"/>
      <c r="V2687" s="13"/>
      <c r="W2687" s="13"/>
    </row>
    <row r="2688" spans="4:23" ht="27" customHeight="1" x14ac:dyDescent="0.25">
      <c r="D2688" s="14" t="s">
        <v>8484</v>
      </c>
      <c r="E2688" s="14" t="s">
        <v>8485</v>
      </c>
      <c r="F2688" s="84" t="s">
        <v>92</v>
      </c>
      <c r="G2688" s="15" t="s">
        <v>27</v>
      </c>
      <c r="H2688" s="16" t="s">
        <v>8486</v>
      </c>
      <c r="I2688" s="17"/>
      <c r="J2688" s="17"/>
      <c r="K2688" s="17"/>
      <c r="L2688" s="17"/>
      <c r="T2688" s="13"/>
      <c r="U2688" s="13"/>
      <c r="V2688" s="13"/>
      <c r="W2688" s="13"/>
    </row>
    <row r="2689" spans="4:23" ht="27" customHeight="1" x14ac:dyDescent="0.25">
      <c r="D2689" s="14" t="s">
        <v>8487</v>
      </c>
      <c r="E2689" s="14" t="s">
        <v>8488</v>
      </c>
      <c r="F2689" s="84" t="s">
        <v>670</v>
      </c>
      <c r="G2689" s="15" t="s">
        <v>27</v>
      </c>
      <c r="H2689" s="16" t="s">
        <v>8489</v>
      </c>
      <c r="I2689" s="17"/>
      <c r="J2689" s="17"/>
      <c r="K2689" s="17"/>
      <c r="L2689" s="17"/>
      <c r="T2689" s="13"/>
      <c r="U2689" s="13"/>
      <c r="V2689" s="13"/>
      <c r="W2689" s="13"/>
    </row>
    <row r="2690" spans="4:23" ht="27" customHeight="1" x14ac:dyDescent="0.25">
      <c r="D2690" s="14" t="s">
        <v>8490</v>
      </c>
      <c r="E2690" s="14" t="s">
        <v>4223</v>
      </c>
      <c r="F2690" s="84" t="s">
        <v>348</v>
      </c>
      <c r="G2690" s="15" t="s">
        <v>27</v>
      </c>
      <c r="H2690" s="16" t="s">
        <v>8491</v>
      </c>
      <c r="I2690" s="17"/>
      <c r="J2690" s="17"/>
      <c r="K2690" s="17"/>
      <c r="L2690" s="17"/>
      <c r="T2690" s="13"/>
      <c r="U2690" s="13"/>
      <c r="V2690" s="13"/>
      <c r="W2690" s="13"/>
    </row>
    <row r="2691" spans="4:23" ht="27" customHeight="1" x14ac:dyDescent="0.25">
      <c r="D2691" s="14" t="s">
        <v>8492</v>
      </c>
      <c r="E2691" s="14" t="s">
        <v>4322</v>
      </c>
      <c r="F2691" s="84" t="s">
        <v>710</v>
      </c>
      <c r="G2691" s="15" t="s">
        <v>27</v>
      </c>
      <c r="H2691" s="16" t="s">
        <v>8493</v>
      </c>
      <c r="I2691" s="17"/>
      <c r="J2691" s="17"/>
      <c r="K2691" s="17"/>
      <c r="L2691" s="17"/>
      <c r="T2691" s="13"/>
      <c r="U2691" s="13"/>
      <c r="V2691" s="13"/>
      <c r="W2691" s="13"/>
    </row>
    <row r="2692" spans="4:23" ht="27" customHeight="1" x14ac:dyDescent="0.25">
      <c r="D2692" s="14" t="s">
        <v>8494</v>
      </c>
      <c r="E2692" s="14" t="s">
        <v>8495</v>
      </c>
      <c r="F2692" s="84" t="s">
        <v>51</v>
      </c>
      <c r="G2692" s="15" t="s">
        <v>27</v>
      </c>
      <c r="H2692" s="16" t="s">
        <v>8496</v>
      </c>
      <c r="I2692" s="17"/>
      <c r="J2692" s="17"/>
      <c r="K2692" s="17"/>
      <c r="L2692" s="17"/>
      <c r="T2692" s="13"/>
      <c r="U2692" s="13"/>
      <c r="V2692" s="13"/>
      <c r="W2692" s="13"/>
    </row>
    <row r="2693" spans="4:23" ht="27" customHeight="1" x14ac:dyDescent="0.25">
      <c r="D2693" s="14" t="s">
        <v>8497</v>
      </c>
      <c r="E2693" s="14" t="s">
        <v>8498</v>
      </c>
      <c r="F2693" s="84" t="s">
        <v>1342</v>
      </c>
      <c r="G2693" s="15" t="s">
        <v>27</v>
      </c>
      <c r="H2693" s="16" t="s">
        <v>8499</v>
      </c>
      <c r="I2693" s="17"/>
      <c r="J2693" s="17"/>
      <c r="K2693" s="17"/>
      <c r="L2693" s="17"/>
      <c r="T2693" s="13"/>
      <c r="U2693" s="13"/>
      <c r="V2693" s="13"/>
      <c r="W2693" s="13"/>
    </row>
    <row r="2694" spans="4:23" ht="27" customHeight="1" x14ac:dyDescent="0.25">
      <c r="D2694" s="14" t="s">
        <v>8500</v>
      </c>
      <c r="E2694" s="14" t="s">
        <v>8501</v>
      </c>
      <c r="F2694" s="84" t="s">
        <v>290</v>
      </c>
      <c r="G2694" s="15" t="s">
        <v>27</v>
      </c>
      <c r="H2694" s="16" t="s">
        <v>8502</v>
      </c>
      <c r="I2694" s="17"/>
      <c r="J2694" s="17"/>
      <c r="K2694" s="17"/>
      <c r="L2694" s="17"/>
      <c r="T2694" s="13"/>
      <c r="U2694" s="13"/>
      <c r="V2694" s="13"/>
      <c r="W2694" s="13"/>
    </row>
    <row r="2695" spans="4:23" ht="27" customHeight="1" x14ac:dyDescent="0.25">
      <c r="D2695" s="14" t="s">
        <v>8503</v>
      </c>
      <c r="E2695" s="14" t="s">
        <v>8504</v>
      </c>
      <c r="F2695" s="84" t="s">
        <v>614</v>
      </c>
      <c r="G2695" s="15" t="s">
        <v>27</v>
      </c>
      <c r="H2695" s="16" t="s">
        <v>8505</v>
      </c>
      <c r="I2695" s="17"/>
      <c r="J2695" s="17"/>
      <c r="K2695" s="17"/>
      <c r="L2695" s="17"/>
      <c r="T2695" s="13"/>
      <c r="U2695" s="13"/>
      <c r="V2695" s="13"/>
      <c r="W2695" s="13"/>
    </row>
    <row r="2696" spans="4:23" ht="27" customHeight="1" x14ac:dyDescent="0.25">
      <c r="D2696" s="14" t="s">
        <v>8506</v>
      </c>
      <c r="E2696" s="14" t="s">
        <v>8507</v>
      </c>
      <c r="F2696" s="84" t="s">
        <v>266</v>
      </c>
      <c r="G2696" s="15" t="s">
        <v>27</v>
      </c>
      <c r="H2696" s="16" t="s">
        <v>8508</v>
      </c>
      <c r="I2696" s="17"/>
      <c r="J2696" s="17"/>
      <c r="K2696" s="17"/>
      <c r="L2696" s="17"/>
      <c r="T2696" s="13"/>
      <c r="U2696" s="13"/>
      <c r="V2696" s="13"/>
      <c r="W2696" s="13"/>
    </row>
    <row r="2697" spans="4:23" ht="27" customHeight="1" x14ac:dyDescent="0.25">
      <c r="D2697" s="14" t="s">
        <v>8509</v>
      </c>
      <c r="E2697" s="14" t="s">
        <v>3589</v>
      </c>
      <c r="F2697" s="84" t="s">
        <v>1201</v>
      </c>
      <c r="G2697" s="15" t="s">
        <v>68</v>
      </c>
      <c r="H2697" s="16" t="s">
        <v>8510</v>
      </c>
      <c r="I2697" s="17"/>
      <c r="J2697" s="17"/>
      <c r="K2697" s="17"/>
      <c r="L2697" s="17"/>
      <c r="T2697" s="13"/>
      <c r="U2697" s="13"/>
      <c r="V2697" s="13"/>
      <c r="W2697" s="13"/>
    </row>
    <row r="2698" spans="4:23" ht="27" customHeight="1" x14ac:dyDescent="0.25">
      <c r="D2698" s="14" t="s">
        <v>8511</v>
      </c>
      <c r="E2698" s="14" t="s">
        <v>8512</v>
      </c>
      <c r="F2698" s="84" t="s">
        <v>332</v>
      </c>
      <c r="G2698" s="15" t="s">
        <v>68</v>
      </c>
      <c r="H2698" s="16" t="s">
        <v>8513</v>
      </c>
      <c r="I2698" s="17"/>
      <c r="J2698" s="17"/>
      <c r="K2698" s="17"/>
      <c r="L2698" s="17"/>
      <c r="T2698" s="13"/>
      <c r="U2698" s="13"/>
      <c r="V2698" s="13"/>
      <c r="W2698" s="13"/>
    </row>
    <row r="2699" spans="4:23" ht="27" customHeight="1" x14ac:dyDescent="0.25">
      <c r="D2699" s="14" t="s">
        <v>8514</v>
      </c>
      <c r="E2699" s="14" t="s">
        <v>1148</v>
      </c>
      <c r="F2699" s="84" t="s">
        <v>67</v>
      </c>
      <c r="G2699" s="15" t="s">
        <v>27</v>
      </c>
      <c r="H2699" s="16" t="s">
        <v>8515</v>
      </c>
      <c r="I2699" s="17"/>
      <c r="J2699" s="17"/>
      <c r="K2699" s="17"/>
      <c r="L2699" s="17"/>
      <c r="T2699" s="13"/>
      <c r="U2699" s="13"/>
      <c r="V2699" s="13"/>
      <c r="W2699" s="13"/>
    </row>
    <row r="2700" spans="4:23" ht="27" customHeight="1" x14ac:dyDescent="0.25">
      <c r="D2700" s="14" t="s">
        <v>8516</v>
      </c>
      <c r="E2700" s="14" t="s">
        <v>2570</v>
      </c>
      <c r="F2700" s="84" t="s">
        <v>159</v>
      </c>
      <c r="G2700" s="15" t="s">
        <v>27</v>
      </c>
      <c r="H2700" s="16" t="s">
        <v>8517</v>
      </c>
      <c r="I2700" s="17"/>
      <c r="J2700" s="17"/>
      <c r="K2700" s="17"/>
      <c r="L2700" s="17"/>
      <c r="T2700" s="13"/>
      <c r="U2700" s="13"/>
      <c r="V2700" s="13"/>
      <c r="W2700" s="13"/>
    </row>
    <row r="2701" spans="4:23" ht="27" customHeight="1" x14ac:dyDescent="0.25">
      <c r="D2701" s="14" t="s">
        <v>8518</v>
      </c>
      <c r="E2701" s="14" t="s">
        <v>1888</v>
      </c>
      <c r="F2701" s="84" t="s">
        <v>381</v>
      </c>
      <c r="G2701" s="15" t="s">
        <v>27</v>
      </c>
      <c r="H2701" s="16" t="s">
        <v>8519</v>
      </c>
      <c r="I2701" s="17"/>
      <c r="J2701" s="17"/>
      <c r="K2701" s="17"/>
      <c r="L2701" s="17"/>
      <c r="T2701" s="13"/>
      <c r="U2701" s="13"/>
      <c r="V2701" s="13"/>
      <c r="W2701" s="13"/>
    </row>
    <row r="2702" spans="4:23" ht="27" customHeight="1" x14ac:dyDescent="0.25">
      <c r="D2702" s="14" t="s">
        <v>8520</v>
      </c>
      <c r="E2702" s="14" t="s">
        <v>1917</v>
      </c>
      <c r="F2702" s="84" t="s">
        <v>381</v>
      </c>
      <c r="G2702" s="15" t="s">
        <v>68</v>
      </c>
      <c r="H2702" s="16" t="s">
        <v>8521</v>
      </c>
      <c r="I2702" s="17"/>
      <c r="J2702" s="17"/>
      <c r="K2702" s="17"/>
      <c r="L2702" s="17"/>
      <c r="T2702" s="13"/>
      <c r="U2702" s="13"/>
      <c r="V2702" s="13"/>
      <c r="W2702" s="13"/>
    </row>
    <row r="2703" spans="4:23" ht="27" customHeight="1" x14ac:dyDescent="0.25">
      <c r="D2703" s="14" t="s">
        <v>8522</v>
      </c>
      <c r="E2703" s="14" t="s">
        <v>8523</v>
      </c>
      <c r="F2703" s="84" t="s">
        <v>200</v>
      </c>
      <c r="G2703" s="15" t="s">
        <v>27</v>
      </c>
      <c r="H2703" s="16" t="s">
        <v>8524</v>
      </c>
      <c r="I2703" s="17"/>
      <c r="J2703" s="17"/>
      <c r="K2703" s="17"/>
      <c r="L2703" s="17"/>
      <c r="T2703" s="13"/>
      <c r="U2703" s="13"/>
      <c r="V2703" s="13"/>
      <c r="W2703" s="13"/>
    </row>
    <row r="2704" spans="4:23" ht="27" customHeight="1" x14ac:dyDescent="0.25">
      <c r="D2704" s="14" t="s">
        <v>8525</v>
      </c>
      <c r="E2704" s="14" t="s">
        <v>8526</v>
      </c>
      <c r="F2704" s="84" t="s">
        <v>8219</v>
      </c>
      <c r="G2704" s="15" t="s">
        <v>27</v>
      </c>
      <c r="H2704" s="16" t="s">
        <v>8527</v>
      </c>
      <c r="I2704" s="17"/>
      <c r="J2704" s="17"/>
      <c r="K2704" s="17"/>
      <c r="L2704" s="17"/>
      <c r="T2704" s="13"/>
      <c r="U2704" s="13"/>
      <c r="V2704" s="13"/>
      <c r="W2704" s="13"/>
    </row>
    <row r="2705" spans="4:23" ht="27" customHeight="1" x14ac:dyDescent="0.25">
      <c r="D2705" s="14" t="s">
        <v>8528</v>
      </c>
      <c r="E2705" s="14" t="s">
        <v>8529</v>
      </c>
      <c r="F2705" s="84" t="s">
        <v>524</v>
      </c>
      <c r="G2705" s="15" t="s">
        <v>27</v>
      </c>
      <c r="H2705" s="16" t="s">
        <v>8530</v>
      </c>
      <c r="I2705" s="17"/>
      <c r="J2705" s="17"/>
      <c r="K2705" s="17"/>
      <c r="L2705" s="17"/>
      <c r="T2705" s="13"/>
      <c r="U2705" s="13"/>
      <c r="V2705" s="13"/>
      <c r="W2705" s="13"/>
    </row>
    <row r="2706" spans="4:23" ht="27" customHeight="1" x14ac:dyDescent="0.25">
      <c r="D2706" s="14" t="s">
        <v>8531</v>
      </c>
      <c r="E2706" s="14" t="s">
        <v>8532</v>
      </c>
      <c r="F2706" s="84" t="s">
        <v>969</v>
      </c>
      <c r="G2706" s="15" t="s">
        <v>68</v>
      </c>
      <c r="H2706" s="16" t="s">
        <v>8533</v>
      </c>
      <c r="I2706" s="17"/>
      <c r="J2706" s="17"/>
      <c r="K2706" s="17"/>
      <c r="L2706" s="17"/>
      <c r="T2706" s="13"/>
      <c r="U2706" s="13"/>
      <c r="V2706" s="13"/>
      <c r="W2706" s="13"/>
    </row>
    <row r="2707" spans="4:23" ht="27" customHeight="1" x14ac:dyDescent="0.25">
      <c r="D2707" s="14" t="s">
        <v>8534</v>
      </c>
      <c r="E2707" s="14" t="s">
        <v>1971</v>
      </c>
      <c r="F2707" s="84" t="s">
        <v>143</v>
      </c>
      <c r="G2707" s="15" t="s">
        <v>27</v>
      </c>
      <c r="H2707" s="16" t="s">
        <v>8535</v>
      </c>
      <c r="I2707" s="17"/>
      <c r="J2707" s="17"/>
      <c r="K2707" s="17"/>
      <c r="L2707" s="17"/>
      <c r="T2707" s="13"/>
      <c r="U2707" s="13"/>
      <c r="V2707" s="13"/>
      <c r="W2707" s="13"/>
    </row>
    <row r="2708" spans="4:23" ht="27" customHeight="1" x14ac:dyDescent="0.25">
      <c r="D2708" s="14" t="s">
        <v>8536</v>
      </c>
      <c r="E2708" s="14" t="s">
        <v>8537</v>
      </c>
      <c r="F2708" s="84" t="s">
        <v>524</v>
      </c>
      <c r="G2708" s="15" t="s">
        <v>27</v>
      </c>
      <c r="H2708" s="16" t="s">
        <v>8538</v>
      </c>
      <c r="I2708" s="17"/>
      <c r="J2708" s="17"/>
      <c r="K2708" s="17"/>
      <c r="L2708" s="17"/>
      <c r="T2708" s="13"/>
      <c r="U2708" s="13"/>
      <c r="V2708" s="13"/>
      <c r="W2708" s="13"/>
    </row>
    <row r="2709" spans="4:23" ht="27" customHeight="1" x14ac:dyDescent="0.25">
      <c r="D2709" s="14" t="s">
        <v>8539</v>
      </c>
      <c r="E2709" s="14" t="s">
        <v>3062</v>
      </c>
      <c r="F2709" s="84" t="s">
        <v>485</v>
      </c>
      <c r="G2709" s="15" t="s">
        <v>68</v>
      </c>
      <c r="H2709" s="16" t="s">
        <v>8540</v>
      </c>
      <c r="I2709" s="17"/>
      <c r="J2709" s="17"/>
      <c r="K2709" s="17"/>
      <c r="L2709" s="17"/>
      <c r="T2709" s="13"/>
      <c r="U2709" s="13"/>
      <c r="V2709" s="13"/>
      <c r="W2709" s="13"/>
    </row>
    <row r="2710" spans="4:23" ht="27" customHeight="1" x14ac:dyDescent="0.25">
      <c r="D2710" s="14" t="s">
        <v>8541</v>
      </c>
      <c r="E2710" s="14" t="s">
        <v>8542</v>
      </c>
      <c r="F2710" s="84" t="s">
        <v>602</v>
      </c>
      <c r="G2710" s="15" t="s">
        <v>68</v>
      </c>
      <c r="H2710" s="16" t="s">
        <v>8543</v>
      </c>
      <c r="I2710" s="17"/>
      <c r="J2710" s="17"/>
      <c r="K2710" s="17"/>
      <c r="L2710" s="17"/>
      <c r="T2710" s="13"/>
      <c r="U2710" s="13"/>
      <c r="V2710" s="13"/>
      <c r="W2710" s="13"/>
    </row>
    <row r="2711" spans="4:23" ht="27" customHeight="1" x14ac:dyDescent="0.25">
      <c r="D2711" s="14" t="s">
        <v>8544</v>
      </c>
      <c r="E2711" s="14" t="s">
        <v>8545</v>
      </c>
      <c r="F2711" s="84" t="s">
        <v>67</v>
      </c>
      <c r="G2711" s="15" t="s">
        <v>27</v>
      </c>
      <c r="H2711" s="16" t="s">
        <v>8546</v>
      </c>
      <c r="I2711" s="17"/>
      <c r="J2711" s="17"/>
      <c r="K2711" s="17"/>
      <c r="L2711" s="17"/>
      <c r="T2711" s="13"/>
      <c r="U2711" s="13"/>
      <c r="V2711" s="13"/>
      <c r="W2711" s="13"/>
    </row>
    <row r="2712" spans="4:23" ht="27" customHeight="1" x14ac:dyDescent="0.25">
      <c r="D2712" s="14" t="s">
        <v>8547</v>
      </c>
      <c r="E2712" s="14" t="s">
        <v>3791</v>
      </c>
      <c r="F2712" s="84" t="s">
        <v>471</v>
      </c>
      <c r="G2712" s="15" t="s">
        <v>68</v>
      </c>
      <c r="H2712" s="16" t="s">
        <v>8548</v>
      </c>
      <c r="I2712" s="17"/>
      <c r="J2712" s="17"/>
      <c r="K2712" s="17"/>
      <c r="L2712" s="17"/>
      <c r="T2712" s="13"/>
      <c r="U2712" s="13"/>
      <c r="V2712" s="13"/>
      <c r="W2712" s="13"/>
    </row>
    <row r="2713" spans="4:23" ht="27" customHeight="1" x14ac:dyDescent="0.25">
      <c r="D2713" s="14" t="s">
        <v>8549</v>
      </c>
      <c r="E2713" s="14" t="s">
        <v>8550</v>
      </c>
      <c r="F2713" s="84" t="s">
        <v>296</v>
      </c>
      <c r="G2713" s="15" t="s">
        <v>27</v>
      </c>
      <c r="H2713" s="16" t="s">
        <v>8551</v>
      </c>
      <c r="I2713" s="17"/>
      <c r="J2713" s="17"/>
      <c r="K2713" s="17"/>
      <c r="L2713" s="17"/>
      <c r="T2713" s="13"/>
      <c r="U2713" s="13"/>
      <c r="V2713" s="13"/>
      <c r="W2713" s="13"/>
    </row>
    <row r="2714" spans="4:23" ht="27" customHeight="1" x14ac:dyDescent="0.25">
      <c r="D2714" s="14" t="s">
        <v>8552</v>
      </c>
      <c r="E2714" s="14" t="s">
        <v>3838</v>
      </c>
      <c r="F2714" s="84" t="s">
        <v>61</v>
      </c>
      <c r="G2714" s="15" t="s">
        <v>27</v>
      </c>
      <c r="H2714" s="16" t="s">
        <v>8553</v>
      </c>
      <c r="I2714" s="17"/>
      <c r="J2714" s="17"/>
      <c r="K2714" s="17"/>
      <c r="L2714" s="17"/>
      <c r="T2714" s="13"/>
      <c r="U2714" s="13"/>
      <c r="V2714" s="13"/>
      <c r="W2714" s="13"/>
    </row>
    <row r="2715" spans="4:23" ht="27" customHeight="1" x14ac:dyDescent="0.25">
      <c r="D2715" s="14" t="s">
        <v>8554</v>
      </c>
      <c r="E2715" s="14" t="s">
        <v>8555</v>
      </c>
      <c r="F2715" s="84" t="s">
        <v>2773</v>
      </c>
      <c r="G2715" s="15" t="s">
        <v>68</v>
      </c>
      <c r="H2715" s="16" t="s">
        <v>8556</v>
      </c>
      <c r="I2715" s="17"/>
      <c r="J2715" s="17"/>
      <c r="K2715" s="17"/>
      <c r="L2715" s="17"/>
      <c r="T2715" s="13"/>
      <c r="U2715" s="13"/>
      <c r="V2715" s="13"/>
      <c r="W2715" s="13"/>
    </row>
    <row r="2716" spans="4:23" ht="27" customHeight="1" x14ac:dyDescent="0.25">
      <c r="D2716" s="14" t="s">
        <v>8557</v>
      </c>
      <c r="E2716" s="14" t="s">
        <v>8558</v>
      </c>
      <c r="F2716" s="84" t="s">
        <v>290</v>
      </c>
      <c r="G2716" s="15" t="s">
        <v>27</v>
      </c>
      <c r="H2716" s="16" t="s">
        <v>8559</v>
      </c>
      <c r="I2716" s="17"/>
      <c r="J2716" s="17"/>
      <c r="K2716" s="17"/>
      <c r="L2716" s="17"/>
      <c r="T2716" s="13"/>
      <c r="U2716" s="13"/>
      <c r="V2716" s="13"/>
      <c r="W2716" s="13"/>
    </row>
    <row r="2717" spans="4:23" ht="27" customHeight="1" x14ac:dyDescent="0.25">
      <c r="D2717" s="14" t="s">
        <v>8560</v>
      </c>
      <c r="E2717" s="14" t="s">
        <v>2050</v>
      </c>
      <c r="F2717" s="84" t="s">
        <v>412</v>
      </c>
      <c r="G2717" s="15" t="s">
        <v>68</v>
      </c>
      <c r="H2717" s="16" t="s">
        <v>8561</v>
      </c>
      <c r="I2717" s="17"/>
      <c r="J2717" s="17"/>
      <c r="K2717" s="17"/>
      <c r="L2717" s="17"/>
      <c r="T2717" s="13"/>
      <c r="U2717" s="13"/>
      <c r="V2717" s="13"/>
      <c r="W2717" s="13"/>
    </row>
    <row r="2718" spans="4:23" ht="27" customHeight="1" x14ac:dyDescent="0.25">
      <c r="D2718" s="14" t="s">
        <v>8562</v>
      </c>
      <c r="E2718" s="14" t="s">
        <v>8563</v>
      </c>
      <c r="F2718" s="84" t="s">
        <v>499</v>
      </c>
      <c r="G2718" s="15" t="s">
        <v>27</v>
      </c>
      <c r="H2718" s="16" t="s">
        <v>8564</v>
      </c>
      <c r="I2718" s="17"/>
      <c r="J2718" s="17"/>
      <c r="K2718" s="17"/>
      <c r="L2718" s="17"/>
      <c r="T2718" s="13"/>
      <c r="U2718" s="13"/>
      <c r="V2718" s="13"/>
      <c r="W2718" s="13"/>
    </row>
    <row r="2719" spans="4:23" ht="27" customHeight="1" x14ac:dyDescent="0.25">
      <c r="D2719" s="14" t="s">
        <v>8565</v>
      </c>
      <c r="E2719" s="14" t="s">
        <v>8566</v>
      </c>
      <c r="F2719" s="84" t="s">
        <v>266</v>
      </c>
      <c r="G2719" s="15" t="s">
        <v>68</v>
      </c>
      <c r="H2719" s="16" t="s">
        <v>8567</v>
      </c>
      <c r="I2719" s="17"/>
      <c r="J2719" s="17"/>
      <c r="K2719" s="17"/>
      <c r="L2719" s="17"/>
      <c r="T2719" s="13"/>
      <c r="U2719" s="13"/>
      <c r="V2719" s="13"/>
      <c r="W2719" s="13"/>
    </row>
    <row r="2720" spans="4:23" ht="27" customHeight="1" x14ac:dyDescent="0.25">
      <c r="D2720" s="14" t="s">
        <v>8568</v>
      </c>
      <c r="E2720" s="14" t="s">
        <v>8569</v>
      </c>
      <c r="F2720" s="84" t="s">
        <v>751</v>
      </c>
      <c r="G2720" s="15" t="s">
        <v>27</v>
      </c>
      <c r="H2720" s="16" t="s">
        <v>8570</v>
      </c>
      <c r="I2720" s="17"/>
      <c r="J2720" s="17"/>
      <c r="K2720" s="17"/>
      <c r="L2720" s="17"/>
      <c r="T2720" s="13"/>
      <c r="U2720" s="13"/>
      <c r="V2720" s="13"/>
      <c r="W2720" s="13"/>
    </row>
    <row r="2721" spans="4:23" ht="27" customHeight="1" x14ac:dyDescent="0.25">
      <c r="D2721" s="14" t="s">
        <v>8571</v>
      </c>
      <c r="E2721" s="14" t="s">
        <v>4425</v>
      </c>
      <c r="F2721" s="84" t="s">
        <v>1535</v>
      </c>
      <c r="G2721" s="15" t="s">
        <v>27</v>
      </c>
      <c r="H2721" s="16" t="s">
        <v>8572</v>
      </c>
      <c r="I2721" s="17"/>
      <c r="J2721" s="17"/>
      <c r="K2721" s="17"/>
      <c r="L2721" s="17"/>
      <c r="T2721" s="13"/>
      <c r="U2721" s="13"/>
      <c r="V2721" s="13"/>
      <c r="W2721" s="13"/>
    </row>
    <row r="2722" spans="4:23" ht="27" customHeight="1" x14ac:dyDescent="0.25">
      <c r="D2722" s="14" t="s">
        <v>8573</v>
      </c>
      <c r="E2722" s="14" t="s">
        <v>4831</v>
      </c>
      <c r="F2722" s="84" t="s">
        <v>402</v>
      </c>
      <c r="G2722" s="15" t="s">
        <v>68</v>
      </c>
      <c r="H2722" s="16" t="s">
        <v>8574</v>
      </c>
      <c r="I2722" s="17"/>
      <c r="J2722" s="17"/>
      <c r="K2722" s="17"/>
      <c r="L2722" s="17"/>
      <c r="T2722" s="13"/>
      <c r="U2722" s="13"/>
      <c r="V2722" s="13"/>
      <c r="W2722" s="13"/>
    </row>
    <row r="2723" spans="4:23" ht="27" customHeight="1" x14ac:dyDescent="0.25">
      <c r="D2723" s="14" t="s">
        <v>8575</v>
      </c>
      <c r="E2723" s="14" t="s">
        <v>8576</v>
      </c>
      <c r="F2723" s="84" t="s">
        <v>1716</v>
      </c>
      <c r="G2723" s="15" t="s">
        <v>68</v>
      </c>
      <c r="H2723" s="16" t="s">
        <v>8577</v>
      </c>
      <c r="I2723" s="17"/>
      <c r="J2723" s="17"/>
      <c r="K2723" s="17"/>
      <c r="L2723" s="17"/>
      <c r="T2723" s="13"/>
      <c r="U2723" s="13"/>
      <c r="V2723" s="13"/>
      <c r="W2723" s="13"/>
    </row>
    <row r="2724" spans="4:23" ht="27" customHeight="1" x14ac:dyDescent="0.25">
      <c r="D2724" s="14" t="s">
        <v>8578</v>
      </c>
      <c r="E2724" s="14" t="s">
        <v>3041</v>
      </c>
      <c r="F2724" s="84" t="s">
        <v>485</v>
      </c>
      <c r="G2724" s="15" t="s">
        <v>68</v>
      </c>
      <c r="H2724" s="16" t="s">
        <v>8579</v>
      </c>
      <c r="I2724" s="17"/>
      <c r="J2724" s="17"/>
      <c r="K2724" s="17"/>
      <c r="L2724" s="17"/>
      <c r="T2724" s="13"/>
      <c r="U2724" s="13"/>
      <c r="V2724" s="13"/>
      <c r="W2724" s="13"/>
    </row>
    <row r="2725" spans="4:23" ht="27" customHeight="1" x14ac:dyDescent="0.25">
      <c r="D2725" s="14" t="s">
        <v>8580</v>
      </c>
      <c r="E2725" s="14" t="s">
        <v>8581</v>
      </c>
      <c r="F2725" s="84" t="s">
        <v>764</v>
      </c>
      <c r="G2725" s="15" t="s">
        <v>68</v>
      </c>
      <c r="H2725" s="16" t="s">
        <v>8582</v>
      </c>
      <c r="I2725" s="17"/>
      <c r="J2725" s="17"/>
      <c r="K2725" s="17"/>
      <c r="L2725" s="17"/>
      <c r="T2725" s="13"/>
      <c r="U2725" s="13"/>
      <c r="V2725" s="13"/>
      <c r="W2725" s="13"/>
    </row>
    <row r="2726" spans="4:23" ht="27" customHeight="1" x14ac:dyDescent="0.25">
      <c r="D2726" s="14" t="s">
        <v>8583</v>
      </c>
      <c r="E2726" s="14" t="s">
        <v>1155</v>
      </c>
      <c r="F2726" s="84" t="s">
        <v>6436</v>
      </c>
      <c r="G2726" s="15" t="s">
        <v>68</v>
      </c>
      <c r="H2726" s="16" t="s">
        <v>8584</v>
      </c>
      <c r="I2726" s="17"/>
      <c r="J2726" s="17"/>
      <c r="K2726" s="17"/>
      <c r="L2726" s="17"/>
      <c r="T2726" s="13"/>
      <c r="U2726" s="13"/>
      <c r="V2726" s="13"/>
      <c r="W2726" s="13"/>
    </row>
    <row r="2727" spans="4:23" ht="27" customHeight="1" x14ac:dyDescent="0.25">
      <c r="D2727" s="14" t="s">
        <v>8585</v>
      </c>
      <c r="E2727" s="14" t="s">
        <v>8586</v>
      </c>
      <c r="F2727" s="84" t="s">
        <v>1572</v>
      </c>
      <c r="G2727" s="15" t="s">
        <v>68</v>
      </c>
      <c r="H2727" s="16" t="s">
        <v>8587</v>
      </c>
      <c r="I2727" s="17"/>
      <c r="J2727" s="17"/>
      <c r="K2727" s="17"/>
      <c r="L2727" s="17"/>
      <c r="T2727" s="13"/>
      <c r="U2727" s="13"/>
      <c r="V2727" s="13"/>
      <c r="W2727" s="13"/>
    </row>
    <row r="2728" spans="4:23" ht="27" customHeight="1" x14ac:dyDescent="0.25">
      <c r="D2728" s="14" t="s">
        <v>8588</v>
      </c>
      <c r="E2728" s="14" t="s">
        <v>8589</v>
      </c>
      <c r="F2728" s="84" t="s">
        <v>183</v>
      </c>
      <c r="G2728" s="15" t="s">
        <v>27</v>
      </c>
      <c r="H2728" s="16" t="s">
        <v>8590</v>
      </c>
      <c r="I2728" s="17"/>
      <c r="J2728" s="17"/>
      <c r="K2728" s="17"/>
      <c r="L2728" s="17"/>
      <c r="T2728" s="13"/>
      <c r="U2728" s="13"/>
      <c r="V2728" s="13"/>
      <c r="W2728" s="13"/>
    </row>
    <row r="2729" spans="4:23" ht="27" customHeight="1" x14ac:dyDescent="0.25">
      <c r="D2729" s="14" t="s">
        <v>8591</v>
      </c>
      <c r="E2729" s="14" t="s">
        <v>1678</v>
      </c>
      <c r="F2729" s="84" t="s">
        <v>781</v>
      </c>
      <c r="G2729" s="15" t="s">
        <v>68</v>
      </c>
      <c r="H2729" s="16" t="s">
        <v>8592</v>
      </c>
      <c r="I2729" s="17"/>
      <c r="J2729" s="17"/>
      <c r="K2729" s="17"/>
      <c r="L2729" s="17"/>
      <c r="T2729" s="13"/>
      <c r="U2729" s="13"/>
      <c r="V2729" s="13"/>
      <c r="W2729" s="13"/>
    </row>
    <row r="2730" spans="4:23" ht="27" customHeight="1" x14ac:dyDescent="0.25">
      <c r="D2730" s="14" t="s">
        <v>8593</v>
      </c>
      <c r="E2730" s="14" t="s">
        <v>8594</v>
      </c>
      <c r="F2730" s="84" t="s">
        <v>480</v>
      </c>
      <c r="G2730" s="15" t="s">
        <v>68</v>
      </c>
      <c r="H2730" s="16" t="s">
        <v>8595</v>
      </c>
      <c r="I2730" s="17"/>
      <c r="J2730" s="17"/>
      <c r="K2730" s="17"/>
      <c r="L2730" s="17"/>
      <c r="T2730" s="13"/>
      <c r="U2730" s="13"/>
      <c r="V2730" s="13"/>
      <c r="W2730" s="13"/>
    </row>
    <row r="2731" spans="4:23" ht="27" customHeight="1" x14ac:dyDescent="0.25">
      <c r="D2731" s="14" t="s">
        <v>8596</v>
      </c>
      <c r="E2731" s="14" t="s">
        <v>8597</v>
      </c>
      <c r="F2731" s="84" t="s">
        <v>1572</v>
      </c>
      <c r="G2731" s="15" t="s">
        <v>27</v>
      </c>
      <c r="H2731" s="16" t="s">
        <v>8598</v>
      </c>
      <c r="I2731" s="17"/>
      <c r="J2731" s="17"/>
      <c r="K2731" s="17"/>
      <c r="L2731" s="17"/>
      <c r="T2731" s="13"/>
      <c r="U2731" s="13"/>
      <c r="V2731" s="13"/>
      <c r="W2731" s="13"/>
    </row>
    <row r="2732" spans="4:23" ht="27" customHeight="1" x14ac:dyDescent="0.25">
      <c r="D2732" s="14" t="s">
        <v>8599</v>
      </c>
      <c r="E2732" s="14" t="s">
        <v>4739</v>
      </c>
      <c r="F2732" s="84" t="s">
        <v>402</v>
      </c>
      <c r="G2732" s="15" t="s">
        <v>27</v>
      </c>
      <c r="H2732" s="16" t="s">
        <v>8600</v>
      </c>
      <c r="I2732" s="17"/>
      <c r="J2732" s="17"/>
      <c r="K2732" s="17"/>
      <c r="L2732" s="17"/>
      <c r="T2732" s="13"/>
      <c r="U2732" s="13"/>
      <c r="V2732" s="13"/>
      <c r="W2732" s="13"/>
    </row>
    <row r="2733" spans="4:23" ht="27" customHeight="1" x14ac:dyDescent="0.25">
      <c r="D2733" s="14" t="s">
        <v>8601</v>
      </c>
      <c r="E2733" s="14" t="s">
        <v>5499</v>
      </c>
      <c r="F2733" s="84" t="s">
        <v>46</v>
      </c>
      <c r="G2733" s="15" t="s">
        <v>27</v>
      </c>
      <c r="H2733" s="16" t="s">
        <v>8602</v>
      </c>
      <c r="I2733" s="17"/>
      <c r="J2733" s="17"/>
      <c r="K2733" s="17"/>
      <c r="L2733" s="17"/>
      <c r="T2733" s="13"/>
      <c r="U2733" s="13"/>
      <c r="V2733" s="13"/>
      <c r="W2733" s="13"/>
    </row>
    <row r="2734" spans="4:23" ht="27" customHeight="1" x14ac:dyDescent="0.25">
      <c r="D2734" s="14" t="s">
        <v>8603</v>
      </c>
      <c r="E2734" s="14" t="s">
        <v>8604</v>
      </c>
      <c r="F2734" s="84" t="s">
        <v>439</v>
      </c>
      <c r="G2734" s="15" t="s">
        <v>68</v>
      </c>
      <c r="H2734" s="16" t="s">
        <v>8605</v>
      </c>
      <c r="I2734" s="17"/>
      <c r="J2734" s="17"/>
      <c r="K2734" s="17"/>
      <c r="L2734" s="17"/>
      <c r="T2734" s="13"/>
      <c r="U2734" s="13"/>
      <c r="V2734" s="13"/>
      <c r="W2734" s="13"/>
    </row>
    <row r="2735" spans="4:23" ht="27" customHeight="1" x14ac:dyDescent="0.25">
      <c r="D2735" s="14" t="s">
        <v>8606</v>
      </c>
      <c r="E2735" s="14" t="s">
        <v>8607</v>
      </c>
      <c r="F2735" s="84" t="s">
        <v>834</v>
      </c>
      <c r="G2735" s="15" t="s">
        <v>27</v>
      </c>
      <c r="H2735" s="16" t="s">
        <v>8608</v>
      </c>
      <c r="I2735" s="17"/>
      <c r="J2735" s="17"/>
      <c r="K2735" s="17"/>
      <c r="L2735" s="17"/>
      <c r="T2735" s="13"/>
      <c r="U2735" s="13"/>
      <c r="V2735" s="13"/>
      <c r="W2735" s="13"/>
    </row>
    <row r="2736" spans="4:23" ht="27" customHeight="1" x14ac:dyDescent="0.25">
      <c r="D2736" s="14" t="s">
        <v>8609</v>
      </c>
      <c r="E2736" s="14" t="s">
        <v>2172</v>
      </c>
      <c r="F2736" s="84" t="s">
        <v>1886</v>
      </c>
      <c r="G2736" s="15" t="s">
        <v>27</v>
      </c>
      <c r="H2736" s="16" t="s">
        <v>8610</v>
      </c>
      <c r="I2736" s="17"/>
      <c r="J2736" s="17"/>
      <c r="K2736" s="17"/>
      <c r="L2736" s="17"/>
      <c r="T2736" s="13"/>
      <c r="U2736" s="13"/>
      <c r="V2736" s="13"/>
      <c r="W2736" s="13"/>
    </row>
    <row r="2737" spans="4:23" ht="27" customHeight="1" x14ac:dyDescent="0.25">
      <c r="D2737" s="14" t="s">
        <v>8611</v>
      </c>
      <c r="E2737" s="14" t="s">
        <v>8612</v>
      </c>
      <c r="F2737" s="84" t="s">
        <v>233</v>
      </c>
      <c r="G2737" s="15" t="s">
        <v>68</v>
      </c>
      <c r="H2737" s="16" t="s">
        <v>8613</v>
      </c>
      <c r="I2737" s="17"/>
      <c r="J2737" s="17"/>
      <c r="K2737" s="17"/>
      <c r="L2737" s="17"/>
      <c r="T2737" s="13"/>
      <c r="U2737" s="13"/>
      <c r="V2737" s="13"/>
      <c r="W2737" s="13"/>
    </row>
    <row r="2738" spans="4:23" ht="27" customHeight="1" x14ac:dyDescent="0.25">
      <c r="D2738" s="14" t="s">
        <v>8614</v>
      </c>
      <c r="E2738" s="14" t="s">
        <v>3562</v>
      </c>
      <c r="F2738" s="84" t="s">
        <v>566</v>
      </c>
      <c r="G2738" s="15" t="s">
        <v>68</v>
      </c>
      <c r="H2738" s="16" t="s">
        <v>8615</v>
      </c>
      <c r="I2738" s="17"/>
      <c r="J2738" s="17"/>
      <c r="K2738" s="17"/>
      <c r="L2738" s="17"/>
      <c r="T2738" s="13"/>
      <c r="U2738" s="13"/>
      <c r="V2738" s="13"/>
      <c r="W2738" s="13"/>
    </row>
    <row r="2739" spans="4:23" ht="27" customHeight="1" x14ac:dyDescent="0.25">
      <c r="D2739" s="14" t="s">
        <v>8616</v>
      </c>
      <c r="E2739" s="14" t="s">
        <v>3172</v>
      </c>
      <c r="F2739" s="84" t="s">
        <v>453</v>
      </c>
      <c r="G2739" s="15" t="s">
        <v>68</v>
      </c>
      <c r="H2739" s="16" t="s">
        <v>8617</v>
      </c>
      <c r="I2739" s="17"/>
      <c r="J2739" s="17"/>
      <c r="K2739" s="17"/>
      <c r="L2739" s="17"/>
      <c r="T2739" s="13"/>
      <c r="U2739" s="13"/>
      <c r="V2739" s="13"/>
      <c r="W2739" s="13"/>
    </row>
    <row r="2740" spans="4:23" ht="27" customHeight="1" x14ac:dyDescent="0.25">
      <c r="D2740" s="14" t="s">
        <v>8618</v>
      </c>
      <c r="E2740" s="14" t="s">
        <v>8619</v>
      </c>
      <c r="F2740" s="84" t="s">
        <v>934</v>
      </c>
      <c r="G2740" s="15" t="s">
        <v>27</v>
      </c>
      <c r="H2740" s="16" t="s">
        <v>8620</v>
      </c>
      <c r="I2740" s="17"/>
      <c r="J2740" s="17"/>
      <c r="K2740" s="17"/>
      <c r="L2740" s="17"/>
      <c r="T2740" s="13"/>
      <c r="U2740" s="13"/>
      <c r="V2740" s="13"/>
      <c r="W2740" s="13"/>
    </row>
    <row r="2741" spans="4:23" ht="27" customHeight="1" x14ac:dyDescent="0.25">
      <c r="D2741" s="14" t="s">
        <v>8621</v>
      </c>
      <c r="E2741" s="14" t="s">
        <v>263</v>
      </c>
      <c r="F2741" s="84" t="s">
        <v>1716</v>
      </c>
      <c r="G2741" s="15" t="s">
        <v>27</v>
      </c>
      <c r="H2741" s="16" t="s">
        <v>8622</v>
      </c>
      <c r="I2741" s="17"/>
      <c r="J2741" s="17"/>
      <c r="K2741" s="17"/>
      <c r="L2741" s="17"/>
      <c r="T2741" s="13"/>
      <c r="U2741" s="13"/>
      <c r="V2741" s="13"/>
      <c r="W2741" s="13"/>
    </row>
    <row r="2742" spans="4:23" ht="27" customHeight="1" x14ac:dyDescent="0.25">
      <c r="D2742" s="14" t="s">
        <v>8623</v>
      </c>
      <c r="E2742" s="14" t="s">
        <v>1608</v>
      </c>
      <c r="F2742" s="84" t="s">
        <v>2773</v>
      </c>
      <c r="G2742" s="15" t="s">
        <v>68</v>
      </c>
      <c r="H2742" s="16" t="s">
        <v>8624</v>
      </c>
      <c r="I2742" s="17"/>
      <c r="J2742" s="17"/>
      <c r="K2742" s="17"/>
      <c r="L2742" s="17"/>
      <c r="T2742" s="13"/>
      <c r="U2742" s="13"/>
      <c r="V2742" s="13"/>
      <c r="W2742" s="13"/>
    </row>
    <row r="2743" spans="4:23" ht="27" customHeight="1" x14ac:dyDescent="0.25">
      <c r="D2743" s="14" t="s">
        <v>8625</v>
      </c>
      <c r="E2743" s="14" t="s">
        <v>4641</v>
      </c>
      <c r="F2743" s="84" t="s">
        <v>261</v>
      </c>
      <c r="G2743" s="15" t="s">
        <v>27</v>
      </c>
      <c r="H2743" s="16" t="s">
        <v>8626</v>
      </c>
      <c r="I2743" s="17"/>
      <c r="J2743" s="17"/>
      <c r="K2743" s="17"/>
      <c r="L2743" s="17"/>
      <c r="T2743" s="13"/>
      <c r="U2743" s="13"/>
      <c r="V2743" s="13"/>
      <c r="W2743" s="13"/>
    </row>
    <row r="2744" spans="4:23" ht="27" customHeight="1" x14ac:dyDescent="0.25">
      <c r="D2744" s="14" t="s">
        <v>8627</v>
      </c>
      <c r="E2744" s="14" t="s">
        <v>8628</v>
      </c>
      <c r="F2744" s="84" t="s">
        <v>200</v>
      </c>
      <c r="G2744" s="15" t="s">
        <v>27</v>
      </c>
      <c r="H2744" s="16" t="s">
        <v>8629</v>
      </c>
      <c r="I2744" s="17"/>
      <c r="J2744" s="17"/>
      <c r="K2744" s="17"/>
      <c r="L2744" s="17"/>
      <c r="T2744" s="13"/>
      <c r="U2744" s="13"/>
      <c r="V2744" s="13"/>
      <c r="W2744" s="13"/>
    </row>
    <row r="2745" spans="4:23" ht="27" customHeight="1" x14ac:dyDescent="0.25">
      <c r="D2745" s="14" t="s">
        <v>8630</v>
      </c>
      <c r="E2745" s="14" t="s">
        <v>8631</v>
      </c>
      <c r="F2745" s="84" t="s">
        <v>280</v>
      </c>
      <c r="G2745" s="15" t="s">
        <v>27</v>
      </c>
      <c r="H2745" s="16" t="s">
        <v>8632</v>
      </c>
      <c r="I2745" s="17"/>
      <c r="J2745" s="17"/>
      <c r="K2745" s="17"/>
      <c r="L2745" s="17"/>
      <c r="T2745" s="13"/>
      <c r="U2745" s="13"/>
      <c r="V2745" s="13"/>
      <c r="W2745" s="13"/>
    </row>
    <row r="2746" spans="4:23" ht="27" customHeight="1" x14ac:dyDescent="0.25">
      <c r="D2746" s="14" t="s">
        <v>8633</v>
      </c>
      <c r="E2746" s="14" t="s">
        <v>594</v>
      </c>
      <c r="F2746" s="84" t="s">
        <v>2488</v>
      </c>
      <c r="G2746" s="15" t="s">
        <v>68</v>
      </c>
      <c r="H2746" s="16" t="s">
        <v>8634</v>
      </c>
      <c r="I2746" s="17"/>
      <c r="J2746" s="17"/>
      <c r="K2746" s="17"/>
      <c r="L2746" s="17"/>
      <c r="T2746" s="13"/>
      <c r="U2746" s="13"/>
      <c r="V2746" s="13"/>
      <c r="W2746" s="13"/>
    </row>
    <row r="2747" spans="4:23" ht="27" customHeight="1" x14ac:dyDescent="0.25">
      <c r="D2747" s="14" t="s">
        <v>8635</v>
      </c>
      <c r="E2747" s="14" t="s">
        <v>8636</v>
      </c>
      <c r="F2747" s="84" t="s">
        <v>1505</v>
      </c>
      <c r="G2747" s="15" t="s">
        <v>68</v>
      </c>
      <c r="H2747" s="16" t="s">
        <v>8637</v>
      </c>
      <c r="I2747" s="17"/>
      <c r="J2747" s="17"/>
      <c r="K2747" s="17"/>
      <c r="L2747" s="17"/>
      <c r="T2747" s="13"/>
      <c r="U2747" s="13"/>
      <c r="V2747" s="13"/>
      <c r="W2747" s="13"/>
    </row>
    <row r="2748" spans="4:23" ht="27" customHeight="1" x14ac:dyDescent="0.25">
      <c r="D2748" s="14" t="s">
        <v>8638</v>
      </c>
      <c r="E2748" s="14" t="s">
        <v>8639</v>
      </c>
      <c r="F2748" s="84" t="s">
        <v>1572</v>
      </c>
      <c r="G2748" s="15" t="s">
        <v>68</v>
      </c>
      <c r="H2748" s="16" t="s">
        <v>8640</v>
      </c>
      <c r="I2748" s="17"/>
      <c r="J2748" s="17"/>
      <c r="K2748" s="17"/>
      <c r="L2748" s="17"/>
      <c r="T2748" s="13"/>
      <c r="U2748" s="13"/>
      <c r="V2748" s="13"/>
      <c r="W2748" s="13"/>
    </row>
    <row r="2749" spans="4:23" ht="27" customHeight="1" x14ac:dyDescent="0.25">
      <c r="D2749" s="14" t="s">
        <v>8641</v>
      </c>
      <c r="E2749" s="14" t="s">
        <v>3086</v>
      </c>
      <c r="F2749" s="84" t="s">
        <v>485</v>
      </c>
      <c r="G2749" s="15" t="s">
        <v>27</v>
      </c>
      <c r="H2749" s="16" t="s">
        <v>8642</v>
      </c>
      <c r="I2749" s="17"/>
      <c r="J2749" s="17"/>
      <c r="K2749" s="17"/>
      <c r="L2749" s="17"/>
      <c r="T2749" s="13"/>
      <c r="U2749" s="13"/>
      <c r="V2749" s="13"/>
      <c r="W2749" s="13"/>
    </row>
    <row r="2750" spans="4:23" ht="27" customHeight="1" x14ac:dyDescent="0.25">
      <c r="D2750" s="14" t="s">
        <v>8643</v>
      </c>
      <c r="E2750" s="14" t="s">
        <v>8644</v>
      </c>
      <c r="F2750" s="84" t="s">
        <v>386</v>
      </c>
      <c r="G2750" s="15" t="s">
        <v>27</v>
      </c>
      <c r="H2750" s="16" t="s">
        <v>8645</v>
      </c>
      <c r="I2750" s="17"/>
      <c r="J2750" s="17"/>
      <c r="K2750" s="17"/>
      <c r="L2750" s="17"/>
      <c r="T2750" s="13"/>
      <c r="U2750" s="13"/>
      <c r="V2750" s="13"/>
      <c r="W2750" s="13"/>
    </row>
    <row r="2751" spans="4:23" ht="27" customHeight="1" x14ac:dyDescent="0.25">
      <c r="D2751" s="14" t="s">
        <v>8646</v>
      </c>
      <c r="E2751" s="14" t="s">
        <v>8647</v>
      </c>
      <c r="F2751" s="84" t="s">
        <v>670</v>
      </c>
      <c r="G2751" s="15" t="s">
        <v>27</v>
      </c>
      <c r="H2751" s="16" t="s">
        <v>8648</v>
      </c>
      <c r="I2751" s="17"/>
      <c r="J2751" s="17"/>
      <c r="K2751" s="17"/>
      <c r="L2751" s="17"/>
      <c r="T2751" s="13"/>
      <c r="U2751" s="13"/>
      <c r="V2751" s="13"/>
      <c r="W2751" s="13"/>
    </row>
    <row r="2752" spans="4:23" ht="27" customHeight="1" x14ac:dyDescent="0.25">
      <c r="D2752" s="14" t="s">
        <v>8649</v>
      </c>
      <c r="E2752" s="14" t="s">
        <v>1427</v>
      </c>
      <c r="F2752" s="84" t="s">
        <v>74</v>
      </c>
      <c r="G2752" s="15" t="s">
        <v>27</v>
      </c>
      <c r="H2752" s="16" t="s">
        <v>8650</v>
      </c>
      <c r="I2752" s="17"/>
      <c r="J2752" s="17"/>
      <c r="K2752" s="17"/>
      <c r="L2752" s="17"/>
      <c r="T2752" s="13"/>
      <c r="U2752" s="13"/>
      <c r="V2752" s="13"/>
      <c r="W2752" s="13"/>
    </row>
    <row r="2753" spans="4:23" ht="27" customHeight="1" x14ac:dyDescent="0.25">
      <c r="D2753" s="14" t="s">
        <v>8651</v>
      </c>
      <c r="E2753" s="14" t="s">
        <v>2180</v>
      </c>
      <c r="F2753" s="84" t="s">
        <v>1886</v>
      </c>
      <c r="G2753" s="15" t="s">
        <v>27</v>
      </c>
      <c r="H2753" s="16" t="s">
        <v>8652</v>
      </c>
      <c r="I2753" s="17"/>
      <c r="J2753" s="17"/>
      <c r="K2753" s="17"/>
      <c r="L2753" s="17"/>
      <c r="T2753" s="13"/>
      <c r="U2753" s="13"/>
      <c r="V2753" s="13"/>
      <c r="W2753" s="13"/>
    </row>
    <row r="2754" spans="4:23" ht="27" customHeight="1" x14ac:dyDescent="0.25">
      <c r="D2754" s="14" t="s">
        <v>8653</v>
      </c>
      <c r="E2754" s="14" t="s">
        <v>8654</v>
      </c>
      <c r="F2754" s="84" t="s">
        <v>592</v>
      </c>
      <c r="G2754" s="15" t="s">
        <v>68</v>
      </c>
      <c r="H2754" s="16" t="s">
        <v>8655</v>
      </c>
      <c r="I2754" s="17"/>
      <c r="J2754" s="17"/>
      <c r="K2754" s="17"/>
      <c r="L2754" s="17"/>
      <c r="T2754" s="13"/>
      <c r="U2754" s="13"/>
      <c r="V2754" s="13"/>
      <c r="W2754" s="13"/>
    </row>
    <row r="2755" spans="4:23" ht="27" customHeight="1" x14ac:dyDescent="0.25">
      <c r="D2755" s="14" t="s">
        <v>8656</v>
      </c>
      <c r="E2755" s="14" t="s">
        <v>1929</v>
      </c>
      <c r="F2755" s="84" t="s">
        <v>381</v>
      </c>
      <c r="G2755" s="15" t="s">
        <v>27</v>
      </c>
      <c r="H2755" s="16" t="s">
        <v>8657</v>
      </c>
      <c r="I2755" s="17"/>
      <c r="J2755" s="17"/>
      <c r="K2755" s="17"/>
      <c r="L2755" s="17"/>
      <c r="T2755" s="13"/>
      <c r="U2755" s="13"/>
      <c r="V2755" s="13"/>
      <c r="W2755" s="13"/>
    </row>
    <row r="2756" spans="4:23" ht="27" customHeight="1" x14ac:dyDescent="0.25">
      <c r="D2756" s="14" t="s">
        <v>8658</v>
      </c>
      <c r="E2756" s="14" t="s">
        <v>8659</v>
      </c>
      <c r="F2756" s="84" t="s">
        <v>159</v>
      </c>
      <c r="G2756" s="15" t="s">
        <v>27</v>
      </c>
      <c r="H2756" s="16" t="s">
        <v>8660</v>
      </c>
      <c r="I2756" s="17"/>
      <c r="J2756" s="17"/>
      <c r="K2756" s="17"/>
      <c r="L2756" s="17"/>
      <c r="T2756" s="13"/>
      <c r="U2756" s="13"/>
      <c r="V2756" s="13"/>
      <c r="W2756" s="13"/>
    </row>
    <row r="2757" spans="4:23" ht="27" customHeight="1" x14ac:dyDescent="0.25">
      <c r="D2757" s="14" t="s">
        <v>8661</v>
      </c>
      <c r="E2757" s="14" t="s">
        <v>8662</v>
      </c>
      <c r="F2757" s="84" t="s">
        <v>439</v>
      </c>
      <c r="G2757" s="15" t="s">
        <v>27</v>
      </c>
      <c r="H2757" s="16" t="s">
        <v>8663</v>
      </c>
      <c r="I2757" s="17"/>
      <c r="J2757" s="17"/>
      <c r="K2757" s="17"/>
      <c r="L2757" s="17"/>
      <c r="T2757" s="13"/>
      <c r="U2757" s="13"/>
      <c r="V2757" s="13"/>
      <c r="W2757" s="13"/>
    </row>
    <row r="2758" spans="4:23" ht="27" customHeight="1" x14ac:dyDescent="0.25">
      <c r="D2758" s="14" t="s">
        <v>8664</v>
      </c>
      <c r="E2758" s="14" t="s">
        <v>1616</v>
      </c>
      <c r="F2758" s="84" t="s">
        <v>2773</v>
      </c>
      <c r="G2758" s="15" t="s">
        <v>68</v>
      </c>
      <c r="H2758" s="16" t="s">
        <v>8665</v>
      </c>
      <c r="I2758" s="17"/>
      <c r="J2758" s="17"/>
      <c r="K2758" s="17"/>
      <c r="L2758" s="17"/>
      <c r="T2758" s="13"/>
      <c r="U2758" s="13"/>
      <c r="V2758" s="13"/>
      <c r="W2758" s="13"/>
    </row>
    <row r="2759" spans="4:23" ht="27" customHeight="1" x14ac:dyDescent="0.25">
      <c r="D2759" s="14" t="s">
        <v>8666</v>
      </c>
      <c r="E2759" s="14" t="s">
        <v>3013</v>
      </c>
      <c r="F2759" s="84" t="s">
        <v>92</v>
      </c>
      <c r="G2759" s="15" t="s">
        <v>68</v>
      </c>
      <c r="H2759" s="16" t="s">
        <v>8667</v>
      </c>
      <c r="I2759" s="17"/>
      <c r="J2759" s="17"/>
      <c r="K2759" s="17"/>
      <c r="L2759" s="17"/>
      <c r="T2759" s="13"/>
      <c r="U2759" s="13"/>
      <c r="V2759" s="13"/>
      <c r="W2759" s="13"/>
    </row>
    <row r="2760" spans="4:23" ht="27" customHeight="1" x14ac:dyDescent="0.25">
      <c r="D2760" s="14" t="s">
        <v>8668</v>
      </c>
      <c r="E2760" s="14" t="s">
        <v>8669</v>
      </c>
      <c r="F2760" s="84" t="s">
        <v>359</v>
      </c>
      <c r="G2760" s="15" t="s">
        <v>27</v>
      </c>
      <c r="H2760" s="16" t="s">
        <v>8670</v>
      </c>
      <c r="I2760" s="17"/>
      <c r="J2760" s="17"/>
      <c r="K2760" s="17"/>
      <c r="L2760" s="17"/>
      <c r="T2760" s="13"/>
      <c r="U2760" s="13"/>
      <c r="V2760" s="13"/>
      <c r="W2760" s="13"/>
    </row>
    <row r="2761" spans="4:23" ht="27" customHeight="1" x14ac:dyDescent="0.25">
      <c r="D2761" s="14" t="s">
        <v>8671</v>
      </c>
      <c r="E2761" s="14" t="s">
        <v>3974</v>
      </c>
      <c r="F2761" s="84" t="s">
        <v>194</v>
      </c>
      <c r="G2761" s="15" t="s">
        <v>68</v>
      </c>
      <c r="H2761" s="16" t="s">
        <v>8672</v>
      </c>
      <c r="I2761" s="17"/>
      <c r="J2761" s="17"/>
      <c r="K2761" s="17"/>
      <c r="L2761" s="17"/>
      <c r="T2761" s="13"/>
      <c r="U2761" s="13"/>
      <c r="V2761" s="13"/>
      <c r="W2761" s="13"/>
    </row>
    <row r="2762" spans="4:23" ht="27" customHeight="1" x14ac:dyDescent="0.25">
      <c r="D2762" s="14" t="s">
        <v>8673</v>
      </c>
      <c r="E2762" s="14" t="s">
        <v>3950</v>
      </c>
      <c r="F2762" s="84" t="s">
        <v>61</v>
      </c>
      <c r="G2762" s="15" t="s">
        <v>27</v>
      </c>
      <c r="H2762" s="16" t="s">
        <v>8674</v>
      </c>
      <c r="I2762" s="17"/>
      <c r="J2762" s="17"/>
      <c r="K2762" s="17"/>
      <c r="L2762" s="17"/>
      <c r="T2762" s="13"/>
      <c r="U2762" s="13"/>
      <c r="V2762" s="13"/>
      <c r="W2762" s="13"/>
    </row>
    <row r="2763" spans="4:23" ht="27" customHeight="1" x14ac:dyDescent="0.25">
      <c r="D2763" s="14" t="s">
        <v>8675</v>
      </c>
      <c r="E2763" s="14" t="s">
        <v>1051</v>
      </c>
      <c r="F2763" s="84" t="s">
        <v>587</v>
      </c>
      <c r="G2763" s="15" t="s">
        <v>27</v>
      </c>
      <c r="H2763" s="16" t="s">
        <v>8676</v>
      </c>
      <c r="I2763" s="17"/>
      <c r="J2763" s="17"/>
      <c r="K2763" s="17"/>
      <c r="L2763" s="17"/>
      <c r="T2763" s="13"/>
      <c r="U2763" s="13"/>
      <c r="V2763" s="13"/>
      <c r="W2763" s="13"/>
    </row>
    <row r="2764" spans="4:23" ht="27" customHeight="1" x14ac:dyDescent="0.25">
      <c r="D2764" s="14" t="s">
        <v>8677</v>
      </c>
      <c r="E2764" s="14" t="s">
        <v>4665</v>
      </c>
      <c r="F2764" s="84" t="s">
        <v>261</v>
      </c>
      <c r="G2764" s="15" t="s">
        <v>68</v>
      </c>
      <c r="H2764" s="16" t="s">
        <v>8678</v>
      </c>
      <c r="I2764" s="17"/>
      <c r="J2764" s="17"/>
      <c r="K2764" s="17"/>
      <c r="L2764" s="17"/>
      <c r="T2764" s="13"/>
      <c r="U2764" s="13"/>
      <c r="V2764" s="13"/>
      <c r="W2764" s="13"/>
    </row>
    <row r="2765" spans="4:23" ht="27" customHeight="1" x14ac:dyDescent="0.25">
      <c r="D2765" s="14" t="s">
        <v>8679</v>
      </c>
      <c r="E2765" s="14" t="s">
        <v>3416</v>
      </c>
      <c r="F2765" s="84" t="s">
        <v>316</v>
      </c>
      <c r="G2765" s="15" t="s">
        <v>27</v>
      </c>
      <c r="H2765" s="16" t="s">
        <v>8680</v>
      </c>
      <c r="I2765" s="17"/>
      <c r="J2765" s="17"/>
      <c r="K2765" s="17"/>
      <c r="L2765" s="17"/>
      <c r="T2765" s="13"/>
      <c r="U2765" s="13"/>
      <c r="V2765" s="13"/>
      <c r="W2765" s="13"/>
    </row>
    <row r="2766" spans="4:23" ht="27" customHeight="1" x14ac:dyDescent="0.25">
      <c r="D2766" s="14" t="s">
        <v>8681</v>
      </c>
      <c r="E2766" s="14" t="s">
        <v>8682</v>
      </c>
      <c r="F2766" s="84" t="s">
        <v>1626</v>
      </c>
      <c r="G2766" s="15" t="s">
        <v>68</v>
      </c>
      <c r="H2766" s="16" t="s">
        <v>8683</v>
      </c>
      <c r="I2766" s="17"/>
      <c r="J2766" s="17"/>
      <c r="K2766" s="17"/>
      <c r="L2766" s="17"/>
      <c r="T2766" s="13"/>
      <c r="U2766" s="13"/>
      <c r="V2766" s="13"/>
      <c r="W2766" s="13"/>
    </row>
    <row r="2767" spans="4:23" ht="27" customHeight="1" x14ac:dyDescent="0.25">
      <c r="D2767" s="14" t="s">
        <v>8684</v>
      </c>
      <c r="E2767" s="14" t="s">
        <v>8685</v>
      </c>
      <c r="F2767" s="84" t="s">
        <v>887</v>
      </c>
      <c r="G2767" s="15" t="s">
        <v>27</v>
      </c>
      <c r="H2767" s="16" t="s">
        <v>8686</v>
      </c>
      <c r="I2767" s="17"/>
      <c r="J2767" s="17"/>
      <c r="K2767" s="17"/>
      <c r="L2767" s="17"/>
      <c r="T2767" s="13"/>
      <c r="U2767" s="13"/>
      <c r="V2767" s="13"/>
      <c r="W2767" s="13"/>
    </row>
    <row r="2768" spans="4:23" ht="27" customHeight="1" x14ac:dyDescent="0.25">
      <c r="D2768" s="14" t="s">
        <v>8687</v>
      </c>
      <c r="E2768" s="14" t="s">
        <v>3520</v>
      </c>
      <c r="F2768" s="84" t="s">
        <v>566</v>
      </c>
      <c r="G2768" s="15" t="s">
        <v>27</v>
      </c>
      <c r="H2768" s="16" t="s">
        <v>8688</v>
      </c>
      <c r="I2768" s="17"/>
      <c r="J2768" s="17"/>
      <c r="K2768" s="17"/>
      <c r="L2768" s="17"/>
      <c r="T2768" s="13"/>
      <c r="U2768" s="13"/>
      <c r="V2768" s="13"/>
      <c r="W2768" s="13"/>
    </row>
    <row r="2769" spans="4:23" ht="27" customHeight="1" x14ac:dyDescent="0.25">
      <c r="D2769" s="14" t="s">
        <v>8689</v>
      </c>
      <c r="E2769" s="14" t="s">
        <v>5050</v>
      </c>
      <c r="F2769" s="84" t="s">
        <v>206</v>
      </c>
      <c r="G2769" s="15" t="s">
        <v>27</v>
      </c>
      <c r="H2769" s="16" t="s">
        <v>8690</v>
      </c>
      <c r="I2769" s="17"/>
      <c r="J2769" s="17"/>
      <c r="K2769" s="17"/>
      <c r="L2769" s="17"/>
      <c r="T2769" s="13"/>
      <c r="U2769" s="13"/>
      <c r="V2769" s="13"/>
      <c r="W2769" s="13"/>
    </row>
    <row r="2770" spans="4:23" ht="27" customHeight="1" x14ac:dyDescent="0.25">
      <c r="D2770" s="14" t="s">
        <v>8691</v>
      </c>
      <c r="E2770" s="14" t="s">
        <v>8692</v>
      </c>
      <c r="F2770" s="84" t="s">
        <v>4730</v>
      </c>
      <c r="G2770" s="15" t="s">
        <v>27</v>
      </c>
      <c r="H2770" s="16" t="s">
        <v>8693</v>
      </c>
      <c r="I2770" s="17"/>
      <c r="J2770" s="17"/>
      <c r="K2770" s="17"/>
      <c r="L2770" s="17"/>
      <c r="T2770" s="13"/>
      <c r="U2770" s="13"/>
      <c r="V2770" s="13"/>
      <c r="W2770" s="13"/>
    </row>
    <row r="2771" spans="4:23" ht="27" customHeight="1" x14ac:dyDescent="0.25">
      <c r="D2771" s="14" t="s">
        <v>8694</v>
      </c>
      <c r="E2771" s="14" t="s">
        <v>8695</v>
      </c>
      <c r="F2771" s="84" t="s">
        <v>321</v>
      </c>
      <c r="G2771" s="15" t="s">
        <v>27</v>
      </c>
      <c r="H2771" s="16" t="s">
        <v>8696</v>
      </c>
      <c r="I2771" s="17"/>
      <c r="J2771" s="17"/>
      <c r="K2771" s="17"/>
      <c r="L2771" s="17"/>
      <c r="T2771" s="13"/>
      <c r="U2771" s="13"/>
      <c r="V2771" s="13"/>
      <c r="W2771" s="13"/>
    </row>
    <row r="2772" spans="4:23" ht="27" customHeight="1" x14ac:dyDescent="0.25">
      <c r="D2772" s="14" t="s">
        <v>8697</v>
      </c>
      <c r="E2772" s="14" t="s">
        <v>2801</v>
      </c>
      <c r="F2772" s="84" t="s">
        <v>296</v>
      </c>
      <c r="G2772" s="15" t="s">
        <v>27</v>
      </c>
      <c r="H2772" s="16" t="s">
        <v>8698</v>
      </c>
      <c r="I2772" s="17"/>
      <c r="J2772" s="17"/>
      <c r="K2772" s="17"/>
      <c r="L2772" s="17"/>
      <c r="T2772" s="13"/>
      <c r="U2772" s="13"/>
      <c r="V2772" s="13"/>
      <c r="W2772" s="13"/>
    </row>
    <row r="2773" spans="4:23" ht="27" customHeight="1" x14ac:dyDescent="0.25">
      <c r="D2773" s="14" t="s">
        <v>8699</v>
      </c>
      <c r="E2773" s="14" t="s">
        <v>8700</v>
      </c>
      <c r="F2773" s="84" t="s">
        <v>2796</v>
      </c>
      <c r="G2773" s="15" t="s">
        <v>27</v>
      </c>
      <c r="H2773" s="16" t="s">
        <v>8701</v>
      </c>
      <c r="I2773" s="17"/>
      <c r="J2773" s="17"/>
      <c r="K2773" s="17"/>
      <c r="L2773" s="17"/>
      <c r="T2773" s="13"/>
      <c r="U2773" s="13"/>
      <c r="V2773" s="13"/>
      <c r="W2773" s="13"/>
    </row>
    <row r="2774" spans="4:23" ht="27" customHeight="1" x14ac:dyDescent="0.25">
      <c r="D2774" s="14" t="s">
        <v>8702</v>
      </c>
      <c r="E2774" s="14" t="s">
        <v>8703</v>
      </c>
      <c r="F2774" s="84" t="s">
        <v>285</v>
      </c>
      <c r="G2774" s="15" t="s">
        <v>27</v>
      </c>
      <c r="H2774" s="16" t="s">
        <v>8704</v>
      </c>
      <c r="I2774" s="17"/>
      <c r="J2774" s="17"/>
      <c r="K2774" s="17"/>
      <c r="L2774" s="17"/>
      <c r="T2774" s="13"/>
      <c r="U2774" s="13"/>
      <c r="V2774" s="13"/>
      <c r="W2774" s="13"/>
    </row>
    <row r="2775" spans="4:23" ht="27" customHeight="1" x14ac:dyDescent="0.25">
      <c r="D2775" s="14" t="s">
        <v>8705</v>
      </c>
      <c r="E2775" s="14" t="s">
        <v>345</v>
      </c>
      <c r="F2775" s="84" t="s">
        <v>2796</v>
      </c>
      <c r="G2775" s="15" t="s">
        <v>68</v>
      </c>
      <c r="H2775" s="16" t="s">
        <v>8706</v>
      </c>
      <c r="I2775" s="17"/>
      <c r="J2775" s="17"/>
      <c r="K2775" s="17"/>
      <c r="L2775" s="17"/>
      <c r="T2775" s="13"/>
      <c r="U2775" s="13"/>
      <c r="V2775" s="13"/>
      <c r="W2775" s="13"/>
    </row>
    <row r="2776" spans="4:23" ht="27" customHeight="1" x14ac:dyDescent="0.25">
      <c r="D2776" s="14" t="s">
        <v>8707</v>
      </c>
      <c r="E2776" s="14" t="s">
        <v>8708</v>
      </c>
      <c r="F2776" s="84" t="s">
        <v>4272</v>
      </c>
      <c r="G2776" s="15" t="s">
        <v>27</v>
      </c>
      <c r="H2776" s="16" t="s">
        <v>8709</v>
      </c>
      <c r="I2776" s="17"/>
      <c r="J2776" s="17"/>
      <c r="K2776" s="17"/>
      <c r="L2776" s="17"/>
      <c r="T2776" s="13"/>
      <c r="U2776" s="13"/>
      <c r="V2776" s="13"/>
      <c r="W2776" s="13"/>
    </row>
    <row r="2777" spans="4:23" ht="27" customHeight="1" x14ac:dyDescent="0.25">
      <c r="D2777" s="14" t="s">
        <v>8710</v>
      </c>
      <c r="E2777" s="14" t="s">
        <v>4274</v>
      </c>
      <c r="F2777" s="84" t="s">
        <v>348</v>
      </c>
      <c r="G2777" s="15" t="s">
        <v>27</v>
      </c>
      <c r="H2777" s="16" t="s">
        <v>8711</v>
      </c>
      <c r="I2777" s="17"/>
      <c r="J2777" s="17"/>
      <c r="K2777" s="17"/>
      <c r="L2777" s="17"/>
      <c r="T2777" s="13"/>
      <c r="U2777" s="13"/>
      <c r="V2777" s="13"/>
      <c r="W2777" s="13"/>
    </row>
    <row r="2778" spans="4:23" ht="27" customHeight="1" x14ac:dyDescent="0.25">
      <c r="D2778" s="14" t="s">
        <v>8712</v>
      </c>
      <c r="E2778" s="14" t="s">
        <v>8713</v>
      </c>
      <c r="F2778" s="84" t="s">
        <v>602</v>
      </c>
      <c r="G2778" s="15" t="s">
        <v>27</v>
      </c>
      <c r="H2778" s="16" t="s">
        <v>8714</v>
      </c>
      <c r="I2778" s="17"/>
      <c r="J2778" s="17"/>
      <c r="K2778" s="17"/>
      <c r="L2778" s="17"/>
      <c r="T2778" s="13"/>
      <c r="U2778" s="13"/>
      <c r="V2778" s="13"/>
      <c r="W2778" s="13"/>
    </row>
    <row r="2779" spans="4:23" ht="27" customHeight="1" x14ac:dyDescent="0.25">
      <c r="D2779" s="14" t="s">
        <v>8715</v>
      </c>
      <c r="E2779" s="14" t="s">
        <v>8716</v>
      </c>
      <c r="F2779" s="84" t="s">
        <v>670</v>
      </c>
      <c r="G2779" s="15" t="s">
        <v>27</v>
      </c>
      <c r="H2779" s="16" t="s">
        <v>8717</v>
      </c>
      <c r="I2779" s="17"/>
      <c r="J2779" s="17"/>
      <c r="K2779" s="17"/>
      <c r="L2779" s="17"/>
      <c r="T2779" s="13"/>
      <c r="U2779" s="13"/>
      <c r="V2779" s="13"/>
      <c r="W2779" s="13"/>
    </row>
    <row r="2780" spans="4:23" ht="27" customHeight="1" x14ac:dyDescent="0.25">
      <c r="D2780" s="14" t="s">
        <v>8718</v>
      </c>
      <c r="E2780" s="14" t="s">
        <v>8719</v>
      </c>
      <c r="F2780" s="84" t="s">
        <v>4730</v>
      </c>
      <c r="G2780" s="15" t="s">
        <v>27</v>
      </c>
      <c r="H2780" s="16" t="s">
        <v>8720</v>
      </c>
      <c r="I2780" s="17"/>
      <c r="J2780" s="17"/>
      <c r="K2780" s="17"/>
      <c r="L2780" s="17"/>
      <c r="T2780" s="13"/>
      <c r="U2780" s="13"/>
      <c r="V2780" s="13"/>
      <c r="W2780" s="13"/>
    </row>
    <row r="2781" spans="4:23" ht="27" customHeight="1" x14ac:dyDescent="0.25">
      <c r="D2781" s="14" t="s">
        <v>8721</v>
      </c>
      <c r="E2781" s="14" t="s">
        <v>8722</v>
      </c>
      <c r="F2781" s="84" t="s">
        <v>233</v>
      </c>
      <c r="G2781" s="15" t="s">
        <v>68</v>
      </c>
      <c r="H2781" s="16" t="s">
        <v>8723</v>
      </c>
      <c r="I2781" s="17"/>
      <c r="J2781" s="17"/>
      <c r="K2781" s="17"/>
      <c r="L2781" s="17"/>
      <c r="T2781" s="13"/>
      <c r="U2781" s="13"/>
      <c r="V2781" s="13"/>
      <c r="W2781" s="13"/>
    </row>
    <row r="2782" spans="4:23" ht="27" customHeight="1" x14ac:dyDescent="0.25">
      <c r="D2782" s="14" t="s">
        <v>8724</v>
      </c>
      <c r="E2782" s="14" t="s">
        <v>8725</v>
      </c>
      <c r="F2782" s="84" t="s">
        <v>233</v>
      </c>
      <c r="G2782" s="15" t="s">
        <v>27</v>
      </c>
      <c r="H2782" s="16" t="s">
        <v>8726</v>
      </c>
      <c r="I2782" s="17"/>
      <c r="J2782" s="17"/>
      <c r="K2782" s="17"/>
      <c r="L2782" s="17"/>
      <c r="T2782" s="13"/>
      <c r="U2782" s="13"/>
      <c r="V2782" s="13"/>
      <c r="W2782" s="13"/>
    </row>
    <row r="2783" spans="4:23" ht="27" customHeight="1" x14ac:dyDescent="0.25">
      <c r="D2783" s="14" t="s">
        <v>8727</v>
      </c>
      <c r="E2783" s="14" t="s">
        <v>4050</v>
      </c>
      <c r="F2783" s="84" t="s">
        <v>194</v>
      </c>
      <c r="G2783" s="15" t="s">
        <v>68</v>
      </c>
      <c r="H2783" s="16" t="s">
        <v>8728</v>
      </c>
      <c r="I2783" s="17"/>
      <c r="J2783" s="17"/>
      <c r="K2783" s="17"/>
      <c r="L2783" s="17"/>
      <c r="T2783" s="13"/>
      <c r="U2783" s="13"/>
      <c r="V2783" s="13"/>
      <c r="W2783" s="13"/>
    </row>
    <row r="2784" spans="4:23" ht="27" customHeight="1" x14ac:dyDescent="0.25">
      <c r="D2784" s="14" t="s">
        <v>8729</v>
      </c>
      <c r="E2784" s="14" t="s">
        <v>8730</v>
      </c>
      <c r="F2784" s="84" t="s">
        <v>909</v>
      </c>
      <c r="G2784" s="15" t="s">
        <v>27</v>
      </c>
      <c r="H2784" s="16" t="s">
        <v>8731</v>
      </c>
      <c r="I2784" s="17"/>
      <c r="J2784" s="17"/>
      <c r="K2784" s="17"/>
      <c r="L2784" s="17"/>
      <c r="T2784" s="13"/>
      <c r="U2784" s="13"/>
      <c r="V2784" s="13"/>
      <c r="W2784" s="13"/>
    </row>
    <row r="2785" spans="4:23" ht="27" customHeight="1" x14ac:dyDescent="0.25">
      <c r="D2785" s="14" t="s">
        <v>8732</v>
      </c>
      <c r="E2785" s="14" t="s">
        <v>8733</v>
      </c>
      <c r="F2785" s="84" t="s">
        <v>614</v>
      </c>
      <c r="G2785" s="15" t="s">
        <v>68</v>
      </c>
      <c r="H2785" s="16" t="s">
        <v>8734</v>
      </c>
      <c r="I2785" s="17"/>
      <c r="J2785" s="17"/>
      <c r="K2785" s="17"/>
      <c r="L2785" s="17"/>
      <c r="T2785" s="13"/>
      <c r="U2785" s="13"/>
      <c r="V2785" s="13"/>
      <c r="W2785" s="13"/>
    </row>
    <row r="2786" spans="4:23" ht="27" customHeight="1" x14ac:dyDescent="0.25">
      <c r="D2786" s="14" t="s">
        <v>8735</v>
      </c>
      <c r="E2786" s="14" t="s">
        <v>8736</v>
      </c>
      <c r="F2786" s="84" t="s">
        <v>742</v>
      </c>
      <c r="G2786" s="15" t="s">
        <v>68</v>
      </c>
      <c r="H2786" s="16" t="s">
        <v>8737</v>
      </c>
      <c r="I2786" s="17"/>
      <c r="J2786" s="17"/>
      <c r="K2786" s="17"/>
      <c r="L2786" s="17"/>
      <c r="T2786" s="13"/>
      <c r="U2786" s="13"/>
      <c r="V2786" s="13"/>
      <c r="W2786" s="13"/>
    </row>
    <row r="2787" spans="4:23" ht="27" customHeight="1" x14ac:dyDescent="0.25">
      <c r="D2787" s="14" t="s">
        <v>8738</v>
      </c>
      <c r="E2787" s="14" t="s">
        <v>8739</v>
      </c>
      <c r="F2787" s="84" t="s">
        <v>2744</v>
      </c>
      <c r="G2787" s="15" t="s">
        <v>68</v>
      </c>
      <c r="H2787" s="16" t="s">
        <v>8740</v>
      </c>
      <c r="I2787" s="17"/>
      <c r="J2787" s="17"/>
      <c r="K2787" s="17"/>
      <c r="L2787" s="17"/>
      <c r="T2787" s="13"/>
      <c r="U2787" s="13"/>
      <c r="V2787" s="13"/>
      <c r="W2787" s="13"/>
    </row>
    <row r="2788" spans="4:23" ht="27" customHeight="1" x14ac:dyDescent="0.25">
      <c r="D2788" s="14" t="s">
        <v>8741</v>
      </c>
      <c r="E2788" s="14" t="s">
        <v>8742</v>
      </c>
      <c r="F2788" s="84" t="s">
        <v>251</v>
      </c>
      <c r="G2788" s="15" t="s">
        <v>27</v>
      </c>
      <c r="H2788" s="16" t="s">
        <v>8743</v>
      </c>
      <c r="I2788" s="17"/>
      <c r="J2788" s="17"/>
      <c r="K2788" s="17"/>
      <c r="L2788" s="17"/>
      <c r="T2788" s="13"/>
      <c r="U2788" s="13"/>
      <c r="V2788" s="13"/>
      <c r="W2788" s="13"/>
    </row>
    <row r="2789" spans="4:23" ht="27" customHeight="1" x14ac:dyDescent="0.25">
      <c r="D2789" s="14" t="s">
        <v>8744</v>
      </c>
      <c r="E2789" s="14" t="s">
        <v>1991</v>
      </c>
      <c r="F2789" s="84" t="s">
        <v>143</v>
      </c>
      <c r="G2789" s="15" t="s">
        <v>27</v>
      </c>
      <c r="H2789" s="16" t="s">
        <v>8745</v>
      </c>
      <c r="I2789" s="17"/>
      <c r="J2789" s="17"/>
      <c r="K2789" s="17"/>
      <c r="L2789" s="17"/>
      <c r="T2789" s="13"/>
      <c r="U2789" s="13"/>
      <c r="V2789" s="13"/>
      <c r="W2789" s="13"/>
    </row>
    <row r="2790" spans="4:23" ht="27" customHeight="1" x14ac:dyDescent="0.25">
      <c r="D2790" s="14" t="s">
        <v>8746</v>
      </c>
      <c r="E2790" s="14" t="s">
        <v>4690</v>
      </c>
      <c r="F2790" s="84" t="s">
        <v>261</v>
      </c>
      <c r="G2790" s="15" t="s">
        <v>27</v>
      </c>
      <c r="H2790" s="16" t="s">
        <v>8747</v>
      </c>
      <c r="I2790" s="17"/>
      <c r="J2790" s="17"/>
      <c r="K2790" s="17"/>
      <c r="L2790" s="17"/>
      <c r="T2790" s="13"/>
      <c r="U2790" s="13"/>
      <c r="V2790" s="13"/>
      <c r="W2790" s="13"/>
    </row>
    <row r="2791" spans="4:23" ht="27" customHeight="1" x14ac:dyDescent="0.25">
      <c r="D2791" s="14" t="s">
        <v>8748</v>
      </c>
      <c r="E2791" s="14" t="s">
        <v>8749</v>
      </c>
      <c r="F2791" s="84" t="s">
        <v>114</v>
      </c>
      <c r="G2791" s="15" t="s">
        <v>68</v>
      </c>
      <c r="H2791" s="16" t="s">
        <v>8750</v>
      </c>
      <c r="I2791" s="17"/>
      <c r="J2791" s="17"/>
      <c r="K2791" s="17"/>
      <c r="L2791" s="17"/>
      <c r="T2791" s="13"/>
      <c r="U2791" s="13"/>
      <c r="V2791" s="13"/>
      <c r="W2791" s="13"/>
    </row>
    <row r="2792" spans="4:23" ht="27" customHeight="1" x14ac:dyDescent="0.25">
      <c r="D2792" s="14" t="s">
        <v>8751</v>
      </c>
      <c r="E2792" s="14" t="s">
        <v>4389</v>
      </c>
      <c r="F2792" s="84" t="s">
        <v>710</v>
      </c>
      <c r="G2792" s="15" t="s">
        <v>27</v>
      </c>
      <c r="H2792" s="16" t="s">
        <v>8752</v>
      </c>
      <c r="I2792" s="17"/>
      <c r="J2792" s="17"/>
      <c r="K2792" s="17"/>
      <c r="L2792" s="17"/>
      <c r="T2792" s="13"/>
      <c r="U2792" s="13"/>
      <c r="V2792" s="13"/>
      <c r="W2792" s="13"/>
    </row>
    <row r="2793" spans="4:23" ht="27" customHeight="1" x14ac:dyDescent="0.25">
      <c r="D2793" s="14" t="s">
        <v>8753</v>
      </c>
      <c r="E2793" s="14" t="s">
        <v>8754</v>
      </c>
      <c r="F2793" s="84" t="s">
        <v>715</v>
      </c>
      <c r="G2793" s="15" t="s">
        <v>27</v>
      </c>
      <c r="H2793" s="16" t="s">
        <v>8755</v>
      </c>
      <c r="I2793" s="17"/>
      <c r="J2793" s="17"/>
      <c r="K2793" s="17"/>
      <c r="L2793" s="17"/>
      <c r="T2793" s="13"/>
      <c r="U2793" s="13"/>
      <c r="V2793" s="13"/>
      <c r="W2793" s="13"/>
    </row>
    <row r="2794" spans="4:23" ht="27" customHeight="1" x14ac:dyDescent="0.25">
      <c r="D2794" s="14" t="s">
        <v>8756</v>
      </c>
      <c r="E2794" s="14" t="s">
        <v>8757</v>
      </c>
      <c r="F2794" s="84" t="s">
        <v>412</v>
      </c>
      <c r="G2794" s="15" t="s">
        <v>68</v>
      </c>
      <c r="H2794" s="16" t="s">
        <v>8758</v>
      </c>
      <c r="I2794" s="17"/>
      <c r="J2794" s="17"/>
      <c r="K2794" s="17"/>
      <c r="L2794" s="17"/>
      <c r="T2794" s="13"/>
      <c r="U2794" s="13"/>
      <c r="V2794" s="13"/>
      <c r="W2794" s="13"/>
    </row>
    <row r="2795" spans="4:23" ht="27" customHeight="1" x14ac:dyDescent="0.25">
      <c r="D2795" s="14" t="s">
        <v>8759</v>
      </c>
      <c r="E2795" s="14" t="s">
        <v>8760</v>
      </c>
      <c r="F2795" s="84" t="s">
        <v>1169</v>
      </c>
      <c r="G2795" s="15" t="s">
        <v>27</v>
      </c>
      <c r="H2795" s="16" t="s">
        <v>8761</v>
      </c>
      <c r="I2795" s="17"/>
      <c r="J2795" s="17"/>
      <c r="K2795" s="17"/>
      <c r="L2795" s="17"/>
      <c r="T2795" s="13"/>
      <c r="U2795" s="13"/>
      <c r="V2795" s="13"/>
      <c r="W2795" s="13"/>
    </row>
    <row r="2796" spans="4:23" ht="27" customHeight="1" x14ac:dyDescent="0.25">
      <c r="D2796" s="14" t="s">
        <v>8762</v>
      </c>
      <c r="E2796" s="14" t="s">
        <v>5102</v>
      </c>
      <c r="F2796" s="84" t="s">
        <v>206</v>
      </c>
      <c r="G2796" s="15" t="s">
        <v>27</v>
      </c>
      <c r="H2796" s="16" t="s">
        <v>8763</v>
      </c>
      <c r="I2796" s="17"/>
      <c r="J2796" s="17"/>
      <c r="K2796" s="17"/>
      <c r="L2796" s="17"/>
      <c r="T2796" s="13"/>
      <c r="U2796" s="13"/>
      <c r="V2796" s="13"/>
      <c r="W2796" s="13"/>
    </row>
    <row r="2797" spans="4:23" ht="27" customHeight="1" x14ac:dyDescent="0.25">
      <c r="D2797" s="14" t="s">
        <v>8764</v>
      </c>
      <c r="E2797" s="14" t="s">
        <v>3455</v>
      </c>
      <c r="F2797" s="84" t="s">
        <v>566</v>
      </c>
      <c r="G2797" s="15" t="s">
        <v>27</v>
      </c>
      <c r="H2797" s="16" t="s">
        <v>8765</v>
      </c>
      <c r="I2797" s="17"/>
      <c r="J2797" s="17"/>
      <c r="K2797" s="17"/>
      <c r="L2797" s="17"/>
      <c r="T2797" s="13"/>
      <c r="U2797" s="13"/>
      <c r="V2797" s="13"/>
      <c r="W2797" s="13"/>
    </row>
    <row r="2798" spans="4:23" ht="27" customHeight="1" x14ac:dyDescent="0.25">
      <c r="D2798" s="14" t="s">
        <v>8766</v>
      </c>
      <c r="E2798" s="14" t="s">
        <v>1767</v>
      </c>
      <c r="F2798" s="84" t="s">
        <v>211</v>
      </c>
      <c r="G2798" s="15" t="s">
        <v>27</v>
      </c>
      <c r="H2798" s="16" t="s">
        <v>8767</v>
      </c>
      <c r="I2798" s="17"/>
      <c r="J2798" s="17"/>
      <c r="K2798" s="17"/>
      <c r="L2798" s="17"/>
      <c r="T2798" s="13"/>
      <c r="U2798" s="13"/>
      <c r="V2798" s="13"/>
      <c r="W2798" s="13"/>
    </row>
    <row r="2799" spans="4:23" ht="27" customHeight="1" x14ac:dyDescent="0.25">
      <c r="D2799" s="14" t="s">
        <v>8768</v>
      </c>
      <c r="E2799" s="14" t="s">
        <v>8769</v>
      </c>
      <c r="F2799" s="84" t="s">
        <v>592</v>
      </c>
      <c r="G2799" s="15" t="s">
        <v>27</v>
      </c>
      <c r="H2799" s="16" t="s">
        <v>8770</v>
      </c>
      <c r="I2799" s="17"/>
      <c r="J2799" s="17"/>
      <c r="K2799" s="17"/>
      <c r="L2799" s="17"/>
      <c r="T2799" s="13"/>
      <c r="U2799" s="13"/>
      <c r="V2799" s="13"/>
      <c r="W2799" s="13"/>
    </row>
    <row r="2800" spans="4:23" ht="27" customHeight="1" x14ac:dyDescent="0.25">
      <c r="D2800" s="14" t="s">
        <v>8771</v>
      </c>
      <c r="E2800" s="14" t="s">
        <v>1948</v>
      </c>
      <c r="F2800" s="84" t="s">
        <v>143</v>
      </c>
      <c r="G2800" s="15" t="s">
        <v>68</v>
      </c>
      <c r="H2800" s="16" t="s">
        <v>8772</v>
      </c>
      <c r="I2800" s="17"/>
      <c r="J2800" s="17"/>
      <c r="K2800" s="17"/>
      <c r="L2800" s="17"/>
      <c r="T2800" s="13"/>
      <c r="U2800" s="13"/>
      <c r="V2800" s="13"/>
      <c r="W2800" s="13"/>
    </row>
    <row r="2801" spans="4:23" ht="27" customHeight="1" x14ac:dyDescent="0.25">
      <c r="D2801" s="14" t="s">
        <v>8773</v>
      </c>
      <c r="E2801" s="14" t="s">
        <v>1638</v>
      </c>
      <c r="F2801" s="84" t="s">
        <v>952</v>
      </c>
      <c r="G2801" s="15" t="s">
        <v>68</v>
      </c>
      <c r="H2801" s="16" t="s">
        <v>8774</v>
      </c>
      <c r="I2801" s="17"/>
      <c r="J2801" s="17"/>
      <c r="K2801" s="17"/>
      <c r="L2801" s="17"/>
      <c r="T2801" s="13"/>
      <c r="U2801" s="13"/>
      <c r="V2801" s="13"/>
      <c r="W2801" s="13"/>
    </row>
    <row r="2802" spans="4:23" ht="27" customHeight="1" x14ac:dyDescent="0.25">
      <c r="D2802" s="14" t="s">
        <v>8775</v>
      </c>
      <c r="E2802" s="14" t="s">
        <v>8776</v>
      </c>
      <c r="F2802" s="84" t="s">
        <v>1288</v>
      </c>
      <c r="G2802" s="15" t="s">
        <v>27</v>
      </c>
      <c r="H2802" s="16" t="s">
        <v>8777</v>
      </c>
      <c r="I2802" s="17"/>
      <c r="J2802" s="17"/>
      <c r="K2802" s="17"/>
      <c r="L2802" s="17"/>
      <c r="T2802" s="13"/>
      <c r="U2802" s="13"/>
      <c r="V2802" s="13"/>
      <c r="W2802" s="13"/>
    </row>
    <row r="2803" spans="4:23" ht="27" customHeight="1" x14ac:dyDescent="0.25">
      <c r="D2803" s="14" t="s">
        <v>8778</v>
      </c>
      <c r="E2803" s="14" t="s">
        <v>3117</v>
      </c>
      <c r="F2803" s="84" t="s">
        <v>485</v>
      </c>
      <c r="G2803" s="15" t="s">
        <v>27</v>
      </c>
      <c r="H2803" s="16" t="s">
        <v>8779</v>
      </c>
      <c r="I2803" s="17"/>
      <c r="J2803" s="17"/>
      <c r="K2803" s="17"/>
      <c r="L2803" s="17"/>
      <c r="T2803" s="13"/>
      <c r="U2803" s="13"/>
      <c r="V2803" s="13"/>
      <c r="W2803" s="13"/>
    </row>
    <row r="2804" spans="4:23" ht="27" customHeight="1" x14ac:dyDescent="0.25">
      <c r="D2804" s="14" t="s">
        <v>8780</v>
      </c>
      <c r="E2804" s="14" t="s">
        <v>8781</v>
      </c>
      <c r="F2804" s="84" t="s">
        <v>934</v>
      </c>
      <c r="G2804" s="15" t="s">
        <v>27</v>
      </c>
      <c r="H2804" s="16" t="s">
        <v>8782</v>
      </c>
      <c r="I2804" s="17"/>
      <c r="J2804" s="17"/>
      <c r="K2804" s="17"/>
      <c r="L2804" s="17"/>
      <c r="T2804" s="13"/>
      <c r="U2804" s="13"/>
      <c r="V2804" s="13"/>
      <c r="W2804" s="13"/>
    </row>
    <row r="2805" spans="4:23" ht="27" customHeight="1" x14ac:dyDescent="0.25">
      <c r="D2805" s="14" t="s">
        <v>8783</v>
      </c>
      <c r="E2805" s="14" t="s">
        <v>2686</v>
      </c>
      <c r="F2805" s="84" t="s">
        <v>183</v>
      </c>
      <c r="G2805" s="15" t="s">
        <v>68</v>
      </c>
      <c r="H2805" s="16" t="s">
        <v>8784</v>
      </c>
      <c r="I2805" s="17"/>
      <c r="J2805" s="17"/>
      <c r="K2805" s="17"/>
      <c r="L2805" s="17"/>
      <c r="T2805" s="13"/>
      <c r="U2805" s="13"/>
      <c r="V2805" s="13"/>
      <c r="W2805" s="13"/>
    </row>
    <row r="2806" spans="4:23" ht="27" customHeight="1" x14ac:dyDescent="0.25">
      <c r="D2806" s="14" t="s">
        <v>8785</v>
      </c>
      <c r="E2806" s="14" t="s">
        <v>2581</v>
      </c>
      <c r="F2806" s="84" t="s">
        <v>159</v>
      </c>
      <c r="G2806" s="15" t="s">
        <v>27</v>
      </c>
      <c r="H2806" s="16" t="s">
        <v>8786</v>
      </c>
      <c r="I2806" s="17"/>
      <c r="J2806" s="17"/>
      <c r="K2806" s="17"/>
      <c r="L2806" s="17"/>
      <c r="T2806" s="13"/>
      <c r="U2806" s="13"/>
      <c r="V2806" s="13"/>
      <c r="W2806" s="13"/>
    </row>
    <row r="2807" spans="4:23" ht="27" customHeight="1" x14ac:dyDescent="0.25">
      <c r="D2807" s="14" t="s">
        <v>8787</v>
      </c>
      <c r="E2807" s="14" t="s">
        <v>2370</v>
      </c>
      <c r="F2807" s="84" t="s">
        <v>372</v>
      </c>
      <c r="G2807" s="15" t="s">
        <v>27</v>
      </c>
      <c r="H2807" s="16" t="s">
        <v>8788</v>
      </c>
      <c r="I2807" s="17"/>
      <c r="J2807" s="17"/>
      <c r="K2807" s="17"/>
      <c r="L2807" s="17"/>
      <c r="T2807" s="13"/>
      <c r="U2807" s="13"/>
      <c r="V2807" s="13"/>
      <c r="W2807" s="13"/>
    </row>
    <row r="2808" spans="4:23" ht="27" customHeight="1" x14ac:dyDescent="0.25">
      <c r="D2808" s="14" t="s">
        <v>8789</v>
      </c>
      <c r="E2808" s="14" t="s">
        <v>8790</v>
      </c>
      <c r="F2808" s="84" t="s">
        <v>321</v>
      </c>
      <c r="G2808" s="15" t="s">
        <v>68</v>
      </c>
      <c r="H2808" s="16" t="s">
        <v>8791</v>
      </c>
      <c r="I2808" s="17"/>
      <c r="J2808" s="17"/>
      <c r="K2808" s="17"/>
      <c r="L2808" s="17"/>
      <c r="T2808" s="13"/>
      <c r="U2808" s="13"/>
      <c r="V2808" s="13"/>
      <c r="W2808" s="13"/>
    </row>
    <row r="2809" spans="4:23" ht="27" customHeight="1" x14ac:dyDescent="0.25">
      <c r="D2809" s="14" t="s">
        <v>8792</v>
      </c>
      <c r="E2809" s="14" t="s">
        <v>1925</v>
      </c>
      <c r="F2809" s="84" t="s">
        <v>381</v>
      </c>
      <c r="G2809" s="15" t="s">
        <v>68</v>
      </c>
      <c r="H2809" s="16" t="s">
        <v>8793</v>
      </c>
      <c r="I2809" s="17"/>
      <c r="J2809" s="17"/>
      <c r="K2809" s="17"/>
      <c r="L2809" s="17"/>
      <c r="T2809" s="13"/>
      <c r="U2809" s="13"/>
      <c r="V2809" s="13"/>
      <c r="W2809" s="13"/>
    </row>
    <row r="2810" spans="4:23" ht="27" customHeight="1" x14ac:dyDescent="0.25">
      <c r="D2810" s="14" t="s">
        <v>8794</v>
      </c>
      <c r="E2810" s="14" t="s">
        <v>4301</v>
      </c>
      <c r="F2810" s="84" t="s">
        <v>348</v>
      </c>
      <c r="G2810" s="15" t="s">
        <v>68</v>
      </c>
      <c r="H2810" s="16" t="s">
        <v>8795</v>
      </c>
      <c r="I2810" s="17"/>
      <c r="J2810" s="17"/>
      <c r="K2810" s="17"/>
      <c r="L2810" s="17"/>
      <c r="T2810" s="13"/>
      <c r="U2810" s="13"/>
      <c r="V2810" s="13"/>
      <c r="W2810" s="13"/>
    </row>
    <row r="2811" spans="4:23" ht="27" customHeight="1" x14ac:dyDescent="0.25">
      <c r="D2811" s="14" t="s">
        <v>8796</v>
      </c>
      <c r="E2811" s="14" t="s">
        <v>927</v>
      </c>
      <c r="F2811" s="84" t="s">
        <v>653</v>
      </c>
      <c r="G2811" s="15" t="s">
        <v>27</v>
      </c>
      <c r="H2811" s="16" t="s">
        <v>8797</v>
      </c>
      <c r="I2811" s="17"/>
      <c r="J2811" s="17"/>
      <c r="K2811" s="17"/>
      <c r="L2811" s="17"/>
      <c r="T2811" s="13"/>
      <c r="U2811" s="13"/>
      <c r="V2811" s="13"/>
      <c r="W2811" s="13"/>
    </row>
    <row r="2812" spans="4:23" ht="27" customHeight="1" x14ac:dyDescent="0.25">
      <c r="D2812" s="14" t="s">
        <v>8798</v>
      </c>
      <c r="E2812" s="14" t="s">
        <v>1144</v>
      </c>
      <c r="F2812" s="84" t="s">
        <v>67</v>
      </c>
      <c r="G2812" s="15" t="s">
        <v>27</v>
      </c>
      <c r="H2812" s="16" t="s">
        <v>8799</v>
      </c>
      <c r="I2812" s="17"/>
      <c r="J2812" s="17"/>
      <c r="K2812" s="17"/>
      <c r="L2812" s="17"/>
      <c r="T2812" s="13"/>
      <c r="U2812" s="13"/>
      <c r="V2812" s="13"/>
      <c r="W2812" s="13"/>
    </row>
    <row r="2813" spans="4:23" ht="27" customHeight="1" x14ac:dyDescent="0.25">
      <c r="D2813" s="14" t="s">
        <v>8800</v>
      </c>
      <c r="E2813" s="14" t="s">
        <v>8801</v>
      </c>
      <c r="F2813" s="84" t="s">
        <v>494</v>
      </c>
      <c r="G2813" s="15" t="s">
        <v>68</v>
      </c>
      <c r="H2813" s="16" t="s">
        <v>8802</v>
      </c>
      <c r="I2813" s="17"/>
      <c r="J2813" s="17"/>
      <c r="K2813" s="17"/>
      <c r="L2813" s="17"/>
      <c r="T2813" s="13"/>
      <c r="U2813" s="13"/>
      <c r="V2813" s="13"/>
      <c r="W2813" s="13"/>
    </row>
    <row r="2814" spans="4:23" ht="27" customHeight="1" x14ac:dyDescent="0.25">
      <c r="D2814" s="14" t="s">
        <v>8803</v>
      </c>
      <c r="E2814" s="14" t="s">
        <v>8804</v>
      </c>
      <c r="F2814" s="84" t="s">
        <v>909</v>
      </c>
      <c r="G2814" s="15" t="s">
        <v>27</v>
      </c>
      <c r="H2814" s="16" t="s">
        <v>8805</v>
      </c>
      <c r="I2814" s="17"/>
      <c r="J2814" s="17"/>
      <c r="K2814" s="17"/>
      <c r="L2814" s="17"/>
      <c r="T2814" s="13"/>
      <c r="U2814" s="13"/>
      <c r="V2814" s="13"/>
      <c r="W2814" s="13"/>
    </row>
    <row r="2815" spans="4:23" ht="27" customHeight="1" x14ac:dyDescent="0.25">
      <c r="D2815" s="14" t="s">
        <v>8806</v>
      </c>
      <c r="E2815" s="14" t="s">
        <v>8807</v>
      </c>
      <c r="F2815" s="84" t="s">
        <v>887</v>
      </c>
      <c r="G2815" s="15" t="s">
        <v>68</v>
      </c>
      <c r="H2815" s="16" t="s">
        <v>8808</v>
      </c>
      <c r="I2815" s="17"/>
      <c r="J2815" s="17"/>
      <c r="K2815" s="17"/>
      <c r="L2815" s="17"/>
      <c r="T2815" s="13"/>
      <c r="U2815" s="13"/>
      <c r="V2815" s="13"/>
      <c r="W2815" s="13"/>
    </row>
    <row r="2816" spans="4:23" ht="27" customHeight="1" x14ac:dyDescent="0.25">
      <c r="D2816" s="14" t="s">
        <v>8809</v>
      </c>
      <c r="E2816" s="14" t="s">
        <v>1781</v>
      </c>
      <c r="F2816" s="84" t="s">
        <v>847</v>
      </c>
      <c r="G2816" s="15" t="s">
        <v>68</v>
      </c>
      <c r="H2816" s="16" t="s">
        <v>8810</v>
      </c>
      <c r="I2816" s="17"/>
      <c r="J2816" s="17"/>
      <c r="K2816" s="17"/>
      <c r="L2816" s="17"/>
      <c r="T2816" s="13"/>
      <c r="U2816" s="13"/>
      <c r="V2816" s="13"/>
      <c r="W2816" s="13"/>
    </row>
    <row r="2817" spans="4:23" ht="27" customHeight="1" x14ac:dyDescent="0.25">
      <c r="D2817" s="14" t="s">
        <v>8811</v>
      </c>
      <c r="E2817" s="14" t="s">
        <v>8812</v>
      </c>
      <c r="F2817" s="84" t="s">
        <v>386</v>
      </c>
      <c r="G2817" s="15" t="s">
        <v>27</v>
      </c>
      <c r="H2817" s="16" t="s">
        <v>8813</v>
      </c>
      <c r="I2817" s="17"/>
      <c r="J2817" s="17"/>
      <c r="K2817" s="17"/>
      <c r="L2817" s="17"/>
      <c r="T2817" s="13"/>
      <c r="U2817" s="13"/>
      <c r="V2817" s="13"/>
      <c r="W2817" s="13"/>
    </row>
    <row r="2818" spans="4:23" ht="27" customHeight="1" x14ac:dyDescent="0.25">
      <c r="D2818" s="14" t="s">
        <v>8814</v>
      </c>
      <c r="E2818" s="14" t="s">
        <v>5517</v>
      </c>
      <c r="F2818" s="84" t="s">
        <v>46</v>
      </c>
      <c r="G2818" s="15" t="s">
        <v>27</v>
      </c>
      <c r="H2818" s="16" t="s">
        <v>8815</v>
      </c>
      <c r="I2818" s="17"/>
      <c r="J2818" s="17"/>
      <c r="K2818" s="17"/>
      <c r="L2818" s="17"/>
      <c r="T2818" s="13"/>
      <c r="U2818" s="13"/>
      <c r="V2818" s="13"/>
      <c r="W2818" s="13"/>
    </row>
    <row r="2819" spans="4:23" ht="27" customHeight="1" x14ac:dyDescent="0.25">
      <c r="D2819" s="14" t="s">
        <v>8816</v>
      </c>
      <c r="E2819" s="14" t="s">
        <v>202</v>
      </c>
      <c r="F2819" s="84" t="s">
        <v>1392</v>
      </c>
      <c r="G2819" s="15" t="s">
        <v>27</v>
      </c>
      <c r="H2819" s="16" t="s">
        <v>8817</v>
      </c>
      <c r="I2819" s="17"/>
      <c r="J2819" s="17"/>
      <c r="K2819" s="17"/>
      <c r="L2819" s="17"/>
      <c r="T2819" s="13"/>
      <c r="U2819" s="13"/>
      <c r="V2819" s="13"/>
      <c r="W2819" s="13"/>
    </row>
    <row r="2820" spans="4:23" ht="27" customHeight="1" x14ac:dyDescent="0.25">
      <c r="D2820" s="14" t="s">
        <v>8818</v>
      </c>
      <c r="E2820" s="14" t="s">
        <v>48</v>
      </c>
      <c r="F2820" s="84" t="s">
        <v>5317</v>
      </c>
      <c r="G2820" s="15" t="s">
        <v>27</v>
      </c>
      <c r="H2820" s="16" t="s">
        <v>8819</v>
      </c>
      <c r="I2820" s="17"/>
      <c r="J2820" s="17"/>
      <c r="K2820" s="17"/>
      <c r="L2820" s="17"/>
      <c r="T2820" s="13"/>
      <c r="U2820" s="13"/>
      <c r="V2820" s="13"/>
      <c r="W2820" s="13"/>
    </row>
    <row r="2821" spans="4:23" ht="27" customHeight="1" x14ac:dyDescent="0.25">
      <c r="D2821" s="14" t="s">
        <v>8820</v>
      </c>
      <c r="E2821" s="14" t="s">
        <v>2084</v>
      </c>
      <c r="F2821" s="84" t="s">
        <v>934</v>
      </c>
      <c r="G2821" s="15" t="s">
        <v>68</v>
      </c>
      <c r="H2821" s="16" t="s">
        <v>8821</v>
      </c>
      <c r="I2821" s="17"/>
      <c r="J2821" s="17"/>
      <c r="K2821" s="17"/>
      <c r="L2821" s="17"/>
      <c r="T2821" s="13"/>
      <c r="U2821" s="13"/>
      <c r="V2821" s="13"/>
      <c r="W2821" s="13"/>
    </row>
    <row r="2822" spans="4:23" ht="27" customHeight="1" x14ac:dyDescent="0.25">
      <c r="D2822" s="14" t="s">
        <v>8822</v>
      </c>
      <c r="E2822" s="14" t="s">
        <v>8823</v>
      </c>
      <c r="F2822" s="84" t="s">
        <v>719</v>
      </c>
      <c r="G2822" s="15" t="s">
        <v>68</v>
      </c>
      <c r="H2822" s="16" t="s">
        <v>8824</v>
      </c>
      <c r="I2822" s="17"/>
      <c r="J2822" s="17"/>
      <c r="K2822" s="17"/>
      <c r="L2822" s="17"/>
      <c r="T2822" s="13"/>
      <c r="U2822" s="13"/>
      <c r="V2822" s="13"/>
      <c r="W2822" s="13"/>
    </row>
    <row r="2823" spans="4:23" ht="27" customHeight="1" x14ac:dyDescent="0.25">
      <c r="D2823" s="14" t="s">
        <v>8825</v>
      </c>
      <c r="E2823" s="14" t="s">
        <v>2658</v>
      </c>
      <c r="F2823" s="84" t="s">
        <v>183</v>
      </c>
      <c r="G2823" s="15" t="s">
        <v>27</v>
      </c>
      <c r="H2823" s="16" t="s">
        <v>8826</v>
      </c>
      <c r="I2823" s="17"/>
      <c r="J2823" s="17"/>
      <c r="K2823" s="17"/>
      <c r="L2823" s="17"/>
      <c r="T2823" s="13"/>
      <c r="U2823" s="13"/>
      <c r="V2823" s="13"/>
      <c r="W2823" s="13"/>
    </row>
    <row r="2824" spans="4:23" ht="27" customHeight="1" x14ac:dyDescent="0.25">
      <c r="D2824" s="14" t="s">
        <v>8827</v>
      </c>
      <c r="E2824" s="14" t="s">
        <v>8828</v>
      </c>
      <c r="F2824" s="84" t="s">
        <v>343</v>
      </c>
      <c r="G2824" s="15" t="s">
        <v>68</v>
      </c>
      <c r="H2824" s="16" t="s">
        <v>8829</v>
      </c>
      <c r="I2824" s="17"/>
      <c r="J2824" s="17"/>
      <c r="K2824" s="17"/>
      <c r="L2824" s="17"/>
      <c r="T2824" s="13"/>
      <c r="U2824" s="13"/>
      <c r="V2824" s="13"/>
      <c r="W2824" s="13"/>
    </row>
    <row r="2825" spans="4:23" ht="27" customHeight="1" x14ac:dyDescent="0.25">
      <c r="D2825" s="14" t="s">
        <v>8830</v>
      </c>
      <c r="E2825" s="14" t="s">
        <v>8831</v>
      </c>
      <c r="F2825" s="84" t="s">
        <v>266</v>
      </c>
      <c r="G2825" s="15" t="s">
        <v>68</v>
      </c>
      <c r="H2825" s="16" t="s">
        <v>8832</v>
      </c>
      <c r="I2825" s="17"/>
      <c r="J2825" s="17"/>
      <c r="K2825" s="17"/>
      <c r="L2825" s="17"/>
      <c r="T2825" s="13"/>
      <c r="U2825" s="13"/>
      <c r="V2825" s="13"/>
      <c r="W2825" s="13"/>
    </row>
    <row r="2826" spans="4:23" ht="27" customHeight="1" x14ac:dyDescent="0.25">
      <c r="D2826" s="14" t="s">
        <v>8833</v>
      </c>
      <c r="E2826" s="14" t="s">
        <v>8834</v>
      </c>
      <c r="F2826" s="84" t="s">
        <v>764</v>
      </c>
      <c r="G2826" s="15" t="s">
        <v>68</v>
      </c>
      <c r="H2826" s="16" t="s">
        <v>8835</v>
      </c>
      <c r="I2826" s="17"/>
      <c r="J2826" s="17"/>
      <c r="K2826" s="17"/>
      <c r="L2826" s="17"/>
      <c r="T2826" s="13"/>
      <c r="U2826" s="13"/>
      <c r="V2826" s="13"/>
      <c r="W2826" s="13"/>
    </row>
    <row r="2827" spans="4:23" ht="27" customHeight="1" x14ac:dyDescent="0.25">
      <c r="D2827" s="14" t="s">
        <v>8836</v>
      </c>
      <c r="E2827" s="14" t="s">
        <v>3829</v>
      </c>
      <c r="F2827" s="84" t="s">
        <v>61</v>
      </c>
      <c r="G2827" s="15" t="s">
        <v>27</v>
      </c>
      <c r="H2827" s="16" t="s">
        <v>8837</v>
      </c>
      <c r="I2827" s="17"/>
      <c r="J2827" s="17"/>
      <c r="K2827" s="17"/>
      <c r="L2827" s="17"/>
      <c r="T2827" s="13"/>
      <c r="U2827" s="13"/>
      <c r="V2827" s="13"/>
      <c r="W2827" s="13"/>
    </row>
    <row r="2828" spans="4:23" ht="27" customHeight="1" x14ac:dyDescent="0.25">
      <c r="D2828" s="14" t="s">
        <v>8838</v>
      </c>
      <c r="E2828" s="14" t="s">
        <v>8839</v>
      </c>
      <c r="F2828" s="84" t="s">
        <v>499</v>
      </c>
      <c r="G2828" s="15" t="s">
        <v>68</v>
      </c>
      <c r="H2828" s="16" t="s">
        <v>8840</v>
      </c>
      <c r="I2828" s="17"/>
      <c r="J2828" s="17"/>
      <c r="K2828" s="17"/>
      <c r="L2828" s="17"/>
      <c r="T2828" s="13"/>
      <c r="U2828" s="13"/>
      <c r="V2828" s="13"/>
      <c r="W2828" s="13"/>
    </row>
    <row r="2829" spans="4:23" ht="27" customHeight="1" x14ac:dyDescent="0.25">
      <c r="D2829" s="14" t="s">
        <v>8841</v>
      </c>
      <c r="E2829" s="14" t="s">
        <v>8842</v>
      </c>
      <c r="F2829" s="84" t="s">
        <v>6701</v>
      </c>
      <c r="G2829" s="15" t="s">
        <v>68</v>
      </c>
      <c r="H2829" s="16" t="s">
        <v>8843</v>
      </c>
      <c r="I2829" s="17"/>
      <c r="J2829" s="17"/>
      <c r="K2829" s="17"/>
      <c r="L2829" s="17"/>
      <c r="T2829" s="13"/>
      <c r="U2829" s="13"/>
      <c r="V2829" s="13"/>
      <c r="W2829" s="13"/>
    </row>
    <row r="2830" spans="4:23" ht="27" customHeight="1" x14ac:dyDescent="0.25">
      <c r="D2830" s="14" t="s">
        <v>8844</v>
      </c>
      <c r="E2830" s="14" t="s">
        <v>8845</v>
      </c>
      <c r="F2830" s="84" t="s">
        <v>719</v>
      </c>
      <c r="G2830" s="15" t="s">
        <v>27</v>
      </c>
      <c r="H2830" s="16" t="s">
        <v>8846</v>
      </c>
      <c r="I2830" s="17"/>
      <c r="J2830" s="17"/>
      <c r="K2830" s="17"/>
      <c r="L2830" s="17"/>
      <c r="T2830" s="13"/>
      <c r="U2830" s="13"/>
      <c r="V2830" s="13"/>
      <c r="W2830" s="13"/>
    </row>
    <row r="2831" spans="4:23" ht="27" customHeight="1" x14ac:dyDescent="0.25">
      <c r="D2831" s="14" t="s">
        <v>8847</v>
      </c>
      <c r="E2831" s="14" t="s">
        <v>4535</v>
      </c>
      <c r="F2831" s="84" t="s">
        <v>1118</v>
      </c>
      <c r="G2831" s="15" t="s">
        <v>27</v>
      </c>
      <c r="H2831" s="16" t="s">
        <v>8848</v>
      </c>
      <c r="I2831" s="17"/>
      <c r="J2831" s="17"/>
      <c r="K2831" s="17"/>
      <c r="L2831" s="17"/>
      <c r="T2831" s="13"/>
      <c r="U2831" s="13"/>
      <c r="V2831" s="13"/>
      <c r="W2831" s="13"/>
    </row>
    <row r="2832" spans="4:23" ht="27" customHeight="1" x14ac:dyDescent="0.25">
      <c r="D2832" s="14" t="s">
        <v>8849</v>
      </c>
      <c r="E2832" s="14" t="s">
        <v>8850</v>
      </c>
      <c r="F2832" s="84" t="s">
        <v>969</v>
      </c>
      <c r="G2832" s="15" t="s">
        <v>27</v>
      </c>
      <c r="H2832" s="16" t="s">
        <v>8851</v>
      </c>
      <c r="I2832" s="17"/>
      <c r="J2832" s="17"/>
      <c r="K2832" s="17"/>
      <c r="L2832" s="17"/>
      <c r="T2832" s="13"/>
      <c r="U2832" s="13"/>
      <c r="V2832" s="13"/>
      <c r="W2832" s="13"/>
    </row>
    <row r="2833" spans="4:23" ht="27" customHeight="1" x14ac:dyDescent="0.25">
      <c r="D2833" s="14" t="s">
        <v>8852</v>
      </c>
      <c r="E2833" s="14" t="s">
        <v>8853</v>
      </c>
      <c r="F2833" s="84" t="s">
        <v>1563</v>
      </c>
      <c r="G2833" s="15" t="s">
        <v>27</v>
      </c>
      <c r="H2833" s="16" t="s">
        <v>8854</v>
      </c>
      <c r="I2833" s="17"/>
      <c r="J2833" s="17"/>
      <c r="K2833" s="17"/>
      <c r="L2833" s="17"/>
      <c r="T2833" s="13"/>
      <c r="U2833" s="13"/>
      <c r="V2833" s="13"/>
      <c r="W2833" s="13"/>
    </row>
    <row r="2834" spans="4:23" ht="27" customHeight="1" x14ac:dyDescent="0.25">
      <c r="D2834" s="14" t="s">
        <v>8855</v>
      </c>
      <c r="E2834" s="14" t="s">
        <v>8856</v>
      </c>
      <c r="F2834" s="84" t="s">
        <v>290</v>
      </c>
      <c r="G2834" s="15" t="s">
        <v>27</v>
      </c>
      <c r="H2834" s="16" t="s">
        <v>8857</v>
      </c>
      <c r="I2834" s="17"/>
      <c r="J2834" s="17"/>
      <c r="K2834" s="17"/>
      <c r="L2834" s="17"/>
      <c r="T2834" s="13"/>
      <c r="U2834" s="13"/>
      <c r="V2834" s="13"/>
      <c r="W2834" s="13"/>
    </row>
    <row r="2835" spans="4:23" ht="27" customHeight="1" x14ac:dyDescent="0.25">
      <c r="D2835" s="14" t="s">
        <v>8858</v>
      </c>
      <c r="E2835" s="14" t="s">
        <v>733</v>
      </c>
      <c r="F2835" s="84" t="s">
        <v>188</v>
      </c>
      <c r="G2835" s="15" t="s">
        <v>27</v>
      </c>
      <c r="H2835" s="16" t="s">
        <v>8859</v>
      </c>
      <c r="I2835" s="17"/>
      <c r="J2835" s="17"/>
      <c r="K2835" s="17"/>
      <c r="L2835" s="17"/>
      <c r="T2835" s="13"/>
      <c r="U2835" s="13"/>
      <c r="V2835" s="13"/>
      <c r="W2835" s="13"/>
    </row>
    <row r="2836" spans="4:23" ht="27" customHeight="1" x14ac:dyDescent="0.25">
      <c r="D2836" s="14" t="s">
        <v>8860</v>
      </c>
      <c r="E2836" s="14" t="s">
        <v>8861</v>
      </c>
      <c r="F2836" s="84" t="s">
        <v>381</v>
      </c>
      <c r="G2836" s="15" t="s">
        <v>68</v>
      </c>
      <c r="H2836" s="16" t="s">
        <v>8862</v>
      </c>
      <c r="I2836" s="17"/>
      <c r="J2836" s="17"/>
      <c r="K2836" s="17"/>
      <c r="L2836" s="17"/>
      <c r="T2836" s="13"/>
      <c r="U2836" s="13"/>
      <c r="V2836" s="13"/>
      <c r="W2836" s="13"/>
    </row>
    <row r="2837" spans="4:23" ht="27" customHeight="1" x14ac:dyDescent="0.25">
      <c r="D2837" s="14" t="s">
        <v>8863</v>
      </c>
      <c r="E2837" s="14" t="s">
        <v>5013</v>
      </c>
      <c r="F2837" s="84" t="s">
        <v>206</v>
      </c>
      <c r="G2837" s="15" t="s">
        <v>27</v>
      </c>
      <c r="H2837" s="16" t="s">
        <v>8864</v>
      </c>
      <c r="I2837" s="17"/>
      <c r="J2837" s="17"/>
      <c r="K2837" s="17"/>
      <c r="L2837" s="17"/>
      <c r="T2837" s="13"/>
      <c r="U2837" s="13"/>
      <c r="V2837" s="13"/>
      <c r="W2837" s="13"/>
    </row>
    <row r="2838" spans="4:23" ht="27" customHeight="1" x14ac:dyDescent="0.25">
      <c r="D2838" s="14" t="s">
        <v>8865</v>
      </c>
      <c r="E2838" s="14" t="s">
        <v>8866</v>
      </c>
      <c r="F2838" s="84" t="s">
        <v>2744</v>
      </c>
      <c r="G2838" s="15" t="s">
        <v>27</v>
      </c>
      <c r="H2838" s="16" t="s">
        <v>8867</v>
      </c>
      <c r="I2838" s="17"/>
      <c r="J2838" s="17"/>
      <c r="K2838" s="17"/>
      <c r="L2838" s="17"/>
      <c r="T2838" s="13"/>
      <c r="U2838" s="13"/>
      <c r="V2838" s="13"/>
      <c r="W2838" s="13"/>
    </row>
    <row r="2839" spans="4:23" ht="27" customHeight="1" x14ac:dyDescent="0.25">
      <c r="D2839" s="14" t="s">
        <v>8868</v>
      </c>
      <c r="E2839" s="14" t="s">
        <v>5482</v>
      </c>
      <c r="F2839" s="84" t="s">
        <v>46</v>
      </c>
      <c r="G2839" s="15" t="s">
        <v>68</v>
      </c>
      <c r="H2839" s="16" t="s">
        <v>8869</v>
      </c>
      <c r="I2839" s="17"/>
      <c r="J2839" s="17"/>
      <c r="K2839" s="17"/>
      <c r="L2839" s="17"/>
      <c r="T2839" s="13"/>
      <c r="U2839" s="13"/>
      <c r="V2839" s="13"/>
      <c r="W2839" s="13"/>
    </row>
    <row r="2840" spans="4:23" ht="27" customHeight="1" x14ac:dyDescent="0.25">
      <c r="D2840" s="14" t="s">
        <v>8870</v>
      </c>
      <c r="E2840" s="14" t="s">
        <v>365</v>
      </c>
      <c r="F2840" s="84" t="s">
        <v>2744</v>
      </c>
      <c r="G2840" s="15" t="s">
        <v>27</v>
      </c>
      <c r="H2840" s="16" t="s">
        <v>8871</v>
      </c>
      <c r="I2840" s="17"/>
      <c r="J2840" s="17"/>
      <c r="K2840" s="17"/>
      <c r="L2840" s="17"/>
      <c r="T2840" s="13"/>
      <c r="U2840" s="13"/>
      <c r="V2840" s="13"/>
      <c r="W2840" s="13"/>
    </row>
    <row r="2841" spans="4:23" ht="27" customHeight="1" x14ac:dyDescent="0.25">
      <c r="D2841" s="14" t="s">
        <v>8872</v>
      </c>
      <c r="E2841" s="14" t="s">
        <v>5406</v>
      </c>
      <c r="F2841" s="84" t="s">
        <v>407</v>
      </c>
      <c r="G2841" s="15" t="s">
        <v>68</v>
      </c>
      <c r="H2841" s="16" t="s">
        <v>8873</v>
      </c>
      <c r="I2841" s="17"/>
      <c r="J2841" s="17"/>
      <c r="K2841" s="17"/>
      <c r="L2841" s="17"/>
      <c r="T2841" s="13"/>
      <c r="U2841" s="13"/>
      <c r="V2841" s="13"/>
      <c r="W2841" s="13"/>
    </row>
    <row r="2842" spans="4:23" ht="27" customHeight="1" x14ac:dyDescent="0.25">
      <c r="D2842" s="14" t="s">
        <v>8874</v>
      </c>
      <c r="E2842" s="14" t="s">
        <v>8875</v>
      </c>
      <c r="F2842" s="84" t="s">
        <v>129</v>
      </c>
      <c r="G2842" s="15" t="s">
        <v>27</v>
      </c>
      <c r="H2842" s="16" t="s">
        <v>8876</v>
      </c>
      <c r="I2842" s="17"/>
      <c r="J2842" s="17"/>
      <c r="K2842" s="17"/>
      <c r="L2842" s="17"/>
      <c r="T2842" s="13"/>
      <c r="U2842" s="13"/>
      <c r="V2842" s="13"/>
      <c r="W2842" s="13"/>
    </row>
    <row r="2843" spans="4:23" ht="27" customHeight="1" x14ac:dyDescent="0.25">
      <c r="D2843" s="14" t="s">
        <v>8877</v>
      </c>
      <c r="E2843" s="14" t="s">
        <v>8878</v>
      </c>
      <c r="F2843" s="84" t="s">
        <v>627</v>
      </c>
      <c r="G2843" s="15" t="s">
        <v>68</v>
      </c>
      <c r="H2843" s="16" t="s">
        <v>8879</v>
      </c>
      <c r="I2843" s="17"/>
      <c r="J2843" s="17"/>
      <c r="K2843" s="17"/>
      <c r="L2843" s="17"/>
      <c r="T2843" s="13"/>
      <c r="U2843" s="13"/>
      <c r="V2843" s="13"/>
      <c r="W2843" s="13"/>
    </row>
    <row r="2844" spans="4:23" ht="27" customHeight="1" x14ac:dyDescent="0.25">
      <c r="D2844" s="14" t="s">
        <v>8880</v>
      </c>
      <c r="E2844" s="14" t="s">
        <v>5342</v>
      </c>
      <c r="F2844" s="84" t="s">
        <v>407</v>
      </c>
      <c r="G2844" s="15" t="s">
        <v>27</v>
      </c>
      <c r="H2844" s="16" t="s">
        <v>8881</v>
      </c>
      <c r="I2844" s="17"/>
      <c r="J2844" s="17"/>
      <c r="K2844" s="17"/>
      <c r="L2844" s="17"/>
      <c r="T2844" s="13"/>
      <c r="U2844" s="13"/>
      <c r="V2844" s="13"/>
      <c r="W2844" s="13"/>
    </row>
    <row r="2845" spans="4:23" ht="27" customHeight="1" x14ac:dyDescent="0.25">
      <c r="D2845" s="14" t="s">
        <v>8882</v>
      </c>
      <c r="E2845" s="14" t="s">
        <v>4066</v>
      </c>
      <c r="F2845" s="84" t="s">
        <v>194</v>
      </c>
      <c r="G2845" s="15" t="s">
        <v>27</v>
      </c>
      <c r="H2845" s="16" t="s">
        <v>8883</v>
      </c>
      <c r="I2845" s="17"/>
      <c r="J2845" s="17"/>
      <c r="K2845" s="17"/>
      <c r="L2845" s="17"/>
      <c r="T2845" s="13"/>
      <c r="U2845" s="13"/>
      <c r="V2845" s="13"/>
      <c r="W2845" s="13"/>
    </row>
    <row r="2846" spans="4:23" ht="27" customHeight="1" x14ac:dyDescent="0.25">
      <c r="D2846" s="14" t="s">
        <v>8884</v>
      </c>
      <c r="E2846" s="14" t="s">
        <v>3927</v>
      </c>
      <c r="F2846" s="84" t="s">
        <v>61</v>
      </c>
      <c r="G2846" s="15" t="s">
        <v>27</v>
      </c>
      <c r="H2846" s="16" t="s">
        <v>8885</v>
      </c>
      <c r="I2846" s="17"/>
      <c r="J2846" s="17"/>
      <c r="K2846" s="17"/>
      <c r="L2846" s="17"/>
      <c r="T2846" s="13"/>
      <c r="U2846" s="13"/>
      <c r="V2846" s="13"/>
      <c r="W2846" s="13"/>
    </row>
    <row r="2847" spans="4:23" ht="27" customHeight="1" x14ac:dyDescent="0.25">
      <c r="D2847" s="14" t="s">
        <v>8886</v>
      </c>
      <c r="E2847" s="14" t="s">
        <v>8887</v>
      </c>
      <c r="F2847" s="84" t="s">
        <v>627</v>
      </c>
      <c r="G2847" s="15" t="s">
        <v>68</v>
      </c>
      <c r="H2847" s="16" t="s">
        <v>8888</v>
      </c>
      <c r="I2847" s="17"/>
      <c r="J2847" s="17"/>
      <c r="K2847" s="17"/>
      <c r="L2847" s="17"/>
      <c r="T2847" s="13"/>
      <c r="U2847" s="13"/>
      <c r="V2847" s="13"/>
      <c r="W2847" s="13"/>
    </row>
    <row r="2848" spans="4:23" ht="27" customHeight="1" x14ac:dyDescent="0.25">
      <c r="D2848" s="14" t="s">
        <v>8889</v>
      </c>
      <c r="E2848" s="14" t="s">
        <v>8890</v>
      </c>
      <c r="F2848" s="84" t="s">
        <v>92</v>
      </c>
      <c r="G2848" s="15" t="s">
        <v>68</v>
      </c>
      <c r="H2848" s="16" t="s">
        <v>8891</v>
      </c>
      <c r="I2848" s="17"/>
      <c r="J2848" s="17"/>
      <c r="K2848" s="17"/>
      <c r="L2848" s="17"/>
      <c r="T2848" s="13"/>
      <c r="U2848" s="13"/>
      <c r="V2848" s="13"/>
      <c r="W2848" s="13"/>
    </row>
    <row r="2849" spans="4:23" ht="27" customHeight="1" x14ac:dyDescent="0.25">
      <c r="D2849" s="14" t="s">
        <v>8892</v>
      </c>
      <c r="E2849" s="14" t="s">
        <v>8893</v>
      </c>
      <c r="F2849" s="84" t="s">
        <v>280</v>
      </c>
      <c r="G2849" s="15" t="s">
        <v>27</v>
      </c>
      <c r="H2849" s="16" t="s">
        <v>8894</v>
      </c>
      <c r="I2849" s="17"/>
      <c r="J2849" s="17"/>
      <c r="K2849" s="17"/>
      <c r="L2849" s="17"/>
      <c r="T2849" s="13"/>
      <c r="U2849" s="13"/>
      <c r="V2849" s="13"/>
      <c r="W2849" s="13"/>
    </row>
    <row r="2850" spans="4:23" ht="27" customHeight="1" x14ac:dyDescent="0.25">
      <c r="D2850" s="14" t="s">
        <v>8895</v>
      </c>
      <c r="E2850" s="14" t="s">
        <v>8896</v>
      </c>
      <c r="F2850" s="84" t="s">
        <v>632</v>
      </c>
      <c r="G2850" s="15" t="s">
        <v>27</v>
      </c>
      <c r="H2850" s="16" t="s">
        <v>8897</v>
      </c>
      <c r="I2850" s="17"/>
      <c r="J2850" s="17"/>
      <c r="K2850" s="17"/>
      <c r="L2850" s="17"/>
      <c r="T2850" s="13"/>
      <c r="U2850" s="13"/>
      <c r="V2850" s="13"/>
      <c r="W2850" s="13"/>
    </row>
    <row r="2851" spans="4:23" ht="27" customHeight="1" x14ac:dyDescent="0.25">
      <c r="D2851" s="14" t="s">
        <v>8898</v>
      </c>
      <c r="E2851" s="14" t="s">
        <v>3334</v>
      </c>
      <c r="F2851" s="84" t="s">
        <v>538</v>
      </c>
      <c r="G2851" s="15" t="s">
        <v>27</v>
      </c>
      <c r="H2851" s="16" t="s">
        <v>8899</v>
      </c>
      <c r="I2851" s="17"/>
      <c r="J2851" s="17"/>
      <c r="K2851" s="17"/>
      <c r="L2851" s="17"/>
      <c r="T2851" s="13"/>
      <c r="U2851" s="13"/>
      <c r="V2851" s="13"/>
      <c r="W2851" s="13"/>
    </row>
    <row r="2852" spans="4:23" ht="27" customHeight="1" x14ac:dyDescent="0.25">
      <c r="D2852" s="14" t="s">
        <v>8900</v>
      </c>
      <c r="E2852" s="14" t="s">
        <v>5346</v>
      </c>
      <c r="F2852" s="84" t="s">
        <v>407</v>
      </c>
      <c r="G2852" s="15" t="s">
        <v>68</v>
      </c>
      <c r="H2852" s="16" t="s">
        <v>8901</v>
      </c>
      <c r="I2852" s="17"/>
      <c r="J2852" s="17"/>
      <c r="K2852" s="17"/>
      <c r="L2852" s="17"/>
      <c r="T2852" s="13"/>
      <c r="U2852" s="13"/>
      <c r="V2852" s="13"/>
      <c r="W2852" s="13"/>
    </row>
    <row r="2853" spans="4:23" ht="27" customHeight="1" x14ac:dyDescent="0.25">
      <c r="D2853" s="14" t="s">
        <v>8902</v>
      </c>
      <c r="E2853" s="14" t="s">
        <v>3137</v>
      </c>
      <c r="F2853" s="84" t="s">
        <v>485</v>
      </c>
      <c r="G2853" s="15" t="s">
        <v>27</v>
      </c>
      <c r="H2853" s="16" t="s">
        <v>8903</v>
      </c>
      <c r="I2853" s="17"/>
      <c r="J2853" s="17"/>
      <c r="K2853" s="17"/>
      <c r="L2853" s="17"/>
      <c r="T2853" s="13"/>
      <c r="U2853" s="13"/>
      <c r="V2853" s="13"/>
      <c r="W2853" s="13"/>
    </row>
    <row r="2854" spans="4:23" ht="27" customHeight="1" x14ac:dyDescent="0.25">
      <c r="D2854" s="14" t="s">
        <v>8904</v>
      </c>
      <c r="E2854" s="14" t="s">
        <v>4824</v>
      </c>
      <c r="F2854" s="84" t="s">
        <v>402</v>
      </c>
      <c r="G2854" s="15" t="s">
        <v>68</v>
      </c>
      <c r="H2854" s="16" t="s">
        <v>8905</v>
      </c>
      <c r="I2854" s="17"/>
      <c r="J2854" s="17"/>
      <c r="K2854" s="17"/>
      <c r="L2854" s="17"/>
      <c r="T2854" s="13"/>
      <c r="U2854" s="13"/>
      <c r="V2854" s="13"/>
      <c r="W2854" s="13"/>
    </row>
    <row r="2855" spans="4:23" ht="27" customHeight="1" x14ac:dyDescent="0.25">
      <c r="D2855" s="14" t="s">
        <v>8906</v>
      </c>
      <c r="E2855" s="14" t="s">
        <v>4724</v>
      </c>
      <c r="F2855" s="84" t="s">
        <v>402</v>
      </c>
      <c r="G2855" s="15" t="s">
        <v>27</v>
      </c>
      <c r="H2855" s="16" t="s">
        <v>8907</v>
      </c>
      <c r="I2855" s="17"/>
      <c r="J2855" s="17"/>
      <c r="K2855" s="17"/>
      <c r="L2855" s="17"/>
      <c r="T2855" s="13"/>
      <c r="U2855" s="13"/>
      <c r="V2855" s="13"/>
      <c r="W2855" s="13"/>
    </row>
    <row r="2856" spans="4:23" ht="27" customHeight="1" x14ac:dyDescent="0.25">
      <c r="D2856" s="14" t="s">
        <v>8908</v>
      </c>
      <c r="E2856" s="14" t="s">
        <v>8909</v>
      </c>
      <c r="F2856" s="84" t="s">
        <v>92</v>
      </c>
      <c r="G2856" s="15" t="s">
        <v>27</v>
      </c>
      <c r="H2856" s="16" t="s">
        <v>8910</v>
      </c>
      <c r="I2856" s="17"/>
      <c r="J2856" s="17"/>
      <c r="K2856" s="17"/>
      <c r="L2856" s="17"/>
      <c r="T2856" s="13"/>
      <c r="U2856" s="13"/>
      <c r="V2856" s="13"/>
      <c r="W2856" s="13"/>
    </row>
    <row r="2857" spans="4:23" ht="27" customHeight="1" x14ac:dyDescent="0.25">
      <c r="D2857" s="14" t="s">
        <v>8911</v>
      </c>
      <c r="E2857" s="14" t="s">
        <v>8912</v>
      </c>
      <c r="F2857" s="84" t="s">
        <v>627</v>
      </c>
      <c r="G2857" s="15" t="s">
        <v>27</v>
      </c>
      <c r="H2857" s="16" t="s">
        <v>8913</v>
      </c>
      <c r="I2857" s="17"/>
      <c r="J2857" s="17"/>
      <c r="K2857" s="17"/>
      <c r="L2857" s="17"/>
      <c r="T2857" s="13"/>
      <c r="U2857" s="13"/>
      <c r="V2857" s="13"/>
      <c r="W2857" s="13"/>
    </row>
    <row r="2858" spans="4:23" ht="27" customHeight="1" x14ac:dyDescent="0.25">
      <c r="D2858" s="14" t="s">
        <v>8914</v>
      </c>
      <c r="E2858" s="14" t="s">
        <v>4574</v>
      </c>
      <c r="F2858" s="84" t="s">
        <v>1118</v>
      </c>
      <c r="G2858" s="15" t="s">
        <v>27</v>
      </c>
      <c r="H2858" s="16" t="s">
        <v>8915</v>
      </c>
      <c r="I2858" s="17"/>
      <c r="J2858" s="17"/>
      <c r="K2858" s="17"/>
      <c r="L2858" s="17"/>
      <c r="T2858" s="13"/>
      <c r="U2858" s="13"/>
      <c r="V2858" s="13"/>
      <c r="W2858" s="13"/>
    </row>
    <row r="2859" spans="4:23" ht="27" customHeight="1" x14ac:dyDescent="0.25">
      <c r="D2859" s="14" t="s">
        <v>8916</v>
      </c>
      <c r="E2859" s="14" t="s">
        <v>4000</v>
      </c>
      <c r="F2859" s="84" t="s">
        <v>194</v>
      </c>
      <c r="G2859" s="15" t="s">
        <v>27</v>
      </c>
      <c r="H2859" s="16" t="s">
        <v>8917</v>
      </c>
      <c r="I2859" s="17"/>
      <c r="J2859" s="17"/>
      <c r="K2859" s="17"/>
      <c r="L2859" s="17"/>
      <c r="T2859" s="13"/>
      <c r="U2859" s="13"/>
      <c r="V2859" s="13"/>
      <c r="W2859" s="13"/>
    </row>
    <row r="2860" spans="4:23" ht="27" customHeight="1" x14ac:dyDescent="0.25">
      <c r="D2860" s="14" t="s">
        <v>8918</v>
      </c>
      <c r="E2860" s="14" t="s">
        <v>8919</v>
      </c>
      <c r="F2860" s="84" t="s">
        <v>280</v>
      </c>
      <c r="G2860" s="15" t="s">
        <v>27</v>
      </c>
      <c r="H2860" s="16" t="s">
        <v>8920</v>
      </c>
      <c r="I2860" s="17"/>
      <c r="J2860" s="17"/>
      <c r="K2860" s="17"/>
      <c r="L2860" s="17"/>
      <c r="T2860" s="13"/>
      <c r="U2860" s="13"/>
      <c r="V2860" s="13"/>
      <c r="W2860" s="13"/>
    </row>
    <row r="2861" spans="4:23" ht="27" customHeight="1" x14ac:dyDescent="0.25">
      <c r="D2861" s="14" t="s">
        <v>8921</v>
      </c>
      <c r="E2861" s="14" t="s">
        <v>3056</v>
      </c>
      <c r="F2861" s="84" t="s">
        <v>485</v>
      </c>
      <c r="G2861" s="15" t="s">
        <v>27</v>
      </c>
      <c r="H2861" s="16" t="s">
        <v>8922</v>
      </c>
      <c r="I2861" s="17"/>
      <c r="J2861" s="17"/>
      <c r="K2861" s="17"/>
      <c r="L2861" s="17"/>
      <c r="T2861" s="13"/>
      <c r="U2861" s="13"/>
      <c r="V2861" s="13"/>
      <c r="W2861" s="13"/>
    </row>
    <row r="2862" spans="4:23" ht="27" customHeight="1" x14ac:dyDescent="0.25">
      <c r="D2862" s="14" t="s">
        <v>8923</v>
      </c>
      <c r="E2862" s="14" t="s">
        <v>3700</v>
      </c>
      <c r="F2862" s="84" t="s">
        <v>1201</v>
      </c>
      <c r="G2862" s="15" t="s">
        <v>27</v>
      </c>
      <c r="H2862" s="16" t="s">
        <v>8924</v>
      </c>
      <c r="I2862" s="17"/>
      <c r="J2862" s="17"/>
      <c r="K2862" s="17"/>
      <c r="L2862" s="17"/>
      <c r="T2862" s="13"/>
      <c r="U2862" s="13"/>
      <c r="V2862" s="13"/>
      <c r="W2862" s="13"/>
    </row>
    <row r="2863" spans="4:23" ht="27" customHeight="1" x14ac:dyDescent="0.25">
      <c r="D2863" s="14" t="s">
        <v>8925</v>
      </c>
      <c r="E2863" s="14" t="s">
        <v>8926</v>
      </c>
      <c r="F2863" s="84" t="s">
        <v>847</v>
      </c>
      <c r="G2863" s="15" t="s">
        <v>27</v>
      </c>
      <c r="H2863" s="16" t="s">
        <v>8927</v>
      </c>
      <c r="I2863" s="17"/>
      <c r="J2863" s="17"/>
      <c r="K2863" s="17"/>
      <c r="L2863" s="17"/>
      <c r="T2863" s="13"/>
      <c r="U2863" s="13"/>
      <c r="V2863" s="13"/>
      <c r="W2863" s="13"/>
    </row>
    <row r="2864" spans="4:23" ht="27" customHeight="1" x14ac:dyDescent="0.25">
      <c r="D2864" s="14" t="s">
        <v>8928</v>
      </c>
      <c r="E2864" s="14" t="s">
        <v>4094</v>
      </c>
      <c r="F2864" s="84" t="s">
        <v>239</v>
      </c>
      <c r="G2864" s="15" t="s">
        <v>27</v>
      </c>
      <c r="H2864" s="16" t="s">
        <v>8929</v>
      </c>
      <c r="I2864" s="17"/>
      <c r="J2864" s="17"/>
      <c r="K2864" s="17"/>
      <c r="L2864" s="17"/>
      <c r="T2864" s="13"/>
      <c r="U2864" s="13"/>
      <c r="V2864" s="13"/>
      <c r="W2864" s="13"/>
    </row>
    <row r="2865" spans="4:23" ht="27" customHeight="1" x14ac:dyDescent="0.25">
      <c r="D2865" s="14" t="s">
        <v>8930</v>
      </c>
      <c r="E2865" s="14" t="s">
        <v>1755</v>
      </c>
      <c r="F2865" s="84" t="s">
        <v>211</v>
      </c>
      <c r="G2865" s="15" t="s">
        <v>27</v>
      </c>
      <c r="H2865" s="16" t="s">
        <v>8931</v>
      </c>
      <c r="I2865" s="17"/>
      <c r="J2865" s="17"/>
      <c r="K2865" s="17"/>
      <c r="L2865" s="17"/>
      <c r="T2865" s="13"/>
      <c r="U2865" s="13"/>
      <c r="V2865" s="13"/>
      <c r="W2865" s="13"/>
    </row>
    <row r="2866" spans="4:23" ht="27" customHeight="1" x14ac:dyDescent="0.25">
      <c r="D2866" s="14" t="s">
        <v>8932</v>
      </c>
      <c r="E2866" s="14" t="s">
        <v>8933</v>
      </c>
      <c r="F2866" s="84" t="s">
        <v>674</v>
      </c>
      <c r="G2866" s="15" t="s">
        <v>68</v>
      </c>
      <c r="H2866" s="16" t="s">
        <v>8934</v>
      </c>
      <c r="I2866" s="17"/>
      <c r="J2866" s="17"/>
      <c r="K2866" s="17"/>
      <c r="L2866" s="17"/>
      <c r="T2866" s="13"/>
      <c r="U2866" s="13"/>
      <c r="V2866" s="13"/>
      <c r="W2866" s="13"/>
    </row>
    <row r="2867" spans="4:23" ht="27" customHeight="1" x14ac:dyDescent="0.25">
      <c r="D2867" s="14" t="s">
        <v>8935</v>
      </c>
      <c r="E2867" s="14" t="s">
        <v>8936</v>
      </c>
      <c r="F2867" s="84" t="s">
        <v>597</v>
      </c>
      <c r="G2867" s="15" t="s">
        <v>27</v>
      </c>
      <c r="H2867" s="16" t="s">
        <v>8937</v>
      </c>
      <c r="I2867" s="17"/>
      <c r="J2867" s="17"/>
      <c r="K2867" s="17"/>
      <c r="L2867" s="17"/>
      <c r="T2867" s="13"/>
      <c r="U2867" s="13"/>
      <c r="V2867" s="13"/>
      <c r="W2867" s="13"/>
    </row>
    <row r="2868" spans="4:23" ht="27" customHeight="1" x14ac:dyDescent="0.25">
      <c r="D2868" s="14" t="s">
        <v>8938</v>
      </c>
      <c r="E2868" s="14" t="s">
        <v>8939</v>
      </c>
      <c r="F2868" s="84" t="s">
        <v>524</v>
      </c>
      <c r="G2868" s="15" t="s">
        <v>68</v>
      </c>
      <c r="H2868" s="16" t="s">
        <v>8940</v>
      </c>
      <c r="I2868" s="17"/>
      <c r="J2868" s="17"/>
      <c r="K2868" s="17"/>
      <c r="L2868" s="17"/>
      <c r="T2868" s="13"/>
      <c r="U2868" s="13"/>
      <c r="V2868" s="13"/>
      <c r="W2868" s="13"/>
    </row>
    <row r="2869" spans="4:23" ht="27" customHeight="1" x14ac:dyDescent="0.25">
      <c r="D2869" s="14" t="s">
        <v>8941</v>
      </c>
      <c r="E2869" s="14" t="s">
        <v>4597</v>
      </c>
      <c r="F2869" s="84" t="s">
        <v>1118</v>
      </c>
      <c r="G2869" s="15" t="s">
        <v>68</v>
      </c>
      <c r="H2869" s="16" t="s">
        <v>8942</v>
      </c>
      <c r="I2869" s="17"/>
      <c r="J2869" s="17"/>
      <c r="K2869" s="17"/>
      <c r="L2869" s="17"/>
      <c r="T2869" s="13"/>
      <c r="U2869" s="13"/>
      <c r="V2869" s="13"/>
      <c r="W2869" s="13"/>
    </row>
    <row r="2870" spans="4:23" ht="27" customHeight="1" x14ac:dyDescent="0.25">
      <c r="D2870" s="14" t="s">
        <v>8943</v>
      </c>
      <c r="E2870" s="14" t="s">
        <v>3297</v>
      </c>
      <c r="F2870" s="84" t="s">
        <v>538</v>
      </c>
      <c r="G2870" s="15" t="s">
        <v>27</v>
      </c>
      <c r="H2870" s="16" t="s">
        <v>8944</v>
      </c>
      <c r="I2870" s="17"/>
      <c r="J2870" s="17"/>
      <c r="K2870" s="17"/>
      <c r="L2870" s="17"/>
      <c r="T2870" s="13"/>
      <c r="U2870" s="13"/>
      <c r="V2870" s="13"/>
      <c r="W2870" s="13"/>
    </row>
    <row r="2871" spans="4:23" ht="27" customHeight="1" x14ac:dyDescent="0.25">
      <c r="D2871" s="14" t="s">
        <v>8945</v>
      </c>
      <c r="E2871" s="14" t="s">
        <v>8946</v>
      </c>
      <c r="F2871" s="84" t="s">
        <v>302</v>
      </c>
      <c r="G2871" s="15" t="s">
        <v>27</v>
      </c>
      <c r="H2871" s="16" t="s">
        <v>8947</v>
      </c>
      <c r="I2871" s="17"/>
      <c r="J2871" s="17"/>
      <c r="K2871" s="17"/>
      <c r="L2871" s="17"/>
      <c r="T2871" s="13"/>
      <c r="U2871" s="13"/>
      <c r="V2871" s="13"/>
      <c r="W2871" s="13"/>
    </row>
    <row r="2872" spans="4:23" ht="27" customHeight="1" x14ac:dyDescent="0.25">
      <c r="D2872" s="14" t="s">
        <v>8948</v>
      </c>
      <c r="E2872" s="14" t="s">
        <v>3403</v>
      </c>
      <c r="F2872" s="84" t="s">
        <v>316</v>
      </c>
      <c r="G2872" s="15" t="s">
        <v>68</v>
      </c>
      <c r="H2872" s="16" t="s">
        <v>8949</v>
      </c>
      <c r="I2872" s="17"/>
      <c r="J2872" s="17"/>
      <c r="K2872" s="17"/>
      <c r="L2872" s="17"/>
      <c r="T2872" s="13"/>
      <c r="U2872" s="13"/>
      <c r="V2872" s="13"/>
      <c r="W2872" s="13"/>
    </row>
    <row r="2873" spans="4:23" ht="27" customHeight="1" x14ac:dyDescent="0.25">
      <c r="D2873" s="14" t="s">
        <v>8950</v>
      </c>
      <c r="E2873" s="14" t="s">
        <v>4984</v>
      </c>
      <c r="F2873" s="84" t="s">
        <v>444</v>
      </c>
      <c r="G2873" s="15" t="s">
        <v>27</v>
      </c>
      <c r="H2873" s="16" t="s">
        <v>8951</v>
      </c>
      <c r="I2873" s="17"/>
      <c r="J2873" s="17"/>
      <c r="K2873" s="17"/>
      <c r="L2873" s="17"/>
      <c r="T2873" s="13"/>
      <c r="U2873" s="13"/>
      <c r="V2873" s="13"/>
      <c r="W2873" s="13"/>
    </row>
    <row r="2874" spans="4:23" ht="27" customHeight="1" x14ac:dyDescent="0.25">
      <c r="D2874" s="14" t="s">
        <v>8952</v>
      </c>
      <c r="E2874" s="14" t="s">
        <v>4603</v>
      </c>
      <c r="F2874" s="84" t="s">
        <v>1118</v>
      </c>
      <c r="G2874" s="15" t="s">
        <v>68</v>
      </c>
      <c r="H2874" s="16" t="s">
        <v>8953</v>
      </c>
      <c r="I2874" s="17"/>
      <c r="J2874" s="17"/>
      <c r="K2874" s="17"/>
      <c r="L2874" s="17"/>
      <c r="T2874" s="13"/>
      <c r="U2874" s="13"/>
      <c r="V2874" s="13"/>
      <c r="W2874" s="13"/>
    </row>
    <row r="2875" spans="4:23" ht="27" customHeight="1" x14ac:dyDescent="0.25">
      <c r="D2875" s="14" t="s">
        <v>8954</v>
      </c>
      <c r="E2875" s="14" t="s">
        <v>8955</v>
      </c>
      <c r="F2875" s="84" t="s">
        <v>969</v>
      </c>
      <c r="G2875" s="15" t="s">
        <v>68</v>
      </c>
      <c r="H2875" s="16" t="s">
        <v>8956</v>
      </c>
      <c r="I2875" s="17"/>
      <c r="J2875" s="17"/>
      <c r="K2875" s="17"/>
      <c r="L2875" s="17"/>
      <c r="T2875" s="13"/>
      <c r="U2875" s="13"/>
      <c r="V2875" s="13"/>
      <c r="W2875" s="13"/>
    </row>
    <row r="2876" spans="4:23" ht="27" customHeight="1" x14ac:dyDescent="0.25">
      <c r="D2876" s="14" t="s">
        <v>8957</v>
      </c>
      <c r="E2876" s="14" t="s">
        <v>8958</v>
      </c>
      <c r="F2876" s="84" t="s">
        <v>129</v>
      </c>
      <c r="G2876" s="15" t="s">
        <v>68</v>
      </c>
      <c r="H2876" s="16" t="s">
        <v>8959</v>
      </c>
      <c r="I2876" s="17"/>
      <c r="J2876" s="17"/>
      <c r="K2876" s="17"/>
      <c r="L2876" s="17"/>
      <c r="T2876" s="13"/>
      <c r="U2876" s="13"/>
      <c r="V2876" s="13"/>
      <c r="W2876" s="13"/>
    </row>
    <row r="2877" spans="4:23" ht="27" customHeight="1" x14ac:dyDescent="0.25">
      <c r="D2877" s="14" t="s">
        <v>8960</v>
      </c>
      <c r="E2877" s="14" t="s">
        <v>4422</v>
      </c>
      <c r="F2877" s="84" t="s">
        <v>1535</v>
      </c>
      <c r="G2877" s="15" t="s">
        <v>27</v>
      </c>
      <c r="H2877" s="16" t="s">
        <v>8961</v>
      </c>
      <c r="I2877" s="17"/>
      <c r="J2877" s="17"/>
      <c r="K2877" s="17"/>
      <c r="L2877" s="17"/>
      <c r="T2877" s="13"/>
      <c r="U2877" s="13"/>
      <c r="V2877" s="13"/>
      <c r="W2877" s="13"/>
    </row>
    <row r="2878" spans="4:23" ht="27" customHeight="1" x14ac:dyDescent="0.25">
      <c r="D2878" s="14" t="s">
        <v>8962</v>
      </c>
      <c r="E2878" s="14" t="s">
        <v>8963</v>
      </c>
      <c r="F2878" s="84" t="s">
        <v>183</v>
      </c>
      <c r="G2878" s="15" t="s">
        <v>68</v>
      </c>
      <c r="H2878" s="16" t="s">
        <v>8964</v>
      </c>
      <c r="I2878" s="17"/>
      <c r="J2878" s="17"/>
      <c r="K2878" s="17"/>
      <c r="L2878" s="17"/>
      <c r="T2878" s="13"/>
      <c r="U2878" s="13"/>
      <c r="V2878" s="13"/>
      <c r="W2878" s="13"/>
    </row>
    <row r="2879" spans="4:23" ht="27" customHeight="1" x14ac:dyDescent="0.25">
      <c r="D2879" s="14" t="s">
        <v>8965</v>
      </c>
      <c r="E2879" s="14" t="s">
        <v>8966</v>
      </c>
      <c r="F2879" s="84" t="s">
        <v>592</v>
      </c>
      <c r="G2879" s="15" t="s">
        <v>27</v>
      </c>
      <c r="H2879" s="16" t="s">
        <v>8967</v>
      </c>
      <c r="I2879" s="17"/>
      <c r="J2879" s="17"/>
      <c r="K2879" s="17"/>
      <c r="L2879" s="17"/>
      <c r="T2879" s="13"/>
      <c r="U2879" s="13"/>
      <c r="V2879" s="13"/>
      <c r="W2879" s="13"/>
    </row>
    <row r="2880" spans="4:23" ht="27" customHeight="1" x14ac:dyDescent="0.25">
      <c r="D2880" s="14" t="s">
        <v>8968</v>
      </c>
      <c r="E2880" s="14" t="s">
        <v>4263</v>
      </c>
      <c r="F2880" s="84" t="s">
        <v>348</v>
      </c>
      <c r="G2880" s="15" t="s">
        <v>27</v>
      </c>
      <c r="H2880" s="16" t="s">
        <v>8969</v>
      </c>
      <c r="I2880" s="17"/>
      <c r="J2880" s="17"/>
      <c r="K2880" s="17"/>
      <c r="L2880" s="17"/>
      <c r="T2880" s="13"/>
      <c r="U2880" s="13"/>
      <c r="V2880" s="13"/>
      <c r="W2880" s="13"/>
    </row>
    <row r="2881" spans="4:23" ht="27" customHeight="1" x14ac:dyDescent="0.25">
      <c r="D2881" s="14" t="s">
        <v>8970</v>
      </c>
      <c r="E2881" s="14" t="s">
        <v>8971</v>
      </c>
      <c r="F2881" s="84" t="s">
        <v>2135</v>
      </c>
      <c r="G2881" s="15" t="s">
        <v>27</v>
      </c>
      <c r="H2881" s="16" t="s">
        <v>8972</v>
      </c>
      <c r="I2881" s="17"/>
      <c r="J2881" s="17"/>
      <c r="K2881" s="17"/>
      <c r="L2881" s="17"/>
      <c r="T2881" s="13"/>
      <c r="U2881" s="13"/>
      <c r="V2881" s="13"/>
      <c r="W2881" s="13"/>
    </row>
    <row r="2882" spans="4:23" ht="27" customHeight="1" x14ac:dyDescent="0.25">
      <c r="D2882" s="14" t="s">
        <v>8973</v>
      </c>
      <c r="E2882" s="14" t="s">
        <v>1254</v>
      </c>
      <c r="F2882" s="84" t="s">
        <v>332</v>
      </c>
      <c r="G2882" s="15" t="s">
        <v>27</v>
      </c>
      <c r="H2882" s="16" t="s">
        <v>8974</v>
      </c>
      <c r="I2882" s="17"/>
      <c r="J2882" s="17"/>
      <c r="K2882" s="17"/>
      <c r="L2882" s="17"/>
      <c r="T2882" s="13"/>
      <c r="U2882" s="13"/>
      <c r="V2882" s="13"/>
      <c r="W2882" s="13"/>
    </row>
    <row r="2883" spans="4:23" ht="27" customHeight="1" x14ac:dyDescent="0.25">
      <c r="D2883" s="14" t="s">
        <v>8975</v>
      </c>
      <c r="E2883" s="14" t="s">
        <v>8976</v>
      </c>
      <c r="F2883" s="84" t="s">
        <v>1886</v>
      </c>
      <c r="G2883" s="15" t="s">
        <v>27</v>
      </c>
      <c r="H2883" s="16" t="s">
        <v>8977</v>
      </c>
      <c r="I2883" s="17"/>
      <c r="J2883" s="17"/>
      <c r="K2883" s="17"/>
      <c r="L2883" s="17"/>
      <c r="T2883" s="13"/>
      <c r="U2883" s="13"/>
      <c r="V2883" s="13"/>
      <c r="W2883" s="13"/>
    </row>
    <row r="2884" spans="4:23" ht="27" customHeight="1" x14ac:dyDescent="0.25">
      <c r="D2884" s="14" t="s">
        <v>8978</v>
      </c>
      <c r="E2884" s="14" t="s">
        <v>1623</v>
      </c>
      <c r="F2884" s="84" t="s">
        <v>2773</v>
      </c>
      <c r="G2884" s="15" t="s">
        <v>27</v>
      </c>
      <c r="H2884" s="16" t="s">
        <v>8979</v>
      </c>
      <c r="I2884" s="17"/>
      <c r="J2884" s="17"/>
      <c r="K2884" s="17"/>
      <c r="L2884" s="17"/>
      <c r="T2884" s="13"/>
      <c r="U2884" s="13"/>
      <c r="V2884" s="13"/>
      <c r="W2884" s="13"/>
    </row>
    <row r="2885" spans="4:23" ht="27" customHeight="1" x14ac:dyDescent="0.25">
      <c r="D2885" s="14" t="s">
        <v>8980</v>
      </c>
      <c r="E2885" s="14" t="s">
        <v>501</v>
      </c>
      <c r="F2885" s="84" t="s">
        <v>7745</v>
      </c>
      <c r="G2885" s="15" t="s">
        <v>27</v>
      </c>
      <c r="H2885" s="16" t="s">
        <v>8981</v>
      </c>
      <c r="I2885" s="17"/>
      <c r="J2885" s="17"/>
      <c r="K2885" s="17"/>
      <c r="L2885" s="17"/>
      <c r="T2885" s="13"/>
      <c r="U2885" s="13"/>
      <c r="V2885" s="13"/>
      <c r="W2885" s="13"/>
    </row>
    <row r="2886" spans="4:23" ht="27" customHeight="1" x14ac:dyDescent="0.25">
      <c r="D2886" s="14" t="s">
        <v>8982</v>
      </c>
      <c r="E2886" s="14" t="s">
        <v>8983</v>
      </c>
      <c r="F2886" s="84" t="s">
        <v>381</v>
      </c>
      <c r="G2886" s="15" t="s">
        <v>27</v>
      </c>
      <c r="H2886" s="16" t="s">
        <v>8984</v>
      </c>
      <c r="I2886" s="17"/>
      <c r="J2886" s="17"/>
      <c r="K2886" s="17"/>
      <c r="L2886" s="17"/>
      <c r="T2886" s="13"/>
      <c r="U2886" s="13"/>
      <c r="V2886" s="13"/>
      <c r="W2886" s="13"/>
    </row>
    <row r="2887" spans="4:23" ht="27" customHeight="1" x14ac:dyDescent="0.25">
      <c r="D2887" s="14" t="s">
        <v>8985</v>
      </c>
      <c r="E2887" s="14" t="s">
        <v>2634</v>
      </c>
      <c r="F2887" s="84" t="s">
        <v>183</v>
      </c>
      <c r="G2887" s="15" t="s">
        <v>27</v>
      </c>
      <c r="H2887" s="16" t="s">
        <v>8986</v>
      </c>
      <c r="I2887" s="17"/>
      <c r="J2887" s="17"/>
      <c r="K2887" s="17"/>
      <c r="L2887" s="17"/>
      <c r="T2887" s="13"/>
      <c r="U2887" s="13"/>
      <c r="V2887" s="13"/>
      <c r="W2887" s="13"/>
    </row>
    <row r="2888" spans="4:23" ht="27" customHeight="1" x14ac:dyDescent="0.25">
      <c r="D2888" s="14" t="s">
        <v>8987</v>
      </c>
      <c r="E2888" s="14" t="s">
        <v>8988</v>
      </c>
      <c r="F2888" s="84" t="s">
        <v>266</v>
      </c>
      <c r="G2888" s="15" t="s">
        <v>68</v>
      </c>
      <c r="H2888" s="16" t="s">
        <v>8989</v>
      </c>
      <c r="I2888" s="17"/>
      <c r="J2888" s="17"/>
      <c r="K2888" s="17"/>
      <c r="L2888" s="17"/>
      <c r="T2888" s="13"/>
      <c r="U2888" s="13"/>
      <c r="V2888" s="13"/>
      <c r="W2888" s="13"/>
    </row>
    <row r="2889" spans="4:23" ht="27" customHeight="1" x14ac:dyDescent="0.25">
      <c r="D2889" s="14" t="s">
        <v>8990</v>
      </c>
      <c r="E2889" s="14" t="s">
        <v>8991</v>
      </c>
      <c r="F2889" s="84" t="s">
        <v>422</v>
      </c>
      <c r="G2889" s="15" t="s">
        <v>27</v>
      </c>
      <c r="H2889" s="16" t="s">
        <v>8992</v>
      </c>
      <c r="I2889" s="17"/>
      <c r="J2889" s="17"/>
      <c r="K2889" s="17"/>
      <c r="L2889" s="17"/>
      <c r="T2889" s="13"/>
      <c r="U2889" s="13"/>
      <c r="V2889" s="13"/>
      <c r="W2889" s="13"/>
    </row>
    <row r="2890" spans="4:23" ht="27" customHeight="1" x14ac:dyDescent="0.25">
      <c r="D2890" s="14" t="s">
        <v>8993</v>
      </c>
      <c r="E2890" s="14" t="s">
        <v>1718</v>
      </c>
      <c r="F2890" s="84" t="s">
        <v>211</v>
      </c>
      <c r="G2890" s="15" t="s">
        <v>27</v>
      </c>
      <c r="H2890" s="16" t="s">
        <v>8994</v>
      </c>
      <c r="I2890" s="17"/>
      <c r="J2890" s="17"/>
      <c r="K2890" s="17"/>
      <c r="L2890" s="17"/>
      <c r="T2890" s="13"/>
      <c r="U2890" s="13"/>
      <c r="V2890" s="13"/>
      <c r="W2890" s="13"/>
    </row>
    <row r="2891" spans="4:23" ht="27" customHeight="1" x14ac:dyDescent="0.25">
      <c r="D2891" s="14" t="s">
        <v>8995</v>
      </c>
      <c r="E2891" s="14" t="s">
        <v>1409</v>
      </c>
      <c r="F2891" s="84" t="s">
        <v>74</v>
      </c>
      <c r="G2891" s="15" t="s">
        <v>68</v>
      </c>
      <c r="H2891" s="16" t="s">
        <v>8996</v>
      </c>
      <c r="I2891" s="17"/>
      <c r="J2891" s="17"/>
      <c r="K2891" s="17"/>
      <c r="L2891" s="17"/>
      <c r="T2891" s="13"/>
      <c r="U2891" s="13"/>
      <c r="V2891" s="13"/>
      <c r="W2891" s="13"/>
    </row>
    <row r="2892" spans="4:23" ht="27" customHeight="1" x14ac:dyDescent="0.25">
      <c r="D2892" s="14" t="s">
        <v>8997</v>
      </c>
      <c r="E2892" s="14" t="s">
        <v>3654</v>
      </c>
      <c r="F2892" s="84" t="s">
        <v>1201</v>
      </c>
      <c r="G2892" s="15" t="s">
        <v>68</v>
      </c>
      <c r="H2892" s="16" t="s">
        <v>8998</v>
      </c>
      <c r="I2892" s="17"/>
      <c r="J2892" s="17"/>
      <c r="K2892" s="17"/>
      <c r="L2892" s="17"/>
      <c r="T2892" s="13"/>
      <c r="U2892" s="13"/>
      <c r="V2892" s="13"/>
      <c r="W2892" s="13"/>
    </row>
    <row r="2893" spans="4:23" ht="27" customHeight="1" x14ac:dyDescent="0.25">
      <c r="D2893" s="14" t="s">
        <v>8999</v>
      </c>
      <c r="E2893" s="14" t="s">
        <v>9000</v>
      </c>
      <c r="F2893" s="84" t="s">
        <v>556</v>
      </c>
      <c r="G2893" s="15" t="s">
        <v>68</v>
      </c>
      <c r="H2893" s="16" t="s">
        <v>9001</v>
      </c>
      <c r="I2893" s="17"/>
      <c r="J2893" s="17"/>
      <c r="K2893" s="17"/>
      <c r="L2893" s="17"/>
      <c r="T2893" s="13"/>
      <c r="U2893" s="13"/>
      <c r="V2893" s="13"/>
      <c r="W2893" s="13"/>
    </row>
    <row r="2894" spans="4:23" ht="27" customHeight="1" x14ac:dyDescent="0.25">
      <c r="D2894" s="14" t="s">
        <v>9002</v>
      </c>
      <c r="E2894" s="14" t="s">
        <v>9003</v>
      </c>
      <c r="F2894" s="84" t="s">
        <v>149</v>
      </c>
      <c r="G2894" s="15" t="s">
        <v>27</v>
      </c>
      <c r="H2894" s="16" t="s">
        <v>9004</v>
      </c>
      <c r="I2894" s="17"/>
      <c r="J2894" s="17"/>
      <c r="K2894" s="17"/>
      <c r="L2894" s="17"/>
      <c r="T2894" s="13"/>
      <c r="U2894" s="13"/>
      <c r="V2894" s="13"/>
      <c r="W2894" s="13"/>
    </row>
    <row r="2895" spans="4:23" ht="27" customHeight="1" x14ac:dyDescent="0.25">
      <c r="D2895" s="14" t="s">
        <v>9005</v>
      </c>
      <c r="E2895" s="14" t="s">
        <v>505</v>
      </c>
      <c r="F2895" s="84" t="s">
        <v>7745</v>
      </c>
      <c r="G2895" s="15" t="s">
        <v>27</v>
      </c>
      <c r="H2895" s="16" t="s">
        <v>9006</v>
      </c>
      <c r="I2895" s="17"/>
      <c r="J2895" s="17"/>
      <c r="K2895" s="17"/>
      <c r="L2895" s="17"/>
      <c r="T2895" s="13"/>
      <c r="U2895" s="13"/>
      <c r="V2895" s="13"/>
      <c r="W2895" s="13"/>
    </row>
    <row r="2896" spans="4:23" ht="27" customHeight="1" x14ac:dyDescent="0.25">
      <c r="D2896" s="14" t="s">
        <v>9007</v>
      </c>
      <c r="E2896" s="14" t="s">
        <v>9008</v>
      </c>
      <c r="F2896" s="84" t="s">
        <v>1640</v>
      </c>
      <c r="G2896" s="15" t="s">
        <v>68</v>
      </c>
      <c r="H2896" s="16" t="s">
        <v>9009</v>
      </c>
      <c r="I2896" s="17"/>
      <c r="J2896" s="17"/>
      <c r="K2896" s="17"/>
      <c r="L2896" s="17"/>
      <c r="T2896" s="13"/>
      <c r="U2896" s="13"/>
      <c r="V2896" s="13"/>
      <c r="W2896" s="13"/>
    </row>
    <row r="2897" spans="4:23" ht="27" customHeight="1" x14ac:dyDescent="0.25">
      <c r="D2897" s="14" t="s">
        <v>9010</v>
      </c>
      <c r="E2897" s="14" t="s">
        <v>3069</v>
      </c>
      <c r="F2897" s="84" t="s">
        <v>485</v>
      </c>
      <c r="G2897" s="15" t="s">
        <v>27</v>
      </c>
      <c r="H2897" s="16" t="s">
        <v>9011</v>
      </c>
      <c r="I2897" s="17"/>
      <c r="J2897" s="17"/>
      <c r="K2897" s="17"/>
      <c r="L2897" s="17"/>
      <c r="T2897" s="13"/>
      <c r="U2897" s="13"/>
      <c r="V2897" s="13"/>
      <c r="W2897" s="13"/>
    </row>
    <row r="2898" spans="4:23" ht="27" customHeight="1" x14ac:dyDescent="0.25">
      <c r="D2898" s="14" t="s">
        <v>9012</v>
      </c>
      <c r="E2898" s="14" t="s">
        <v>9013</v>
      </c>
      <c r="F2898" s="84" t="s">
        <v>934</v>
      </c>
      <c r="G2898" s="15" t="s">
        <v>27</v>
      </c>
      <c r="H2898" s="16" t="s">
        <v>9014</v>
      </c>
      <c r="I2898" s="17"/>
      <c r="J2898" s="17"/>
      <c r="K2898" s="17"/>
      <c r="L2898" s="17"/>
      <c r="T2898" s="13"/>
      <c r="U2898" s="13"/>
      <c r="V2898" s="13"/>
      <c r="W2898" s="13"/>
    </row>
    <row r="2899" spans="4:23" ht="27" customHeight="1" x14ac:dyDescent="0.25">
      <c r="D2899" s="14" t="s">
        <v>9015</v>
      </c>
      <c r="E2899" s="14" t="s">
        <v>9016</v>
      </c>
      <c r="F2899" s="84" t="s">
        <v>302</v>
      </c>
      <c r="G2899" s="15" t="s">
        <v>27</v>
      </c>
      <c r="H2899" s="16" t="s">
        <v>9017</v>
      </c>
      <c r="I2899" s="17"/>
      <c r="J2899" s="17"/>
      <c r="K2899" s="17"/>
      <c r="L2899" s="17"/>
      <c r="T2899" s="13"/>
      <c r="U2899" s="13"/>
      <c r="V2899" s="13"/>
      <c r="W2899" s="13"/>
    </row>
    <row r="2900" spans="4:23" ht="27" customHeight="1" x14ac:dyDescent="0.25">
      <c r="D2900" s="14" t="s">
        <v>9018</v>
      </c>
      <c r="E2900" s="14" t="s">
        <v>4080</v>
      </c>
      <c r="F2900" s="84" t="s">
        <v>239</v>
      </c>
      <c r="G2900" s="15" t="s">
        <v>68</v>
      </c>
      <c r="H2900" s="16" t="s">
        <v>9019</v>
      </c>
      <c r="I2900" s="17"/>
      <c r="J2900" s="17"/>
      <c r="K2900" s="17"/>
      <c r="L2900" s="17"/>
      <c r="T2900" s="13"/>
      <c r="U2900" s="13"/>
      <c r="V2900" s="13"/>
      <c r="W2900" s="13"/>
    </row>
    <row r="2901" spans="4:23" ht="27" customHeight="1" x14ac:dyDescent="0.25">
      <c r="D2901" s="14" t="s">
        <v>9020</v>
      </c>
      <c r="E2901" s="14" t="s">
        <v>915</v>
      </c>
      <c r="F2901" s="84" t="s">
        <v>742</v>
      </c>
      <c r="G2901" s="15" t="s">
        <v>27</v>
      </c>
      <c r="H2901" s="16" t="s">
        <v>9021</v>
      </c>
      <c r="I2901" s="17"/>
      <c r="J2901" s="17"/>
      <c r="K2901" s="17"/>
      <c r="L2901" s="17"/>
      <c r="T2901" s="13"/>
      <c r="U2901" s="13"/>
      <c r="V2901" s="13"/>
      <c r="W2901" s="13"/>
    </row>
    <row r="2902" spans="4:23" ht="27" customHeight="1" x14ac:dyDescent="0.25">
      <c r="D2902" s="14" t="s">
        <v>9022</v>
      </c>
      <c r="E2902" s="14" t="s">
        <v>9023</v>
      </c>
      <c r="F2902" s="84" t="s">
        <v>1626</v>
      </c>
      <c r="G2902" s="15" t="s">
        <v>27</v>
      </c>
      <c r="H2902" s="16" t="s">
        <v>9024</v>
      </c>
      <c r="I2902" s="17"/>
      <c r="J2902" s="17"/>
      <c r="K2902" s="17"/>
      <c r="L2902" s="17"/>
      <c r="T2902" s="13"/>
      <c r="U2902" s="13"/>
      <c r="V2902" s="13"/>
      <c r="W2902" s="13"/>
    </row>
    <row r="2903" spans="4:23" ht="27" customHeight="1" x14ac:dyDescent="0.25">
      <c r="D2903" s="14" t="s">
        <v>9025</v>
      </c>
      <c r="E2903" s="14" t="s">
        <v>2405</v>
      </c>
      <c r="F2903" s="84" t="s">
        <v>372</v>
      </c>
      <c r="G2903" s="15" t="s">
        <v>27</v>
      </c>
      <c r="H2903" s="16" t="s">
        <v>9026</v>
      </c>
      <c r="I2903" s="17"/>
      <c r="J2903" s="17"/>
      <c r="K2903" s="17"/>
      <c r="L2903" s="17"/>
      <c r="T2903" s="13"/>
      <c r="U2903" s="13"/>
      <c r="V2903" s="13"/>
      <c r="W2903" s="13"/>
    </row>
    <row r="2904" spans="4:23" ht="27" customHeight="1" x14ac:dyDescent="0.25">
      <c r="D2904" s="14" t="s">
        <v>9027</v>
      </c>
      <c r="E2904" s="14" t="s">
        <v>9028</v>
      </c>
      <c r="F2904" s="84" t="s">
        <v>422</v>
      </c>
      <c r="G2904" s="15" t="s">
        <v>27</v>
      </c>
      <c r="H2904" s="16" t="s">
        <v>9029</v>
      </c>
      <c r="I2904" s="17"/>
      <c r="J2904" s="17"/>
      <c r="K2904" s="17"/>
      <c r="L2904" s="17"/>
      <c r="T2904" s="13"/>
      <c r="U2904" s="13"/>
      <c r="V2904" s="13"/>
      <c r="W2904" s="13"/>
    </row>
    <row r="2905" spans="4:23" ht="27" customHeight="1" x14ac:dyDescent="0.25">
      <c r="D2905" s="14" t="s">
        <v>9030</v>
      </c>
      <c r="E2905" s="14" t="s">
        <v>9031</v>
      </c>
      <c r="F2905" s="84" t="s">
        <v>3709</v>
      </c>
      <c r="G2905" s="15" t="s">
        <v>27</v>
      </c>
      <c r="H2905" s="16" t="s">
        <v>9032</v>
      </c>
      <c r="I2905" s="17"/>
      <c r="J2905" s="17"/>
      <c r="K2905" s="17"/>
      <c r="L2905" s="17"/>
      <c r="T2905" s="13"/>
      <c r="U2905" s="13"/>
      <c r="V2905" s="13"/>
      <c r="W2905" s="13"/>
    </row>
    <row r="2906" spans="4:23" ht="27" customHeight="1" x14ac:dyDescent="0.25">
      <c r="D2906" s="14" t="s">
        <v>9033</v>
      </c>
      <c r="E2906" s="14" t="s">
        <v>9034</v>
      </c>
      <c r="F2906" s="84" t="s">
        <v>597</v>
      </c>
      <c r="G2906" s="15" t="s">
        <v>27</v>
      </c>
      <c r="H2906" s="16" t="s">
        <v>9035</v>
      </c>
      <c r="I2906" s="17"/>
      <c r="J2906" s="17"/>
      <c r="K2906" s="17"/>
      <c r="L2906" s="17"/>
      <c r="T2906" s="13"/>
      <c r="U2906" s="13"/>
      <c r="V2906" s="13"/>
      <c r="W2906" s="13"/>
    </row>
    <row r="2907" spans="4:23" ht="27" customHeight="1" x14ac:dyDescent="0.25">
      <c r="D2907" s="14" t="s">
        <v>9036</v>
      </c>
      <c r="E2907" s="14" t="s">
        <v>893</v>
      </c>
      <c r="F2907" s="84" t="s">
        <v>719</v>
      </c>
      <c r="G2907" s="15" t="s">
        <v>68</v>
      </c>
      <c r="H2907" s="16" t="s">
        <v>9037</v>
      </c>
      <c r="I2907" s="17"/>
      <c r="J2907" s="17"/>
      <c r="K2907" s="17"/>
      <c r="L2907" s="17"/>
      <c r="T2907" s="13"/>
      <c r="U2907" s="13"/>
      <c r="V2907" s="13"/>
      <c r="W2907" s="13"/>
    </row>
    <row r="2908" spans="4:23" ht="27" customHeight="1" x14ac:dyDescent="0.25">
      <c r="D2908" s="14" t="s">
        <v>9038</v>
      </c>
      <c r="E2908" s="14" t="s">
        <v>1862</v>
      </c>
      <c r="F2908" s="84" t="s">
        <v>149</v>
      </c>
      <c r="G2908" s="15" t="s">
        <v>27</v>
      </c>
      <c r="H2908" s="16" t="s">
        <v>9039</v>
      </c>
      <c r="I2908" s="17"/>
      <c r="J2908" s="17"/>
      <c r="K2908" s="17"/>
      <c r="L2908" s="17"/>
      <c r="T2908" s="13"/>
      <c r="U2908" s="13"/>
      <c r="V2908" s="13"/>
      <c r="W2908" s="13"/>
    </row>
    <row r="2909" spans="4:23" ht="27" customHeight="1" x14ac:dyDescent="0.25">
      <c r="D2909" s="14" t="s">
        <v>9040</v>
      </c>
      <c r="E2909" s="14" t="s">
        <v>4657</v>
      </c>
      <c r="F2909" s="84" t="s">
        <v>261</v>
      </c>
      <c r="G2909" s="15" t="s">
        <v>68</v>
      </c>
      <c r="H2909" s="16" t="s">
        <v>9041</v>
      </c>
      <c r="I2909" s="17"/>
      <c r="J2909" s="17"/>
      <c r="K2909" s="17"/>
      <c r="L2909" s="17"/>
      <c r="T2909" s="13"/>
      <c r="U2909" s="13"/>
      <c r="V2909" s="13"/>
      <c r="W2909" s="13"/>
    </row>
    <row r="2910" spans="4:23" ht="27" customHeight="1" x14ac:dyDescent="0.25">
      <c r="D2910" s="14" t="s">
        <v>9042</v>
      </c>
      <c r="E2910" s="14" t="s">
        <v>1952</v>
      </c>
      <c r="F2910" s="84" t="s">
        <v>143</v>
      </c>
      <c r="G2910" s="15" t="s">
        <v>68</v>
      </c>
      <c r="H2910" s="16" t="s">
        <v>9043</v>
      </c>
      <c r="I2910" s="17"/>
      <c r="J2910" s="17"/>
      <c r="K2910" s="17"/>
      <c r="L2910" s="17"/>
      <c r="T2910" s="13"/>
      <c r="U2910" s="13"/>
      <c r="V2910" s="13"/>
      <c r="W2910" s="13"/>
    </row>
    <row r="2911" spans="4:23" ht="27" customHeight="1" x14ac:dyDescent="0.25">
      <c r="D2911" s="14" t="s">
        <v>9044</v>
      </c>
      <c r="E2911" s="14" t="s">
        <v>1227</v>
      </c>
      <c r="F2911" s="84" t="s">
        <v>674</v>
      </c>
      <c r="G2911" s="15" t="s">
        <v>68</v>
      </c>
      <c r="H2911" s="16" t="s">
        <v>9045</v>
      </c>
      <c r="I2911" s="17"/>
      <c r="J2911" s="17"/>
      <c r="K2911" s="17"/>
      <c r="L2911" s="17"/>
      <c r="T2911" s="13"/>
      <c r="U2911" s="13"/>
      <c r="V2911" s="13"/>
      <c r="W2911" s="13"/>
    </row>
    <row r="2912" spans="4:23" ht="27" customHeight="1" x14ac:dyDescent="0.25">
      <c r="D2912" s="14" t="s">
        <v>9046</v>
      </c>
      <c r="E2912" s="14" t="s">
        <v>4754</v>
      </c>
      <c r="F2912" s="84" t="s">
        <v>402</v>
      </c>
      <c r="G2912" s="15" t="s">
        <v>27</v>
      </c>
      <c r="H2912" s="16" t="s">
        <v>9047</v>
      </c>
      <c r="I2912" s="17"/>
      <c r="J2912" s="17"/>
      <c r="K2912" s="17"/>
      <c r="L2912" s="17"/>
      <c r="T2912" s="13"/>
      <c r="U2912" s="13"/>
      <c r="V2912" s="13"/>
      <c r="W2912" s="13"/>
    </row>
    <row r="2913" spans="4:23" ht="27" customHeight="1" x14ac:dyDescent="0.25">
      <c r="D2913" s="14" t="s">
        <v>9048</v>
      </c>
      <c r="E2913" s="14" t="s">
        <v>9049</v>
      </c>
      <c r="F2913" s="84" t="s">
        <v>321</v>
      </c>
      <c r="G2913" s="15" t="s">
        <v>27</v>
      </c>
      <c r="H2913" s="16" t="s">
        <v>9050</v>
      </c>
      <c r="I2913" s="17"/>
      <c r="J2913" s="17"/>
      <c r="K2913" s="17"/>
      <c r="L2913" s="17"/>
      <c r="T2913" s="13"/>
      <c r="U2913" s="13"/>
      <c r="V2913" s="13"/>
      <c r="W2913" s="13"/>
    </row>
    <row r="2914" spans="4:23" ht="27" customHeight="1" x14ac:dyDescent="0.25">
      <c r="D2914" s="14" t="s">
        <v>9051</v>
      </c>
      <c r="E2914" s="14" t="s">
        <v>2141</v>
      </c>
      <c r="F2914" s="84" t="s">
        <v>1572</v>
      </c>
      <c r="G2914" s="15" t="s">
        <v>27</v>
      </c>
      <c r="H2914" s="16" t="s">
        <v>9052</v>
      </c>
      <c r="I2914" s="17"/>
      <c r="J2914" s="17"/>
      <c r="K2914" s="17"/>
      <c r="L2914" s="17"/>
      <c r="T2914" s="13"/>
      <c r="U2914" s="13"/>
      <c r="V2914" s="13"/>
      <c r="W2914" s="13"/>
    </row>
    <row r="2915" spans="4:23" ht="27" customHeight="1" x14ac:dyDescent="0.25">
      <c r="D2915" s="14" t="s">
        <v>9053</v>
      </c>
      <c r="E2915" s="14" t="s">
        <v>2094</v>
      </c>
      <c r="F2915" s="84" t="s">
        <v>934</v>
      </c>
      <c r="G2915" s="15" t="s">
        <v>68</v>
      </c>
      <c r="H2915" s="16" t="s">
        <v>9054</v>
      </c>
      <c r="I2915" s="17"/>
      <c r="J2915" s="17"/>
      <c r="K2915" s="17"/>
      <c r="L2915" s="17"/>
      <c r="T2915" s="13"/>
      <c r="U2915" s="13"/>
      <c r="V2915" s="13"/>
      <c r="W2915" s="13"/>
    </row>
    <row r="2916" spans="4:23" ht="27" customHeight="1" x14ac:dyDescent="0.25">
      <c r="D2916" s="14" t="s">
        <v>9055</v>
      </c>
      <c r="E2916" s="14" t="s">
        <v>9056</v>
      </c>
      <c r="F2916" s="84" t="s">
        <v>38</v>
      </c>
      <c r="G2916" s="15" t="s">
        <v>68</v>
      </c>
      <c r="H2916" s="16" t="s">
        <v>9057</v>
      </c>
      <c r="I2916" s="17"/>
      <c r="J2916" s="17"/>
      <c r="K2916" s="17"/>
      <c r="L2916" s="17"/>
      <c r="T2916" s="13"/>
      <c r="U2916" s="13"/>
      <c r="V2916" s="13"/>
      <c r="W2916" s="13"/>
    </row>
    <row r="2917" spans="4:23" ht="27" customHeight="1" x14ac:dyDescent="0.25">
      <c r="D2917" s="14" t="s">
        <v>9058</v>
      </c>
      <c r="E2917" s="14" t="s">
        <v>1265</v>
      </c>
      <c r="F2917" s="84" t="s">
        <v>332</v>
      </c>
      <c r="G2917" s="15" t="s">
        <v>27</v>
      </c>
      <c r="H2917" s="16" t="s">
        <v>9059</v>
      </c>
      <c r="I2917" s="17"/>
      <c r="J2917" s="17"/>
      <c r="K2917" s="17"/>
      <c r="L2917" s="17"/>
      <c r="T2917" s="13"/>
      <c r="U2917" s="13"/>
      <c r="V2917" s="13"/>
      <c r="W2917" s="13"/>
    </row>
    <row r="2918" spans="4:23" ht="27" customHeight="1" x14ac:dyDescent="0.25">
      <c r="D2918" s="14" t="s">
        <v>9060</v>
      </c>
      <c r="E2918" s="14" t="s">
        <v>9061</v>
      </c>
      <c r="F2918" s="84" t="s">
        <v>592</v>
      </c>
      <c r="G2918" s="15" t="s">
        <v>27</v>
      </c>
      <c r="H2918" s="16" t="s">
        <v>9062</v>
      </c>
      <c r="I2918" s="17"/>
      <c r="J2918" s="17"/>
      <c r="K2918" s="17"/>
      <c r="L2918" s="17"/>
      <c r="T2918" s="13"/>
      <c r="U2918" s="13"/>
      <c r="V2918" s="13"/>
      <c r="W2918" s="13"/>
    </row>
    <row r="2919" spans="4:23" ht="27" customHeight="1" x14ac:dyDescent="0.25">
      <c r="D2919" s="14" t="s">
        <v>9063</v>
      </c>
      <c r="E2919" s="14" t="s">
        <v>642</v>
      </c>
      <c r="F2919" s="84" t="s">
        <v>1919</v>
      </c>
      <c r="G2919" s="15" t="s">
        <v>68</v>
      </c>
      <c r="H2919" s="16" t="s">
        <v>9064</v>
      </c>
      <c r="I2919" s="17"/>
      <c r="J2919" s="17"/>
      <c r="K2919" s="17"/>
      <c r="L2919" s="17"/>
      <c r="T2919" s="13"/>
      <c r="U2919" s="13"/>
      <c r="V2919" s="13"/>
      <c r="W2919" s="13"/>
    </row>
    <row r="2920" spans="4:23" ht="27" customHeight="1" x14ac:dyDescent="0.25">
      <c r="D2920" s="14" t="s">
        <v>9065</v>
      </c>
      <c r="E2920" s="14" t="s">
        <v>9066</v>
      </c>
      <c r="F2920" s="84" t="s">
        <v>381</v>
      </c>
      <c r="G2920" s="15" t="s">
        <v>68</v>
      </c>
      <c r="H2920" s="16" t="s">
        <v>9067</v>
      </c>
      <c r="I2920" s="17"/>
      <c r="J2920" s="17"/>
      <c r="K2920" s="17"/>
      <c r="L2920" s="17"/>
      <c r="T2920" s="13"/>
      <c r="U2920" s="13"/>
      <c r="V2920" s="13"/>
      <c r="W2920" s="13"/>
    </row>
    <row r="2921" spans="4:23" ht="27" customHeight="1" x14ac:dyDescent="0.25">
      <c r="D2921" s="14" t="s">
        <v>9068</v>
      </c>
      <c r="E2921" s="14" t="s">
        <v>9069</v>
      </c>
      <c r="F2921" s="84" t="s">
        <v>900</v>
      </c>
      <c r="G2921" s="15" t="s">
        <v>27</v>
      </c>
      <c r="H2921" s="16" t="s">
        <v>9070</v>
      </c>
      <c r="I2921" s="17"/>
      <c r="J2921" s="17"/>
      <c r="K2921" s="17"/>
      <c r="L2921" s="17"/>
      <c r="T2921" s="13"/>
      <c r="U2921" s="13"/>
      <c r="V2921" s="13"/>
      <c r="W2921" s="13"/>
    </row>
    <row r="2922" spans="4:23" ht="27" customHeight="1" x14ac:dyDescent="0.25">
      <c r="D2922" s="14" t="s">
        <v>9071</v>
      </c>
      <c r="E2922" s="14" t="s">
        <v>5467</v>
      </c>
      <c r="F2922" s="84" t="s">
        <v>46</v>
      </c>
      <c r="G2922" s="15" t="s">
        <v>27</v>
      </c>
      <c r="H2922" s="16" t="s">
        <v>9072</v>
      </c>
      <c r="I2922" s="17"/>
      <c r="J2922" s="17"/>
      <c r="K2922" s="17"/>
      <c r="L2922" s="17"/>
      <c r="T2922" s="13"/>
      <c r="U2922" s="13"/>
      <c r="V2922" s="13"/>
      <c r="W2922" s="13"/>
    </row>
    <row r="2923" spans="4:23" ht="27" customHeight="1" x14ac:dyDescent="0.25">
      <c r="D2923" s="14" t="s">
        <v>9073</v>
      </c>
      <c r="E2923" s="14" t="s">
        <v>1026</v>
      </c>
      <c r="F2923" s="84" t="s">
        <v>587</v>
      </c>
      <c r="G2923" s="15" t="s">
        <v>27</v>
      </c>
      <c r="H2923" s="16" t="s">
        <v>9074</v>
      </c>
      <c r="I2923" s="17"/>
      <c r="J2923" s="17"/>
      <c r="K2923" s="17"/>
      <c r="L2923" s="17"/>
      <c r="T2923" s="13"/>
      <c r="U2923" s="13"/>
      <c r="V2923" s="13"/>
      <c r="W2923" s="13"/>
    </row>
    <row r="2924" spans="4:23" ht="27" customHeight="1" x14ac:dyDescent="0.25">
      <c r="D2924" s="14" t="s">
        <v>9075</v>
      </c>
      <c r="E2924" s="14" t="s">
        <v>1277</v>
      </c>
      <c r="F2924" s="84" t="s">
        <v>359</v>
      </c>
      <c r="G2924" s="15" t="s">
        <v>27</v>
      </c>
      <c r="H2924" s="16" t="s">
        <v>9076</v>
      </c>
      <c r="I2924" s="17"/>
      <c r="J2924" s="17"/>
      <c r="K2924" s="17"/>
      <c r="L2924" s="17"/>
      <c r="T2924" s="13"/>
      <c r="U2924" s="13"/>
      <c r="V2924" s="13"/>
      <c r="W2924" s="13"/>
    </row>
    <row r="2925" spans="4:23" ht="27" customHeight="1" x14ac:dyDescent="0.25">
      <c r="D2925" s="14" t="s">
        <v>9077</v>
      </c>
      <c r="E2925" s="14" t="s">
        <v>9078</v>
      </c>
      <c r="F2925" s="84" t="s">
        <v>343</v>
      </c>
      <c r="G2925" s="15" t="s">
        <v>27</v>
      </c>
      <c r="H2925" s="16" t="s">
        <v>9079</v>
      </c>
      <c r="I2925" s="17"/>
      <c r="J2925" s="17"/>
      <c r="K2925" s="17"/>
      <c r="L2925" s="17"/>
      <c r="T2925" s="13"/>
      <c r="U2925" s="13"/>
      <c r="V2925" s="13"/>
      <c r="W2925" s="13"/>
    </row>
    <row r="2926" spans="4:23" ht="27" customHeight="1" x14ac:dyDescent="0.25">
      <c r="D2926" s="14" t="s">
        <v>9080</v>
      </c>
      <c r="E2926" s="14" t="s">
        <v>9081</v>
      </c>
      <c r="F2926" s="84" t="s">
        <v>266</v>
      </c>
      <c r="G2926" s="15" t="s">
        <v>27</v>
      </c>
      <c r="H2926" s="16" t="s">
        <v>9082</v>
      </c>
      <c r="I2926" s="17"/>
      <c r="J2926" s="17"/>
      <c r="K2926" s="17"/>
      <c r="L2926" s="17"/>
      <c r="T2926" s="13"/>
      <c r="U2926" s="13"/>
      <c r="V2926" s="13"/>
      <c r="W2926" s="13"/>
    </row>
    <row r="2927" spans="4:23" ht="27" customHeight="1" x14ac:dyDescent="0.25">
      <c r="D2927" s="14" t="s">
        <v>9083</v>
      </c>
      <c r="E2927" s="14" t="s">
        <v>9084</v>
      </c>
      <c r="F2927" s="84" t="s">
        <v>592</v>
      </c>
      <c r="G2927" s="15" t="s">
        <v>27</v>
      </c>
      <c r="H2927" s="16" t="s">
        <v>9085</v>
      </c>
      <c r="I2927" s="17"/>
      <c r="J2927" s="17"/>
      <c r="K2927" s="17"/>
      <c r="L2927" s="17"/>
      <c r="T2927" s="13"/>
      <c r="U2927" s="13"/>
      <c r="V2927" s="13"/>
      <c r="W2927" s="13"/>
    </row>
    <row r="2928" spans="4:23" ht="27" customHeight="1" x14ac:dyDescent="0.25">
      <c r="D2928" s="14" t="s">
        <v>9086</v>
      </c>
      <c r="E2928" s="14" t="s">
        <v>9087</v>
      </c>
      <c r="F2928" s="84" t="s">
        <v>466</v>
      </c>
      <c r="G2928" s="15" t="s">
        <v>68</v>
      </c>
      <c r="H2928" s="16" t="s">
        <v>9088</v>
      </c>
      <c r="I2928" s="17"/>
      <c r="J2928" s="17"/>
      <c r="K2928" s="17"/>
      <c r="L2928" s="17"/>
      <c r="T2928" s="13"/>
      <c r="U2928" s="13"/>
      <c r="V2928" s="13"/>
      <c r="W2928" s="13"/>
    </row>
    <row r="2929" spans="4:23" ht="27" customHeight="1" x14ac:dyDescent="0.25">
      <c r="D2929" s="14" t="s">
        <v>9089</v>
      </c>
      <c r="E2929" s="14" t="s">
        <v>9090</v>
      </c>
      <c r="F2929" s="84" t="s">
        <v>887</v>
      </c>
      <c r="G2929" s="15" t="s">
        <v>27</v>
      </c>
      <c r="H2929" s="16" t="s">
        <v>9091</v>
      </c>
      <c r="I2929" s="17"/>
      <c r="J2929" s="17"/>
      <c r="K2929" s="17"/>
      <c r="L2929" s="17"/>
      <c r="T2929" s="13"/>
      <c r="U2929" s="13"/>
      <c r="V2929" s="13"/>
      <c r="W2929" s="13"/>
    </row>
    <row r="2930" spans="4:23" ht="27" customHeight="1" x14ac:dyDescent="0.25">
      <c r="D2930" s="14" t="s">
        <v>9092</v>
      </c>
      <c r="E2930" s="14" t="s">
        <v>9093</v>
      </c>
      <c r="F2930" s="84" t="s">
        <v>524</v>
      </c>
      <c r="G2930" s="15" t="s">
        <v>27</v>
      </c>
      <c r="H2930" s="16" t="s">
        <v>9094</v>
      </c>
      <c r="I2930" s="17"/>
      <c r="J2930" s="17"/>
      <c r="K2930" s="17"/>
      <c r="L2930" s="17"/>
      <c r="T2930" s="13"/>
      <c r="U2930" s="13"/>
      <c r="V2930" s="13"/>
      <c r="W2930" s="13"/>
    </row>
    <row r="2931" spans="4:23" ht="27" customHeight="1" x14ac:dyDescent="0.25">
      <c r="D2931" s="14" t="s">
        <v>9095</v>
      </c>
      <c r="E2931" s="14" t="s">
        <v>9096</v>
      </c>
      <c r="F2931" s="84" t="s">
        <v>422</v>
      </c>
      <c r="G2931" s="15" t="s">
        <v>27</v>
      </c>
      <c r="H2931" s="16" t="s">
        <v>9097</v>
      </c>
      <c r="I2931" s="17"/>
      <c r="J2931" s="17"/>
      <c r="K2931" s="17"/>
      <c r="L2931" s="17"/>
      <c r="T2931" s="13"/>
      <c r="U2931" s="13"/>
      <c r="V2931" s="13"/>
      <c r="W2931" s="13"/>
    </row>
    <row r="2932" spans="4:23" ht="27" customHeight="1" x14ac:dyDescent="0.25">
      <c r="D2932" s="14" t="s">
        <v>9098</v>
      </c>
      <c r="E2932" s="14" t="s">
        <v>1163</v>
      </c>
      <c r="F2932" s="84" t="s">
        <v>490</v>
      </c>
      <c r="G2932" s="15" t="s">
        <v>68</v>
      </c>
      <c r="H2932" s="16" t="s">
        <v>9099</v>
      </c>
      <c r="I2932" s="17"/>
      <c r="J2932" s="17"/>
      <c r="K2932" s="17"/>
      <c r="L2932" s="17"/>
      <c r="T2932" s="13"/>
      <c r="U2932" s="13"/>
      <c r="V2932" s="13"/>
      <c r="W2932" s="13"/>
    </row>
    <row r="2933" spans="4:23" ht="27" customHeight="1" x14ac:dyDescent="0.25">
      <c r="D2933" s="14" t="s">
        <v>9100</v>
      </c>
      <c r="E2933" s="14" t="s">
        <v>5143</v>
      </c>
      <c r="F2933" s="84" t="s">
        <v>121</v>
      </c>
      <c r="G2933" s="15" t="s">
        <v>27</v>
      </c>
      <c r="H2933" s="16" t="s">
        <v>9101</v>
      </c>
      <c r="I2933" s="17"/>
      <c r="J2933" s="17"/>
      <c r="K2933" s="17"/>
      <c r="L2933" s="17"/>
      <c r="T2933" s="13"/>
      <c r="U2933" s="13"/>
      <c r="V2933" s="13"/>
      <c r="W2933" s="13"/>
    </row>
    <row r="2934" spans="4:23" ht="27" customHeight="1" x14ac:dyDescent="0.25">
      <c r="D2934" s="14" t="s">
        <v>9102</v>
      </c>
      <c r="E2934" s="14" t="s">
        <v>4865</v>
      </c>
      <c r="F2934" s="84" t="s">
        <v>444</v>
      </c>
      <c r="G2934" s="15" t="s">
        <v>27</v>
      </c>
      <c r="H2934" s="16" t="s">
        <v>9103</v>
      </c>
      <c r="I2934" s="17"/>
      <c r="J2934" s="17"/>
      <c r="K2934" s="17"/>
      <c r="L2934" s="17"/>
      <c r="T2934" s="13"/>
      <c r="U2934" s="13"/>
      <c r="V2934" s="13"/>
      <c r="W2934" s="13"/>
    </row>
    <row r="2935" spans="4:23" ht="27" customHeight="1" x14ac:dyDescent="0.25">
      <c r="D2935" s="14" t="s">
        <v>9104</v>
      </c>
      <c r="E2935" s="14" t="s">
        <v>9105</v>
      </c>
      <c r="F2935" s="84" t="s">
        <v>290</v>
      </c>
      <c r="G2935" s="15" t="s">
        <v>68</v>
      </c>
      <c r="H2935" s="16" t="s">
        <v>9106</v>
      </c>
      <c r="I2935" s="17"/>
      <c r="J2935" s="17"/>
      <c r="K2935" s="17"/>
      <c r="L2935" s="17"/>
      <c r="T2935" s="13"/>
      <c r="U2935" s="13"/>
      <c r="V2935" s="13"/>
      <c r="W2935" s="13"/>
    </row>
    <row r="2936" spans="4:23" ht="27" customHeight="1" x14ac:dyDescent="0.25">
      <c r="D2936" s="14" t="s">
        <v>9107</v>
      </c>
      <c r="E2936" s="14" t="s">
        <v>4288</v>
      </c>
      <c r="F2936" s="84" t="s">
        <v>348</v>
      </c>
      <c r="G2936" s="15" t="s">
        <v>27</v>
      </c>
      <c r="H2936" s="16" t="s">
        <v>9108</v>
      </c>
      <c r="I2936" s="17"/>
      <c r="J2936" s="17"/>
      <c r="K2936" s="17"/>
      <c r="L2936" s="17"/>
      <c r="T2936" s="13"/>
      <c r="U2936" s="13"/>
      <c r="V2936" s="13"/>
      <c r="W2936" s="13"/>
    </row>
    <row r="2937" spans="4:23" ht="27" customHeight="1" x14ac:dyDescent="0.25">
      <c r="D2937" s="14" t="s">
        <v>9109</v>
      </c>
      <c r="E2937" s="14" t="s">
        <v>9110</v>
      </c>
      <c r="F2937" s="84" t="s">
        <v>670</v>
      </c>
      <c r="G2937" s="15" t="s">
        <v>68</v>
      </c>
      <c r="H2937" s="16" t="s">
        <v>9111</v>
      </c>
      <c r="I2937" s="17"/>
      <c r="J2937" s="17"/>
      <c r="K2937" s="17"/>
      <c r="L2937" s="17"/>
      <c r="T2937" s="13"/>
      <c r="U2937" s="13"/>
      <c r="V2937" s="13"/>
      <c r="W2937" s="13"/>
    </row>
    <row r="2938" spans="4:23" ht="27" customHeight="1" x14ac:dyDescent="0.25">
      <c r="D2938" s="14" t="s">
        <v>9112</v>
      </c>
      <c r="E2938" s="14" t="s">
        <v>9113</v>
      </c>
      <c r="F2938" s="84" t="s">
        <v>6436</v>
      </c>
      <c r="G2938" s="15" t="s">
        <v>27</v>
      </c>
      <c r="H2938" s="16" t="s">
        <v>9114</v>
      </c>
      <c r="I2938" s="17"/>
      <c r="J2938" s="17"/>
      <c r="K2938" s="17"/>
      <c r="L2938" s="17"/>
      <c r="T2938" s="13"/>
      <c r="U2938" s="13"/>
      <c r="V2938" s="13"/>
      <c r="W2938" s="13"/>
    </row>
    <row r="2939" spans="4:23" ht="27" customHeight="1" x14ac:dyDescent="0.25">
      <c r="D2939" s="14" t="s">
        <v>9115</v>
      </c>
      <c r="E2939" s="14" t="s">
        <v>9116</v>
      </c>
      <c r="F2939" s="84" t="s">
        <v>499</v>
      </c>
      <c r="G2939" s="15" t="s">
        <v>27</v>
      </c>
      <c r="H2939" s="16" t="s">
        <v>9117</v>
      </c>
      <c r="I2939" s="17"/>
      <c r="J2939" s="17"/>
      <c r="K2939" s="17"/>
      <c r="L2939" s="17"/>
      <c r="T2939" s="13"/>
      <c r="U2939" s="13"/>
      <c r="V2939" s="13"/>
      <c r="W2939" s="13"/>
    </row>
    <row r="2940" spans="4:23" ht="27" customHeight="1" x14ac:dyDescent="0.25">
      <c r="D2940" s="14" t="s">
        <v>9118</v>
      </c>
      <c r="E2940" s="14" t="s">
        <v>9119</v>
      </c>
      <c r="F2940" s="84" t="s">
        <v>266</v>
      </c>
      <c r="G2940" s="15" t="s">
        <v>27</v>
      </c>
      <c r="H2940" s="16" t="s">
        <v>9120</v>
      </c>
      <c r="I2940" s="17"/>
      <c r="J2940" s="17"/>
      <c r="K2940" s="17"/>
      <c r="L2940" s="17"/>
      <c r="T2940" s="13"/>
      <c r="U2940" s="13"/>
      <c r="V2940" s="13"/>
      <c r="W2940" s="13"/>
    </row>
    <row r="2941" spans="4:23" ht="27" customHeight="1" x14ac:dyDescent="0.25">
      <c r="D2941" s="14" t="s">
        <v>9121</v>
      </c>
      <c r="E2941" s="14" t="s">
        <v>9122</v>
      </c>
      <c r="F2941" s="84" t="s">
        <v>114</v>
      </c>
      <c r="G2941" s="15" t="s">
        <v>27</v>
      </c>
      <c r="H2941" s="16" t="s">
        <v>9123</v>
      </c>
      <c r="I2941" s="17"/>
      <c r="J2941" s="17"/>
      <c r="K2941" s="17"/>
      <c r="L2941" s="17"/>
      <c r="T2941" s="13"/>
      <c r="U2941" s="13"/>
      <c r="V2941" s="13"/>
      <c r="W2941" s="13"/>
    </row>
    <row r="2942" spans="4:23" ht="27" customHeight="1" x14ac:dyDescent="0.25">
      <c r="D2942" s="14" t="s">
        <v>9124</v>
      </c>
      <c r="E2942" s="14" t="s">
        <v>9125</v>
      </c>
      <c r="F2942" s="84" t="s">
        <v>386</v>
      </c>
      <c r="G2942" s="15" t="s">
        <v>68</v>
      </c>
      <c r="H2942" s="16" t="s">
        <v>9126</v>
      </c>
      <c r="I2942" s="17"/>
      <c r="J2942" s="17"/>
      <c r="K2942" s="17"/>
      <c r="L2942" s="17"/>
      <c r="T2942" s="13"/>
      <c r="U2942" s="13"/>
      <c r="V2942" s="13"/>
      <c r="W2942" s="13"/>
    </row>
    <row r="2943" spans="4:23" ht="27" customHeight="1" x14ac:dyDescent="0.25">
      <c r="D2943" s="14" t="s">
        <v>9127</v>
      </c>
      <c r="E2943" s="14" t="s">
        <v>9128</v>
      </c>
      <c r="F2943" s="84" t="s">
        <v>266</v>
      </c>
      <c r="G2943" s="15" t="s">
        <v>27</v>
      </c>
      <c r="H2943" s="16" t="s">
        <v>9129</v>
      </c>
      <c r="I2943" s="17"/>
      <c r="J2943" s="17"/>
      <c r="K2943" s="17"/>
      <c r="L2943" s="17"/>
      <c r="T2943" s="13"/>
      <c r="U2943" s="13"/>
      <c r="V2943" s="13"/>
      <c r="W2943" s="13"/>
    </row>
    <row r="2944" spans="4:23" ht="27" customHeight="1" x14ac:dyDescent="0.25">
      <c r="D2944" s="14" t="s">
        <v>9130</v>
      </c>
      <c r="E2944" s="14" t="s">
        <v>4202</v>
      </c>
      <c r="F2944" s="84" t="s">
        <v>348</v>
      </c>
      <c r="G2944" s="15" t="s">
        <v>68</v>
      </c>
      <c r="H2944" s="16" t="s">
        <v>9131</v>
      </c>
      <c r="I2944" s="17"/>
      <c r="J2944" s="17"/>
      <c r="K2944" s="17"/>
      <c r="L2944" s="17"/>
      <c r="T2944" s="13"/>
      <c r="U2944" s="13"/>
      <c r="V2944" s="13"/>
      <c r="W2944" s="13"/>
    </row>
    <row r="2945" spans="4:23" ht="27" customHeight="1" x14ac:dyDescent="0.25">
      <c r="D2945" s="14" t="s">
        <v>9132</v>
      </c>
      <c r="E2945" s="14" t="s">
        <v>5242</v>
      </c>
      <c r="F2945" s="84" t="s">
        <v>121</v>
      </c>
      <c r="G2945" s="15" t="s">
        <v>68</v>
      </c>
      <c r="H2945" s="16" t="s">
        <v>9133</v>
      </c>
      <c r="I2945" s="17"/>
      <c r="J2945" s="17"/>
      <c r="K2945" s="17"/>
      <c r="L2945" s="17"/>
      <c r="T2945" s="13"/>
      <c r="U2945" s="13"/>
      <c r="V2945" s="13"/>
      <c r="W2945" s="13"/>
    </row>
    <row r="2946" spans="4:23" ht="27" customHeight="1" x14ac:dyDescent="0.25">
      <c r="D2946" s="14" t="s">
        <v>9134</v>
      </c>
      <c r="E2946" s="14" t="s">
        <v>9135</v>
      </c>
      <c r="F2946" s="84" t="s">
        <v>129</v>
      </c>
      <c r="G2946" s="15" t="s">
        <v>27</v>
      </c>
      <c r="H2946" s="16" t="s">
        <v>9136</v>
      </c>
      <c r="I2946" s="17"/>
      <c r="J2946" s="17"/>
      <c r="K2946" s="17"/>
      <c r="L2946" s="17"/>
      <c r="T2946" s="13"/>
      <c r="U2946" s="13"/>
      <c r="V2946" s="13"/>
      <c r="W2946" s="13"/>
    </row>
    <row r="2947" spans="4:23" ht="27" customHeight="1" x14ac:dyDescent="0.25">
      <c r="D2947" s="14" t="s">
        <v>9137</v>
      </c>
      <c r="E2947" s="14" t="s">
        <v>2910</v>
      </c>
      <c r="F2947" s="84" t="s">
        <v>92</v>
      </c>
      <c r="G2947" s="15" t="s">
        <v>27</v>
      </c>
      <c r="H2947" s="16" t="s">
        <v>9138</v>
      </c>
      <c r="I2947" s="17"/>
      <c r="J2947" s="17"/>
      <c r="K2947" s="17"/>
      <c r="L2947" s="17"/>
      <c r="T2947" s="13"/>
      <c r="U2947" s="13"/>
      <c r="V2947" s="13"/>
      <c r="W2947" s="13"/>
    </row>
    <row r="2948" spans="4:23" ht="27" customHeight="1" x14ac:dyDescent="0.25">
      <c r="D2948" s="14" t="s">
        <v>9139</v>
      </c>
      <c r="E2948" s="14" t="s">
        <v>3161</v>
      </c>
      <c r="F2948" s="84" t="s">
        <v>453</v>
      </c>
      <c r="G2948" s="15" t="s">
        <v>68</v>
      </c>
      <c r="H2948" s="16" t="s">
        <v>9140</v>
      </c>
      <c r="I2948" s="17"/>
      <c r="J2948" s="17"/>
      <c r="K2948" s="17"/>
      <c r="L2948" s="17"/>
      <c r="T2948" s="13"/>
      <c r="U2948" s="13"/>
      <c r="V2948" s="13"/>
      <c r="W2948" s="13"/>
    </row>
    <row r="2949" spans="4:23" ht="27" customHeight="1" x14ac:dyDescent="0.25">
      <c r="D2949" s="14" t="s">
        <v>9141</v>
      </c>
      <c r="E2949" s="14" t="s">
        <v>3668</v>
      </c>
      <c r="F2949" s="84" t="s">
        <v>1201</v>
      </c>
      <c r="G2949" s="15" t="s">
        <v>27</v>
      </c>
      <c r="H2949" s="16" t="s">
        <v>9142</v>
      </c>
      <c r="I2949" s="17"/>
      <c r="J2949" s="17"/>
      <c r="K2949" s="17"/>
      <c r="L2949" s="17"/>
      <c r="T2949" s="13"/>
      <c r="U2949" s="13"/>
      <c r="V2949" s="13"/>
      <c r="W2949" s="13"/>
    </row>
    <row r="2950" spans="4:23" ht="27" customHeight="1" x14ac:dyDescent="0.25">
      <c r="D2950" s="14" t="s">
        <v>9143</v>
      </c>
      <c r="E2950" s="14" t="s">
        <v>9144</v>
      </c>
      <c r="F2950" s="84" t="s">
        <v>627</v>
      </c>
      <c r="G2950" s="15" t="s">
        <v>27</v>
      </c>
      <c r="H2950" s="16" t="s">
        <v>9145</v>
      </c>
      <c r="I2950" s="17"/>
      <c r="J2950" s="17"/>
      <c r="K2950" s="17"/>
      <c r="L2950" s="17"/>
      <c r="T2950" s="13"/>
      <c r="U2950" s="13"/>
      <c r="V2950" s="13"/>
      <c r="W2950" s="13"/>
    </row>
    <row r="2951" spans="4:23" ht="27" customHeight="1" x14ac:dyDescent="0.25">
      <c r="D2951" s="14" t="s">
        <v>9146</v>
      </c>
      <c r="E2951" s="14" t="s">
        <v>9147</v>
      </c>
      <c r="F2951" s="84" t="s">
        <v>129</v>
      </c>
      <c r="G2951" s="15" t="s">
        <v>27</v>
      </c>
      <c r="H2951" s="16" t="s">
        <v>9148</v>
      </c>
      <c r="I2951" s="17"/>
      <c r="J2951" s="17"/>
      <c r="K2951" s="17"/>
      <c r="L2951" s="17"/>
      <c r="T2951" s="13"/>
      <c r="U2951" s="13"/>
      <c r="V2951" s="13"/>
      <c r="W2951" s="13"/>
    </row>
    <row r="2952" spans="4:23" ht="27" customHeight="1" x14ac:dyDescent="0.25">
      <c r="D2952" s="14" t="s">
        <v>9149</v>
      </c>
      <c r="E2952" s="14" t="s">
        <v>2113</v>
      </c>
      <c r="F2952" s="84" t="s">
        <v>1572</v>
      </c>
      <c r="G2952" s="15" t="s">
        <v>27</v>
      </c>
      <c r="H2952" s="16" t="s">
        <v>9150</v>
      </c>
      <c r="I2952" s="17"/>
      <c r="J2952" s="17"/>
      <c r="K2952" s="17"/>
      <c r="L2952" s="17"/>
      <c r="T2952" s="13"/>
      <c r="U2952" s="13"/>
      <c r="V2952" s="13"/>
      <c r="W2952" s="13"/>
    </row>
    <row r="2953" spans="4:23" ht="27" customHeight="1" x14ac:dyDescent="0.25">
      <c r="D2953" s="14" t="s">
        <v>9151</v>
      </c>
      <c r="E2953" s="14" t="s">
        <v>9152</v>
      </c>
      <c r="F2953" s="84" t="s">
        <v>251</v>
      </c>
      <c r="G2953" s="15" t="s">
        <v>27</v>
      </c>
      <c r="H2953" s="16" t="s">
        <v>9153</v>
      </c>
      <c r="I2953" s="17"/>
      <c r="J2953" s="17"/>
      <c r="K2953" s="17"/>
      <c r="L2953" s="17"/>
      <c r="T2953" s="13"/>
      <c r="U2953" s="13"/>
      <c r="V2953" s="13"/>
      <c r="W2953" s="13"/>
    </row>
    <row r="2954" spans="4:23" ht="27" customHeight="1" x14ac:dyDescent="0.25">
      <c r="D2954" s="14" t="s">
        <v>9154</v>
      </c>
      <c r="E2954" s="14" t="s">
        <v>9155</v>
      </c>
      <c r="F2954" s="84" t="s">
        <v>67</v>
      </c>
      <c r="G2954" s="15" t="s">
        <v>68</v>
      </c>
      <c r="H2954" s="16" t="s">
        <v>9156</v>
      </c>
      <c r="I2954" s="17"/>
      <c r="J2954" s="17"/>
      <c r="K2954" s="17"/>
      <c r="L2954" s="17"/>
      <c r="T2954" s="13"/>
      <c r="U2954" s="13"/>
      <c r="V2954" s="13"/>
      <c r="W2954" s="13"/>
    </row>
    <row r="2955" spans="4:23" ht="27" customHeight="1" x14ac:dyDescent="0.25">
      <c r="D2955" s="14" t="s">
        <v>9157</v>
      </c>
      <c r="E2955" s="14" t="s">
        <v>9158</v>
      </c>
      <c r="F2955" s="84" t="s">
        <v>266</v>
      </c>
      <c r="G2955" s="15" t="s">
        <v>27</v>
      </c>
      <c r="H2955" s="16" t="s">
        <v>9159</v>
      </c>
      <c r="I2955" s="17"/>
      <c r="J2955" s="17"/>
      <c r="K2955" s="17"/>
      <c r="L2955" s="17"/>
      <c r="T2955" s="13"/>
      <c r="U2955" s="13"/>
      <c r="V2955" s="13"/>
      <c r="W2955" s="13"/>
    </row>
    <row r="2956" spans="4:23" ht="27" customHeight="1" x14ac:dyDescent="0.25">
      <c r="D2956" s="14" t="s">
        <v>9160</v>
      </c>
      <c r="E2956" s="14" t="s">
        <v>3392</v>
      </c>
      <c r="F2956" s="84" t="s">
        <v>316</v>
      </c>
      <c r="G2956" s="15" t="s">
        <v>27</v>
      </c>
      <c r="H2956" s="16" t="s">
        <v>9161</v>
      </c>
      <c r="I2956" s="17"/>
      <c r="J2956" s="17"/>
      <c r="K2956" s="17"/>
      <c r="L2956" s="17"/>
      <c r="T2956" s="13"/>
      <c r="U2956" s="13"/>
      <c r="V2956" s="13"/>
      <c r="W2956" s="13"/>
    </row>
    <row r="2957" spans="4:23" ht="27" customHeight="1" x14ac:dyDescent="0.25">
      <c r="D2957" s="14" t="s">
        <v>9162</v>
      </c>
      <c r="E2957" s="14" t="s">
        <v>9163</v>
      </c>
      <c r="F2957" s="84" t="s">
        <v>602</v>
      </c>
      <c r="G2957" s="15" t="s">
        <v>68</v>
      </c>
      <c r="H2957" s="16" t="s">
        <v>9164</v>
      </c>
      <c r="I2957" s="17"/>
      <c r="J2957" s="17"/>
      <c r="K2957" s="17"/>
      <c r="L2957" s="17"/>
      <c r="T2957" s="13"/>
      <c r="U2957" s="13"/>
      <c r="V2957" s="13"/>
      <c r="W2957" s="13"/>
    </row>
    <row r="2958" spans="4:23" ht="27" customHeight="1" x14ac:dyDescent="0.25">
      <c r="D2958" s="14" t="s">
        <v>9165</v>
      </c>
      <c r="E2958" s="14" t="s">
        <v>9166</v>
      </c>
      <c r="F2958" s="84" t="s">
        <v>233</v>
      </c>
      <c r="G2958" s="15" t="s">
        <v>27</v>
      </c>
      <c r="H2958" s="16" t="s">
        <v>9167</v>
      </c>
      <c r="I2958" s="17"/>
      <c r="J2958" s="17"/>
      <c r="K2958" s="17"/>
      <c r="L2958" s="17"/>
      <c r="T2958" s="13"/>
      <c r="U2958" s="13"/>
      <c r="V2958" s="13"/>
      <c r="W2958" s="13"/>
    </row>
    <row r="2959" spans="4:23" ht="27" customHeight="1" x14ac:dyDescent="0.25">
      <c r="D2959" s="14" t="s">
        <v>9168</v>
      </c>
      <c r="E2959" s="14" t="s">
        <v>2367</v>
      </c>
      <c r="F2959" s="84" t="s">
        <v>372</v>
      </c>
      <c r="G2959" s="15" t="s">
        <v>27</v>
      </c>
      <c r="H2959" s="16" t="s">
        <v>9169</v>
      </c>
      <c r="I2959" s="17"/>
      <c r="J2959" s="17"/>
      <c r="K2959" s="17"/>
      <c r="L2959" s="17"/>
      <c r="T2959" s="13"/>
      <c r="U2959" s="13"/>
      <c r="V2959" s="13"/>
      <c r="W2959" s="13"/>
    </row>
    <row r="2960" spans="4:23" ht="27" customHeight="1" x14ac:dyDescent="0.25">
      <c r="D2960" s="14" t="s">
        <v>9170</v>
      </c>
      <c r="E2960" s="14" t="s">
        <v>1447</v>
      </c>
      <c r="F2960" s="84" t="s">
        <v>417</v>
      </c>
      <c r="G2960" s="15" t="s">
        <v>27</v>
      </c>
      <c r="H2960" s="16" t="s">
        <v>9171</v>
      </c>
      <c r="I2960" s="17"/>
      <c r="J2960" s="17"/>
      <c r="K2960" s="17"/>
      <c r="L2960" s="17"/>
      <c r="T2960" s="13"/>
      <c r="U2960" s="13"/>
      <c r="V2960" s="13"/>
      <c r="W2960" s="13"/>
    </row>
    <row r="2961" spans="4:23" ht="27" customHeight="1" x14ac:dyDescent="0.25">
      <c r="D2961" s="14" t="s">
        <v>9172</v>
      </c>
      <c r="E2961" s="14" t="s">
        <v>9173</v>
      </c>
      <c r="F2961" s="84" t="s">
        <v>321</v>
      </c>
      <c r="G2961" s="15" t="s">
        <v>27</v>
      </c>
      <c r="H2961" s="16" t="s">
        <v>9174</v>
      </c>
      <c r="I2961" s="17"/>
      <c r="J2961" s="17"/>
      <c r="K2961" s="17"/>
      <c r="L2961" s="17"/>
      <c r="T2961" s="13"/>
      <c r="U2961" s="13"/>
      <c r="V2961" s="13"/>
      <c r="W2961" s="13"/>
    </row>
    <row r="2962" spans="4:23" ht="27" customHeight="1" x14ac:dyDescent="0.25">
      <c r="D2962" s="14" t="s">
        <v>9175</v>
      </c>
      <c r="E2962" s="14" t="s">
        <v>9176</v>
      </c>
      <c r="F2962" s="84" t="s">
        <v>149</v>
      </c>
      <c r="G2962" s="15" t="s">
        <v>68</v>
      </c>
      <c r="H2962" s="16" t="s">
        <v>9177</v>
      </c>
      <c r="I2962" s="17"/>
      <c r="J2962" s="17"/>
      <c r="K2962" s="17"/>
      <c r="L2962" s="17"/>
      <c r="T2962" s="13"/>
      <c r="U2962" s="13"/>
      <c r="V2962" s="13"/>
      <c r="W2962" s="13"/>
    </row>
    <row r="2963" spans="4:23" ht="27" customHeight="1" x14ac:dyDescent="0.25">
      <c r="D2963" s="14" t="s">
        <v>9178</v>
      </c>
      <c r="E2963" s="14" t="s">
        <v>5372</v>
      </c>
      <c r="F2963" s="84" t="s">
        <v>407</v>
      </c>
      <c r="G2963" s="15" t="s">
        <v>27</v>
      </c>
      <c r="H2963" s="16" t="s">
        <v>9179</v>
      </c>
      <c r="I2963" s="17"/>
      <c r="J2963" s="17"/>
      <c r="K2963" s="17"/>
      <c r="L2963" s="17"/>
      <c r="T2963" s="13"/>
      <c r="U2963" s="13"/>
      <c r="V2963" s="13"/>
      <c r="W2963" s="13"/>
    </row>
    <row r="2964" spans="4:23" ht="27" customHeight="1" x14ac:dyDescent="0.25">
      <c r="D2964" s="14" t="s">
        <v>9180</v>
      </c>
      <c r="E2964" s="14" t="s">
        <v>9181</v>
      </c>
      <c r="F2964" s="84" t="s">
        <v>137</v>
      </c>
      <c r="G2964" s="15" t="s">
        <v>27</v>
      </c>
      <c r="H2964" s="16" t="s">
        <v>9182</v>
      </c>
      <c r="I2964" s="17"/>
      <c r="J2964" s="17"/>
      <c r="K2964" s="17"/>
      <c r="L2964" s="17"/>
      <c r="T2964" s="13"/>
      <c r="U2964" s="13"/>
      <c r="V2964" s="13"/>
      <c r="W2964" s="13"/>
    </row>
    <row r="2965" spans="4:23" ht="27" customHeight="1" x14ac:dyDescent="0.25">
      <c r="D2965" s="14" t="s">
        <v>9183</v>
      </c>
      <c r="E2965" s="14" t="s">
        <v>9184</v>
      </c>
      <c r="F2965" s="84" t="s">
        <v>129</v>
      </c>
      <c r="G2965" s="15" t="s">
        <v>27</v>
      </c>
      <c r="H2965" s="16" t="s">
        <v>9185</v>
      </c>
      <c r="I2965" s="17"/>
      <c r="J2965" s="17"/>
      <c r="K2965" s="17"/>
      <c r="L2965" s="17"/>
      <c r="T2965" s="13"/>
      <c r="U2965" s="13"/>
      <c r="V2965" s="13"/>
      <c r="W2965" s="13"/>
    </row>
    <row r="2966" spans="4:23" ht="27" customHeight="1" x14ac:dyDescent="0.25">
      <c r="D2966" s="14" t="s">
        <v>9186</v>
      </c>
      <c r="E2966" s="14" t="s">
        <v>941</v>
      </c>
      <c r="F2966" s="84" t="s">
        <v>653</v>
      </c>
      <c r="G2966" s="15" t="s">
        <v>27</v>
      </c>
      <c r="H2966" s="16" t="s">
        <v>9187</v>
      </c>
      <c r="I2966" s="17"/>
      <c r="J2966" s="17"/>
      <c r="K2966" s="17"/>
      <c r="L2966" s="17"/>
      <c r="T2966" s="13"/>
      <c r="U2966" s="13"/>
      <c r="V2966" s="13"/>
      <c r="W2966" s="13"/>
    </row>
    <row r="2967" spans="4:23" ht="27" customHeight="1" x14ac:dyDescent="0.25">
      <c r="D2967" s="14" t="s">
        <v>9188</v>
      </c>
      <c r="E2967" s="14" t="s">
        <v>4251</v>
      </c>
      <c r="F2967" s="84" t="s">
        <v>348</v>
      </c>
      <c r="G2967" s="15" t="s">
        <v>27</v>
      </c>
      <c r="H2967" s="16" t="s">
        <v>9189</v>
      </c>
      <c r="I2967" s="17"/>
      <c r="J2967" s="17"/>
      <c r="K2967" s="17"/>
      <c r="L2967" s="17"/>
      <c r="T2967" s="13"/>
      <c r="U2967" s="13"/>
      <c r="V2967" s="13"/>
      <c r="W2967" s="13"/>
    </row>
    <row r="2968" spans="4:23" ht="27" customHeight="1" x14ac:dyDescent="0.25">
      <c r="D2968" s="14" t="s">
        <v>9190</v>
      </c>
      <c r="E2968" s="14" t="s">
        <v>9191</v>
      </c>
      <c r="F2968" s="84" t="s">
        <v>1392</v>
      </c>
      <c r="G2968" s="15" t="s">
        <v>27</v>
      </c>
      <c r="H2968" s="16" t="s">
        <v>9192</v>
      </c>
      <c r="I2968" s="17"/>
      <c r="J2968" s="17"/>
      <c r="K2968" s="17"/>
      <c r="L2968" s="17"/>
      <c r="T2968" s="13"/>
      <c r="U2968" s="13"/>
      <c r="V2968" s="13"/>
      <c r="W2968" s="13"/>
    </row>
    <row r="2969" spans="4:23" ht="27" customHeight="1" x14ac:dyDescent="0.25">
      <c r="D2969" s="14" t="s">
        <v>9193</v>
      </c>
      <c r="E2969" s="14" t="s">
        <v>9194</v>
      </c>
      <c r="F2969" s="84" t="s">
        <v>211</v>
      </c>
      <c r="G2969" s="15" t="s">
        <v>68</v>
      </c>
      <c r="H2969" s="16" t="s">
        <v>9195</v>
      </c>
      <c r="I2969" s="17"/>
      <c r="J2969" s="17"/>
      <c r="K2969" s="17"/>
      <c r="L2969" s="17"/>
      <c r="T2969" s="13"/>
      <c r="U2969" s="13"/>
      <c r="V2969" s="13"/>
      <c r="W2969" s="13"/>
    </row>
    <row r="2970" spans="4:23" ht="27" customHeight="1" x14ac:dyDescent="0.25">
      <c r="D2970" s="14" t="s">
        <v>9196</v>
      </c>
      <c r="E2970" s="14" t="s">
        <v>9197</v>
      </c>
      <c r="F2970" s="84" t="s">
        <v>46</v>
      </c>
      <c r="G2970" s="15" t="s">
        <v>68</v>
      </c>
      <c r="H2970" s="16" t="s">
        <v>9198</v>
      </c>
      <c r="I2970" s="17"/>
      <c r="J2970" s="17"/>
      <c r="K2970" s="17"/>
      <c r="L2970" s="17"/>
      <c r="T2970" s="13"/>
      <c r="U2970" s="13"/>
      <c r="V2970" s="13"/>
      <c r="W2970" s="13"/>
    </row>
    <row r="2971" spans="4:23" ht="27" customHeight="1" x14ac:dyDescent="0.25">
      <c r="D2971" s="14" t="s">
        <v>9199</v>
      </c>
      <c r="E2971" s="14" t="s">
        <v>9200</v>
      </c>
      <c r="F2971" s="84" t="s">
        <v>92</v>
      </c>
      <c r="G2971" s="15" t="s">
        <v>27</v>
      </c>
      <c r="H2971" s="16" t="s">
        <v>9201</v>
      </c>
      <c r="I2971" s="17"/>
      <c r="J2971" s="17"/>
      <c r="K2971" s="17"/>
      <c r="L2971" s="17"/>
      <c r="T2971" s="13"/>
      <c r="U2971" s="13"/>
      <c r="V2971" s="13"/>
      <c r="W2971" s="13"/>
    </row>
    <row r="2972" spans="4:23" ht="27" customHeight="1" x14ac:dyDescent="0.25">
      <c r="D2972" s="14" t="s">
        <v>9202</v>
      </c>
      <c r="E2972" s="14" t="s">
        <v>1582</v>
      </c>
      <c r="F2972" s="84" t="s">
        <v>508</v>
      </c>
      <c r="G2972" s="15" t="s">
        <v>68</v>
      </c>
      <c r="H2972" s="16" t="s">
        <v>9203</v>
      </c>
      <c r="I2972" s="17"/>
      <c r="J2972" s="17"/>
      <c r="K2972" s="17"/>
      <c r="L2972" s="17"/>
      <c r="T2972" s="13"/>
      <c r="U2972" s="13"/>
      <c r="V2972" s="13"/>
      <c r="W2972" s="13"/>
    </row>
    <row r="2973" spans="4:23" ht="27" customHeight="1" x14ac:dyDescent="0.25">
      <c r="D2973" s="14" t="s">
        <v>9204</v>
      </c>
      <c r="E2973" s="14" t="s">
        <v>9205</v>
      </c>
      <c r="F2973" s="84" t="s">
        <v>280</v>
      </c>
      <c r="G2973" s="15" t="s">
        <v>68</v>
      </c>
      <c r="H2973" s="16" t="s">
        <v>9206</v>
      </c>
      <c r="I2973" s="17"/>
      <c r="J2973" s="17"/>
      <c r="K2973" s="17"/>
      <c r="L2973" s="17"/>
      <c r="T2973" s="13"/>
      <c r="U2973" s="13"/>
      <c r="V2973" s="13"/>
      <c r="W2973" s="13"/>
    </row>
    <row r="2974" spans="4:23" ht="27" customHeight="1" x14ac:dyDescent="0.25">
      <c r="D2974" s="14" t="s">
        <v>9207</v>
      </c>
      <c r="E2974" s="14" t="s">
        <v>5182</v>
      </c>
      <c r="F2974" s="84" t="s">
        <v>121</v>
      </c>
      <c r="G2974" s="15" t="s">
        <v>68</v>
      </c>
      <c r="H2974" s="16" t="s">
        <v>9208</v>
      </c>
      <c r="I2974" s="17"/>
      <c r="J2974" s="17"/>
      <c r="K2974" s="17"/>
      <c r="L2974" s="17"/>
      <c r="T2974" s="13"/>
      <c r="U2974" s="13"/>
      <c r="V2974" s="13"/>
      <c r="W2974" s="13"/>
    </row>
    <row r="2975" spans="4:23" ht="27" customHeight="1" x14ac:dyDescent="0.25">
      <c r="D2975" s="14" t="s">
        <v>9209</v>
      </c>
      <c r="E2975" s="14" t="s">
        <v>2892</v>
      </c>
      <c r="F2975" s="84" t="s">
        <v>422</v>
      </c>
      <c r="G2975" s="15" t="s">
        <v>68</v>
      </c>
      <c r="H2975" s="16" t="s">
        <v>9210</v>
      </c>
      <c r="I2975" s="17"/>
      <c r="J2975" s="17"/>
      <c r="K2975" s="17"/>
      <c r="L2975" s="17"/>
      <c r="T2975" s="13"/>
      <c r="U2975" s="13"/>
      <c r="V2975" s="13"/>
      <c r="W2975" s="13"/>
    </row>
    <row r="2976" spans="4:23" ht="27" customHeight="1" x14ac:dyDescent="0.25">
      <c r="D2976" s="14" t="s">
        <v>9211</v>
      </c>
      <c r="E2976" s="14" t="s">
        <v>517</v>
      </c>
      <c r="F2976" s="84" t="s">
        <v>1029</v>
      </c>
      <c r="G2976" s="15" t="s">
        <v>27</v>
      </c>
      <c r="H2976" s="16" t="s">
        <v>9212</v>
      </c>
      <c r="I2976" s="17"/>
      <c r="J2976" s="17"/>
      <c r="K2976" s="17"/>
      <c r="L2976" s="17"/>
      <c r="T2976" s="13"/>
      <c r="U2976" s="13"/>
      <c r="V2976" s="13"/>
      <c r="W2976" s="13"/>
    </row>
    <row r="2977" spans="4:23" ht="27" customHeight="1" x14ac:dyDescent="0.25">
      <c r="D2977" s="14" t="s">
        <v>9213</v>
      </c>
      <c r="E2977" s="14" t="s">
        <v>9214</v>
      </c>
      <c r="F2977" s="84" t="s">
        <v>321</v>
      </c>
      <c r="G2977" s="15" t="s">
        <v>27</v>
      </c>
      <c r="H2977" s="16" t="s">
        <v>9215</v>
      </c>
      <c r="I2977" s="17"/>
      <c r="J2977" s="17"/>
      <c r="K2977" s="17"/>
      <c r="L2977" s="17"/>
      <c r="T2977" s="13"/>
      <c r="U2977" s="13"/>
      <c r="V2977" s="13"/>
      <c r="W2977" s="13"/>
    </row>
    <row r="2978" spans="4:23" ht="27" customHeight="1" x14ac:dyDescent="0.25">
      <c r="D2978" s="14" t="s">
        <v>9216</v>
      </c>
      <c r="E2978" s="14" t="s">
        <v>5291</v>
      </c>
      <c r="F2978" s="84" t="s">
        <v>407</v>
      </c>
      <c r="G2978" s="15" t="s">
        <v>68</v>
      </c>
      <c r="H2978" s="16" t="s">
        <v>9217</v>
      </c>
      <c r="I2978" s="17"/>
      <c r="J2978" s="17"/>
      <c r="K2978" s="17"/>
      <c r="L2978" s="17"/>
      <c r="T2978" s="13"/>
      <c r="U2978" s="13"/>
      <c r="V2978" s="13"/>
      <c r="W2978" s="13"/>
    </row>
    <row r="2979" spans="4:23" ht="27" customHeight="1" x14ac:dyDescent="0.25">
      <c r="D2979" s="14" t="s">
        <v>9218</v>
      </c>
      <c r="E2979" s="14" t="s">
        <v>919</v>
      </c>
      <c r="F2979" s="84" t="s">
        <v>653</v>
      </c>
      <c r="G2979" s="15" t="s">
        <v>27</v>
      </c>
      <c r="H2979" s="16" t="s">
        <v>9219</v>
      </c>
      <c r="I2979" s="17"/>
      <c r="J2979" s="17"/>
      <c r="K2979" s="17"/>
      <c r="L2979" s="17"/>
      <c r="T2979" s="13"/>
      <c r="U2979" s="13"/>
      <c r="V2979" s="13"/>
      <c r="W2979" s="13"/>
    </row>
    <row r="2980" spans="4:23" ht="27" customHeight="1" x14ac:dyDescent="0.25">
      <c r="D2980" s="14" t="s">
        <v>9220</v>
      </c>
      <c r="E2980" s="14" t="s">
        <v>9221</v>
      </c>
      <c r="F2980" s="84" t="s">
        <v>422</v>
      </c>
      <c r="G2980" s="15" t="s">
        <v>27</v>
      </c>
      <c r="H2980" s="16" t="s">
        <v>9222</v>
      </c>
      <c r="I2980" s="17"/>
      <c r="J2980" s="17"/>
      <c r="K2980" s="17"/>
      <c r="L2980" s="17"/>
      <c r="T2980" s="13"/>
      <c r="U2980" s="13"/>
      <c r="V2980" s="13"/>
      <c r="W2980" s="13"/>
    </row>
    <row r="2981" spans="4:23" ht="27" customHeight="1" x14ac:dyDescent="0.25">
      <c r="D2981" s="14" t="s">
        <v>9223</v>
      </c>
      <c r="E2981" s="14" t="s">
        <v>9224</v>
      </c>
      <c r="F2981" s="84" t="s">
        <v>129</v>
      </c>
      <c r="G2981" s="15" t="s">
        <v>27</v>
      </c>
      <c r="H2981" s="16" t="s">
        <v>9225</v>
      </c>
      <c r="I2981" s="17"/>
      <c r="J2981" s="17"/>
      <c r="K2981" s="17"/>
      <c r="L2981" s="17"/>
      <c r="T2981" s="13"/>
      <c r="U2981" s="13"/>
      <c r="V2981" s="13"/>
      <c r="W2981" s="13"/>
    </row>
    <row r="2982" spans="4:23" ht="27" customHeight="1" x14ac:dyDescent="0.25">
      <c r="D2982" s="14" t="s">
        <v>9226</v>
      </c>
      <c r="E2982" s="14" t="s">
        <v>9227</v>
      </c>
      <c r="F2982" s="84" t="s">
        <v>2488</v>
      </c>
      <c r="G2982" s="15" t="s">
        <v>27</v>
      </c>
      <c r="H2982" s="16" t="s">
        <v>9228</v>
      </c>
      <c r="I2982" s="17"/>
      <c r="J2982" s="17"/>
      <c r="K2982" s="17"/>
      <c r="L2982" s="17"/>
      <c r="T2982" s="13"/>
      <c r="U2982" s="13"/>
      <c r="V2982" s="13"/>
      <c r="W2982" s="13"/>
    </row>
    <row r="2983" spans="4:23" ht="27" customHeight="1" x14ac:dyDescent="0.25">
      <c r="D2983" s="14" t="s">
        <v>9229</v>
      </c>
      <c r="E2983" s="14" t="s">
        <v>9230</v>
      </c>
      <c r="F2983" s="84" t="s">
        <v>266</v>
      </c>
      <c r="G2983" s="15" t="s">
        <v>27</v>
      </c>
      <c r="H2983" s="16" t="s">
        <v>9231</v>
      </c>
      <c r="I2983" s="17"/>
      <c r="J2983" s="17"/>
      <c r="K2983" s="17"/>
      <c r="L2983" s="17"/>
      <c r="T2983" s="13"/>
      <c r="U2983" s="13"/>
      <c r="V2983" s="13"/>
      <c r="W2983" s="13"/>
    </row>
    <row r="2984" spans="4:23" ht="27" customHeight="1" x14ac:dyDescent="0.25">
      <c r="D2984" s="14" t="s">
        <v>9232</v>
      </c>
      <c r="E2984" s="14" t="s">
        <v>9233</v>
      </c>
      <c r="F2984" s="84" t="s">
        <v>417</v>
      </c>
      <c r="G2984" s="15" t="s">
        <v>27</v>
      </c>
      <c r="H2984" s="16" t="s">
        <v>9234</v>
      </c>
      <c r="I2984" s="17"/>
      <c r="J2984" s="17"/>
      <c r="K2984" s="17"/>
      <c r="L2984" s="17"/>
      <c r="T2984" s="13"/>
      <c r="U2984" s="13"/>
      <c r="V2984" s="13"/>
      <c r="W2984" s="13"/>
    </row>
    <row r="2985" spans="4:23" ht="27" customHeight="1" x14ac:dyDescent="0.25">
      <c r="D2985" s="14" t="s">
        <v>9235</v>
      </c>
      <c r="E2985" s="14" t="s">
        <v>9236</v>
      </c>
      <c r="F2985" s="84" t="s">
        <v>280</v>
      </c>
      <c r="G2985" s="15" t="s">
        <v>68</v>
      </c>
      <c r="H2985" s="16" t="s">
        <v>9237</v>
      </c>
      <c r="I2985" s="17"/>
      <c r="J2985" s="17"/>
      <c r="K2985" s="17"/>
      <c r="L2985" s="17"/>
      <c r="T2985" s="13"/>
      <c r="U2985" s="13"/>
      <c r="V2985" s="13"/>
      <c r="W2985" s="13"/>
    </row>
    <row r="2986" spans="4:23" ht="27" customHeight="1" x14ac:dyDescent="0.25">
      <c r="D2986" s="14" t="s">
        <v>9238</v>
      </c>
      <c r="E2986" s="14" t="s">
        <v>5027</v>
      </c>
      <c r="F2986" s="84" t="s">
        <v>206</v>
      </c>
      <c r="G2986" s="15" t="s">
        <v>68</v>
      </c>
      <c r="H2986" s="16" t="s">
        <v>9239</v>
      </c>
      <c r="I2986" s="17"/>
      <c r="J2986" s="17"/>
      <c r="K2986" s="17"/>
      <c r="L2986" s="17"/>
      <c r="T2986" s="13"/>
      <c r="U2986" s="13"/>
      <c r="V2986" s="13"/>
      <c r="W2986" s="13"/>
    </row>
    <row r="2987" spans="4:23" ht="27" customHeight="1" x14ac:dyDescent="0.25">
      <c r="D2987" s="14" t="s">
        <v>9240</v>
      </c>
      <c r="E2987" s="14" t="s">
        <v>3524</v>
      </c>
      <c r="F2987" s="84" t="s">
        <v>566</v>
      </c>
      <c r="G2987" s="15" t="s">
        <v>27</v>
      </c>
      <c r="H2987" s="16" t="s">
        <v>9241</v>
      </c>
      <c r="I2987" s="17"/>
      <c r="J2987" s="17"/>
      <c r="K2987" s="17"/>
      <c r="L2987" s="17"/>
      <c r="T2987" s="13"/>
      <c r="U2987" s="13"/>
      <c r="V2987" s="13"/>
      <c r="W2987" s="13"/>
    </row>
    <row r="2988" spans="4:23" ht="27" customHeight="1" x14ac:dyDescent="0.25">
      <c r="D2988" s="14" t="s">
        <v>9242</v>
      </c>
      <c r="E2988" s="14" t="s">
        <v>4593</v>
      </c>
      <c r="F2988" s="84" t="s">
        <v>1118</v>
      </c>
      <c r="G2988" s="15" t="s">
        <v>68</v>
      </c>
      <c r="H2988" s="16" t="s">
        <v>9243</v>
      </c>
      <c r="I2988" s="17"/>
      <c r="J2988" s="17"/>
      <c r="K2988" s="17"/>
      <c r="L2988" s="17"/>
      <c r="T2988" s="13"/>
      <c r="U2988" s="13"/>
      <c r="V2988" s="13"/>
      <c r="W2988" s="13"/>
    </row>
    <row r="2989" spans="4:23" ht="27" customHeight="1" x14ac:dyDescent="0.25">
      <c r="D2989" s="14" t="s">
        <v>9244</v>
      </c>
      <c r="E2989" s="14" t="s">
        <v>1132</v>
      </c>
      <c r="F2989" s="84" t="s">
        <v>67</v>
      </c>
      <c r="G2989" s="15" t="s">
        <v>27</v>
      </c>
      <c r="H2989" s="16" t="s">
        <v>9245</v>
      </c>
      <c r="I2989" s="17"/>
      <c r="J2989" s="17"/>
      <c r="K2989" s="17"/>
      <c r="L2989" s="17"/>
      <c r="T2989" s="13"/>
      <c r="U2989" s="13"/>
      <c r="V2989" s="13"/>
      <c r="W2989" s="13"/>
    </row>
    <row r="2990" spans="4:23" ht="27" customHeight="1" x14ac:dyDescent="0.25">
      <c r="D2990" s="14" t="s">
        <v>9246</v>
      </c>
      <c r="E2990" s="14" t="s">
        <v>2439</v>
      </c>
      <c r="F2990" s="84" t="s">
        <v>114</v>
      </c>
      <c r="G2990" s="15" t="s">
        <v>27</v>
      </c>
      <c r="H2990" s="16" t="s">
        <v>9247</v>
      </c>
      <c r="I2990" s="17"/>
      <c r="J2990" s="17"/>
      <c r="K2990" s="17"/>
      <c r="L2990" s="17"/>
      <c r="T2990" s="13"/>
      <c r="U2990" s="13"/>
      <c r="V2990" s="13"/>
      <c r="W2990" s="13"/>
    </row>
    <row r="2991" spans="4:23" ht="27" customHeight="1" x14ac:dyDescent="0.25">
      <c r="D2991" s="14" t="s">
        <v>9248</v>
      </c>
      <c r="E2991" s="14" t="s">
        <v>9249</v>
      </c>
      <c r="F2991" s="84" t="s">
        <v>114</v>
      </c>
      <c r="G2991" s="15" t="s">
        <v>68</v>
      </c>
      <c r="H2991" s="16" t="s">
        <v>9250</v>
      </c>
      <c r="I2991" s="17"/>
      <c r="J2991" s="17"/>
      <c r="K2991" s="17"/>
      <c r="L2991" s="17"/>
      <c r="T2991" s="13"/>
      <c r="U2991" s="13"/>
      <c r="V2991" s="13"/>
      <c r="W2991" s="13"/>
    </row>
    <row r="2992" spans="4:23" ht="27" customHeight="1" x14ac:dyDescent="0.25">
      <c r="D2992" s="14" t="s">
        <v>9251</v>
      </c>
      <c r="E2992" s="14" t="s">
        <v>4582</v>
      </c>
      <c r="F2992" s="84" t="s">
        <v>1118</v>
      </c>
      <c r="G2992" s="15" t="s">
        <v>27</v>
      </c>
      <c r="H2992" s="16" t="s">
        <v>9252</v>
      </c>
      <c r="I2992" s="17"/>
      <c r="J2992" s="17"/>
      <c r="K2992" s="17"/>
      <c r="L2992" s="17"/>
      <c r="T2992" s="13"/>
      <c r="U2992" s="13"/>
      <c r="V2992" s="13"/>
      <c r="W2992" s="13"/>
    </row>
    <row r="2993" spans="4:23" ht="27" customHeight="1" x14ac:dyDescent="0.25">
      <c r="D2993" s="14" t="s">
        <v>9253</v>
      </c>
      <c r="E2993" s="14" t="s">
        <v>3724</v>
      </c>
      <c r="F2993" s="84" t="s">
        <v>471</v>
      </c>
      <c r="G2993" s="15" t="s">
        <v>27</v>
      </c>
      <c r="H2993" s="16" t="s">
        <v>9254</v>
      </c>
      <c r="I2993" s="17"/>
      <c r="J2993" s="17"/>
      <c r="K2993" s="17"/>
      <c r="L2993" s="17"/>
      <c r="T2993" s="13"/>
      <c r="U2993" s="13"/>
      <c r="V2993" s="13"/>
      <c r="W2993" s="13"/>
    </row>
    <row r="2994" spans="4:23" ht="27" customHeight="1" x14ac:dyDescent="0.25">
      <c r="D2994" s="14" t="s">
        <v>9255</v>
      </c>
      <c r="E2994" s="14" t="s">
        <v>9256</v>
      </c>
      <c r="F2994" s="84" t="s">
        <v>233</v>
      </c>
      <c r="G2994" s="15" t="s">
        <v>27</v>
      </c>
      <c r="H2994" s="16" t="s">
        <v>9257</v>
      </c>
      <c r="I2994" s="17"/>
      <c r="J2994" s="17"/>
      <c r="K2994" s="17"/>
      <c r="L2994" s="17"/>
      <c r="T2994" s="13"/>
      <c r="U2994" s="13"/>
      <c r="V2994" s="13"/>
      <c r="W2994" s="13"/>
    </row>
    <row r="2995" spans="4:23" ht="27" customHeight="1" x14ac:dyDescent="0.25">
      <c r="D2995" s="14" t="s">
        <v>9258</v>
      </c>
      <c r="E2995" s="14" t="s">
        <v>599</v>
      </c>
      <c r="F2995" s="84" t="s">
        <v>107</v>
      </c>
      <c r="G2995" s="15" t="s">
        <v>27</v>
      </c>
      <c r="H2995" s="16" t="s">
        <v>9259</v>
      </c>
      <c r="I2995" s="17"/>
      <c r="J2995" s="17"/>
      <c r="K2995" s="17"/>
      <c r="L2995" s="17"/>
      <c r="T2995" s="13"/>
      <c r="U2995" s="13"/>
      <c r="V2995" s="13"/>
      <c r="W2995" s="13"/>
    </row>
    <row r="2996" spans="4:23" ht="27" customHeight="1" x14ac:dyDescent="0.25">
      <c r="D2996" s="14" t="s">
        <v>9260</v>
      </c>
      <c r="E2996" s="14" t="s">
        <v>9261</v>
      </c>
      <c r="F2996" s="84" t="s">
        <v>302</v>
      </c>
      <c r="G2996" s="15" t="s">
        <v>68</v>
      </c>
      <c r="H2996" s="16" t="s">
        <v>9262</v>
      </c>
      <c r="I2996" s="17"/>
      <c r="J2996" s="17"/>
      <c r="K2996" s="17"/>
      <c r="L2996" s="17"/>
      <c r="T2996" s="13"/>
      <c r="U2996" s="13"/>
      <c r="V2996" s="13"/>
      <c r="W2996" s="13"/>
    </row>
    <row r="2997" spans="4:23" ht="27" customHeight="1" x14ac:dyDescent="0.25">
      <c r="D2997" s="14" t="s">
        <v>9263</v>
      </c>
      <c r="E2997" s="14" t="s">
        <v>4124</v>
      </c>
      <c r="F2997" s="84" t="s">
        <v>239</v>
      </c>
      <c r="G2997" s="15" t="s">
        <v>27</v>
      </c>
      <c r="H2997" s="16" t="s">
        <v>9264</v>
      </c>
      <c r="I2997" s="17"/>
      <c r="J2997" s="17"/>
      <c r="K2997" s="17"/>
      <c r="L2997" s="17"/>
      <c r="T2997" s="13"/>
      <c r="U2997" s="13"/>
      <c r="V2997" s="13"/>
      <c r="W2997" s="13"/>
    </row>
    <row r="2998" spans="4:23" ht="27" customHeight="1" x14ac:dyDescent="0.25">
      <c r="D2998" s="14" t="s">
        <v>9265</v>
      </c>
      <c r="E2998" s="14" t="s">
        <v>1658</v>
      </c>
      <c r="F2998" s="84" t="s">
        <v>781</v>
      </c>
      <c r="G2998" s="15" t="s">
        <v>27</v>
      </c>
      <c r="H2998" s="16" t="s">
        <v>9266</v>
      </c>
      <c r="I2998" s="17"/>
      <c r="J2998" s="17"/>
      <c r="K2998" s="17"/>
      <c r="L2998" s="17"/>
      <c r="T2998" s="13"/>
      <c r="U2998" s="13"/>
      <c r="V2998" s="13"/>
      <c r="W2998" s="13"/>
    </row>
    <row r="2999" spans="4:23" ht="27" customHeight="1" x14ac:dyDescent="0.25">
      <c r="D2999" s="14" t="s">
        <v>9267</v>
      </c>
      <c r="E2999" s="14" t="s">
        <v>3846</v>
      </c>
      <c r="F2999" s="84" t="s">
        <v>61</v>
      </c>
      <c r="G2999" s="15" t="s">
        <v>68</v>
      </c>
      <c r="H2999" s="16" t="s">
        <v>9268</v>
      </c>
      <c r="I2999" s="17"/>
      <c r="J2999" s="17"/>
      <c r="K2999" s="17"/>
      <c r="L2999" s="17"/>
      <c r="T2999" s="13"/>
      <c r="U2999" s="13"/>
      <c r="V2999" s="13"/>
      <c r="W2999" s="13"/>
    </row>
    <row r="3000" spans="4:23" ht="27" customHeight="1" x14ac:dyDescent="0.25">
      <c r="D3000" s="14" t="s">
        <v>9269</v>
      </c>
      <c r="E3000" s="14" t="s">
        <v>9270</v>
      </c>
      <c r="F3000" s="84" t="s">
        <v>92</v>
      </c>
      <c r="G3000" s="15" t="s">
        <v>27</v>
      </c>
      <c r="H3000" s="16" t="s">
        <v>9271</v>
      </c>
      <c r="I3000" s="17"/>
      <c r="J3000" s="17"/>
      <c r="K3000" s="17"/>
      <c r="L3000" s="17"/>
      <c r="T3000" s="13"/>
      <c r="U3000" s="13"/>
      <c r="V3000" s="13"/>
      <c r="W3000" s="13"/>
    </row>
    <row r="3001" spans="4:23" ht="27" customHeight="1" x14ac:dyDescent="0.25">
      <c r="D3001" s="14" t="s">
        <v>9272</v>
      </c>
      <c r="E3001" s="14" t="s">
        <v>9273</v>
      </c>
      <c r="F3001" s="84" t="s">
        <v>934</v>
      </c>
      <c r="G3001" s="15" t="s">
        <v>68</v>
      </c>
      <c r="H3001" s="16" t="s">
        <v>9274</v>
      </c>
      <c r="I3001" s="17"/>
      <c r="J3001" s="17"/>
      <c r="K3001" s="17"/>
      <c r="L3001" s="17"/>
      <c r="T3001" s="13"/>
      <c r="U3001" s="13"/>
      <c r="V3001" s="13"/>
      <c r="W3001" s="13"/>
    </row>
    <row r="3002" spans="4:23" ht="27" customHeight="1" x14ac:dyDescent="0.25">
      <c r="D3002" s="14" t="s">
        <v>9275</v>
      </c>
      <c r="E3002" s="14" t="s">
        <v>2188</v>
      </c>
      <c r="F3002" s="84" t="s">
        <v>1886</v>
      </c>
      <c r="G3002" s="15" t="s">
        <v>68</v>
      </c>
      <c r="H3002" s="16" t="s">
        <v>9276</v>
      </c>
      <c r="I3002" s="17"/>
      <c r="J3002" s="17"/>
      <c r="K3002" s="17"/>
      <c r="L3002" s="17"/>
      <c r="T3002" s="13"/>
      <c r="U3002" s="13"/>
      <c r="V3002" s="13"/>
      <c r="W3002" s="13"/>
    </row>
  </sheetData>
  <mergeCells count="8">
    <mergeCell ref="AQ48:AU48"/>
    <mergeCell ref="AD48:AD49"/>
    <mergeCell ref="AE48:AG48"/>
    <mergeCell ref="AH48:AJ48"/>
    <mergeCell ref="AK48:AL48"/>
    <mergeCell ref="AM48:AN48"/>
    <mergeCell ref="AO48:AP48"/>
    <mergeCell ref="AC48:AC49"/>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17</vt:i4>
      </vt:variant>
    </vt:vector>
  </HeadingPairs>
  <TitlesOfParts>
    <vt:vector size="18" baseType="lpstr">
      <vt:lpstr>Case 3 - Data Processing</vt:lpstr>
      <vt:lpstr>DT_BIRTH</vt:lpstr>
      <vt:lpstr>DT_GENDER</vt:lpstr>
      <vt:lpstr>DT_ID</vt:lpstr>
      <vt:lpstr>DT_NM</vt:lpstr>
      <vt:lpstr>HARGA_PRODUK</vt:lpstr>
      <vt:lpstr>MENTOR_RATE</vt:lpstr>
      <vt:lpstr>PHONE_KODE</vt:lpstr>
      <vt:lpstr>PRODUK</vt:lpstr>
      <vt:lpstr>REG_ACT</vt:lpstr>
      <vt:lpstr>REG_AGE</vt:lpstr>
      <vt:lpstr>REG_DATE</vt:lpstr>
      <vt:lpstr>REG_DISCOUNT</vt:lpstr>
      <vt:lpstr>REG_EMAIL</vt:lpstr>
      <vt:lpstr>REG_ID</vt:lpstr>
      <vt:lpstr>REG_PHONE</vt:lpstr>
      <vt:lpstr>REG_PLAT</vt:lpstr>
      <vt:lpstr>SMS_CHARGE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himmatul  azizah</dc:creator>
  <cp:lastModifiedBy>naufalizzudin36@gmail.com</cp:lastModifiedBy>
  <dcterms:created xsi:type="dcterms:W3CDTF">2024-08-29T05:52:46Z</dcterms:created>
  <dcterms:modified xsi:type="dcterms:W3CDTF">2026-03-06T00:13:00Z</dcterms:modified>
</cp:coreProperties>
</file>