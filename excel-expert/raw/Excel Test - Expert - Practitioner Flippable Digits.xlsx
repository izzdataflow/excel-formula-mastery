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"/>
    </mc:Choice>
  </mc:AlternateContent>
  <xr:revisionPtr revIDLastSave="0" documentId="13_ncr:1_{E204DFF9-179C-4CA1-ACA0-7022B9114A98}" xr6:coauthVersionLast="47" xr6:coauthVersionMax="47" xr10:uidLastSave="{00000000-0000-0000-0000-000000000000}"/>
  <bookViews>
    <workbookView xWindow="-108" yWindow="-108" windowWidth="23256" windowHeight="12456" activeTab="1" xr2:uid="{A2B77038-28D3-44CB-A894-C89BDF0361E5}"/>
  </bookViews>
  <sheets>
    <sheet name="Brief" sheetId="3" r:id="rId1"/>
    <sheet name="Working sheet" sheetId="8" r:id="rId2"/>
    <sheet name="Answer" sheetId="10" state="veryHidden" r:id="rId3"/>
  </sheets>
  <externalReferences>
    <externalReference r:id="rId4"/>
  </externalReferences>
  <definedNames>
    <definedName name="A">[1]Brief!#REF!</definedName>
    <definedName name="B">[1]Brief!#REF!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8" l="1"/>
  <c r="Z103" i="10" l="1"/>
  <c r="Y103" i="10" a="1"/>
  <c r="Y103" i="10" s="1"/>
  <c r="Z102" i="10"/>
  <c r="Y102" i="10" a="1"/>
  <c r="Y102" i="10" s="1"/>
  <c r="Z101" i="10"/>
  <c r="Y101" i="10" a="1"/>
  <c r="Y101" i="10" s="1"/>
  <c r="AA101" i="10" s="1"/>
  <c r="Z100" i="10"/>
  <c r="Y100" i="10" a="1"/>
  <c r="Y100" i="10" s="1"/>
  <c r="Z99" i="10"/>
  <c r="Y99" i="10" a="1"/>
  <c r="Y99" i="10" s="1"/>
  <c r="Z98" i="10"/>
  <c r="Y98" i="10" a="1"/>
  <c r="Y98" i="10" s="1"/>
  <c r="AA98" i="10" s="1"/>
  <c r="Z97" i="10"/>
  <c r="Y97" i="10" a="1"/>
  <c r="Y97" i="10" s="1"/>
  <c r="AA97" i="10" s="1"/>
  <c r="Z96" i="10"/>
  <c r="Y96" i="10" a="1"/>
  <c r="Y96" i="10" s="1"/>
  <c r="Z95" i="10"/>
  <c r="Y95" i="10" a="1"/>
  <c r="Y95" i="10" s="1"/>
  <c r="Z94" i="10"/>
  <c r="Y94" i="10" a="1"/>
  <c r="Y94" i="10" s="1"/>
  <c r="Z93" i="10"/>
  <c r="Y93" i="10" a="1"/>
  <c r="Y93" i="10" s="1"/>
  <c r="Z92" i="10"/>
  <c r="Y92" i="10" a="1"/>
  <c r="Y92" i="10" s="1"/>
  <c r="Z91" i="10"/>
  <c r="Y91" i="10" a="1"/>
  <c r="Y91" i="10" s="1"/>
  <c r="AA91" i="10" s="1"/>
  <c r="Z90" i="10"/>
  <c r="Y90" i="10" a="1"/>
  <c r="Y90" i="10" s="1"/>
  <c r="Z89" i="10"/>
  <c r="Y89" i="10" a="1"/>
  <c r="Y89" i="10" s="1"/>
  <c r="Z88" i="10"/>
  <c r="Y88" i="10" a="1"/>
  <c r="Y88" i="10" s="1"/>
  <c r="AA88" i="10" s="1"/>
  <c r="Z87" i="10"/>
  <c r="Y87" i="10" a="1"/>
  <c r="Y87" i="10" s="1"/>
  <c r="AA87" i="10" s="1"/>
  <c r="Z86" i="10"/>
  <c r="Y86" i="10" a="1"/>
  <c r="Y86" i="10" s="1"/>
  <c r="Z85" i="10"/>
  <c r="Y85" i="10" a="1"/>
  <c r="Y85" i="10" s="1"/>
  <c r="Z84" i="10"/>
  <c r="Y84" i="10" a="1"/>
  <c r="Y84" i="10" s="1"/>
  <c r="Z83" i="10"/>
  <c r="Y83" i="10" a="1"/>
  <c r="Y83" i="10" s="1"/>
  <c r="AA83" i="10" s="1"/>
  <c r="Z82" i="10"/>
  <c r="Y82" i="10" a="1"/>
  <c r="Y82" i="10" s="1"/>
  <c r="AA82" i="10" s="1"/>
  <c r="Z81" i="10"/>
  <c r="Y81" i="10" a="1"/>
  <c r="Y81" i="10" s="1"/>
  <c r="AA81" i="10" s="1"/>
  <c r="Z80" i="10"/>
  <c r="Y80" i="10" a="1"/>
  <c r="Y80" i="10" s="1"/>
  <c r="AA80" i="10" s="1"/>
  <c r="Z79" i="10"/>
  <c r="Y79" i="10"/>
  <c r="AA79" i="10" s="1"/>
  <c r="Y79" i="10" a="1"/>
  <c r="Z78" i="10"/>
  <c r="Y78" i="10" a="1"/>
  <c r="Y78" i="10" s="1"/>
  <c r="AA78" i="10" s="1"/>
  <c r="Z77" i="10"/>
  <c r="Y77" i="10" a="1"/>
  <c r="Y77" i="10" s="1"/>
  <c r="AA77" i="10" s="1"/>
  <c r="Z76" i="10"/>
  <c r="Y76" i="10" a="1"/>
  <c r="Y76" i="10" s="1"/>
  <c r="AA76" i="10" s="1"/>
  <c r="Z75" i="10"/>
  <c r="Y75" i="10" a="1"/>
  <c r="Y75" i="10" s="1"/>
  <c r="AA75" i="10" s="1"/>
  <c r="Z74" i="10"/>
  <c r="Y74" i="10" a="1"/>
  <c r="Y74" i="10" s="1"/>
  <c r="AA74" i="10" s="1"/>
  <c r="Z73" i="10"/>
  <c r="Y73" i="10" a="1"/>
  <c r="Y73" i="10" s="1"/>
  <c r="Z72" i="10"/>
  <c r="Y72" i="10" a="1"/>
  <c r="Y72" i="10" s="1"/>
  <c r="Z71" i="10"/>
  <c r="Y71" i="10" a="1"/>
  <c r="Y71" i="10" s="1"/>
  <c r="AA71" i="10" s="1"/>
  <c r="Z70" i="10"/>
  <c r="Y70" i="10" a="1"/>
  <c r="Y70" i="10" s="1"/>
  <c r="Z69" i="10"/>
  <c r="Y69" i="10" a="1"/>
  <c r="Y69" i="10" s="1"/>
  <c r="Z68" i="10"/>
  <c r="Y68" i="10" a="1"/>
  <c r="Y68" i="10" s="1"/>
  <c r="AA68" i="10" s="1"/>
  <c r="Z67" i="10"/>
  <c r="Y67" i="10" a="1"/>
  <c r="Y67" i="10" s="1"/>
  <c r="AA67" i="10" s="1"/>
  <c r="Z66" i="10"/>
  <c r="Y66" i="10" a="1"/>
  <c r="Y66" i="10" s="1"/>
  <c r="Z65" i="10"/>
  <c r="Y65" i="10" a="1"/>
  <c r="Y65" i="10" s="1"/>
  <c r="Z64" i="10"/>
  <c r="Y64" i="10" a="1"/>
  <c r="Y64" i="10" s="1"/>
  <c r="Z63" i="10"/>
  <c r="Y63" i="10" a="1"/>
  <c r="Y63" i="10" s="1"/>
  <c r="Z62" i="10"/>
  <c r="Y62" i="10" a="1"/>
  <c r="Y62" i="10" s="1"/>
  <c r="Z61" i="10"/>
  <c r="Y61" i="10" a="1"/>
  <c r="Y61" i="10" s="1"/>
  <c r="AA61" i="10" s="1"/>
  <c r="Z60" i="10"/>
  <c r="Y60" i="10" a="1"/>
  <c r="Y60" i="10" s="1"/>
  <c r="Z59" i="10"/>
  <c r="Y59" i="10" a="1"/>
  <c r="Y59" i="10" s="1"/>
  <c r="Z58" i="10"/>
  <c r="Y58" i="10" a="1"/>
  <c r="Y58" i="10" s="1"/>
  <c r="AA58" i="10" s="1"/>
  <c r="Z57" i="10"/>
  <c r="Y57" i="10" a="1"/>
  <c r="Y57" i="10" s="1"/>
  <c r="AA57" i="10" s="1"/>
  <c r="Z56" i="10"/>
  <c r="Y56" i="10" a="1"/>
  <c r="Y56" i="10" s="1"/>
  <c r="Z55" i="10"/>
  <c r="Y55" i="10" a="1"/>
  <c r="Y55" i="10" s="1"/>
  <c r="Z54" i="10"/>
  <c r="Y54" i="10" a="1"/>
  <c r="Y54" i="10" s="1"/>
  <c r="Z53" i="10"/>
  <c r="Y53" i="10" a="1"/>
  <c r="Y53" i="10" s="1"/>
  <c r="AA53" i="10" s="1"/>
  <c r="Z52" i="10"/>
  <c r="Y52" i="10" a="1"/>
  <c r="Y52" i="10" s="1"/>
  <c r="AA52" i="10" s="1"/>
  <c r="Z51" i="10"/>
  <c r="Y51" i="10" a="1"/>
  <c r="Y51" i="10" s="1"/>
  <c r="AA51" i="10" s="1"/>
  <c r="Z50" i="10"/>
  <c r="Y50" i="10" a="1"/>
  <c r="Y50" i="10" s="1"/>
  <c r="AA50" i="10" s="1"/>
  <c r="Z49" i="10"/>
  <c r="Y49" i="10" a="1"/>
  <c r="Y49" i="10" s="1"/>
  <c r="AA49" i="10" s="1"/>
  <c r="Z48" i="10"/>
  <c r="Y48" i="10" a="1"/>
  <c r="Y48" i="10" s="1"/>
  <c r="AA48" i="10" s="1"/>
  <c r="Z47" i="10"/>
  <c r="Y47" i="10" a="1"/>
  <c r="Y47" i="10" s="1"/>
  <c r="AA47" i="10" s="1"/>
  <c r="Z46" i="10"/>
  <c r="Y46" i="10" a="1"/>
  <c r="Y46" i="10" s="1"/>
  <c r="AA46" i="10" s="1"/>
  <c r="Z45" i="10"/>
  <c r="Y45" i="10" a="1"/>
  <c r="Y45" i="10" s="1"/>
  <c r="AA45" i="10" s="1"/>
  <c r="Z44" i="10"/>
  <c r="Y44" i="10" a="1"/>
  <c r="Y44" i="10" s="1"/>
  <c r="AA44" i="10" s="1"/>
  <c r="Z43" i="10"/>
  <c r="Y43" i="10" a="1"/>
  <c r="Y43" i="10" s="1"/>
  <c r="AA43" i="10" s="1"/>
  <c r="Z42" i="10"/>
  <c r="Y42" i="10" a="1"/>
  <c r="Y42" i="10" s="1"/>
  <c r="AA42" i="10" s="1"/>
  <c r="Z41" i="10"/>
  <c r="Y41" i="10" a="1"/>
  <c r="Y41" i="10" s="1"/>
  <c r="AA41" i="10" s="1"/>
  <c r="Z40" i="10"/>
  <c r="Y40" i="10" a="1"/>
  <c r="Y40" i="10" s="1"/>
  <c r="AA40" i="10" s="1"/>
  <c r="Z39" i="10"/>
  <c r="Y39" i="10" a="1"/>
  <c r="Y39" i="10" s="1"/>
  <c r="AA39" i="10" s="1"/>
  <c r="Z38" i="10"/>
  <c r="Y38" i="10" a="1"/>
  <c r="Y38" i="10" s="1"/>
  <c r="AA38" i="10" s="1"/>
  <c r="Z37" i="10"/>
  <c r="Y37" i="10" a="1"/>
  <c r="Y37" i="10" s="1"/>
  <c r="AA37" i="10" s="1"/>
  <c r="Z36" i="10"/>
  <c r="Y36" i="10" a="1"/>
  <c r="Y36" i="10" s="1"/>
  <c r="AA36" i="10" s="1"/>
  <c r="Z35" i="10"/>
  <c r="Y35" i="10" a="1"/>
  <c r="Y35" i="10" s="1"/>
  <c r="AA35" i="10" s="1"/>
  <c r="Z34" i="10"/>
  <c r="Y34" i="10" a="1"/>
  <c r="Y34" i="10" s="1"/>
  <c r="AA34" i="10" s="1"/>
  <c r="Z33" i="10"/>
  <c r="Y33" i="10" a="1"/>
  <c r="Y33" i="10" s="1"/>
  <c r="Z32" i="10"/>
  <c r="Y32" i="10" a="1"/>
  <c r="Y32" i="10" s="1"/>
  <c r="Z31" i="10"/>
  <c r="Y31" i="10" a="1"/>
  <c r="Y31" i="10" s="1"/>
  <c r="AA31" i="10" s="1"/>
  <c r="Z30" i="10"/>
  <c r="Y30" i="10" a="1"/>
  <c r="Y30" i="10" s="1"/>
  <c r="Z29" i="10"/>
  <c r="Y29" i="10" a="1"/>
  <c r="Y29" i="10" s="1"/>
  <c r="Z28" i="10"/>
  <c r="Y28" i="10" a="1"/>
  <c r="Y28" i="10" s="1"/>
  <c r="AA28" i="10" s="1"/>
  <c r="Z27" i="10"/>
  <c r="Y27" i="10" a="1"/>
  <c r="Y27" i="10" s="1"/>
  <c r="AA27" i="10" s="1"/>
  <c r="Z26" i="10"/>
  <c r="Y26" i="10" a="1"/>
  <c r="Y26" i="10" s="1"/>
  <c r="Z25" i="10"/>
  <c r="Y25" i="10" a="1"/>
  <c r="Y25" i="10" s="1"/>
  <c r="Z24" i="10"/>
  <c r="Y24" i="10" a="1"/>
  <c r="Y24" i="10" s="1"/>
  <c r="Z23" i="10"/>
  <c r="Y23" i="10" a="1"/>
  <c r="Y23" i="10" s="1"/>
  <c r="Z22" i="10"/>
  <c r="Y22" i="10" a="1"/>
  <c r="Y22" i="10" s="1"/>
  <c r="Z21" i="10"/>
  <c r="Y21" i="10" a="1"/>
  <c r="Y21" i="10" s="1"/>
  <c r="AA21" i="10" s="1"/>
  <c r="Z20" i="10"/>
  <c r="Y20" i="10" a="1"/>
  <c r="Y20" i="10" s="1"/>
  <c r="Z19" i="10"/>
  <c r="Y19" i="10" a="1"/>
  <c r="Y19" i="10" s="1"/>
  <c r="Z18" i="10"/>
  <c r="Y18" i="10" a="1"/>
  <c r="Y18" i="10" s="1"/>
  <c r="AA18" i="10" s="1"/>
  <c r="Z17" i="10"/>
  <c r="Y17" i="10" a="1"/>
  <c r="Y17" i="10" s="1"/>
  <c r="AA17" i="10" s="1"/>
  <c r="Z16" i="10"/>
  <c r="Y16" i="10" a="1"/>
  <c r="Y16" i="10" s="1"/>
  <c r="Z15" i="10"/>
  <c r="Y15" i="10" a="1"/>
  <c r="Y15" i="10" s="1"/>
  <c r="Z14" i="10"/>
  <c r="Y14" i="10" a="1"/>
  <c r="Y14" i="10" s="1"/>
  <c r="Z13" i="10"/>
  <c r="Y13" i="10" a="1"/>
  <c r="Y13" i="10" s="1"/>
  <c r="Z12" i="10"/>
  <c r="Y12" i="10" a="1"/>
  <c r="Y12" i="10" s="1"/>
  <c r="Z11" i="10"/>
  <c r="Y11" i="10" a="1"/>
  <c r="Y11" i="10" s="1"/>
  <c r="AA11" i="10" s="1"/>
  <c r="Z10" i="10"/>
  <c r="Y10" i="10" a="1"/>
  <c r="Y10" i="10" s="1"/>
  <c r="K10" i="10"/>
  <c r="L10" i="10" s="1"/>
  <c r="M10" i="10" s="1"/>
  <c r="Z9" i="10"/>
  <c r="Y9" i="10" a="1"/>
  <c r="Y9" i="10" s="1"/>
  <c r="Z8" i="10"/>
  <c r="Y8" i="10" a="1"/>
  <c r="Y8" i="10" s="1"/>
  <c r="AA8" i="10" s="1"/>
  <c r="Z7" i="10"/>
  <c r="Y7" i="10" a="1"/>
  <c r="Y7" i="10" s="1"/>
  <c r="AA7" i="10" s="1"/>
  <c r="Z6" i="10"/>
  <c r="Y6" i="10" a="1"/>
  <c r="Y6" i="10" s="1"/>
  <c r="AA6" i="10" s="1"/>
  <c r="Z5" i="10"/>
  <c r="Y5" i="10" a="1"/>
  <c r="Y5" i="10" s="1"/>
  <c r="AA5" i="10" s="1"/>
  <c r="N10" i="10" l="1" a="1"/>
  <c r="N10" i="10" s="1"/>
  <c r="AA23" i="10"/>
  <c r="AA29" i="10"/>
  <c r="AA59" i="10"/>
  <c r="AA54" i="10"/>
  <c r="AA66" i="10"/>
  <c r="AA72" i="10"/>
  <c r="AA93" i="10"/>
  <c r="AA99" i="10"/>
  <c r="AA12" i="10"/>
  <c r="AA60" i="10"/>
  <c r="AA92" i="10"/>
  <c r="AA94" i="10"/>
  <c r="AA100" i="10"/>
  <c r="AA30" i="10"/>
  <c r="AA55" i="10"/>
  <c r="AA73" i="10"/>
  <c r="AA19" i="10"/>
  <c r="AA32" i="10"/>
  <c r="AA56" i="10"/>
  <c r="AA62" i="10"/>
  <c r="AA84" i="10"/>
  <c r="AA89" i="10"/>
  <c r="AA95" i="10"/>
  <c r="AA14" i="10"/>
  <c r="AA26" i="10"/>
  <c r="AA9" i="10"/>
  <c r="AA63" i="10"/>
  <c r="AA69" i="10"/>
  <c r="AA90" i="10"/>
  <c r="AA96" i="10"/>
  <c r="AA102" i="10"/>
  <c r="AA65" i="10"/>
  <c r="AA13" i="10"/>
  <c r="AA15" i="10"/>
  <c r="AA85" i="10"/>
  <c r="K11" i="10"/>
  <c r="AA16" i="10"/>
  <c r="AA103" i="10"/>
  <c r="AA24" i="10"/>
  <c r="AA25" i="10"/>
  <c r="AA20" i="10"/>
  <c r="AA33" i="10"/>
  <c r="AA10" i="10"/>
  <c r="AA22" i="10"/>
  <c r="AA64" i="10"/>
  <c r="AA70" i="10"/>
  <c r="AA86" i="10"/>
  <c r="L11" i="10" l="1"/>
  <c r="K12" i="10" l="1"/>
  <c r="M11" i="10"/>
  <c r="L12" i="10"/>
  <c r="K13" i="10" l="1"/>
  <c r="L13" i="10" s="1"/>
  <c r="M12" i="10"/>
  <c r="K14" i="10" l="1"/>
  <c r="M13" i="10"/>
  <c r="N11" i="10" s="1" a="1"/>
  <c r="N11" i="10" s="1"/>
  <c r="L14" i="10"/>
  <c r="N12" i="10" l="1" a="1"/>
  <c r="N12" i="10" s="1"/>
  <c r="K15" i="10"/>
  <c r="M14" i="10"/>
  <c r="L15" i="10"/>
  <c r="K16" i="10" l="1"/>
  <c r="L16" i="10" s="1"/>
  <c r="M15" i="10"/>
  <c r="K17" i="10" l="1"/>
  <c r="M16" i="10"/>
  <c r="L17" i="10"/>
  <c r="M17" i="10" s="1"/>
  <c r="K18" i="10" l="1"/>
  <c r="L18" i="10" s="1"/>
  <c r="K19" i="10" l="1"/>
  <c r="M18" i="10"/>
  <c r="L19" i="10"/>
  <c r="K20" i="10" l="1"/>
  <c r="L20" i="10" s="1"/>
  <c r="M19" i="10"/>
  <c r="K21" i="10" l="1"/>
  <c r="M20" i="10"/>
  <c r="L21" i="10"/>
  <c r="K22" i="10" l="1"/>
  <c r="M21" i="10"/>
  <c r="L22" i="10"/>
  <c r="K23" i="10" l="1"/>
  <c r="M22" i="10"/>
  <c r="L23" i="10"/>
  <c r="K24" i="10" l="1"/>
  <c r="L24" i="10" s="1"/>
  <c r="M23" i="10"/>
  <c r="K25" i="10" l="1"/>
  <c r="K26" i="10" s="1"/>
  <c r="M24" i="10"/>
  <c r="L25" i="10" l="1"/>
  <c r="M25" i="10" s="1"/>
  <c r="L26" i="10"/>
  <c r="M26" i="10" s="1"/>
  <c r="K27" i="10"/>
  <c r="K28" i="10" l="1"/>
  <c r="L27" i="10"/>
  <c r="M27" i="10" s="1"/>
  <c r="L28" i="10" l="1"/>
  <c r="M28" i="10" s="1"/>
  <c r="K29" i="10"/>
  <c r="L29" i="10" l="1"/>
  <c r="M29" i="10" s="1"/>
  <c r="K30" i="10"/>
  <c r="K31" i="10" l="1"/>
  <c r="L30" i="10"/>
  <c r="M30" i="10" s="1"/>
  <c r="L31" i="10" l="1"/>
  <c r="M31" i="10" s="1"/>
  <c r="K32" i="10"/>
  <c r="L32" i="10" l="1"/>
  <c r="M32" i="10" s="1"/>
  <c r="K33" i="10"/>
  <c r="K34" i="10" l="1"/>
  <c r="L33" i="10"/>
  <c r="M33" i="10" s="1"/>
  <c r="L34" i="10" l="1"/>
  <c r="M34" i="10" s="1"/>
  <c r="K35" i="10"/>
  <c r="L35" i="10" l="1"/>
  <c r="M35" i="10" s="1"/>
  <c r="K36" i="10"/>
  <c r="K37" i="10" l="1"/>
  <c r="L36" i="10"/>
  <c r="M36" i="10" s="1"/>
  <c r="L37" i="10" l="1"/>
  <c r="M37" i="10" s="1"/>
  <c r="K38" i="10"/>
  <c r="L38" i="10" l="1"/>
  <c r="M38" i="10" s="1"/>
  <c r="K39" i="10"/>
  <c r="K40" i="10" l="1"/>
  <c r="L39" i="10"/>
  <c r="M39" i="10" s="1"/>
  <c r="L40" i="10" l="1"/>
  <c r="M40" i="10" s="1"/>
  <c r="K41" i="10"/>
  <c r="K42" i="10" l="1"/>
  <c r="L41" i="10"/>
  <c r="M41" i="10" s="1"/>
  <c r="L42" i="10" l="1"/>
  <c r="M42" i="10" s="1"/>
  <c r="K43" i="10"/>
  <c r="K44" i="10" l="1"/>
  <c r="L43" i="10"/>
  <c r="M43" i="10" s="1"/>
  <c r="K45" i="10" l="1"/>
  <c r="L44" i="10"/>
  <c r="M44" i="10" s="1"/>
  <c r="K46" i="10" l="1"/>
  <c r="L45" i="10"/>
  <c r="M45" i="10" s="1"/>
  <c r="L46" i="10" l="1"/>
  <c r="M46" i="10" s="1"/>
  <c r="K47" i="10"/>
  <c r="K48" i="10" l="1"/>
  <c r="L47" i="10"/>
  <c r="M47" i="10" s="1"/>
  <c r="K49" i="10" l="1"/>
  <c r="L48" i="10"/>
  <c r="M48" i="10" s="1"/>
  <c r="K50" i="10" l="1"/>
  <c r="L49" i="10"/>
  <c r="M49" i="10" s="1"/>
  <c r="K51" i="10" l="1"/>
  <c r="L50" i="10"/>
  <c r="M50" i="10" s="1"/>
  <c r="K52" i="10" l="1"/>
  <c r="L51" i="10"/>
  <c r="M51" i="10" s="1"/>
  <c r="K53" i="10" l="1"/>
  <c r="L52" i="10"/>
  <c r="M52" i="10" s="1"/>
  <c r="K54" i="10" l="1"/>
  <c r="L53" i="10"/>
  <c r="M53" i="10" s="1"/>
  <c r="L54" i="10" l="1"/>
  <c r="M54" i="10" s="1"/>
  <c r="K55" i="10"/>
  <c r="K56" i="10" l="1"/>
  <c r="L55" i="10"/>
  <c r="M55" i="10" s="1"/>
  <c r="L56" i="10" l="1"/>
  <c r="M56" i="10" s="1"/>
  <c r="K57" i="10"/>
  <c r="K58" i="10" l="1"/>
  <c r="L57" i="10"/>
  <c r="M57" i="10" s="1"/>
  <c r="K59" i="10" l="1"/>
  <c r="L58" i="10"/>
  <c r="M58" i="10" s="1"/>
  <c r="L59" i="10" l="1"/>
  <c r="M59" i="10" s="1"/>
  <c r="K60" i="10"/>
  <c r="L60" i="10" l="1"/>
  <c r="M60" i="10" s="1"/>
  <c r="K61" i="10"/>
  <c r="K62" i="10" l="1"/>
  <c r="L61" i="10"/>
  <c r="M61" i="10" s="1"/>
  <c r="K63" i="10" l="1"/>
  <c r="L62" i="10"/>
  <c r="M62" i="10" s="1"/>
  <c r="L63" i="10" l="1"/>
  <c r="M63" i="10" s="1"/>
  <c r="K64" i="10"/>
  <c r="L64" i="10" l="1"/>
  <c r="M64" i="10" s="1"/>
  <c r="K65" i="10"/>
  <c r="K66" i="10" l="1"/>
  <c r="L65" i="10"/>
  <c r="M65" i="10" s="1"/>
  <c r="K67" i="10" l="1"/>
  <c r="L66" i="10"/>
  <c r="M66" i="10" s="1"/>
  <c r="L67" i="10" l="1"/>
  <c r="M67" i="10" s="1"/>
  <c r="K68" i="10"/>
  <c r="K69" i="10" l="1"/>
  <c r="L68" i="10"/>
  <c r="M68" i="10" s="1"/>
  <c r="K70" i="10" l="1"/>
  <c r="L69" i="10"/>
  <c r="M69" i="10" s="1"/>
  <c r="L70" i="10" l="1"/>
  <c r="M70" i="10" s="1"/>
  <c r="K71" i="10"/>
  <c r="K72" i="10" l="1"/>
  <c r="L71" i="10"/>
  <c r="M71" i="10" s="1"/>
  <c r="K73" i="10" l="1"/>
  <c r="L72" i="10"/>
  <c r="M72" i="10" s="1"/>
  <c r="L73" i="10" l="1"/>
  <c r="M73" i="10" s="1"/>
  <c r="K74" i="10"/>
  <c r="K75" i="10" l="1"/>
  <c r="L74" i="10"/>
  <c r="M74" i="10" s="1"/>
  <c r="K76" i="10" l="1"/>
  <c r="L75" i="10"/>
  <c r="M75" i="10" s="1"/>
  <c r="L76" i="10" l="1"/>
  <c r="M76" i="10" s="1"/>
  <c r="K77" i="10"/>
  <c r="K78" i="10" l="1"/>
  <c r="L77" i="10"/>
  <c r="M77" i="10" s="1"/>
  <c r="K79" i="10" l="1"/>
  <c r="L78" i="10"/>
  <c r="M78" i="10" s="1"/>
  <c r="K80" i="10" l="1"/>
  <c r="L79" i="10"/>
  <c r="M79" i="10" s="1"/>
  <c r="L80" i="10" l="1"/>
  <c r="M80" i="10" s="1"/>
  <c r="K81" i="10"/>
  <c r="K82" i="10" l="1"/>
  <c r="L81" i="10"/>
  <c r="M81" i="10" s="1"/>
  <c r="K83" i="10" l="1"/>
  <c r="L82" i="10"/>
  <c r="M82" i="10" s="1"/>
  <c r="K84" i="10" l="1"/>
  <c r="L83" i="10"/>
  <c r="M83" i="10" s="1"/>
  <c r="L84" i="10" l="1"/>
  <c r="M84" i="10" s="1"/>
  <c r="K85" i="10"/>
  <c r="K86" i="10" l="1"/>
  <c r="L85" i="10"/>
  <c r="M85" i="10" s="1"/>
  <c r="K87" i="10" l="1"/>
  <c r="L86" i="10"/>
  <c r="M86" i="10" s="1"/>
  <c r="K88" i="10" l="1"/>
  <c r="L88" i="10" s="1"/>
  <c r="M88" i="10" s="1"/>
  <c r="L87" i="10"/>
  <c r="N13" i="10" l="1" a="1"/>
  <c r="N13" i="10" s="1"/>
  <c r="O13" i="10" s="1"/>
  <c r="M87" i="10"/>
  <c r="O11" i="10" s="1"/>
  <c r="O12" i="10" l="1"/>
  <c r="O10" i="10"/>
  <c r="N14" i="10" a="1"/>
  <c r="N14" i="10" s="1"/>
  <c r="O14" i="10" s="1"/>
  <c r="N15" i="10" l="1" a="1"/>
  <c r="N15" i="10" s="1"/>
  <c r="O15" i="10" s="1"/>
  <c r="N16" i="10" l="1" a="1"/>
  <c r="N16" i="10" s="1"/>
  <c r="O16" i="10" s="1"/>
  <c r="N17" i="10" l="1" a="1"/>
  <c r="N17" i="10" s="1"/>
  <c r="O17" i="10" s="1"/>
  <c r="N18" i="10" l="1" a="1"/>
  <c r="N18" i="10" s="1"/>
  <c r="O18" i="10" s="1"/>
  <c r="N19" i="10" l="1" a="1"/>
  <c r="N19" i="10" s="1"/>
  <c r="O19" i="10" s="1"/>
  <c r="N20" i="10" l="1" a="1"/>
  <c r="N20" i="10" s="1"/>
  <c r="O20" i="10" s="1"/>
  <c r="N21" i="10" l="1" a="1"/>
  <c r="N21" i="10" s="1"/>
  <c r="O21" i="10" s="1"/>
  <c r="N22" i="10" l="1" a="1"/>
  <c r="N22" i="10" s="1"/>
  <c r="O22" i="10" s="1"/>
  <c r="N23" i="10" l="1" a="1"/>
  <c r="N23" i="10" s="1"/>
  <c r="O23" i="10" s="1"/>
  <c r="N24" i="10" l="1" a="1"/>
  <c r="N24" i="10" s="1"/>
  <c r="O24" i="10" s="1"/>
  <c r="N25" i="10" l="1" a="1"/>
  <c r="N25" i="10" s="1"/>
  <c r="O25" i="10" s="1"/>
  <c r="N26" i="10" l="1" a="1"/>
  <c r="N26" i="10" s="1"/>
  <c r="O26" i="10" s="1"/>
  <c r="N27" i="10" l="1" a="1"/>
  <c r="N27" i="10" s="1"/>
  <c r="O27" i="10" s="1"/>
  <c r="N28" i="10" l="1" a="1"/>
  <c r="N28" i="10" s="1"/>
  <c r="O28" i="10" s="1"/>
  <c r="N29" i="10" l="1" a="1"/>
  <c r="N29" i="10" s="1"/>
  <c r="O29" i="10" s="1"/>
  <c r="N30" i="10" l="1" a="1"/>
  <c r="N30" i="10" s="1"/>
  <c r="O30" i="10" s="1"/>
  <c r="N31" i="10" l="1" a="1"/>
  <c r="N31" i="10" s="1"/>
  <c r="O31" i="10" s="1"/>
  <c r="N32" i="10" l="1" a="1"/>
  <c r="N32" i="10" s="1"/>
  <c r="O32" i="10" s="1"/>
  <c r="N33" i="10" l="1" a="1"/>
  <c r="N33" i="10" s="1"/>
  <c r="O33" i="10" s="1"/>
  <c r="N34" i="10" l="1" a="1"/>
  <c r="N34" i="10" s="1"/>
  <c r="O34" i="10" s="1"/>
  <c r="N35" i="10" l="1" a="1"/>
  <c r="N35" i="10" s="1"/>
  <c r="O35" i="10" s="1"/>
  <c r="N36" i="10" l="1" a="1"/>
  <c r="N36" i="10" s="1"/>
  <c r="O36" i="10" s="1"/>
  <c r="N37" i="10" l="1" a="1"/>
  <c r="N37" i="10" s="1"/>
  <c r="O37" i="10" s="1"/>
  <c r="N38" i="10" l="1" a="1"/>
  <c r="N38" i="10" s="1"/>
  <c r="O38" i="10" s="1"/>
  <c r="N39" i="10" l="1" a="1"/>
  <c r="N39" i="10" s="1"/>
  <c r="O39" i="10" s="1"/>
  <c r="N40" i="10" l="1" a="1"/>
  <c r="N40" i="10" s="1"/>
  <c r="O40" i="10" s="1"/>
  <c r="N41" i="10" l="1" a="1"/>
  <c r="N41" i="10" s="1"/>
  <c r="O41" i="10" s="1"/>
  <c r="N42" i="10" l="1" a="1"/>
  <c r="N42" i="10" s="1"/>
  <c r="O42" i="10" s="1"/>
  <c r="N43" i="10" l="1" a="1"/>
  <c r="N43" i="10" s="1"/>
  <c r="O43" i="10" s="1"/>
  <c r="N44" i="10" l="1" a="1"/>
  <c r="N44" i="10" s="1"/>
  <c r="O44" i="10" s="1"/>
  <c r="N45" i="10" l="1" a="1"/>
  <c r="N45" i="10" s="1"/>
  <c r="O45" i="10" s="1"/>
  <c r="N46" i="10" l="1" a="1"/>
  <c r="N46" i="10" s="1"/>
  <c r="O46" i="10" s="1"/>
  <c r="N47" i="10" l="1" a="1"/>
  <c r="N47" i="10" s="1"/>
  <c r="O47" i="10" s="1"/>
  <c r="N48" i="10" l="1" a="1"/>
  <c r="N48" i="10" s="1"/>
  <c r="O48" i="10" s="1"/>
  <c r="N49" i="10" l="1" a="1"/>
  <c r="N49" i="10" s="1"/>
  <c r="O49" i="10" s="1"/>
  <c r="N50" i="10" l="1" a="1"/>
  <c r="N50" i="10" s="1"/>
  <c r="O50" i="10" s="1"/>
  <c r="N51" i="10" l="1" a="1"/>
  <c r="N51" i="10" s="1"/>
  <c r="O51" i="10" s="1"/>
  <c r="N52" i="10" l="1" a="1"/>
  <c r="N52" i="10" s="1"/>
  <c r="O52" i="10" s="1"/>
  <c r="N53" i="10" l="1" a="1"/>
  <c r="N53" i="10" s="1"/>
  <c r="O53" i="10" s="1"/>
  <c r="N54" i="10" l="1" a="1"/>
  <c r="N54" i="10" s="1"/>
  <c r="O54" i="10" s="1"/>
  <c r="N55" i="10" l="1" a="1"/>
  <c r="N55" i="10" s="1"/>
  <c r="O55" i="10" s="1"/>
  <c r="N56" i="10" l="1" a="1"/>
  <c r="N56" i="10" s="1"/>
  <c r="O56" i="10" s="1"/>
  <c r="N57" i="10" l="1" a="1"/>
  <c r="N57" i="10" s="1"/>
  <c r="O57" i="10" s="1"/>
  <c r="N58" i="10" l="1" a="1"/>
  <c r="N58" i="10" s="1"/>
  <c r="O58" i="10" s="1"/>
  <c r="N59" i="10" l="1" a="1"/>
  <c r="N59" i="10" s="1"/>
  <c r="O59" i="10" s="1"/>
  <c r="N60" i="10" l="1" a="1"/>
  <c r="N60" i="10" s="1"/>
  <c r="O60" i="10" s="1"/>
  <c r="N61" i="10" l="1" a="1"/>
  <c r="N61" i="10" s="1"/>
  <c r="O61" i="10" s="1"/>
  <c r="N62" i="10" l="1" a="1"/>
  <c r="N62" i="10" s="1"/>
  <c r="O62" i="10" s="1"/>
  <c r="N63" i="10" l="1" a="1"/>
  <c r="N63" i="10" s="1"/>
  <c r="O63" i="10" s="1"/>
  <c r="N64" i="10" l="1" a="1"/>
  <c r="N64" i="10" s="1"/>
  <c r="O64" i="10" s="1"/>
  <c r="N65" i="10" l="1" a="1"/>
  <c r="N65" i="10" s="1"/>
  <c r="O65" i="10" s="1"/>
  <c r="N66" i="10" l="1" a="1"/>
  <c r="N66" i="10" s="1"/>
  <c r="O66" i="10" s="1"/>
  <c r="N67" i="10" l="1" a="1"/>
  <c r="N67" i="10" s="1"/>
  <c r="O67" i="10" s="1"/>
  <c r="N68" i="10" l="1" a="1"/>
  <c r="N68" i="10" s="1"/>
  <c r="O68" i="10" s="1"/>
  <c r="N69" i="10" l="1" a="1"/>
  <c r="N69" i="10" s="1"/>
  <c r="O69" i="10" s="1"/>
  <c r="N70" i="10" l="1" a="1"/>
  <c r="N70" i="10" s="1"/>
  <c r="O70" i="10" s="1"/>
  <c r="N71" i="10" l="1" a="1"/>
  <c r="N71" i="10" s="1"/>
  <c r="O71" i="10" s="1"/>
  <c r="N72" i="10" l="1" a="1"/>
  <c r="N72" i="10" s="1"/>
  <c r="O72" i="10" s="1"/>
  <c r="N73" i="10" l="1" a="1"/>
  <c r="N73" i="10" s="1"/>
  <c r="O73" i="10" s="1"/>
  <c r="N74" i="10" l="1" a="1"/>
  <c r="N74" i="10" s="1"/>
  <c r="O74" i="10" s="1"/>
  <c r="N75" i="10" l="1" a="1"/>
  <c r="N75" i="10" s="1"/>
  <c r="O75" i="10" s="1"/>
  <c r="N76" i="10" l="1" a="1"/>
  <c r="N76" i="10" s="1"/>
  <c r="O76" i="10" s="1"/>
  <c r="N77" i="10" l="1" a="1"/>
  <c r="N77" i="10" s="1"/>
  <c r="O77" i="10" s="1"/>
  <c r="N78" i="10" l="1" a="1"/>
  <c r="N78" i="10" s="1"/>
  <c r="O78" i="10" s="1"/>
  <c r="N79" i="10" l="1" a="1"/>
  <c r="N79" i="10" s="1"/>
  <c r="O79" i="10" s="1"/>
  <c r="N80" i="10" l="1" a="1"/>
  <c r="N80" i="10" s="1"/>
  <c r="O80" i="10" s="1"/>
  <c r="N81" i="10" l="1" a="1"/>
  <c r="N81" i="10" s="1"/>
  <c r="O81" i="10" s="1"/>
  <c r="N82" i="10" l="1" a="1"/>
  <c r="N82" i="10" s="1"/>
  <c r="O82" i="10" s="1"/>
  <c r="N83" i="10" l="1" a="1"/>
  <c r="N83" i="10" s="1"/>
  <c r="O83" i="10" s="1"/>
  <c r="N84" i="10" l="1" a="1"/>
  <c r="N84" i="10" s="1"/>
  <c r="O84" i="10" s="1"/>
  <c r="N85" i="10" l="1" a="1"/>
  <c r="N85" i="10" s="1"/>
  <c r="O85" i="10" s="1"/>
  <c r="N86" i="10" l="1" a="1"/>
  <c r="N86" i="10" s="1"/>
  <c r="O86" i="10" s="1"/>
  <c r="N87" i="10" l="1" a="1"/>
  <c r="N87" i="10" s="1"/>
  <c r="O87" i="10" s="1"/>
  <c r="N88" i="10" l="1" a="1"/>
  <c r="N88" i="10" s="1"/>
  <c r="O88" i="10" l="1"/>
  <c r="P10" i="10" s="1"/>
  <c r="C7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<sst xmlns="http://schemas.openxmlformats.org/spreadsheetml/2006/main" count="13" uniqueCount="9">
  <si>
    <t>What is the millionth flippable number?</t>
  </si>
  <si>
    <r>
      <rPr>
        <b/>
        <sz val="11"/>
        <color rgb="FFC55A11"/>
        <rFont val="Calibri"/>
        <family val="2"/>
        <scheme val="minor"/>
      </rPr>
      <t>CHALLENGE</t>
    </r>
    <r>
      <rPr>
        <sz val="11"/>
        <color rgb="FF000000"/>
        <rFont val="Calibri"/>
        <family val="2"/>
        <scheme val="minor"/>
      </rPr>
      <t>: If we start counting from 1, the fifth flippable number is 8. The fifteenth flippable number is 21.</t>
    </r>
  </si>
  <si>
    <t>Your Answer →</t>
  </si>
  <si>
    <t>Cek</t>
  </si>
  <si>
    <t>Angka</t>
  </si>
  <si>
    <t>No Urut</t>
  </si>
  <si>
    <t>Nomer Urut</t>
  </si>
  <si>
    <t>Angka yang Dicari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</si>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</sst>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@* \:"/>
  </numFmts>
  <fonts count="9" x14ac:knownFonts="1">
    <font>
      <sz val="11"/>
      <color theme="1"/>
      <name val="Calibri"/>
      <family val="2"/>
      <scheme val="minor"/>
    </font>
    <font>
      <b/>
      <sz val="11"/>
      <color rgb="FFC55A1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Segoe UI"/>
      <family val="2"/>
    </font>
    <font>
      <b/>
      <sz val="18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right" vertical="center" indent="1"/>
    </xf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7" fillId="0" borderId="2" xfId="0" applyNumberFormat="1" applyFont="1" applyBorder="1"/>
    <xf numFmtId="3" fontId="7" fillId="3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41" fontId="0" fillId="0" borderId="0" xfId="1" applyFont="1"/>
    <xf numFmtId="3" fontId="0" fillId="0" borderId="2" xfId="1" applyNumberFormat="1" applyFont="1" applyBorder="1" applyAlignment="1">
      <alignment horizontal="left" vertical="center" indent="1"/>
    </xf>
    <xf numFmtId="3" fontId="0" fillId="0" borderId="3" xfId="1" applyNumberFormat="1" applyFont="1" applyBorder="1" applyAlignment="1">
      <alignment horizontal="left" vertical="center" indent="1"/>
    </xf>
    <xf numFmtId="3" fontId="0" fillId="0" borderId="0" xfId="0" applyNumberFormat="1"/>
    <xf numFmtId="3" fontId="0" fillId="0" borderId="3" xfId="0" applyNumberFormat="1" applyBorder="1" applyAlignment="1">
      <alignment horizontal="left" vertical="center" indent="1"/>
    </xf>
    <xf numFmtId="3" fontId="0" fillId="0" borderId="2" xfId="0" applyNumberFormat="1" applyBorder="1" applyAlignment="1">
      <alignment horizontal="left" vertical="center" indent="1"/>
    </xf>
    <xf numFmtId="41" fontId="6" fillId="0" borderId="0" xfId="0" applyNumberFormat="1" applyFont="1"/>
    <xf numFmtId="0" fontId="8" fillId="0" borderId="1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left" vertical="center"/>
    </xf>
  </cellXfs>
  <cellStyles count="2">
    <cellStyle name="Comma [0]" xfId="1" builtinId="6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45721</xdr:colOff>
      <xdr:row>1</xdr:row>
      <xdr:rowOff>152400</xdr:rowOff>
    </xdr:from>
    <xdr:ext cx="7444740" cy="4225772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5096EA6C-B80F-4127-9404-FB174106AD77}"/>
            </a:ext>
          </a:extLst>
        </xdr:cNvPr>
        <xdr:cNvSpPr txBox="1"/>
      </xdr:nvSpPr>
      <xdr:spPr>
        <a:xfrm>
          <a:off x="822961" y="1181100"/>
          <a:ext cx="7444740" cy="4225772"/>
        </a:xfrm>
        <a:prstGeom prst="rect">
          <a:avLst/>
        </a:prstGeom>
        <a:noFill/>
        <a:ln w="19050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Some digits, when shown on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 LCD screen using the standard '7-segment' display, are also LCD digits that can be read when they are turned upside-down. Let's call them 'flippable' digits as shown below.</a:t>
          </a: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On the other hand some cannot be read upside-down, hence cannot be referred as 'flippable'. See example below:</a:t>
          </a:r>
        </a:p>
        <a:p>
          <a:endParaRPr lang="en-US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current year 2019 is flippable: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CHALLENGE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ZA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we start counting from 1, the fifth flappable number is 8. The fifteenth flippable number is 21. 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ZA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ZA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What is the millionth flippable number?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GB" sz="1100"/>
        </a:p>
      </xdr:txBody>
    </xdr:sp>
    <xdr:clientData/>
  </xdr:oneCellAnchor>
  <xdr:twoCellAnchor editAs="oneCell">
    <xdr:from>
      <xdr:col>3</xdr:col>
      <xdr:colOff>373381</xdr:colOff>
      <xdr:row>5</xdr:row>
      <xdr:rowOff>106681</xdr:rowOff>
    </xdr:from>
    <xdr:to>
      <xdr:col>5</xdr:col>
      <xdr:colOff>518160</xdr:colOff>
      <xdr:row>9</xdr:row>
      <xdr:rowOff>149848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C3E068-610A-46F3-BCDB-07E1B0C5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0221" y="1866901"/>
          <a:ext cx="1363979" cy="774687"/>
        </a:xfrm>
        <a:prstGeom prst="rect">
          <a:avLst/>
        </a:prstGeom>
      </xdr:spPr>
    </xdr:pic>
    <xdr:clientData/>
  </xdr:twoCellAnchor>
  <xdr:twoCellAnchor>
    <xdr:from>
      <xdr:col>6</xdr:col>
      <xdr:colOff>137160</xdr:colOff>
      <xdr:row>6</xdr:row>
      <xdr:rowOff>38100</xdr:rowOff>
    </xdr:from>
    <xdr:to>
      <xdr:col>7</xdr:col>
      <xdr:colOff>464820</xdr:colOff>
      <xdr:row>8</xdr:row>
      <xdr:rowOff>160020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EB921409-52CA-4A5B-B879-1708E84DC13C}"/>
            </a:ext>
          </a:extLst>
        </xdr:cNvPr>
        <xdr:cNvSpPr/>
      </xdr:nvSpPr>
      <xdr:spPr>
        <a:xfrm>
          <a:off x="3352800" y="1981200"/>
          <a:ext cx="937260" cy="487680"/>
        </a:xfrm>
        <a:prstGeom prst="rightArrow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FLIP</a:t>
          </a:r>
        </a:p>
      </xdr:txBody>
    </xdr:sp>
    <xdr:clientData/>
  </xdr:twoCellAnchor>
  <xdr:twoCellAnchor editAs="oneCell">
    <xdr:from>
      <xdr:col>8</xdr:col>
      <xdr:colOff>60961</xdr:colOff>
      <xdr:row>5</xdr:row>
      <xdr:rowOff>137161</xdr:rowOff>
    </xdr:from>
    <xdr:to>
      <xdr:col>10</xdr:col>
      <xdr:colOff>342900</xdr:colOff>
      <xdr:row>10</xdr:row>
      <xdr:rowOff>33171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213307-646F-4ECC-8DD3-BF5F25ADC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5801" y="1897381"/>
          <a:ext cx="1501139" cy="81041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22861</xdr:colOff>
      <xdr:row>11</xdr:row>
      <xdr:rowOff>114301</xdr:rowOff>
    </xdr:from>
    <xdr:to>
      <xdr:col>8</xdr:col>
      <xdr:colOff>205740</xdr:colOff>
      <xdr:row>14</xdr:row>
      <xdr:rowOff>70217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3E5145-44B1-4E4C-A2D1-8F84E17E4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28901" y="2971801"/>
          <a:ext cx="2080259" cy="504556"/>
        </a:xfrm>
        <a:prstGeom prst="rect">
          <a:avLst/>
        </a:prstGeom>
      </xdr:spPr>
    </xdr:pic>
    <xdr:clientData/>
  </xdr:twoCellAnchor>
  <xdr:twoCellAnchor editAs="oneCell">
    <xdr:from>
      <xdr:col>4</xdr:col>
      <xdr:colOff>367666</xdr:colOff>
      <xdr:row>16</xdr:row>
      <xdr:rowOff>68581</xdr:rowOff>
    </xdr:from>
    <xdr:to>
      <xdr:col>9</xdr:col>
      <xdr:colOff>154305</xdr:colOff>
      <xdr:row>20</xdr:row>
      <xdr:rowOff>137839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0705A51-F6C5-426D-8D7F-B76A2333C8F2}"/>
            </a:ext>
            <a:ext uri="{147F2762-F138-4A5C-976F-8EAC2B608ADB}">
              <a16:predDERef xmlns:a16="http://schemas.microsoft.com/office/drawing/2014/main" pred="{C83E5145-44B1-4E4C-A2D1-8F84E17E4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1246" y="3840481"/>
          <a:ext cx="2865119" cy="8007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bil\OneDrive\Documents\0000.%20FREELANCE\FASTWORK\14.%2008-01-24%20(DD%2008-01)%20Dita%20Kartika\Practitioner_Flippable_Digits_Answer.xlsx" TargetMode="External"/><Relationship Id="rId1" Type="http://schemas.openxmlformats.org/officeDocument/2006/relationships/externalLinkPath" Target="/Users/sabil/OneDrive/Documents/0000.%20FREELANCE/FASTWORK/14.%2008-01-24%20(DD%2008-01)%20Dita%20Kartika/Practitioner_Flippable_Digits_Answ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elines"/>
      <sheetName val="Brief"/>
      <sheetName val="Working sheet"/>
      <sheetName val="Submit your answer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B4FC-D201-4C70-BCBA-808FEA853211}">
  <sheetPr codeName="Sheet2">
    <tabColor theme="5" tint="-0.249977111117893"/>
  </sheetPr>
  <dimension ref="A1:P27"/>
  <sheetViews>
    <sheetView showGridLines="0" topLeftCell="A4" zoomScale="85" zoomScaleNormal="85" workbookViewId="0">
      <selection activeCell="P9" sqref="P9"/>
    </sheetView>
  </sheetViews>
  <sheetFormatPr defaultColWidth="8.77734375" defaultRowHeight="14.4" x14ac:dyDescent="0.3"/>
  <cols>
    <col min="2" max="2" width="2.44140625" customWidth="1"/>
    <col min="6" max="6" width="9.777343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P2" s="1"/>
    </row>
    <row r="3" spans="1:16" x14ac:dyDescent="0.3">
      <c r="A3" s="1"/>
      <c r="P3" s="1"/>
    </row>
    <row r="4" spans="1:16" x14ac:dyDescent="0.3">
      <c r="A4" s="1"/>
      <c r="P4" s="1"/>
    </row>
    <row r="5" spans="1:16" x14ac:dyDescent="0.3">
      <c r="A5" s="1"/>
      <c r="P5" s="1"/>
    </row>
    <row r="6" spans="1:16" x14ac:dyDescent="0.3">
      <c r="A6" s="1"/>
      <c r="P6" s="1"/>
    </row>
    <row r="7" spans="1:16" x14ac:dyDescent="0.3">
      <c r="A7" s="1"/>
      <c r="P7" s="1"/>
    </row>
    <row r="8" spans="1:16" x14ac:dyDescent="0.3">
      <c r="A8" s="1"/>
      <c r="P8" s="1"/>
    </row>
    <row r="9" spans="1:16" x14ac:dyDescent="0.3">
      <c r="A9" s="1"/>
      <c r="P9" s="1"/>
    </row>
    <row r="10" spans="1:16" x14ac:dyDescent="0.3">
      <c r="A10" s="1"/>
      <c r="P10" s="1"/>
    </row>
    <row r="11" spans="1:16" x14ac:dyDescent="0.3">
      <c r="A11" s="1"/>
      <c r="P11" s="1"/>
    </row>
    <row r="12" spans="1:16" x14ac:dyDescent="0.3">
      <c r="A12" s="1"/>
      <c r="P12" s="1"/>
    </row>
    <row r="13" spans="1:16" x14ac:dyDescent="0.3">
      <c r="A13" s="1"/>
      <c r="P13" s="1"/>
    </row>
    <row r="14" spans="1:16" x14ac:dyDescent="0.3">
      <c r="A14" s="1"/>
      <c r="P14" s="1"/>
    </row>
    <row r="15" spans="1:16" x14ac:dyDescent="0.3">
      <c r="A15" s="1"/>
      <c r="P15" s="1"/>
    </row>
    <row r="16" spans="1:16" x14ac:dyDescent="0.3">
      <c r="A16" s="1"/>
      <c r="P16" s="1"/>
    </row>
    <row r="17" spans="1:16" x14ac:dyDescent="0.3">
      <c r="A17" s="1"/>
      <c r="P17" s="1"/>
    </row>
    <row r="18" spans="1:16" x14ac:dyDescent="0.3">
      <c r="A18" s="1"/>
      <c r="P18" s="1"/>
    </row>
    <row r="19" spans="1:16" x14ac:dyDescent="0.3">
      <c r="A19" s="1"/>
      <c r="P19" s="1"/>
    </row>
    <row r="20" spans="1:16" x14ac:dyDescent="0.3">
      <c r="A20" s="1"/>
      <c r="P20" s="1"/>
    </row>
    <row r="21" spans="1:16" x14ac:dyDescent="0.3">
      <c r="A21" s="1"/>
      <c r="P21" s="1"/>
    </row>
    <row r="22" spans="1:16" x14ac:dyDescent="0.3">
      <c r="A22" s="1"/>
      <c r="P22" s="1"/>
    </row>
    <row r="23" spans="1:16" x14ac:dyDescent="0.3">
      <c r="A23" s="1"/>
      <c r="P23" s="1"/>
    </row>
    <row r="24" spans="1:16" x14ac:dyDescent="0.3">
      <c r="A24" s="1"/>
      <c r="P24" s="1"/>
    </row>
    <row r="25" spans="1:16" x14ac:dyDescent="0.3">
      <c r="A25" s="1"/>
      <c r="P25" s="1"/>
    </row>
    <row r="26" spans="1:16" x14ac:dyDescent="0.3">
      <c r="A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</sheetData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323F-56F3-489B-B6B2-6F4888F602ED}">
  <sheetPr codeName="Sheet5"/>
  <dimension ref="B2:E6"/>
  <sheetViews>
    <sheetView showGridLines="0" tabSelected="1" workbookViewId="0">
      <selection activeCell="F12" sqref="F12"/>
    </sheetView>
  </sheetViews>
  <sheetFormatPr defaultRowHeight="14.4" x14ac:dyDescent="0.3"/>
  <cols>
    <col min="4" max="4" width="19.44140625" customWidth="1"/>
  </cols>
  <sheetData>
    <row r="2" spans="2:5" x14ac:dyDescent="0.3">
      <c r="B2" s="2" t="s">
        <v>1</v>
      </c>
    </row>
    <row r="3" spans="2:5" x14ac:dyDescent="0.3">
      <c r="B3" s="2"/>
    </row>
    <row r="4" spans="2:5" ht="21" x14ac:dyDescent="0.4">
      <c r="B4" s="3" t="s">
        <v>0</v>
      </c>
    </row>
    <row r="5" spans="2:5" ht="15" thickBot="1" x14ac:dyDescent="0.35"/>
    <row r="6" spans="2:5" ht="25.2" customHeight="1" thickBot="1" x14ac:dyDescent="0.35">
      <c r="C6" s="4" t="s">
        <v>2</v>
      </c>
      <c r="D6" s="5"/>
      <c r="E6" s="19" t="str">
        <f>IF(D6=Answer!$C$7,"R","T")</f>
        <v>T</v>
      </c>
    </row>
  </sheetData>
  <conditionalFormatting sqref="E6">
    <cfRule type="cellIs" dxfId="1" priority="1" operator="equal">
      <formula>"R"</formula>
    </cfRule>
    <cfRule type="cellIs" dxfId="0" priority="3" operator="equal">
      <formula>"T"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B202-E99C-4305-A219-09003F0C9EBE}">
  <sheetPr codeName="Sheet1"/>
  <dimension ref="B2:AA103"/>
  <sheetViews>
    <sheetView showGridLines="0" workbookViewId="0">
      <selection activeCell="G15" sqref="G15"/>
    </sheetView>
  </sheetViews>
  <sheetFormatPr defaultRowHeight="14.4" x14ac:dyDescent="0.3"/>
  <cols>
    <col min="2" max="2" width="22" customWidth="1"/>
    <col min="3" max="3" width="13.88671875" customWidth="1"/>
    <col min="10" max="10" width="12.44140625" bestFit="1" customWidth="1"/>
    <col min="11" max="12" width="13" style="6" customWidth="1"/>
    <col min="13" max="13" width="21.44140625" style="6" bestFit="1" customWidth="1"/>
    <col min="14" max="15" width="21.44140625" style="6" customWidth="1"/>
    <col min="16" max="17" width="13" style="6" customWidth="1"/>
    <col min="18" max="20" width="4" customWidth="1"/>
    <col min="23" max="24" width="5.77734375" customWidth="1"/>
    <col min="25" max="25" width="8.88671875" customWidth="1"/>
  </cols>
  <sheetData>
    <row r="2" spans="2:27" x14ac:dyDescent="0.3">
      <c r="B2" s="2" t="s">
        <v>1</v>
      </c>
      <c r="Z2" s="7" t="s">
        <v>3</v>
      </c>
      <c r="AA2" s="7"/>
    </row>
    <row r="3" spans="2:27" x14ac:dyDescent="0.3">
      <c r="B3" s="2"/>
      <c r="K3"/>
      <c r="L3"/>
      <c r="M3"/>
      <c r="N3"/>
      <c r="O3"/>
      <c r="P3"/>
      <c r="Q3"/>
      <c r="Z3" s="7"/>
      <c r="AA3" s="7"/>
    </row>
    <row r="4" spans="2:27" ht="21" x14ac:dyDescent="0.4">
      <c r="B4" s="3" t="s">
        <v>0</v>
      </c>
      <c r="K4"/>
      <c r="L4"/>
      <c r="M4"/>
      <c r="N4"/>
      <c r="O4"/>
      <c r="P4"/>
      <c r="Q4"/>
      <c r="Z4" s="6" t="s">
        <v>4</v>
      </c>
      <c r="AA4" s="6" t="s">
        <v>5</v>
      </c>
    </row>
    <row r="5" spans="2:27" x14ac:dyDescent="0.3">
      <c r="K5"/>
      <c r="L5"/>
      <c r="M5"/>
      <c r="N5"/>
      <c r="O5"/>
      <c r="P5"/>
      <c r="Q5"/>
      <c r="T5">
        <v>1</v>
      </c>
      <c r="U5">
        <v>1</v>
      </c>
      <c r="W5">
        <v>0</v>
      </c>
      <c r="X5">
        <v>1</v>
      </c>
      <c r="Y5" cm="1">
        <f t="array" ref="Y5">IF(AND(X5&lt;&gt;{3;4;7},W5&lt;&gt;{3;4;7}),1,0)</f>
        <v>1</v>
      </c>
      <c r="Z5" s="8">
        <f t="shared" ref="Z5:Z68" si="0">--(W5&amp;X5)</f>
        <v>1</v>
      </c>
      <c r="AA5" s="8">
        <f>IF(Y5=0,"",COUNTIF(Y5:$Y$5,Y5))</f>
        <v>1</v>
      </c>
    </row>
    <row r="6" spans="2:27" ht="16.8" x14ac:dyDescent="0.4">
      <c r="B6" s="9" t="s">
        <v>6</v>
      </c>
      <c r="C6" s="10">
        <v>1000000</v>
      </c>
      <c r="K6"/>
      <c r="L6"/>
      <c r="M6"/>
      <c r="N6"/>
      <c r="O6"/>
      <c r="P6"/>
      <c r="Q6"/>
      <c r="T6">
        <v>2</v>
      </c>
      <c r="U6">
        <v>2</v>
      </c>
      <c r="W6">
        <v>0</v>
      </c>
      <c r="X6">
        <v>2</v>
      </c>
      <c r="Y6" cm="1">
        <f t="array" ref="Y6">IF(AND(X6&lt;&gt;{3;4;7},W6&lt;&gt;{3;4;7}),1,0)</f>
        <v>1</v>
      </c>
      <c r="Z6" s="8">
        <f t="shared" si="0"/>
        <v>2</v>
      </c>
      <c r="AA6" s="8">
        <f>IF(Y6=0,"",COUNTIF(Y$5:$Y6,Y6))</f>
        <v>2</v>
      </c>
    </row>
    <row r="7" spans="2:27" ht="16.8" x14ac:dyDescent="0.4">
      <c r="B7" s="9" t="s">
        <v>7</v>
      </c>
      <c r="C7" s="11">
        <f>P10</f>
        <v>11555511.000000002</v>
      </c>
      <c r="J7" s="12"/>
      <c r="K7"/>
      <c r="L7"/>
      <c r="M7"/>
      <c r="N7"/>
      <c r="O7"/>
      <c r="P7"/>
      <c r="Q7"/>
      <c r="T7">
        <v>3</v>
      </c>
      <c r="U7" t="s">
        <v>8</v>
      </c>
      <c r="W7">
        <v>0</v>
      </c>
      <c r="X7">
        <v>3</v>
      </c>
      <c r="Y7" cm="1">
        <f t="array" ref="Y7">IF(AND(X7&lt;&gt;{3;4;7},W7&lt;&gt;{3;4;7}),1,0)</f>
        <v>0</v>
      </c>
      <c r="Z7" s="8">
        <f t="shared" si="0"/>
        <v>3</v>
      </c>
      <c r="AA7" s="8" t="str">
        <f>IF(Y7=0,"",COUNTIF(Y$5:$Y7,Y7))</f>
        <v/>
      </c>
    </row>
    <row r="8" spans="2:27" x14ac:dyDescent="0.3">
      <c r="J8" s="12"/>
      <c r="K8"/>
      <c r="L8"/>
      <c r="M8"/>
      <c r="N8"/>
      <c r="O8"/>
      <c r="P8"/>
      <c r="Q8"/>
      <c r="T8">
        <v>4</v>
      </c>
      <c r="U8" t="s">
        <v>8</v>
      </c>
      <c r="W8">
        <v>0</v>
      </c>
      <c r="X8">
        <v>4</v>
      </c>
      <c r="Y8" cm="1">
        <f t="array" ref="Y8">IF(AND(X8&lt;&gt;{3;4;7},W8&lt;&gt;{3;4;7}),1,0)</f>
        <v>0</v>
      </c>
      <c r="Z8" s="8">
        <f t="shared" si="0"/>
        <v>4</v>
      </c>
      <c r="AA8" s="8" t="str">
        <f>IF(Y8=0,"",COUNTIF(Y$5:$Y8,Y8))</f>
        <v/>
      </c>
    </row>
    <row r="9" spans="2:27" x14ac:dyDescent="0.3">
      <c r="K9"/>
      <c r="L9"/>
      <c r="M9"/>
      <c r="N9"/>
      <c r="O9"/>
      <c r="P9"/>
      <c r="Q9"/>
      <c r="T9">
        <v>5</v>
      </c>
      <c r="U9">
        <v>3</v>
      </c>
      <c r="W9">
        <v>0</v>
      </c>
      <c r="X9">
        <v>5</v>
      </c>
      <c r="Y9" cm="1">
        <f t="array" ref="Y9">IF(AND(X9&lt;&gt;{3;4;7},W9&lt;&gt;{3;4;7}),1,0)</f>
        <v>1</v>
      </c>
      <c r="Z9" s="8">
        <f t="shared" si="0"/>
        <v>5</v>
      </c>
      <c r="AA9" s="8">
        <f>IF(Y9=0,"",COUNTIF(Y$5:$Y9,Y9))</f>
        <v>3</v>
      </c>
    </row>
    <row r="10" spans="2:27" x14ac:dyDescent="0.3">
      <c r="K10" s="13">
        <f>$C$6</f>
        <v>1000000</v>
      </c>
      <c r="L10" s="13">
        <f>IF(K10&lt;7,K10,7^(ROUNDDOWN(LOG(K10,7),0)))</f>
        <v>823543</v>
      </c>
      <c r="M10" s="13">
        <f>IFERROR(IF(L10&lt;7,L10,10^(LOG(L10,7))),0)</f>
        <v>10000000</v>
      </c>
      <c r="N10" s="13" cm="1">
        <f t="array" ref="N10">IFERROR(IF(INDEX($M$10:$M$88,MATCH(0,COUNTIF($N$9:N9,$M$10:$M$88),0))=0,"",INDEX($M$10:$M$88,MATCH(0,COUNTIF($N$9:N9,$M$10:$M$88),0))),"")</f>
        <v>10000000</v>
      </c>
      <c r="O10" s="13">
        <f>IFERROR(IF((N10&lt;&gt;"")*(N10&lt;10),INDEX($T$5:$T$13,MATCH(N10,$U$5:$U$13,0)),INDEX($T$5:$T$13,MATCH(COUNTIF($M$10:$M$88,N10),$U$5:$U$13,0))*N10),0)</f>
        <v>10000000</v>
      </c>
      <c r="P10" s="20">
        <f>SUM($O$10:$O$88)</f>
        <v>11555511.000000002</v>
      </c>
      <c r="T10">
        <v>6</v>
      </c>
      <c r="U10">
        <v>4</v>
      </c>
      <c r="W10">
        <v>0</v>
      </c>
      <c r="X10">
        <v>6</v>
      </c>
      <c r="Y10" cm="1">
        <f t="array" ref="Y10">IF(AND(X10&lt;&gt;{3;4;7},W10&lt;&gt;{3;4;7}),1,0)</f>
        <v>1</v>
      </c>
      <c r="Z10" s="8">
        <f t="shared" si="0"/>
        <v>6</v>
      </c>
      <c r="AA10" s="8">
        <f>IF(Y10=0,"",COUNTIF(Y$5:$Y10,Y10))</f>
        <v>4</v>
      </c>
    </row>
    <row r="11" spans="2:27" x14ac:dyDescent="0.3">
      <c r="I11" s="15"/>
      <c r="J11" s="12"/>
      <c r="K11" s="16">
        <f t="shared" ref="K11:K74" si="1">IF(K10&lt;7,0,K10-L10)</f>
        <v>176457</v>
      </c>
      <c r="L11" s="14">
        <f t="shared" ref="L11:L74" si="2">IF(K11&lt;7,K11,7^(ROUNDDOWN(LOG(K11,7),0)))</f>
        <v>117649</v>
      </c>
      <c r="M11" s="13">
        <f t="shared" ref="M11:M74" si="3">IFERROR(IF(L11&lt;7,L11,10^(LOG(L11,7))),0)</f>
        <v>1000000</v>
      </c>
      <c r="N11" s="13" cm="1">
        <f t="array" ref="N11">IFERROR(IF(INDEX($M$10:$M$88,MATCH(0,COUNTIF($N$9:N10,$M$10:$M$88),0))=0,"",INDEX($M$10:$M$88,MATCH(0,COUNTIF($N$9:N10,$M$10:$M$88),0))),"")</f>
        <v>1000000</v>
      </c>
      <c r="O11" s="13">
        <f t="shared" ref="O11:O74" si="4">IFERROR(IF((N11&lt;&gt;"")*(N11&lt;10),INDEX($T$5:$T$13,MATCH(N11,$U$5:$U$13,0)),INDEX($T$5:$T$13,MATCH(COUNTIF($M$10:$M$88,N11),$U$5:$U$13,0))*N11),0)</f>
        <v>1000000</v>
      </c>
      <c r="T11">
        <v>7</v>
      </c>
      <c r="U11" t="s">
        <v>8</v>
      </c>
      <c r="W11">
        <v>0</v>
      </c>
      <c r="X11">
        <v>7</v>
      </c>
      <c r="Y11" cm="1">
        <f t="array" ref="Y11">IF(AND(X11&lt;&gt;{3;4;7},W11&lt;&gt;{3;4;7}),1,0)</f>
        <v>0</v>
      </c>
      <c r="Z11" s="8">
        <f t="shared" si="0"/>
        <v>7</v>
      </c>
      <c r="AA11" s="8" t="str">
        <f>IF(Y11=0,"",COUNTIF(Y$5:$Y11,Y11))</f>
        <v/>
      </c>
    </row>
    <row r="12" spans="2:27" x14ac:dyDescent="0.3">
      <c r="J12" s="12"/>
      <c r="K12" s="17">
        <f t="shared" si="1"/>
        <v>58808</v>
      </c>
      <c r="L12" s="14">
        <f t="shared" si="2"/>
        <v>16807</v>
      </c>
      <c r="M12" s="13">
        <f t="shared" si="3"/>
        <v>100000.00000000038</v>
      </c>
      <c r="N12" s="13" cm="1">
        <f t="array" ref="N12">IFERROR(IF(INDEX($M$10:$M$88,MATCH(0,COUNTIF($N$9:N11,$M$10:$M$88),0))=0,"",INDEX($M$10:$M$88,MATCH(0,COUNTIF($N$9:N11,$M$10:$M$88),0))),"")</f>
        <v>100000.00000000038</v>
      </c>
      <c r="O12" s="13">
        <f t="shared" si="4"/>
        <v>500000.00000000186</v>
      </c>
      <c r="T12">
        <v>8</v>
      </c>
      <c r="U12">
        <v>5</v>
      </c>
      <c r="W12">
        <v>0</v>
      </c>
      <c r="X12">
        <v>8</v>
      </c>
      <c r="Y12" cm="1">
        <f t="array" ref="Y12">IF(AND(X12&lt;&gt;{3;4;7},W12&lt;&gt;{3;4;7}),1,0)</f>
        <v>1</v>
      </c>
      <c r="Z12" s="8">
        <f t="shared" si="0"/>
        <v>8</v>
      </c>
      <c r="AA12" s="8">
        <f>IF(Y12=0,"",COUNTIF(Y$5:$Y12,Y12))</f>
        <v>5</v>
      </c>
    </row>
    <row r="13" spans="2:27" x14ac:dyDescent="0.3">
      <c r="J13" s="18"/>
      <c r="K13" s="17">
        <f t="shared" si="1"/>
        <v>42001</v>
      </c>
      <c r="L13" s="14">
        <f t="shared" si="2"/>
        <v>16807</v>
      </c>
      <c r="M13" s="13">
        <f t="shared" si="3"/>
        <v>100000.00000000038</v>
      </c>
      <c r="N13" s="13" cm="1">
        <f t="array" ref="N13">IFERROR(IF(INDEX($M$10:$M$88,MATCH(0,COUNTIF($N$9:N12,$M$10:$M$88),0))=0,"",INDEX($M$10:$M$88,MATCH(0,COUNTIF($N$9:N12,$M$10:$M$88),0))),"")</f>
        <v>10000</v>
      </c>
      <c r="O13" s="13">
        <f t="shared" si="4"/>
        <v>50000</v>
      </c>
      <c r="T13">
        <v>9</v>
      </c>
      <c r="U13">
        <v>6</v>
      </c>
      <c r="W13">
        <v>0</v>
      </c>
      <c r="X13">
        <v>9</v>
      </c>
      <c r="Y13" cm="1">
        <f t="array" ref="Y13">IF(AND(X13&lt;&gt;{3;4;7},W13&lt;&gt;{3;4;7}),1,0)</f>
        <v>1</v>
      </c>
      <c r="Z13" s="8">
        <f t="shared" si="0"/>
        <v>9</v>
      </c>
      <c r="AA13" s="8">
        <f>IF(Y13=0,"",COUNTIF(Y$5:$Y13,Y13))</f>
        <v>6</v>
      </c>
    </row>
    <row r="14" spans="2:27" x14ac:dyDescent="0.3">
      <c r="K14" s="17">
        <f t="shared" si="1"/>
        <v>25194</v>
      </c>
      <c r="L14" s="14">
        <f t="shared" si="2"/>
        <v>16807</v>
      </c>
      <c r="M14" s="13">
        <f t="shared" si="3"/>
        <v>100000.00000000038</v>
      </c>
      <c r="N14" s="13" cm="1">
        <f t="array" ref="N14">IFERROR(IF(INDEX($M$10:$M$88,MATCH(0,COUNTIF($N$9:N13,$M$10:$M$88),0))=0,"",INDEX($M$10:$M$88,MATCH(0,COUNTIF($N$9:N13,$M$10:$M$88),0))),"")</f>
        <v>1000</v>
      </c>
      <c r="O14" s="13">
        <f t="shared" si="4"/>
        <v>5000</v>
      </c>
      <c r="W14">
        <v>1</v>
      </c>
      <c r="X14">
        <v>0</v>
      </c>
      <c r="Y14" cm="1">
        <f t="array" ref="Y14">IF(AND(X14&lt;&gt;{3;4;7},W14&lt;&gt;{3;4;7}),1,0)</f>
        <v>1</v>
      </c>
      <c r="Z14" s="8">
        <f t="shared" si="0"/>
        <v>10</v>
      </c>
      <c r="AA14" s="8">
        <f>IF(Y14=0,"",COUNTIF(Y$5:$Y14,Y14))</f>
        <v>7</v>
      </c>
    </row>
    <row r="15" spans="2:27" x14ac:dyDescent="0.3">
      <c r="K15" s="17">
        <f t="shared" si="1"/>
        <v>8387</v>
      </c>
      <c r="L15" s="14">
        <f t="shared" si="2"/>
        <v>2401</v>
      </c>
      <c r="M15" s="13">
        <f t="shared" si="3"/>
        <v>10000</v>
      </c>
      <c r="N15" s="13" cm="1">
        <f t="array" ref="N15">IFERROR(IF(INDEX($M$10:$M$88,MATCH(0,COUNTIF($N$9:N14,$M$10:$M$88),0))=0,"",INDEX($M$10:$M$88,MATCH(0,COUNTIF($N$9:N14,$M$10:$M$88),0))),"")</f>
        <v>100</v>
      </c>
      <c r="O15" s="13">
        <f t="shared" si="4"/>
        <v>500</v>
      </c>
      <c r="W15">
        <v>1</v>
      </c>
      <c r="X15">
        <v>1</v>
      </c>
      <c r="Y15" cm="1">
        <f t="array" ref="Y15">IF(AND(X15&lt;&gt;{3;4;7},W15&lt;&gt;{3;4;7}),1,0)</f>
        <v>1</v>
      </c>
      <c r="Z15" s="8">
        <f t="shared" si="0"/>
        <v>11</v>
      </c>
      <c r="AA15" s="8">
        <f>IF(Y15=0,"",COUNTIF(Y$5:$Y15,Y15))</f>
        <v>8</v>
      </c>
    </row>
    <row r="16" spans="2:27" x14ac:dyDescent="0.3">
      <c r="K16" s="17">
        <f t="shared" si="1"/>
        <v>5986</v>
      </c>
      <c r="L16" s="14">
        <f t="shared" si="2"/>
        <v>2401</v>
      </c>
      <c r="M16" s="13">
        <f t="shared" si="3"/>
        <v>10000</v>
      </c>
      <c r="N16" s="13" cm="1">
        <f t="array" ref="N16">IFERROR(IF(INDEX($M$10:$M$88,MATCH(0,COUNTIF($N$9:N15,$M$10:$M$88),0))=0,"",INDEX($M$10:$M$88,MATCH(0,COUNTIF($N$9:N15,$M$10:$M$88),0))),"")</f>
        <v>10</v>
      </c>
      <c r="O16" s="13">
        <f t="shared" si="4"/>
        <v>10</v>
      </c>
      <c r="W16">
        <v>1</v>
      </c>
      <c r="X16">
        <v>2</v>
      </c>
      <c r="Y16" cm="1">
        <f t="array" ref="Y16">IF(AND(X16&lt;&gt;{3;4;7},W16&lt;&gt;{3;4;7}),1,0)</f>
        <v>1</v>
      </c>
      <c r="Z16" s="8">
        <f t="shared" si="0"/>
        <v>12</v>
      </c>
      <c r="AA16" s="8">
        <f>IF(Y16=0,"",COUNTIF(Y$5:$Y16,Y16))</f>
        <v>9</v>
      </c>
    </row>
    <row r="17" spans="11:27" x14ac:dyDescent="0.3">
      <c r="K17" s="17">
        <f t="shared" si="1"/>
        <v>3585</v>
      </c>
      <c r="L17" s="14">
        <f t="shared" si="2"/>
        <v>2401</v>
      </c>
      <c r="M17" s="13">
        <f t="shared" si="3"/>
        <v>10000</v>
      </c>
      <c r="N17" s="13" cm="1">
        <f t="array" ref="N17">IFERROR(IF(INDEX($M$10:$M$88,MATCH(0,COUNTIF($N$9:N16,$M$10:$M$88),0))=0,"",INDEX($M$10:$M$88,MATCH(0,COUNTIF($N$9:N16,$M$10:$M$88),0))),"")</f>
        <v>1</v>
      </c>
      <c r="O17" s="13">
        <f t="shared" si="4"/>
        <v>1</v>
      </c>
      <c r="W17">
        <v>1</v>
      </c>
      <c r="X17">
        <v>3</v>
      </c>
      <c r="Y17" cm="1">
        <f t="array" ref="Y17">IF(AND(X17&lt;&gt;{3;4;7},W17&lt;&gt;{3;4;7}),1,0)</f>
        <v>0</v>
      </c>
      <c r="Z17" s="8">
        <f t="shared" si="0"/>
        <v>13</v>
      </c>
      <c r="AA17" s="8" t="str">
        <f>IF(Y17=0,"",COUNTIF(Y$5:$Y17,Y17))</f>
        <v/>
      </c>
    </row>
    <row r="18" spans="11:27" x14ac:dyDescent="0.3">
      <c r="K18" s="17">
        <f t="shared" si="1"/>
        <v>1184</v>
      </c>
      <c r="L18" s="14">
        <f t="shared" si="2"/>
        <v>343</v>
      </c>
      <c r="M18" s="13">
        <f t="shared" si="3"/>
        <v>1000</v>
      </c>
      <c r="N18" s="13" t="str" cm="1">
        <f t="array" ref="N18">IFERROR(IF(INDEX($M$10:$M$88,MATCH(0,COUNTIF($N$9:N17,$M$10:$M$88),0))=0,"",INDEX($M$10:$M$88,MATCH(0,COUNTIF($N$9:N17,$M$10:$M$88),0))),"")</f>
        <v/>
      </c>
      <c r="O18" s="13">
        <f t="shared" si="4"/>
        <v>0</v>
      </c>
      <c r="W18">
        <v>1</v>
      </c>
      <c r="X18">
        <v>4</v>
      </c>
      <c r="Y18" cm="1">
        <f t="array" ref="Y18">IF(AND(X18&lt;&gt;{3;4;7},W18&lt;&gt;{3;4;7}),1,0)</f>
        <v>0</v>
      </c>
      <c r="Z18" s="8">
        <f t="shared" si="0"/>
        <v>14</v>
      </c>
      <c r="AA18" s="8" t="str">
        <f>IF(Y18=0,"",COUNTIF(Y$5:$Y18,Y18))</f>
        <v/>
      </c>
    </row>
    <row r="19" spans="11:27" x14ac:dyDescent="0.3">
      <c r="K19" s="17">
        <f t="shared" si="1"/>
        <v>841</v>
      </c>
      <c r="L19" s="14">
        <f t="shared" si="2"/>
        <v>343</v>
      </c>
      <c r="M19" s="13">
        <f t="shared" si="3"/>
        <v>1000</v>
      </c>
      <c r="N19" s="13" t="str" cm="1">
        <f t="array" ref="N19">IFERROR(IF(INDEX($M$10:$M$88,MATCH(0,COUNTIF($N$9:N18,$M$10:$M$88),0))=0,"",INDEX($M$10:$M$88,MATCH(0,COUNTIF($N$9:N18,$M$10:$M$88),0))),"")</f>
        <v/>
      </c>
      <c r="O19" s="13">
        <f t="shared" si="4"/>
        <v>0</v>
      </c>
      <c r="W19">
        <v>1</v>
      </c>
      <c r="X19">
        <v>5</v>
      </c>
      <c r="Y19" cm="1">
        <f t="array" ref="Y19">IF(AND(X19&lt;&gt;{3;4;7},W19&lt;&gt;{3;4;7}),1,0)</f>
        <v>1</v>
      </c>
      <c r="Z19" s="8">
        <f t="shared" si="0"/>
        <v>15</v>
      </c>
      <c r="AA19" s="8">
        <f>IF(Y19=0,"",COUNTIF(Y$5:$Y19,Y19))</f>
        <v>10</v>
      </c>
    </row>
    <row r="20" spans="11:27" x14ac:dyDescent="0.3">
      <c r="K20" s="17">
        <f t="shared" si="1"/>
        <v>498</v>
      </c>
      <c r="L20" s="14">
        <f t="shared" si="2"/>
        <v>343</v>
      </c>
      <c r="M20" s="13">
        <f t="shared" si="3"/>
        <v>1000</v>
      </c>
      <c r="N20" s="13" t="str" cm="1">
        <f t="array" ref="N20">IFERROR(IF(INDEX($M$10:$M$88,MATCH(0,COUNTIF($N$9:N19,$M$10:$M$88),0))=0,"",INDEX($M$10:$M$88,MATCH(0,COUNTIF($N$9:N19,$M$10:$M$88),0))),"")</f>
        <v/>
      </c>
      <c r="O20" s="13">
        <f t="shared" si="4"/>
        <v>0</v>
      </c>
      <c r="W20">
        <v>1</v>
      </c>
      <c r="X20">
        <v>6</v>
      </c>
      <c r="Y20" cm="1">
        <f t="array" ref="Y20">IF(AND(X20&lt;&gt;{3;4;7},W20&lt;&gt;{3;4;7}),1,0)</f>
        <v>1</v>
      </c>
      <c r="Z20" s="8">
        <f t="shared" si="0"/>
        <v>16</v>
      </c>
      <c r="AA20" s="8">
        <f>IF(Y20=0,"",COUNTIF(Y$5:$Y20,Y20))</f>
        <v>11</v>
      </c>
    </row>
    <row r="21" spans="11:27" x14ac:dyDescent="0.3">
      <c r="K21" s="17">
        <f t="shared" si="1"/>
        <v>155</v>
      </c>
      <c r="L21" s="14">
        <f t="shared" si="2"/>
        <v>49</v>
      </c>
      <c r="M21" s="13">
        <f t="shared" si="3"/>
        <v>100</v>
      </c>
      <c r="N21" s="13" t="str" cm="1">
        <f t="array" ref="N21">IFERROR(IF(INDEX($M$10:$M$88,MATCH(0,COUNTIF($N$9:N20,$M$10:$M$88),0))=0,"",INDEX($M$10:$M$88,MATCH(0,COUNTIF($N$9:N20,$M$10:$M$88),0))),"")</f>
        <v/>
      </c>
      <c r="O21" s="13">
        <f t="shared" si="4"/>
        <v>0</v>
      </c>
      <c r="W21">
        <v>1</v>
      </c>
      <c r="X21">
        <v>7</v>
      </c>
      <c r="Y21" cm="1">
        <f t="array" ref="Y21">IF(AND(X21&lt;&gt;{3;4;7},W21&lt;&gt;{3;4;7}),1,0)</f>
        <v>0</v>
      </c>
      <c r="Z21" s="8">
        <f t="shared" si="0"/>
        <v>17</v>
      </c>
      <c r="AA21" s="8" t="str">
        <f>IF(Y21=0,"",COUNTIF(Y$5:$Y21,Y21))</f>
        <v/>
      </c>
    </row>
    <row r="22" spans="11:27" x14ac:dyDescent="0.3">
      <c r="K22" s="17">
        <f t="shared" si="1"/>
        <v>106</v>
      </c>
      <c r="L22" s="14">
        <f t="shared" si="2"/>
        <v>49</v>
      </c>
      <c r="M22" s="13">
        <f t="shared" si="3"/>
        <v>100</v>
      </c>
      <c r="N22" s="13" t="str" cm="1">
        <f t="array" ref="N22">IFERROR(IF(INDEX($M$10:$M$88,MATCH(0,COUNTIF($N$9:N21,$M$10:$M$88),0))=0,"",INDEX($M$10:$M$88,MATCH(0,COUNTIF($N$9:N21,$M$10:$M$88),0))),"")</f>
        <v/>
      </c>
      <c r="O22" s="13">
        <f t="shared" si="4"/>
        <v>0</v>
      </c>
      <c r="W22">
        <v>1</v>
      </c>
      <c r="X22">
        <v>8</v>
      </c>
      <c r="Y22" cm="1">
        <f t="array" ref="Y22">IF(AND(X22&lt;&gt;{3;4;7},W22&lt;&gt;{3;4;7}),1,0)</f>
        <v>1</v>
      </c>
      <c r="Z22" s="8">
        <f t="shared" si="0"/>
        <v>18</v>
      </c>
      <c r="AA22" s="8">
        <f>IF(Y22=0,"",COUNTIF(Y$5:$Y22,Y22))</f>
        <v>12</v>
      </c>
    </row>
    <row r="23" spans="11:27" x14ac:dyDescent="0.3">
      <c r="K23" s="17">
        <f t="shared" si="1"/>
        <v>57</v>
      </c>
      <c r="L23" s="14">
        <f t="shared" si="2"/>
        <v>49</v>
      </c>
      <c r="M23" s="13">
        <f t="shared" si="3"/>
        <v>100</v>
      </c>
      <c r="N23" s="13" t="str" cm="1">
        <f t="array" ref="N23">IFERROR(IF(INDEX($M$10:$M$88,MATCH(0,COUNTIF($N$9:N22,$M$10:$M$88),0))=0,"",INDEX($M$10:$M$88,MATCH(0,COUNTIF($N$9:N22,$M$10:$M$88),0))),"")</f>
        <v/>
      </c>
      <c r="O23" s="13">
        <f t="shared" si="4"/>
        <v>0</v>
      </c>
      <c r="W23">
        <v>1</v>
      </c>
      <c r="X23">
        <v>9</v>
      </c>
      <c r="Y23" cm="1">
        <f t="array" ref="Y23">IF(AND(X23&lt;&gt;{3;4;7},W23&lt;&gt;{3;4;7}),1,0)</f>
        <v>1</v>
      </c>
      <c r="Z23" s="8">
        <f t="shared" si="0"/>
        <v>19</v>
      </c>
      <c r="AA23" s="8">
        <f>IF(Y23=0,"",COUNTIF(Y$5:$Y23,Y23))</f>
        <v>13</v>
      </c>
    </row>
    <row r="24" spans="11:27" x14ac:dyDescent="0.3">
      <c r="K24" s="17">
        <f t="shared" si="1"/>
        <v>8</v>
      </c>
      <c r="L24" s="14">
        <f t="shared" si="2"/>
        <v>7</v>
      </c>
      <c r="M24" s="13">
        <f t="shared" si="3"/>
        <v>10</v>
      </c>
      <c r="N24" s="13" t="str" cm="1">
        <f t="array" ref="N24">IFERROR(IF(INDEX($M$10:$M$88,MATCH(0,COUNTIF($N$9:N23,$M$10:$M$88),0))=0,"",INDEX($M$10:$M$88,MATCH(0,COUNTIF($N$9:N23,$M$10:$M$88),0))),"")</f>
        <v/>
      </c>
      <c r="O24" s="13">
        <f t="shared" si="4"/>
        <v>0</v>
      </c>
      <c r="W24">
        <v>2</v>
      </c>
      <c r="X24">
        <v>0</v>
      </c>
      <c r="Y24" cm="1">
        <f t="array" ref="Y24">IF(AND(X24&lt;&gt;{3;4;7},W24&lt;&gt;{3;4;7}),1,0)</f>
        <v>1</v>
      </c>
      <c r="Z24" s="8">
        <f t="shared" si="0"/>
        <v>20</v>
      </c>
      <c r="AA24" s="8">
        <f>IF(Y24=0,"",COUNTIF(Y$5:$Y24,Y24))</f>
        <v>14</v>
      </c>
    </row>
    <row r="25" spans="11:27" x14ac:dyDescent="0.3">
      <c r="K25" s="17">
        <f t="shared" si="1"/>
        <v>1</v>
      </c>
      <c r="L25" s="14">
        <f t="shared" si="2"/>
        <v>1</v>
      </c>
      <c r="M25" s="13">
        <f t="shared" si="3"/>
        <v>1</v>
      </c>
      <c r="N25" s="13" t="str" cm="1">
        <f t="array" ref="N25">IFERROR(IF(INDEX($M$10:$M$88,MATCH(0,COUNTIF($N$9:N24,$M$10:$M$88),0))=0,"",INDEX($M$10:$M$88,MATCH(0,COUNTIF($N$9:N24,$M$10:$M$88),0))),"")</f>
        <v/>
      </c>
      <c r="O25" s="13">
        <f t="shared" si="4"/>
        <v>0</v>
      </c>
      <c r="W25">
        <v>2</v>
      </c>
      <c r="X25">
        <v>1</v>
      </c>
      <c r="Y25" cm="1">
        <f t="array" ref="Y25">IF(AND(X25&lt;&gt;{3;4;7},W25&lt;&gt;{3;4;7}),1,0)</f>
        <v>1</v>
      </c>
      <c r="Z25" s="8">
        <f t="shared" si="0"/>
        <v>21</v>
      </c>
      <c r="AA25" s="8">
        <f>IF(Y25=0,"",COUNTIF(Y$5:$Y25,Y25))</f>
        <v>15</v>
      </c>
    </row>
    <row r="26" spans="11:27" x14ac:dyDescent="0.3">
      <c r="K26" s="17">
        <f t="shared" si="1"/>
        <v>0</v>
      </c>
      <c r="L26" s="14">
        <f t="shared" si="2"/>
        <v>0</v>
      </c>
      <c r="M26" s="13">
        <f t="shared" si="3"/>
        <v>0</v>
      </c>
      <c r="N26" s="13" t="str" cm="1">
        <f t="array" ref="N26">IFERROR(IF(INDEX($M$10:$M$88,MATCH(0,COUNTIF($N$9:N25,$M$10:$M$88),0))=0,"",INDEX($M$10:$M$88,MATCH(0,COUNTIF($N$9:N25,$M$10:$M$88),0))),"")</f>
        <v/>
      </c>
      <c r="O26" s="13">
        <f t="shared" si="4"/>
        <v>0</v>
      </c>
      <c r="W26">
        <v>2</v>
      </c>
      <c r="X26">
        <v>2</v>
      </c>
      <c r="Y26" cm="1">
        <f t="array" ref="Y26">IF(AND(X26&lt;&gt;{3;4;7},W26&lt;&gt;{3;4;7}),1,0)</f>
        <v>1</v>
      </c>
      <c r="Z26" s="8">
        <f t="shared" si="0"/>
        <v>22</v>
      </c>
      <c r="AA26" s="8">
        <f>IF(Y26=0,"",COUNTIF(Y$5:$Y26,Y26))</f>
        <v>16</v>
      </c>
    </row>
    <row r="27" spans="11:27" x14ac:dyDescent="0.3">
      <c r="K27" s="17">
        <f t="shared" si="1"/>
        <v>0</v>
      </c>
      <c r="L27" s="14">
        <f t="shared" si="2"/>
        <v>0</v>
      </c>
      <c r="M27" s="13">
        <f t="shared" si="3"/>
        <v>0</v>
      </c>
      <c r="N27" s="13" t="str" cm="1">
        <f t="array" ref="N27">IFERROR(IF(INDEX($M$10:$M$88,MATCH(0,COUNTIF($N$9:N26,$M$10:$M$88),0))=0,"",INDEX($M$10:$M$88,MATCH(0,COUNTIF($N$9:N26,$M$10:$M$88),0))),"")</f>
        <v/>
      </c>
      <c r="O27" s="13">
        <f t="shared" si="4"/>
        <v>0</v>
      </c>
      <c r="W27">
        <v>2</v>
      </c>
      <c r="X27">
        <v>3</v>
      </c>
      <c r="Y27" cm="1">
        <f t="array" ref="Y27">IF(AND(X27&lt;&gt;{3;4;7},W27&lt;&gt;{3;4;7}),1,0)</f>
        <v>0</v>
      </c>
      <c r="Z27" s="8">
        <f t="shared" si="0"/>
        <v>23</v>
      </c>
      <c r="AA27" s="8" t="str">
        <f>IF(Y27=0,"",COUNTIF(Y$5:$Y27,Y27))</f>
        <v/>
      </c>
    </row>
    <row r="28" spans="11:27" x14ac:dyDescent="0.3">
      <c r="K28" s="17">
        <f t="shared" si="1"/>
        <v>0</v>
      </c>
      <c r="L28" s="14">
        <f t="shared" si="2"/>
        <v>0</v>
      </c>
      <c r="M28" s="13">
        <f t="shared" si="3"/>
        <v>0</v>
      </c>
      <c r="N28" s="13" t="str" cm="1">
        <f t="array" ref="N28">IFERROR(IF(INDEX($M$10:$M$88,MATCH(0,COUNTIF($N$9:N27,$M$10:$M$88),0))=0,"",INDEX($M$10:$M$88,MATCH(0,COUNTIF($N$9:N27,$M$10:$M$88),0))),"")</f>
        <v/>
      </c>
      <c r="O28" s="13">
        <f t="shared" si="4"/>
        <v>0</v>
      </c>
      <c r="W28">
        <v>2</v>
      </c>
      <c r="X28">
        <v>4</v>
      </c>
      <c r="Y28" cm="1">
        <f t="array" ref="Y28">IF(AND(X28&lt;&gt;{3;4;7},W28&lt;&gt;{3;4;7}),1,0)</f>
        <v>0</v>
      </c>
      <c r="Z28" s="8">
        <f t="shared" si="0"/>
        <v>24</v>
      </c>
      <c r="AA28" s="8" t="str">
        <f>IF(Y28=0,"",COUNTIF(Y$5:$Y28,Y28))</f>
        <v/>
      </c>
    </row>
    <row r="29" spans="11:27" x14ac:dyDescent="0.3">
      <c r="K29" s="17">
        <f t="shared" si="1"/>
        <v>0</v>
      </c>
      <c r="L29" s="14">
        <f t="shared" si="2"/>
        <v>0</v>
      </c>
      <c r="M29" s="13">
        <f t="shared" si="3"/>
        <v>0</v>
      </c>
      <c r="N29" s="13" t="str" cm="1">
        <f t="array" ref="N29">IFERROR(IF(INDEX($M$10:$M$88,MATCH(0,COUNTIF($N$9:N28,$M$10:$M$88),0))=0,"",INDEX($M$10:$M$88,MATCH(0,COUNTIF($N$9:N28,$M$10:$M$88),0))),"")</f>
        <v/>
      </c>
      <c r="O29" s="13">
        <f t="shared" si="4"/>
        <v>0</v>
      </c>
      <c r="W29">
        <v>2</v>
      </c>
      <c r="X29">
        <v>5</v>
      </c>
      <c r="Y29" cm="1">
        <f t="array" ref="Y29">IF(AND(X29&lt;&gt;{3;4;7},W29&lt;&gt;{3;4;7}),1,0)</f>
        <v>1</v>
      </c>
      <c r="Z29" s="8">
        <f t="shared" si="0"/>
        <v>25</v>
      </c>
      <c r="AA29" s="8">
        <f>IF(Y29=0,"",COUNTIF(Y$5:$Y29,Y29))</f>
        <v>17</v>
      </c>
    </row>
    <row r="30" spans="11:27" x14ac:dyDescent="0.3">
      <c r="K30" s="17">
        <f t="shared" si="1"/>
        <v>0</v>
      </c>
      <c r="L30" s="14">
        <f t="shared" si="2"/>
        <v>0</v>
      </c>
      <c r="M30" s="13">
        <f t="shared" si="3"/>
        <v>0</v>
      </c>
      <c r="N30" s="13" t="str" cm="1">
        <f t="array" ref="N30">IFERROR(IF(INDEX($M$10:$M$88,MATCH(0,COUNTIF($N$9:N29,$M$10:$M$88),0))=0,"",INDEX($M$10:$M$88,MATCH(0,COUNTIF($N$9:N29,$M$10:$M$88),0))),"")</f>
        <v/>
      </c>
      <c r="O30" s="13">
        <f t="shared" si="4"/>
        <v>0</v>
      </c>
      <c r="W30">
        <v>2</v>
      </c>
      <c r="X30">
        <v>6</v>
      </c>
      <c r="Y30" cm="1">
        <f t="array" ref="Y30">IF(AND(X30&lt;&gt;{3;4;7},W30&lt;&gt;{3;4;7}),1,0)</f>
        <v>1</v>
      </c>
      <c r="Z30" s="8">
        <f t="shared" si="0"/>
        <v>26</v>
      </c>
      <c r="AA30" s="8">
        <f>IF(Y30=0,"",COUNTIF(Y$5:$Y30,Y30))</f>
        <v>18</v>
      </c>
    </row>
    <row r="31" spans="11:27" x14ac:dyDescent="0.3">
      <c r="K31" s="17">
        <f t="shared" si="1"/>
        <v>0</v>
      </c>
      <c r="L31" s="14">
        <f t="shared" si="2"/>
        <v>0</v>
      </c>
      <c r="M31" s="13">
        <f t="shared" si="3"/>
        <v>0</v>
      </c>
      <c r="N31" s="13" t="str" cm="1">
        <f t="array" ref="N31">IFERROR(IF(INDEX($M$10:$M$88,MATCH(0,COUNTIF($N$9:N30,$M$10:$M$88),0))=0,"",INDEX($M$10:$M$88,MATCH(0,COUNTIF($N$9:N30,$M$10:$M$88),0))),"")</f>
        <v/>
      </c>
      <c r="O31" s="13">
        <f t="shared" si="4"/>
        <v>0</v>
      </c>
      <c r="W31">
        <v>2</v>
      </c>
      <c r="X31">
        <v>7</v>
      </c>
      <c r="Y31" cm="1">
        <f t="array" ref="Y31">IF(AND(X31&lt;&gt;{3;4;7},W31&lt;&gt;{3;4;7}),1,0)</f>
        <v>0</v>
      </c>
      <c r="Z31" s="8">
        <f t="shared" si="0"/>
        <v>27</v>
      </c>
      <c r="AA31" s="8" t="str">
        <f>IF(Y31=0,"",COUNTIF(Y$5:$Y31,Y31))</f>
        <v/>
      </c>
    </row>
    <row r="32" spans="11:27" x14ac:dyDescent="0.3">
      <c r="K32" s="17">
        <f t="shared" si="1"/>
        <v>0</v>
      </c>
      <c r="L32" s="14">
        <f t="shared" si="2"/>
        <v>0</v>
      </c>
      <c r="M32" s="13">
        <f t="shared" si="3"/>
        <v>0</v>
      </c>
      <c r="N32" s="13" t="str" cm="1">
        <f t="array" ref="N32">IFERROR(IF(INDEX($M$10:$M$88,MATCH(0,COUNTIF($N$9:N31,$M$10:$M$88),0))=0,"",INDEX($M$10:$M$88,MATCH(0,COUNTIF($N$9:N31,$M$10:$M$88),0))),"")</f>
        <v/>
      </c>
      <c r="O32" s="13">
        <f t="shared" si="4"/>
        <v>0</v>
      </c>
      <c r="W32">
        <v>2</v>
      </c>
      <c r="X32">
        <v>8</v>
      </c>
      <c r="Y32" cm="1">
        <f t="array" ref="Y32">IF(AND(X32&lt;&gt;{3;4;7},W32&lt;&gt;{3;4;7}),1,0)</f>
        <v>1</v>
      </c>
      <c r="Z32" s="8">
        <f t="shared" si="0"/>
        <v>28</v>
      </c>
      <c r="AA32" s="8">
        <f>IF(Y32=0,"",COUNTIF(Y$5:$Y32,Y32))</f>
        <v>19</v>
      </c>
    </row>
    <row r="33" spans="11:27" x14ac:dyDescent="0.3">
      <c r="K33" s="17">
        <f t="shared" si="1"/>
        <v>0</v>
      </c>
      <c r="L33" s="14">
        <f t="shared" si="2"/>
        <v>0</v>
      </c>
      <c r="M33" s="13">
        <f t="shared" si="3"/>
        <v>0</v>
      </c>
      <c r="N33" s="13" t="str" cm="1">
        <f t="array" ref="N33">IFERROR(IF(INDEX($M$10:$M$88,MATCH(0,COUNTIF($N$9:N32,$M$10:$M$88),0))=0,"",INDEX($M$10:$M$88,MATCH(0,COUNTIF($N$9:N32,$M$10:$M$88),0))),"")</f>
        <v/>
      </c>
      <c r="O33" s="13">
        <f t="shared" si="4"/>
        <v>0</v>
      </c>
      <c r="W33">
        <v>2</v>
      </c>
      <c r="X33">
        <v>9</v>
      </c>
      <c r="Y33" cm="1">
        <f t="array" ref="Y33">IF(AND(X33&lt;&gt;{3;4;7},W33&lt;&gt;{3;4;7}),1,0)</f>
        <v>1</v>
      </c>
      <c r="Z33" s="8">
        <f t="shared" si="0"/>
        <v>29</v>
      </c>
      <c r="AA33" s="8">
        <f>IF(Y33=0,"",COUNTIF(Y$5:$Y33,Y33))</f>
        <v>20</v>
      </c>
    </row>
    <row r="34" spans="11:27" x14ac:dyDescent="0.3">
      <c r="K34" s="17">
        <f t="shared" si="1"/>
        <v>0</v>
      </c>
      <c r="L34" s="14">
        <f t="shared" si="2"/>
        <v>0</v>
      </c>
      <c r="M34" s="13">
        <f t="shared" si="3"/>
        <v>0</v>
      </c>
      <c r="N34" s="13" t="str" cm="1">
        <f t="array" ref="N34">IFERROR(IF(INDEX($M$10:$M$88,MATCH(0,COUNTIF($N$9:N33,$M$10:$M$88),0))=0,"",INDEX($M$10:$M$88,MATCH(0,COUNTIF($N$9:N33,$M$10:$M$88),0))),"")</f>
        <v/>
      </c>
      <c r="O34" s="13">
        <f t="shared" si="4"/>
        <v>0</v>
      </c>
      <c r="W34">
        <v>3</v>
      </c>
      <c r="X34">
        <v>0</v>
      </c>
      <c r="Y34" cm="1">
        <f t="array" ref="Y34">IF(AND(X34&lt;&gt;{3;4;7},W34&lt;&gt;{3;4;7}),1,0)</f>
        <v>0</v>
      </c>
      <c r="Z34" s="8">
        <f t="shared" si="0"/>
        <v>30</v>
      </c>
      <c r="AA34" s="8" t="str">
        <f>IF(Y34=0,"",COUNTIF(Y$5:$Y34,Y34))</f>
        <v/>
      </c>
    </row>
    <row r="35" spans="11:27" x14ac:dyDescent="0.3">
      <c r="K35" s="17">
        <f t="shared" si="1"/>
        <v>0</v>
      </c>
      <c r="L35" s="14">
        <f t="shared" si="2"/>
        <v>0</v>
      </c>
      <c r="M35" s="13">
        <f t="shared" si="3"/>
        <v>0</v>
      </c>
      <c r="N35" s="13" t="str" cm="1">
        <f t="array" ref="N35">IFERROR(IF(INDEX($M$10:$M$88,MATCH(0,COUNTIF($N$9:N34,$M$10:$M$88),0))=0,"",INDEX($M$10:$M$88,MATCH(0,COUNTIF($N$9:N34,$M$10:$M$88),0))),"")</f>
        <v/>
      </c>
      <c r="O35" s="13">
        <f t="shared" si="4"/>
        <v>0</v>
      </c>
      <c r="W35">
        <v>3</v>
      </c>
      <c r="X35">
        <v>1</v>
      </c>
      <c r="Y35" cm="1">
        <f t="array" ref="Y35">IF(AND(X35&lt;&gt;{3;4;7},W35&lt;&gt;{3;4;7}),1,0)</f>
        <v>0</v>
      </c>
      <c r="Z35" s="8">
        <f t="shared" si="0"/>
        <v>31</v>
      </c>
      <c r="AA35" s="8" t="str">
        <f>IF(Y35=0,"",COUNTIF(Y$5:$Y35,Y35))</f>
        <v/>
      </c>
    </row>
    <row r="36" spans="11:27" x14ac:dyDescent="0.3">
      <c r="K36" s="17">
        <f t="shared" si="1"/>
        <v>0</v>
      </c>
      <c r="L36" s="14">
        <f t="shared" si="2"/>
        <v>0</v>
      </c>
      <c r="M36" s="13">
        <f t="shared" si="3"/>
        <v>0</v>
      </c>
      <c r="N36" s="13" t="str" cm="1">
        <f t="array" ref="N36">IFERROR(IF(INDEX($M$10:$M$88,MATCH(0,COUNTIF($N$9:N35,$M$10:$M$88),0))=0,"",INDEX($M$10:$M$88,MATCH(0,COUNTIF($N$9:N35,$M$10:$M$88),0))),"")</f>
        <v/>
      </c>
      <c r="O36" s="13">
        <f t="shared" si="4"/>
        <v>0</v>
      </c>
      <c r="W36">
        <v>3</v>
      </c>
      <c r="X36">
        <v>2</v>
      </c>
      <c r="Y36" cm="1">
        <f t="array" ref="Y36">IF(AND(X36&lt;&gt;{3;4;7},W36&lt;&gt;{3;4;7}),1,0)</f>
        <v>0</v>
      </c>
      <c r="Z36" s="8">
        <f t="shared" si="0"/>
        <v>32</v>
      </c>
      <c r="AA36" s="8" t="str">
        <f>IF(Y36=0,"",COUNTIF(Y$5:$Y36,Y36))</f>
        <v/>
      </c>
    </row>
    <row r="37" spans="11:27" x14ac:dyDescent="0.3">
      <c r="K37" s="17">
        <f t="shared" si="1"/>
        <v>0</v>
      </c>
      <c r="L37" s="14">
        <f t="shared" si="2"/>
        <v>0</v>
      </c>
      <c r="M37" s="13">
        <f t="shared" si="3"/>
        <v>0</v>
      </c>
      <c r="N37" s="13" t="str" cm="1">
        <f t="array" ref="N37">IFERROR(IF(INDEX($M$10:$M$88,MATCH(0,COUNTIF($N$9:N36,$M$10:$M$88),0))=0,"",INDEX($M$10:$M$88,MATCH(0,COUNTIF($N$9:N36,$M$10:$M$88),0))),"")</f>
        <v/>
      </c>
      <c r="O37" s="13">
        <f t="shared" si="4"/>
        <v>0</v>
      </c>
      <c r="W37">
        <v>3</v>
      </c>
      <c r="X37">
        <v>3</v>
      </c>
      <c r="Y37" cm="1">
        <f t="array" ref="Y37">IF(AND(X37&lt;&gt;{3;4;7},W37&lt;&gt;{3;4;7}),1,0)</f>
        <v>0</v>
      </c>
      <c r="Z37" s="8">
        <f t="shared" si="0"/>
        <v>33</v>
      </c>
      <c r="AA37" s="8" t="str">
        <f>IF(Y37=0,"",COUNTIF(Y$5:$Y37,Y37))</f>
        <v/>
      </c>
    </row>
    <row r="38" spans="11:27" x14ac:dyDescent="0.3">
      <c r="K38" s="17">
        <f t="shared" si="1"/>
        <v>0</v>
      </c>
      <c r="L38" s="14">
        <f t="shared" si="2"/>
        <v>0</v>
      </c>
      <c r="M38" s="13">
        <f t="shared" si="3"/>
        <v>0</v>
      </c>
      <c r="N38" s="13" t="str" cm="1">
        <f t="array" ref="N38">IFERROR(IF(INDEX($M$10:$M$88,MATCH(0,COUNTIF($N$9:N37,$M$10:$M$88),0))=0,"",INDEX($M$10:$M$88,MATCH(0,COUNTIF($N$9:N37,$M$10:$M$88),0))),"")</f>
        <v/>
      </c>
      <c r="O38" s="13">
        <f t="shared" si="4"/>
        <v>0</v>
      </c>
      <c r="W38">
        <v>3</v>
      </c>
      <c r="X38">
        <v>4</v>
      </c>
      <c r="Y38" cm="1">
        <f t="array" ref="Y38">IF(AND(X38&lt;&gt;{3;4;7},W38&lt;&gt;{3;4;7}),1,0)</f>
        <v>0</v>
      </c>
      <c r="Z38" s="8">
        <f t="shared" si="0"/>
        <v>34</v>
      </c>
      <c r="AA38" s="8" t="str">
        <f>IF(Y38=0,"",COUNTIF(Y$5:$Y38,Y38))</f>
        <v/>
      </c>
    </row>
    <row r="39" spans="11:27" x14ac:dyDescent="0.3">
      <c r="K39" s="17">
        <f t="shared" si="1"/>
        <v>0</v>
      </c>
      <c r="L39" s="14">
        <f t="shared" si="2"/>
        <v>0</v>
      </c>
      <c r="M39" s="13">
        <f t="shared" si="3"/>
        <v>0</v>
      </c>
      <c r="N39" s="13" t="str" cm="1">
        <f t="array" ref="N39">IFERROR(IF(INDEX($M$10:$M$88,MATCH(0,COUNTIF($N$9:N38,$M$10:$M$88),0))=0,"",INDEX($M$10:$M$88,MATCH(0,COUNTIF($N$9:N38,$M$10:$M$88),0))),"")</f>
        <v/>
      </c>
      <c r="O39" s="13">
        <f t="shared" si="4"/>
        <v>0</v>
      </c>
      <c r="W39">
        <v>3</v>
      </c>
      <c r="X39">
        <v>5</v>
      </c>
      <c r="Y39" cm="1">
        <f t="array" ref="Y39">IF(AND(X39&lt;&gt;{3;4;7},W39&lt;&gt;{3;4;7}),1,0)</f>
        <v>0</v>
      </c>
      <c r="Z39" s="8">
        <f t="shared" si="0"/>
        <v>35</v>
      </c>
      <c r="AA39" s="8" t="str">
        <f>IF(Y39=0,"",COUNTIF(Y$5:$Y39,Y39))</f>
        <v/>
      </c>
    </row>
    <row r="40" spans="11:27" x14ac:dyDescent="0.3">
      <c r="K40" s="17">
        <f t="shared" si="1"/>
        <v>0</v>
      </c>
      <c r="L40" s="14">
        <f t="shared" si="2"/>
        <v>0</v>
      </c>
      <c r="M40" s="13">
        <f t="shared" si="3"/>
        <v>0</v>
      </c>
      <c r="N40" s="13" t="str" cm="1">
        <f t="array" ref="N40">IFERROR(IF(INDEX($M$10:$M$88,MATCH(0,COUNTIF($N$9:N39,$M$10:$M$88),0))=0,"",INDEX($M$10:$M$88,MATCH(0,COUNTIF($N$9:N39,$M$10:$M$88),0))),"")</f>
        <v/>
      </c>
      <c r="O40" s="13">
        <f t="shared" si="4"/>
        <v>0</v>
      </c>
      <c r="W40">
        <v>3</v>
      </c>
      <c r="X40">
        <v>6</v>
      </c>
      <c r="Y40" cm="1">
        <f t="array" ref="Y40">IF(AND(X40&lt;&gt;{3;4;7},W40&lt;&gt;{3;4;7}),1,0)</f>
        <v>0</v>
      </c>
      <c r="Z40" s="8">
        <f t="shared" si="0"/>
        <v>36</v>
      </c>
      <c r="AA40" s="8" t="str">
        <f>IF(Y40=0,"",COUNTIF(Y$5:$Y40,Y40))</f>
        <v/>
      </c>
    </row>
    <row r="41" spans="11:27" x14ac:dyDescent="0.3">
      <c r="K41" s="17">
        <f t="shared" si="1"/>
        <v>0</v>
      </c>
      <c r="L41" s="14">
        <f t="shared" si="2"/>
        <v>0</v>
      </c>
      <c r="M41" s="13">
        <f t="shared" si="3"/>
        <v>0</v>
      </c>
      <c r="N41" s="13" t="str" cm="1">
        <f t="array" ref="N41">IFERROR(IF(INDEX($M$10:$M$88,MATCH(0,COUNTIF($N$9:N40,$M$10:$M$88),0))=0,"",INDEX($M$10:$M$88,MATCH(0,COUNTIF($N$9:N40,$M$10:$M$88),0))),"")</f>
        <v/>
      </c>
      <c r="O41" s="13">
        <f t="shared" si="4"/>
        <v>0</v>
      </c>
      <c r="W41">
        <v>3</v>
      </c>
      <c r="X41">
        <v>7</v>
      </c>
      <c r="Y41" cm="1">
        <f t="array" ref="Y41">IF(AND(X41&lt;&gt;{3;4;7},W41&lt;&gt;{3;4;7}),1,0)</f>
        <v>0</v>
      </c>
      <c r="Z41" s="8">
        <f t="shared" si="0"/>
        <v>37</v>
      </c>
      <c r="AA41" s="8" t="str">
        <f>IF(Y41=0,"",COUNTIF(Y$5:$Y41,Y41))</f>
        <v/>
      </c>
    </row>
    <row r="42" spans="11:27" x14ac:dyDescent="0.3">
      <c r="K42" s="17">
        <f t="shared" si="1"/>
        <v>0</v>
      </c>
      <c r="L42" s="14">
        <f t="shared" si="2"/>
        <v>0</v>
      </c>
      <c r="M42" s="13">
        <f t="shared" si="3"/>
        <v>0</v>
      </c>
      <c r="N42" s="13" t="str" cm="1">
        <f t="array" ref="N42">IFERROR(IF(INDEX($M$10:$M$88,MATCH(0,COUNTIF($N$9:N41,$M$10:$M$88),0))=0,"",INDEX($M$10:$M$88,MATCH(0,COUNTIF($N$9:N41,$M$10:$M$88),0))),"")</f>
        <v/>
      </c>
      <c r="O42" s="13">
        <f t="shared" si="4"/>
        <v>0</v>
      </c>
      <c r="W42">
        <v>3</v>
      </c>
      <c r="X42">
        <v>8</v>
      </c>
      <c r="Y42" cm="1">
        <f t="array" ref="Y42">IF(AND(X42&lt;&gt;{3;4;7},W42&lt;&gt;{3;4;7}),1,0)</f>
        <v>0</v>
      </c>
      <c r="Z42" s="8">
        <f t="shared" si="0"/>
        <v>38</v>
      </c>
      <c r="AA42" s="8" t="str">
        <f>IF(Y42=0,"",COUNTIF(Y$5:$Y42,Y42))</f>
        <v/>
      </c>
    </row>
    <row r="43" spans="11:27" x14ac:dyDescent="0.3">
      <c r="K43" s="17">
        <f t="shared" si="1"/>
        <v>0</v>
      </c>
      <c r="L43" s="14">
        <f t="shared" si="2"/>
        <v>0</v>
      </c>
      <c r="M43" s="13">
        <f t="shared" si="3"/>
        <v>0</v>
      </c>
      <c r="N43" s="13" t="str" cm="1">
        <f t="array" ref="N43">IFERROR(IF(INDEX($M$10:$M$88,MATCH(0,COUNTIF($N$9:N42,$M$10:$M$88),0))=0,"",INDEX($M$10:$M$88,MATCH(0,COUNTIF($N$9:N42,$M$10:$M$88),0))),"")</f>
        <v/>
      </c>
      <c r="O43" s="13">
        <f t="shared" si="4"/>
        <v>0</v>
      </c>
      <c r="W43">
        <v>3</v>
      </c>
      <c r="X43">
        <v>9</v>
      </c>
      <c r="Y43" cm="1">
        <f t="array" ref="Y43">IF(AND(X43&lt;&gt;{3;4;7},W43&lt;&gt;{3;4;7}),1,0)</f>
        <v>0</v>
      </c>
      <c r="Z43" s="8">
        <f t="shared" si="0"/>
        <v>39</v>
      </c>
      <c r="AA43" s="8" t="str">
        <f>IF(Y43=0,"",COUNTIF(Y$5:$Y43,Y43))</f>
        <v/>
      </c>
    </row>
    <row r="44" spans="11:27" x14ac:dyDescent="0.3">
      <c r="K44" s="17">
        <f t="shared" si="1"/>
        <v>0</v>
      </c>
      <c r="L44" s="14">
        <f t="shared" si="2"/>
        <v>0</v>
      </c>
      <c r="M44" s="13">
        <f t="shared" si="3"/>
        <v>0</v>
      </c>
      <c r="N44" s="13" t="str" cm="1">
        <f t="array" ref="N44">IFERROR(IF(INDEX($M$10:$M$88,MATCH(0,COUNTIF($N$9:N43,$M$10:$M$88),0))=0,"",INDEX($M$10:$M$88,MATCH(0,COUNTIF($N$9:N43,$M$10:$M$88),0))),"")</f>
        <v/>
      </c>
      <c r="O44" s="13">
        <f t="shared" si="4"/>
        <v>0</v>
      </c>
      <c r="W44">
        <v>4</v>
      </c>
      <c r="X44">
        <v>0</v>
      </c>
      <c r="Y44" cm="1">
        <f t="array" ref="Y44">IF(AND(X44&lt;&gt;{3;4;7},W44&lt;&gt;{3;4;7}),1,0)</f>
        <v>0</v>
      </c>
      <c r="Z44" s="8">
        <f t="shared" si="0"/>
        <v>40</v>
      </c>
      <c r="AA44" s="8" t="str">
        <f>IF(Y44=0,"",COUNTIF(Y$5:$Y44,Y44))</f>
        <v/>
      </c>
    </row>
    <row r="45" spans="11:27" x14ac:dyDescent="0.3">
      <c r="K45" s="17">
        <f t="shared" si="1"/>
        <v>0</v>
      </c>
      <c r="L45" s="14">
        <f t="shared" si="2"/>
        <v>0</v>
      </c>
      <c r="M45" s="13">
        <f t="shared" si="3"/>
        <v>0</v>
      </c>
      <c r="N45" s="13" t="str" cm="1">
        <f t="array" ref="N45">IFERROR(IF(INDEX($M$10:$M$88,MATCH(0,COUNTIF($N$9:N44,$M$10:$M$88),0))=0,"",INDEX($M$10:$M$88,MATCH(0,COUNTIF($N$9:N44,$M$10:$M$88),0))),"")</f>
        <v/>
      </c>
      <c r="O45" s="13">
        <f t="shared" si="4"/>
        <v>0</v>
      </c>
      <c r="W45">
        <v>4</v>
      </c>
      <c r="X45">
        <v>1</v>
      </c>
      <c r="Y45" cm="1">
        <f t="array" ref="Y45">IF(AND(X45&lt;&gt;{3;4;7},W45&lt;&gt;{3;4;7}),1,0)</f>
        <v>0</v>
      </c>
      <c r="Z45" s="8">
        <f t="shared" si="0"/>
        <v>41</v>
      </c>
      <c r="AA45" s="8" t="str">
        <f>IF(Y45=0,"",COUNTIF(Y$5:$Y45,Y45))</f>
        <v/>
      </c>
    </row>
    <row r="46" spans="11:27" x14ac:dyDescent="0.3">
      <c r="K46" s="17">
        <f t="shared" si="1"/>
        <v>0</v>
      </c>
      <c r="L46" s="14">
        <f t="shared" si="2"/>
        <v>0</v>
      </c>
      <c r="M46" s="13">
        <f t="shared" si="3"/>
        <v>0</v>
      </c>
      <c r="N46" s="13" t="str" cm="1">
        <f t="array" ref="N46">IFERROR(IF(INDEX($M$10:$M$88,MATCH(0,COUNTIF($N$9:N45,$M$10:$M$88),0))=0,"",INDEX($M$10:$M$88,MATCH(0,COUNTIF($N$9:N45,$M$10:$M$88),0))),"")</f>
        <v/>
      </c>
      <c r="O46" s="13">
        <f t="shared" si="4"/>
        <v>0</v>
      </c>
      <c r="W46">
        <v>4</v>
      </c>
      <c r="X46">
        <v>2</v>
      </c>
      <c r="Y46" cm="1">
        <f t="array" ref="Y46">IF(AND(X46&lt;&gt;{3;4;7},W46&lt;&gt;{3;4;7}),1,0)</f>
        <v>0</v>
      </c>
      <c r="Z46" s="8">
        <f t="shared" si="0"/>
        <v>42</v>
      </c>
      <c r="AA46" s="8" t="str">
        <f>IF(Y46=0,"",COUNTIF(Y$5:$Y46,Y46))</f>
        <v/>
      </c>
    </row>
    <row r="47" spans="11:27" x14ac:dyDescent="0.3">
      <c r="K47" s="17">
        <f t="shared" si="1"/>
        <v>0</v>
      </c>
      <c r="L47" s="14">
        <f t="shared" si="2"/>
        <v>0</v>
      </c>
      <c r="M47" s="13">
        <f t="shared" si="3"/>
        <v>0</v>
      </c>
      <c r="N47" s="13" t="str" cm="1">
        <f t="array" ref="N47">IFERROR(IF(INDEX($M$10:$M$88,MATCH(0,COUNTIF($N$9:N46,$M$10:$M$88),0))=0,"",INDEX($M$10:$M$88,MATCH(0,COUNTIF($N$9:N46,$M$10:$M$88),0))),"")</f>
        <v/>
      </c>
      <c r="O47" s="13">
        <f t="shared" si="4"/>
        <v>0</v>
      </c>
      <c r="W47">
        <v>4</v>
      </c>
      <c r="X47">
        <v>3</v>
      </c>
      <c r="Y47" cm="1">
        <f t="array" ref="Y47">IF(AND(X47&lt;&gt;{3;4;7},W47&lt;&gt;{3;4;7}),1,0)</f>
        <v>0</v>
      </c>
      <c r="Z47" s="8">
        <f t="shared" si="0"/>
        <v>43</v>
      </c>
      <c r="AA47" s="8" t="str">
        <f>IF(Y47=0,"",COUNTIF(Y$5:$Y47,Y47))</f>
        <v/>
      </c>
    </row>
    <row r="48" spans="11:27" x14ac:dyDescent="0.3">
      <c r="K48" s="17">
        <f t="shared" si="1"/>
        <v>0</v>
      </c>
      <c r="L48" s="14">
        <f t="shared" si="2"/>
        <v>0</v>
      </c>
      <c r="M48" s="13">
        <f t="shared" si="3"/>
        <v>0</v>
      </c>
      <c r="N48" s="13" t="str" cm="1">
        <f t="array" ref="N48">IFERROR(IF(INDEX($M$10:$M$88,MATCH(0,COUNTIF($N$9:N47,$M$10:$M$88),0))=0,"",INDEX($M$10:$M$88,MATCH(0,COUNTIF($N$9:N47,$M$10:$M$88),0))),"")</f>
        <v/>
      </c>
      <c r="O48" s="13">
        <f t="shared" si="4"/>
        <v>0</v>
      </c>
      <c r="W48">
        <v>4</v>
      </c>
      <c r="X48">
        <v>4</v>
      </c>
      <c r="Y48" cm="1">
        <f t="array" ref="Y48">IF(AND(X48&lt;&gt;{3;4;7},W48&lt;&gt;{3;4;7}),1,0)</f>
        <v>0</v>
      </c>
      <c r="Z48" s="8">
        <f t="shared" si="0"/>
        <v>44</v>
      </c>
      <c r="AA48" s="8" t="str">
        <f>IF(Y48=0,"",COUNTIF(Y$5:$Y48,Y48))</f>
        <v/>
      </c>
    </row>
    <row r="49" spans="11:27" x14ac:dyDescent="0.3">
      <c r="K49" s="17">
        <f t="shared" si="1"/>
        <v>0</v>
      </c>
      <c r="L49" s="14">
        <f t="shared" si="2"/>
        <v>0</v>
      </c>
      <c r="M49" s="13">
        <f t="shared" si="3"/>
        <v>0</v>
      </c>
      <c r="N49" s="13" t="str" cm="1">
        <f t="array" ref="N49">IFERROR(IF(INDEX($M$10:$M$88,MATCH(0,COUNTIF($N$9:N48,$M$10:$M$88),0))=0,"",INDEX($M$10:$M$88,MATCH(0,COUNTIF($N$9:N48,$M$10:$M$88),0))),"")</f>
        <v/>
      </c>
      <c r="O49" s="13">
        <f t="shared" si="4"/>
        <v>0</v>
      </c>
      <c r="W49">
        <v>4</v>
      </c>
      <c r="X49">
        <v>5</v>
      </c>
      <c r="Y49" cm="1">
        <f t="array" ref="Y49">IF(AND(X49&lt;&gt;{3;4;7},W49&lt;&gt;{3;4;7}),1,0)</f>
        <v>0</v>
      </c>
      <c r="Z49" s="8">
        <f t="shared" si="0"/>
        <v>45</v>
      </c>
      <c r="AA49" s="8" t="str">
        <f>IF(Y49=0,"",COUNTIF(Y$5:$Y49,Y49))</f>
        <v/>
      </c>
    </row>
    <row r="50" spans="11:27" x14ac:dyDescent="0.3">
      <c r="K50" s="17">
        <f t="shared" si="1"/>
        <v>0</v>
      </c>
      <c r="L50" s="14">
        <f t="shared" si="2"/>
        <v>0</v>
      </c>
      <c r="M50" s="13">
        <f t="shared" si="3"/>
        <v>0</v>
      </c>
      <c r="N50" s="13" t="str" cm="1">
        <f t="array" ref="N50">IFERROR(IF(INDEX($M$10:$M$88,MATCH(0,COUNTIF($N$9:N49,$M$10:$M$88),0))=0,"",INDEX($M$10:$M$88,MATCH(0,COUNTIF($N$9:N49,$M$10:$M$88),0))),"")</f>
        <v/>
      </c>
      <c r="O50" s="13">
        <f t="shared" si="4"/>
        <v>0</v>
      </c>
      <c r="W50">
        <v>4</v>
      </c>
      <c r="X50">
        <v>6</v>
      </c>
      <c r="Y50" cm="1">
        <f t="array" ref="Y50">IF(AND(X50&lt;&gt;{3;4;7},W50&lt;&gt;{3;4;7}),1,0)</f>
        <v>0</v>
      </c>
      <c r="Z50" s="8">
        <f t="shared" si="0"/>
        <v>46</v>
      </c>
      <c r="AA50" s="8" t="str">
        <f>IF(Y50=0,"",COUNTIF(Y$5:$Y50,Y50))</f>
        <v/>
      </c>
    </row>
    <row r="51" spans="11:27" x14ac:dyDescent="0.3">
      <c r="K51" s="17">
        <f t="shared" si="1"/>
        <v>0</v>
      </c>
      <c r="L51" s="14">
        <f t="shared" si="2"/>
        <v>0</v>
      </c>
      <c r="M51" s="13">
        <f t="shared" si="3"/>
        <v>0</v>
      </c>
      <c r="N51" s="13" t="str" cm="1">
        <f t="array" ref="N51">IFERROR(IF(INDEX($M$10:$M$88,MATCH(0,COUNTIF($N$9:N50,$M$10:$M$88),0))=0,"",INDEX($M$10:$M$88,MATCH(0,COUNTIF($N$9:N50,$M$10:$M$88),0))),"")</f>
        <v/>
      </c>
      <c r="O51" s="13">
        <f t="shared" si="4"/>
        <v>0</v>
      </c>
      <c r="W51">
        <v>4</v>
      </c>
      <c r="X51">
        <v>7</v>
      </c>
      <c r="Y51" cm="1">
        <f t="array" ref="Y51">IF(AND(X51&lt;&gt;{3;4;7},W51&lt;&gt;{3;4;7}),1,0)</f>
        <v>0</v>
      </c>
      <c r="Z51" s="8">
        <f t="shared" si="0"/>
        <v>47</v>
      </c>
      <c r="AA51" s="8" t="str">
        <f>IF(Y51=0,"",COUNTIF(Y$5:$Y51,Y51))</f>
        <v/>
      </c>
    </row>
    <row r="52" spans="11:27" x14ac:dyDescent="0.3">
      <c r="K52" s="17">
        <f t="shared" si="1"/>
        <v>0</v>
      </c>
      <c r="L52" s="14">
        <f t="shared" si="2"/>
        <v>0</v>
      </c>
      <c r="M52" s="13">
        <f t="shared" si="3"/>
        <v>0</v>
      </c>
      <c r="N52" s="13" t="str" cm="1">
        <f t="array" ref="N52">IFERROR(IF(INDEX($M$10:$M$88,MATCH(0,COUNTIF($N$9:N51,$M$10:$M$88),0))=0,"",INDEX($M$10:$M$88,MATCH(0,COUNTIF($N$9:N51,$M$10:$M$88),0))),"")</f>
        <v/>
      </c>
      <c r="O52" s="13">
        <f t="shared" si="4"/>
        <v>0</v>
      </c>
      <c r="W52">
        <v>4</v>
      </c>
      <c r="X52">
        <v>8</v>
      </c>
      <c r="Y52" cm="1">
        <f t="array" ref="Y52">IF(AND(X52&lt;&gt;{3;4;7},W52&lt;&gt;{3;4;7}),1,0)</f>
        <v>0</v>
      </c>
      <c r="Z52" s="8">
        <f t="shared" si="0"/>
        <v>48</v>
      </c>
      <c r="AA52" s="8" t="str">
        <f>IF(Y52=0,"",COUNTIF(Y$5:$Y52,Y52))</f>
        <v/>
      </c>
    </row>
    <row r="53" spans="11:27" x14ac:dyDescent="0.3">
      <c r="K53" s="17">
        <f t="shared" si="1"/>
        <v>0</v>
      </c>
      <c r="L53" s="14">
        <f t="shared" si="2"/>
        <v>0</v>
      </c>
      <c r="M53" s="13">
        <f t="shared" si="3"/>
        <v>0</v>
      </c>
      <c r="N53" s="13" t="str" cm="1">
        <f t="array" ref="N53">IFERROR(IF(INDEX($M$10:$M$88,MATCH(0,COUNTIF($N$9:N52,$M$10:$M$88),0))=0,"",INDEX($M$10:$M$88,MATCH(0,COUNTIF($N$9:N52,$M$10:$M$88),0))),"")</f>
        <v/>
      </c>
      <c r="O53" s="13">
        <f t="shared" si="4"/>
        <v>0</v>
      </c>
      <c r="W53">
        <v>4</v>
      </c>
      <c r="X53">
        <v>9</v>
      </c>
      <c r="Y53" cm="1">
        <f t="array" ref="Y53">IF(AND(X53&lt;&gt;{3;4;7},W53&lt;&gt;{3;4;7}),1,0)</f>
        <v>0</v>
      </c>
      <c r="Z53" s="8">
        <f t="shared" si="0"/>
        <v>49</v>
      </c>
      <c r="AA53" s="8" t="str">
        <f>IF(Y53=0,"",COUNTIF(Y$5:$Y53,Y53))</f>
        <v/>
      </c>
    </row>
    <row r="54" spans="11:27" x14ac:dyDescent="0.3">
      <c r="K54" s="17">
        <f t="shared" si="1"/>
        <v>0</v>
      </c>
      <c r="L54" s="14">
        <f t="shared" si="2"/>
        <v>0</v>
      </c>
      <c r="M54" s="13">
        <f t="shared" si="3"/>
        <v>0</v>
      </c>
      <c r="N54" s="13" t="str" cm="1">
        <f t="array" ref="N54">IFERROR(IF(INDEX($M$10:$M$88,MATCH(0,COUNTIF($N$9:N53,$M$10:$M$88),0))=0,"",INDEX($M$10:$M$88,MATCH(0,COUNTIF($N$9:N53,$M$10:$M$88),0))),"")</f>
        <v/>
      </c>
      <c r="O54" s="13">
        <f t="shared" si="4"/>
        <v>0</v>
      </c>
      <c r="W54">
        <v>5</v>
      </c>
      <c r="X54">
        <v>0</v>
      </c>
      <c r="Y54" cm="1">
        <f t="array" ref="Y54">IF(AND(X54&lt;&gt;{3;4;7},W54&lt;&gt;{3;4;7}),1,0)</f>
        <v>1</v>
      </c>
      <c r="Z54" s="8">
        <f t="shared" si="0"/>
        <v>50</v>
      </c>
      <c r="AA54" s="8">
        <f>IF(Y54=0,"",COUNTIF(Y$5:$Y54,Y54))</f>
        <v>21</v>
      </c>
    </row>
    <row r="55" spans="11:27" x14ac:dyDescent="0.3">
      <c r="K55" s="17">
        <f t="shared" si="1"/>
        <v>0</v>
      </c>
      <c r="L55" s="14">
        <f t="shared" si="2"/>
        <v>0</v>
      </c>
      <c r="M55" s="13">
        <f t="shared" si="3"/>
        <v>0</v>
      </c>
      <c r="N55" s="13" t="str" cm="1">
        <f t="array" ref="N55">IFERROR(IF(INDEX($M$10:$M$88,MATCH(0,COUNTIF($N$9:N54,$M$10:$M$88),0))=0,"",INDEX($M$10:$M$88,MATCH(0,COUNTIF($N$9:N54,$M$10:$M$88),0))),"")</f>
        <v/>
      </c>
      <c r="O55" s="13">
        <f t="shared" si="4"/>
        <v>0</v>
      </c>
      <c r="W55">
        <v>5</v>
      </c>
      <c r="X55">
        <v>1</v>
      </c>
      <c r="Y55" cm="1">
        <f t="array" ref="Y55">IF(AND(X55&lt;&gt;{3;4;7},W55&lt;&gt;{3;4;7}),1,0)</f>
        <v>1</v>
      </c>
      <c r="Z55" s="8">
        <f t="shared" si="0"/>
        <v>51</v>
      </c>
      <c r="AA55" s="8">
        <f>IF(Y55=0,"",COUNTIF(Y$5:$Y55,Y55))</f>
        <v>22</v>
      </c>
    </row>
    <row r="56" spans="11:27" x14ac:dyDescent="0.3">
      <c r="K56" s="17">
        <f t="shared" si="1"/>
        <v>0</v>
      </c>
      <c r="L56" s="14">
        <f t="shared" si="2"/>
        <v>0</v>
      </c>
      <c r="M56" s="13">
        <f t="shared" si="3"/>
        <v>0</v>
      </c>
      <c r="N56" s="13" t="str" cm="1">
        <f t="array" ref="N56">IFERROR(IF(INDEX($M$10:$M$88,MATCH(0,COUNTIF($N$9:N55,$M$10:$M$88),0))=0,"",INDEX($M$10:$M$88,MATCH(0,COUNTIF($N$9:N55,$M$10:$M$88),0))),"")</f>
        <v/>
      </c>
      <c r="O56" s="13">
        <f t="shared" si="4"/>
        <v>0</v>
      </c>
      <c r="W56">
        <v>5</v>
      </c>
      <c r="X56">
        <v>2</v>
      </c>
      <c r="Y56" cm="1">
        <f t="array" ref="Y56">IF(AND(X56&lt;&gt;{3;4;7},W56&lt;&gt;{3;4;7}),1,0)</f>
        <v>1</v>
      </c>
      <c r="Z56" s="8">
        <f t="shared" si="0"/>
        <v>52</v>
      </c>
      <c r="AA56" s="8">
        <f>IF(Y56=0,"",COUNTIF(Y$5:$Y56,Y56))</f>
        <v>23</v>
      </c>
    </row>
    <row r="57" spans="11:27" x14ac:dyDescent="0.3">
      <c r="K57" s="17">
        <f t="shared" si="1"/>
        <v>0</v>
      </c>
      <c r="L57" s="14">
        <f t="shared" si="2"/>
        <v>0</v>
      </c>
      <c r="M57" s="13">
        <f t="shared" si="3"/>
        <v>0</v>
      </c>
      <c r="N57" s="13" t="str" cm="1">
        <f t="array" ref="N57">IFERROR(IF(INDEX($M$10:$M$88,MATCH(0,COUNTIF($N$9:N56,$M$10:$M$88),0))=0,"",INDEX($M$10:$M$88,MATCH(0,COUNTIF($N$9:N56,$M$10:$M$88),0))),"")</f>
        <v/>
      </c>
      <c r="O57" s="13">
        <f t="shared" si="4"/>
        <v>0</v>
      </c>
      <c r="W57">
        <v>5</v>
      </c>
      <c r="X57">
        <v>3</v>
      </c>
      <c r="Y57" cm="1">
        <f t="array" ref="Y57">IF(AND(X57&lt;&gt;{3;4;7},W57&lt;&gt;{3;4;7}),1,0)</f>
        <v>0</v>
      </c>
      <c r="Z57" s="8">
        <f t="shared" si="0"/>
        <v>53</v>
      </c>
      <c r="AA57" s="8" t="str">
        <f>IF(Y57=0,"",COUNTIF(Y$5:$Y57,Y57))</f>
        <v/>
      </c>
    </row>
    <row r="58" spans="11:27" x14ac:dyDescent="0.3">
      <c r="K58" s="17">
        <f t="shared" si="1"/>
        <v>0</v>
      </c>
      <c r="L58" s="14">
        <f t="shared" si="2"/>
        <v>0</v>
      </c>
      <c r="M58" s="13">
        <f t="shared" si="3"/>
        <v>0</v>
      </c>
      <c r="N58" s="13" t="str" cm="1">
        <f t="array" ref="N58">IFERROR(IF(INDEX($M$10:$M$88,MATCH(0,COUNTIF($N$9:N57,$M$10:$M$88),0))=0,"",INDEX($M$10:$M$88,MATCH(0,COUNTIF($N$9:N57,$M$10:$M$88),0))),"")</f>
        <v/>
      </c>
      <c r="O58" s="13">
        <f t="shared" si="4"/>
        <v>0</v>
      </c>
      <c r="W58">
        <v>5</v>
      </c>
      <c r="X58">
        <v>4</v>
      </c>
      <c r="Y58" cm="1">
        <f t="array" ref="Y58">IF(AND(X58&lt;&gt;{3;4;7},W58&lt;&gt;{3;4;7}),1,0)</f>
        <v>0</v>
      </c>
      <c r="Z58" s="8">
        <f t="shared" si="0"/>
        <v>54</v>
      </c>
      <c r="AA58" s="8" t="str">
        <f>IF(Y58=0,"",COUNTIF(Y$5:$Y58,Y58))</f>
        <v/>
      </c>
    </row>
    <row r="59" spans="11:27" x14ac:dyDescent="0.3">
      <c r="K59" s="17">
        <f t="shared" si="1"/>
        <v>0</v>
      </c>
      <c r="L59" s="14">
        <f t="shared" si="2"/>
        <v>0</v>
      </c>
      <c r="M59" s="13">
        <f t="shared" si="3"/>
        <v>0</v>
      </c>
      <c r="N59" s="13" t="str" cm="1">
        <f t="array" ref="N59">IFERROR(IF(INDEX($M$10:$M$88,MATCH(0,COUNTIF($N$9:N58,$M$10:$M$88),0))=0,"",INDEX($M$10:$M$88,MATCH(0,COUNTIF($N$9:N58,$M$10:$M$88),0))),"")</f>
        <v/>
      </c>
      <c r="O59" s="13">
        <f t="shared" si="4"/>
        <v>0</v>
      </c>
      <c r="W59">
        <v>5</v>
      </c>
      <c r="X59">
        <v>5</v>
      </c>
      <c r="Y59" cm="1">
        <f t="array" ref="Y59">IF(AND(X59&lt;&gt;{3;4;7},W59&lt;&gt;{3;4;7}),1,0)</f>
        <v>1</v>
      </c>
      <c r="Z59" s="8">
        <f t="shared" si="0"/>
        <v>55</v>
      </c>
      <c r="AA59" s="8">
        <f>IF(Y59=0,"",COUNTIF(Y$5:$Y59,Y59))</f>
        <v>24</v>
      </c>
    </row>
    <row r="60" spans="11:27" x14ac:dyDescent="0.3">
      <c r="K60" s="17">
        <f t="shared" si="1"/>
        <v>0</v>
      </c>
      <c r="L60" s="14">
        <f t="shared" si="2"/>
        <v>0</v>
      </c>
      <c r="M60" s="13">
        <f t="shared" si="3"/>
        <v>0</v>
      </c>
      <c r="N60" s="13" t="str" cm="1">
        <f t="array" ref="N60">IFERROR(IF(INDEX($M$10:$M$88,MATCH(0,COUNTIF($N$9:N59,$M$10:$M$88),0))=0,"",INDEX($M$10:$M$88,MATCH(0,COUNTIF($N$9:N59,$M$10:$M$88),0))),"")</f>
        <v/>
      </c>
      <c r="O60" s="13">
        <f t="shared" si="4"/>
        <v>0</v>
      </c>
      <c r="W60">
        <v>5</v>
      </c>
      <c r="X60">
        <v>6</v>
      </c>
      <c r="Y60" cm="1">
        <f t="array" ref="Y60">IF(AND(X60&lt;&gt;{3;4;7},W60&lt;&gt;{3;4;7}),1,0)</f>
        <v>1</v>
      </c>
      <c r="Z60" s="8">
        <f t="shared" si="0"/>
        <v>56</v>
      </c>
      <c r="AA60" s="8">
        <f>IF(Y60=0,"",COUNTIF(Y$5:$Y60,Y60))</f>
        <v>25</v>
      </c>
    </row>
    <row r="61" spans="11:27" x14ac:dyDescent="0.3">
      <c r="K61" s="17">
        <f t="shared" si="1"/>
        <v>0</v>
      </c>
      <c r="L61" s="14">
        <f t="shared" si="2"/>
        <v>0</v>
      </c>
      <c r="M61" s="13">
        <f t="shared" si="3"/>
        <v>0</v>
      </c>
      <c r="N61" s="13" t="str" cm="1">
        <f t="array" ref="N61">IFERROR(IF(INDEX($M$10:$M$88,MATCH(0,COUNTIF($N$9:N60,$M$10:$M$88),0))=0,"",INDEX($M$10:$M$88,MATCH(0,COUNTIF($N$9:N60,$M$10:$M$88),0))),"")</f>
        <v/>
      </c>
      <c r="O61" s="13">
        <f t="shared" si="4"/>
        <v>0</v>
      </c>
      <c r="W61">
        <v>5</v>
      </c>
      <c r="X61">
        <v>7</v>
      </c>
      <c r="Y61" cm="1">
        <f t="array" ref="Y61">IF(AND(X61&lt;&gt;{3;4;7},W61&lt;&gt;{3;4;7}),1,0)</f>
        <v>0</v>
      </c>
      <c r="Z61" s="8">
        <f t="shared" si="0"/>
        <v>57</v>
      </c>
      <c r="AA61" s="8" t="str">
        <f>IF(Y61=0,"",COUNTIF(Y$5:$Y61,Y61))</f>
        <v/>
      </c>
    </row>
    <row r="62" spans="11:27" x14ac:dyDescent="0.3">
      <c r="K62" s="17">
        <f t="shared" si="1"/>
        <v>0</v>
      </c>
      <c r="L62" s="14">
        <f t="shared" si="2"/>
        <v>0</v>
      </c>
      <c r="M62" s="13">
        <f t="shared" si="3"/>
        <v>0</v>
      </c>
      <c r="N62" s="13" t="str" cm="1">
        <f t="array" ref="N62">IFERROR(IF(INDEX($M$10:$M$88,MATCH(0,COUNTIF($N$9:N61,$M$10:$M$88),0))=0,"",INDEX($M$10:$M$88,MATCH(0,COUNTIF($N$9:N61,$M$10:$M$88),0))),"")</f>
        <v/>
      </c>
      <c r="O62" s="13">
        <f t="shared" si="4"/>
        <v>0</v>
      </c>
      <c r="W62">
        <v>5</v>
      </c>
      <c r="X62">
        <v>8</v>
      </c>
      <c r="Y62" cm="1">
        <f t="array" ref="Y62">IF(AND(X62&lt;&gt;{3;4;7},W62&lt;&gt;{3;4;7}),1,0)</f>
        <v>1</v>
      </c>
      <c r="Z62" s="8">
        <f t="shared" si="0"/>
        <v>58</v>
      </c>
      <c r="AA62" s="8">
        <f>IF(Y62=0,"",COUNTIF(Y$5:$Y62,Y62))</f>
        <v>26</v>
      </c>
    </row>
    <row r="63" spans="11:27" x14ac:dyDescent="0.3">
      <c r="K63" s="17">
        <f t="shared" si="1"/>
        <v>0</v>
      </c>
      <c r="L63" s="14">
        <f t="shared" si="2"/>
        <v>0</v>
      </c>
      <c r="M63" s="13">
        <f t="shared" si="3"/>
        <v>0</v>
      </c>
      <c r="N63" s="13" t="str" cm="1">
        <f t="array" ref="N63">IFERROR(IF(INDEX($M$10:$M$88,MATCH(0,COUNTIF($N$9:N62,$M$10:$M$88),0))=0,"",INDEX($M$10:$M$88,MATCH(0,COUNTIF($N$9:N62,$M$10:$M$88),0))),"")</f>
        <v/>
      </c>
      <c r="O63" s="13">
        <f t="shared" si="4"/>
        <v>0</v>
      </c>
      <c r="W63">
        <v>5</v>
      </c>
      <c r="X63">
        <v>9</v>
      </c>
      <c r="Y63" cm="1">
        <f t="array" ref="Y63">IF(AND(X63&lt;&gt;{3;4;7},W63&lt;&gt;{3;4;7}),1,0)</f>
        <v>1</v>
      </c>
      <c r="Z63" s="8">
        <f t="shared" si="0"/>
        <v>59</v>
      </c>
      <c r="AA63" s="8">
        <f>IF(Y63=0,"",COUNTIF(Y$5:$Y63,Y63))</f>
        <v>27</v>
      </c>
    </row>
    <row r="64" spans="11:27" x14ac:dyDescent="0.3">
      <c r="K64" s="17">
        <f t="shared" si="1"/>
        <v>0</v>
      </c>
      <c r="L64" s="14">
        <f t="shared" si="2"/>
        <v>0</v>
      </c>
      <c r="M64" s="13">
        <f t="shared" si="3"/>
        <v>0</v>
      </c>
      <c r="N64" s="13" t="str" cm="1">
        <f t="array" ref="N64">IFERROR(IF(INDEX($M$10:$M$88,MATCH(0,COUNTIF($N$9:N63,$M$10:$M$88),0))=0,"",INDEX($M$10:$M$88,MATCH(0,COUNTIF($N$9:N63,$M$10:$M$88),0))),"")</f>
        <v/>
      </c>
      <c r="O64" s="13">
        <f t="shared" si="4"/>
        <v>0</v>
      </c>
      <c r="W64">
        <v>6</v>
      </c>
      <c r="X64">
        <v>0</v>
      </c>
      <c r="Y64" cm="1">
        <f t="array" ref="Y64">IF(AND(X64&lt;&gt;{3;4;7},W64&lt;&gt;{3;4;7}),1,0)</f>
        <v>1</v>
      </c>
      <c r="Z64" s="8">
        <f t="shared" si="0"/>
        <v>60</v>
      </c>
      <c r="AA64" s="8">
        <f>IF(Y64=0,"",COUNTIF(Y$5:$Y64,Y64))</f>
        <v>28</v>
      </c>
    </row>
    <row r="65" spans="11:27" x14ac:dyDescent="0.3">
      <c r="K65" s="17">
        <f t="shared" si="1"/>
        <v>0</v>
      </c>
      <c r="L65" s="14">
        <f t="shared" si="2"/>
        <v>0</v>
      </c>
      <c r="M65" s="13">
        <f t="shared" si="3"/>
        <v>0</v>
      </c>
      <c r="N65" s="13" t="str" cm="1">
        <f t="array" ref="N65">IFERROR(IF(INDEX($M$10:$M$88,MATCH(0,COUNTIF($N$9:N64,$M$10:$M$88),0))=0,"",INDEX($M$10:$M$88,MATCH(0,COUNTIF($N$9:N64,$M$10:$M$88),0))),"")</f>
        <v/>
      </c>
      <c r="O65" s="13">
        <f t="shared" si="4"/>
        <v>0</v>
      </c>
      <c r="W65">
        <v>6</v>
      </c>
      <c r="X65">
        <v>1</v>
      </c>
      <c r="Y65" cm="1">
        <f t="array" ref="Y65">IF(AND(X65&lt;&gt;{3;4;7},W65&lt;&gt;{3;4;7}),1,0)</f>
        <v>1</v>
      </c>
      <c r="Z65" s="8">
        <f t="shared" si="0"/>
        <v>61</v>
      </c>
      <c r="AA65" s="8">
        <f>IF(Y65=0,"",COUNTIF(Y$5:$Y65,Y65))</f>
        <v>29</v>
      </c>
    </row>
    <row r="66" spans="11:27" x14ac:dyDescent="0.3">
      <c r="K66" s="17">
        <f t="shared" si="1"/>
        <v>0</v>
      </c>
      <c r="L66" s="14">
        <f t="shared" si="2"/>
        <v>0</v>
      </c>
      <c r="M66" s="13">
        <f t="shared" si="3"/>
        <v>0</v>
      </c>
      <c r="N66" s="13" t="str" cm="1">
        <f t="array" ref="N66">IFERROR(IF(INDEX($M$10:$M$88,MATCH(0,COUNTIF($N$9:N65,$M$10:$M$88),0))=0,"",INDEX($M$10:$M$88,MATCH(0,COUNTIF($N$9:N65,$M$10:$M$88),0))),"")</f>
        <v/>
      </c>
      <c r="O66" s="13">
        <f t="shared" si="4"/>
        <v>0</v>
      </c>
      <c r="W66">
        <v>6</v>
      </c>
      <c r="X66">
        <v>2</v>
      </c>
      <c r="Y66" cm="1">
        <f t="array" ref="Y66">IF(AND(X66&lt;&gt;{3;4;7},W66&lt;&gt;{3;4;7}),1,0)</f>
        <v>1</v>
      </c>
      <c r="Z66" s="8">
        <f t="shared" si="0"/>
        <v>62</v>
      </c>
      <c r="AA66" s="8">
        <f>IF(Y66=0,"",COUNTIF(Y$5:$Y66,Y66))</f>
        <v>30</v>
      </c>
    </row>
    <row r="67" spans="11:27" x14ac:dyDescent="0.3">
      <c r="K67" s="17">
        <f t="shared" si="1"/>
        <v>0</v>
      </c>
      <c r="L67" s="14">
        <f t="shared" si="2"/>
        <v>0</v>
      </c>
      <c r="M67" s="13">
        <f t="shared" si="3"/>
        <v>0</v>
      </c>
      <c r="N67" s="13" t="str" cm="1">
        <f t="array" ref="N67">IFERROR(IF(INDEX($M$10:$M$88,MATCH(0,COUNTIF($N$9:N66,$M$10:$M$88),0))=0,"",INDEX($M$10:$M$88,MATCH(0,COUNTIF($N$9:N66,$M$10:$M$88),0))),"")</f>
        <v/>
      </c>
      <c r="O67" s="13">
        <f t="shared" si="4"/>
        <v>0</v>
      </c>
      <c r="W67">
        <v>6</v>
      </c>
      <c r="X67">
        <v>3</v>
      </c>
      <c r="Y67" cm="1">
        <f t="array" ref="Y67">IF(AND(X67&lt;&gt;{3;4;7},W67&lt;&gt;{3;4;7}),1,0)</f>
        <v>0</v>
      </c>
      <c r="Z67" s="8">
        <f t="shared" si="0"/>
        <v>63</v>
      </c>
      <c r="AA67" s="8" t="str">
        <f>IF(Y67=0,"",COUNTIF(Y$5:$Y67,Y67))</f>
        <v/>
      </c>
    </row>
    <row r="68" spans="11:27" x14ac:dyDescent="0.3">
      <c r="K68" s="17">
        <f t="shared" si="1"/>
        <v>0</v>
      </c>
      <c r="L68" s="14">
        <f t="shared" si="2"/>
        <v>0</v>
      </c>
      <c r="M68" s="13">
        <f t="shared" si="3"/>
        <v>0</v>
      </c>
      <c r="N68" s="13" t="str" cm="1">
        <f t="array" ref="N68">IFERROR(IF(INDEX($M$10:$M$88,MATCH(0,COUNTIF($N$9:N67,$M$10:$M$88),0))=0,"",INDEX($M$10:$M$88,MATCH(0,COUNTIF($N$9:N67,$M$10:$M$88),0))),"")</f>
        <v/>
      </c>
      <c r="O68" s="13">
        <f t="shared" si="4"/>
        <v>0</v>
      </c>
      <c r="W68">
        <v>6</v>
      </c>
      <c r="X68">
        <v>4</v>
      </c>
      <c r="Y68" cm="1">
        <f t="array" ref="Y68">IF(AND(X68&lt;&gt;{3;4;7},W68&lt;&gt;{3;4;7}),1,0)</f>
        <v>0</v>
      </c>
      <c r="Z68" s="8">
        <f t="shared" si="0"/>
        <v>64</v>
      </c>
      <c r="AA68" s="8" t="str">
        <f>IF(Y68=0,"",COUNTIF(Y$5:$Y68,Y68))</f>
        <v/>
      </c>
    </row>
    <row r="69" spans="11:27" x14ac:dyDescent="0.3">
      <c r="K69" s="17">
        <f t="shared" si="1"/>
        <v>0</v>
      </c>
      <c r="L69" s="14">
        <f t="shared" si="2"/>
        <v>0</v>
      </c>
      <c r="M69" s="13">
        <f t="shared" si="3"/>
        <v>0</v>
      </c>
      <c r="N69" s="13" t="str" cm="1">
        <f t="array" ref="N69">IFERROR(IF(INDEX($M$10:$M$88,MATCH(0,COUNTIF($N$9:N68,$M$10:$M$88),0))=0,"",INDEX($M$10:$M$88,MATCH(0,COUNTIF($N$9:N68,$M$10:$M$88),0))),"")</f>
        <v/>
      </c>
      <c r="O69" s="13">
        <f t="shared" si="4"/>
        <v>0</v>
      </c>
      <c r="W69">
        <v>6</v>
      </c>
      <c r="X69">
        <v>5</v>
      </c>
      <c r="Y69" cm="1">
        <f t="array" ref="Y69">IF(AND(X69&lt;&gt;{3;4;7},W69&lt;&gt;{3;4;7}),1,0)</f>
        <v>1</v>
      </c>
      <c r="Z69" s="8">
        <f t="shared" ref="Z69:Z103" si="5">--(W69&amp;X69)</f>
        <v>65</v>
      </c>
      <c r="AA69" s="8">
        <f>IF(Y69=0,"",COUNTIF(Y$5:$Y69,Y69))</f>
        <v>31</v>
      </c>
    </row>
    <row r="70" spans="11:27" x14ac:dyDescent="0.3">
      <c r="K70" s="17">
        <f t="shared" si="1"/>
        <v>0</v>
      </c>
      <c r="L70" s="14">
        <f t="shared" si="2"/>
        <v>0</v>
      </c>
      <c r="M70" s="13">
        <f t="shared" si="3"/>
        <v>0</v>
      </c>
      <c r="N70" s="13" t="str" cm="1">
        <f t="array" ref="N70">IFERROR(IF(INDEX($M$10:$M$88,MATCH(0,COUNTIF($N$9:N69,$M$10:$M$88),0))=0,"",INDEX($M$10:$M$88,MATCH(0,COUNTIF($N$9:N69,$M$10:$M$88),0))),"")</f>
        <v/>
      </c>
      <c r="O70" s="13">
        <f t="shared" si="4"/>
        <v>0</v>
      </c>
      <c r="W70">
        <v>6</v>
      </c>
      <c r="X70">
        <v>6</v>
      </c>
      <c r="Y70" cm="1">
        <f t="array" ref="Y70">IF(AND(X70&lt;&gt;{3;4;7},W70&lt;&gt;{3;4;7}),1,0)</f>
        <v>1</v>
      </c>
      <c r="Z70" s="8">
        <f t="shared" si="5"/>
        <v>66</v>
      </c>
      <c r="AA70" s="8">
        <f>IF(Y70=0,"",COUNTIF(Y$5:$Y70,Y70))</f>
        <v>32</v>
      </c>
    </row>
    <row r="71" spans="11:27" x14ac:dyDescent="0.3">
      <c r="K71" s="17">
        <f t="shared" si="1"/>
        <v>0</v>
      </c>
      <c r="L71" s="14">
        <f t="shared" si="2"/>
        <v>0</v>
      </c>
      <c r="M71" s="13">
        <f t="shared" si="3"/>
        <v>0</v>
      </c>
      <c r="N71" s="13" t="str" cm="1">
        <f t="array" ref="N71">IFERROR(IF(INDEX($M$10:$M$88,MATCH(0,COUNTIF($N$9:N70,$M$10:$M$88),0))=0,"",INDEX($M$10:$M$88,MATCH(0,COUNTIF($N$9:N70,$M$10:$M$88),0))),"")</f>
        <v/>
      </c>
      <c r="O71" s="13">
        <f t="shared" si="4"/>
        <v>0</v>
      </c>
      <c r="W71">
        <v>6</v>
      </c>
      <c r="X71">
        <v>7</v>
      </c>
      <c r="Y71" cm="1">
        <f t="array" ref="Y71">IF(AND(X71&lt;&gt;{3;4;7},W71&lt;&gt;{3;4;7}),1,0)</f>
        <v>0</v>
      </c>
      <c r="Z71" s="8">
        <f t="shared" si="5"/>
        <v>67</v>
      </c>
      <c r="AA71" s="8" t="str">
        <f>IF(Y71=0,"",COUNTIF(Y$5:$Y71,Y71))</f>
        <v/>
      </c>
    </row>
    <row r="72" spans="11:27" x14ac:dyDescent="0.3">
      <c r="K72" s="17">
        <f t="shared" si="1"/>
        <v>0</v>
      </c>
      <c r="L72" s="14">
        <f t="shared" si="2"/>
        <v>0</v>
      </c>
      <c r="M72" s="13">
        <f t="shared" si="3"/>
        <v>0</v>
      </c>
      <c r="N72" s="13" t="str" cm="1">
        <f t="array" ref="N72">IFERROR(IF(INDEX($M$10:$M$88,MATCH(0,COUNTIF($N$9:N71,$M$10:$M$88),0))=0,"",INDEX($M$10:$M$88,MATCH(0,COUNTIF($N$9:N71,$M$10:$M$88),0))),"")</f>
        <v/>
      </c>
      <c r="O72" s="13">
        <f t="shared" si="4"/>
        <v>0</v>
      </c>
      <c r="W72">
        <v>6</v>
      </c>
      <c r="X72">
        <v>8</v>
      </c>
      <c r="Y72" cm="1">
        <f t="array" ref="Y72">IF(AND(X72&lt;&gt;{3;4;7},W72&lt;&gt;{3;4;7}),1,0)</f>
        <v>1</v>
      </c>
      <c r="Z72" s="8">
        <f t="shared" si="5"/>
        <v>68</v>
      </c>
      <c r="AA72" s="8">
        <f>IF(Y72=0,"",COUNTIF(Y$5:$Y72,Y72))</f>
        <v>33</v>
      </c>
    </row>
    <row r="73" spans="11:27" x14ac:dyDescent="0.3">
      <c r="K73" s="17">
        <f t="shared" si="1"/>
        <v>0</v>
      </c>
      <c r="L73" s="14">
        <f t="shared" si="2"/>
        <v>0</v>
      </c>
      <c r="M73" s="13">
        <f t="shared" si="3"/>
        <v>0</v>
      </c>
      <c r="N73" s="13" t="str" cm="1">
        <f t="array" ref="N73">IFERROR(IF(INDEX($M$10:$M$88,MATCH(0,COUNTIF($N$9:N72,$M$10:$M$88),0))=0,"",INDEX($M$10:$M$88,MATCH(0,COUNTIF($N$9:N72,$M$10:$M$88),0))),"")</f>
        <v/>
      </c>
      <c r="O73" s="13">
        <f t="shared" si="4"/>
        <v>0</v>
      </c>
      <c r="W73">
        <v>6</v>
      </c>
      <c r="X73">
        <v>9</v>
      </c>
      <c r="Y73" cm="1">
        <f t="array" ref="Y73">IF(AND(X73&lt;&gt;{3;4;7},W73&lt;&gt;{3;4;7}),1,0)</f>
        <v>1</v>
      </c>
      <c r="Z73" s="8">
        <f t="shared" si="5"/>
        <v>69</v>
      </c>
      <c r="AA73" s="8">
        <f>IF(Y73=0,"",COUNTIF(Y$5:$Y73,Y73))</f>
        <v>34</v>
      </c>
    </row>
    <row r="74" spans="11:27" x14ac:dyDescent="0.3">
      <c r="K74" s="17">
        <f t="shared" si="1"/>
        <v>0</v>
      </c>
      <c r="L74" s="14">
        <f t="shared" si="2"/>
        <v>0</v>
      </c>
      <c r="M74" s="13">
        <f t="shared" si="3"/>
        <v>0</v>
      </c>
      <c r="N74" s="13" t="str" cm="1">
        <f t="array" ref="N74">IFERROR(IF(INDEX($M$10:$M$88,MATCH(0,COUNTIF($N$9:N73,$M$10:$M$88),0))=0,"",INDEX($M$10:$M$88,MATCH(0,COUNTIF($N$9:N73,$M$10:$M$88),0))),"")</f>
        <v/>
      </c>
      <c r="O74" s="13">
        <f t="shared" si="4"/>
        <v>0</v>
      </c>
      <c r="W74">
        <v>7</v>
      </c>
      <c r="X74">
        <v>0</v>
      </c>
      <c r="Y74" cm="1">
        <f t="array" ref="Y74">IF(AND(X74&lt;&gt;{3;4;7},W74&lt;&gt;{3;4;7}),1,0)</f>
        <v>0</v>
      </c>
      <c r="Z74" s="8">
        <f t="shared" si="5"/>
        <v>70</v>
      </c>
      <c r="AA74" s="8" t="str">
        <f>IF(Y74=0,"",COUNTIF(Y$5:$Y74,Y74))</f>
        <v/>
      </c>
    </row>
    <row r="75" spans="11:27" x14ac:dyDescent="0.3">
      <c r="K75" s="17">
        <f t="shared" ref="K75:K88" si="6">IF(K74&lt;7,0,K74-L74)</f>
        <v>0</v>
      </c>
      <c r="L75" s="14">
        <f t="shared" ref="L75:L88" si="7">IF(K75&lt;7,K75,7^(ROUNDDOWN(LOG(K75,7),0)))</f>
        <v>0</v>
      </c>
      <c r="M75" s="13">
        <f t="shared" ref="M75:M88" si="8">IFERROR(IF(L75&lt;7,L75,10^(LOG(L75,7))),0)</f>
        <v>0</v>
      </c>
      <c r="N75" s="13" t="str" cm="1">
        <f t="array" ref="N75">IFERROR(IF(INDEX($M$10:$M$88,MATCH(0,COUNTIF($N$9:N74,$M$10:$M$88),0))=0,"",INDEX($M$10:$M$88,MATCH(0,COUNTIF($N$9:N74,$M$10:$M$88),0))),"")</f>
        <v/>
      </c>
      <c r="O75" s="13">
        <f t="shared" ref="O75:O88" si="9">IFERROR(IF((N75&lt;&gt;"")*(N75&lt;10),INDEX($T$5:$T$13,MATCH(N75,$U$5:$U$13,0)),INDEX($T$5:$T$13,MATCH(COUNTIF($M$10:$M$88,N75),$U$5:$U$13,0))*N75),0)</f>
        <v>0</v>
      </c>
      <c r="W75">
        <v>7</v>
      </c>
      <c r="X75">
        <v>1</v>
      </c>
      <c r="Y75" cm="1">
        <f t="array" ref="Y75">IF(AND(X75&lt;&gt;{3;4;7},W75&lt;&gt;{3;4;7}),1,0)</f>
        <v>0</v>
      </c>
      <c r="Z75" s="8">
        <f t="shared" si="5"/>
        <v>71</v>
      </c>
      <c r="AA75" s="8" t="str">
        <f>IF(Y75=0,"",COUNTIF(Y$5:$Y75,Y75))</f>
        <v/>
      </c>
    </row>
    <row r="76" spans="11:27" x14ac:dyDescent="0.3">
      <c r="K76" s="17">
        <f t="shared" si="6"/>
        <v>0</v>
      </c>
      <c r="L76" s="14">
        <f t="shared" si="7"/>
        <v>0</v>
      </c>
      <c r="M76" s="13">
        <f t="shared" si="8"/>
        <v>0</v>
      </c>
      <c r="N76" s="13" t="str" cm="1">
        <f t="array" ref="N76">IFERROR(IF(INDEX($M$10:$M$88,MATCH(0,COUNTIF($N$9:N75,$M$10:$M$88),0))=0,"",INDEX($M$10:$M$88,MATCH(0,COUNTIF($N$9:N75,$M$10:$M$88),0))),"")</f>
        <v/>
      </c>
      <c r="O76" s="13">
        <f t="shared" si="9"/>
        <v>0</v>
      </c>
      <c r="W76">
        <v>7</v>
      </c>
      <c r="X76">
        <v>2</v>
      </c>
      <c r="Y76" cm="1">
        <f t="array" ref="Y76">IF(AND(X76&lt;&gt;{3;4;7},W76&lt;&gt;{3;4;7}),1,0)</f>
        <v>0</v>
      </c>
      <c r="Z76" s="8">
        <f t="shared" si="5"/>
        <v>72</v>
      </c>
      <c r="AA76" s="8" t="str">
        <f>IF(Y76=0,"",COUNTIF(Y$5:$Y76,Y76))</f>
        <v/>
      </c>
    </row>
    <row r="77" spans="11:27" x14ac:dyDescent="0.3">
      <c r="K77" s="17">
        <f t="shared" si="6"/>
        <v>0</v>
      </c>
      <c r="L77" s="14">
        <f t="shared" si="7"/>
        <v>0</v>
      </c>
      <c r="M77" s="13">
        <f t="shared" si="8"/>
        <v>0</v>
      </c>
      <c r="N77" s="13" t="str" cm="1">
        <f t="array" ref="N77">IFERROR(IF(INDEX($M$10:$M$88,MATCH(0,COUNTIF($N$9:N76,$M$10:$M$88),0))=0,"",INDEX($M$10:$M$88,MATCH(0,COUNTIF($N$9:N76,$M$10:$M$88),0))),"")</f>
        <v/>
      </c>
      <c r="O77" s="13">
        <f t="shared" si="9"/>
        <v>0</v>
      </c>
      <c r="W77">
        <v>7</v>
      </c>
      <c r="X77">
        <v>3</v>
      </c>
      <c r="Y77" cm="1">
        <f t="array" ref="Y77">IF(AND(X77&lt;&gt;{3;4;7},W77&lt;&gt;{3;4;7}),1,0)</f>
        <v>0</v>
      </c>
      <c r="Z77" s="8">
        <f t="shared" si="5"/>
        <v>73</v>
      </c>
      <c r="AA77" s="8" t="str">
        <f>IF(Y77=0,"",COUNTIF(Y$5:$Y77,Y77))</f>
        <v/>
      </c>
    </row>
    <row r="78" spans="11:27" x14ac:dyDescent="0.3">
      <c r="K78" s="17">
        <f t="shared" si="6"/>
        <v>0</v>
      </c>
      <c r="L78" s="14">
        <f t="shared" si="7"/>
        <v>0</v>
      </c>
      <c r="M78" s="13">
        <f t="shared" si="8"/>
        <v>0</v>
      </c>
      <c r="N78" s="13" t="str" cm="1">
        <f t="array" ref="N78">IFERROR(IF(INDEX($M$10:$M$88,MATCH(0,COUNTIF($N$9:N77,$M$10:$M$88),0))=0,"",INDEX($M$10:$M$88,MATCH(0,COUNTIF($N$9:N77,$M$10:$M$88),0))),"")</f>
        <v/>
      </c>
      <c r="O78" s="13">
        <f t="shared" si="9"/>
        <v>0</v>
      </c>
      <c r="W78">
        <v>7</v>
      </c>
      <c r="X78">
        <v>4</v>
      </c>
      <c r="Y78" cm="1">
        <f t="array" ref="Y78">IF(AND(X78&lt;&gt;{3;4;7},W78&lt;&gt;{3;4;7}),1,0)</f>
        <v>0</v>
      </c>
      <c r="Z78" s="8">
        <f t="shared" si="5"/>
        <v>74</v>
      </c>
      <c r="AA78" s="8" t="str">
        <f>IF(Y78=0,"",COUNTIF(Y$5:$Y78,Y78))</f>
        <v/>
      </c>
    </row>
    <row r="79" spans="11:27" x14ac:dyDescent="0.3">
      <c r="K79" s="17">
        <f t="shared" si="6"/>
        <v>0</v>
      </c>
      <c r="L79" s="14">
        <f t="shared" si="7"/>
        <v>0</v>
      </c>
      <c r="M79" s="13">
        <f t="shared" si="8"/>
        <v>0</v>
      </c>
      <c r="N79" s="13" t="str" cm="1">
        <f t="array" ref="N79">IFERROR(IF(INDEX($M$10:$M$88,MATCH(0,COUNTIF($N$9:N78,$M$10:$M$88),0))=0,"",INDEX($M$10:$M$88,MATCH(0,COUNTIF($N$9:N78,$M$10:$M$88),0))),"")</f>
        <v/>
      </c>
      <c r="O79" s="13">
        <f t="shared" si="9"/>
        <v>0</v>
      </c>
      <c r="W79">
        <v>7</v>
      </c>
      <c r="X79">
        <v>5</v>
      </c>
      <c r="Y79" cm="1">
        <f t="array" ref="Y79">IF(AND(X79&lt;&gt;{3;4;7},W79&lt;&gt;{3;4;7}),1,0)</f>
        <v>0</v>
      </c>
      <c r="Z79" s="8">
        <f t="shared" si="5"/>
        <v>75</v>
      </c>
      <c r="AA79" s="8" t="str">
        <f>IF(Y79=0,"",COUNTIF(Y$5:$Y79,Y79))</f>
        <v/>
      </c>
    </row>
    <row r="80" spans="11:27" x14ac:dyDescent="0.3">
      <c r="K80" s="17">
        <f t="shared" si="6"/>
        <v>0</v>
      </c>
      <c r="L80" s="14">
        <f t="shared" si="7"/>
        <v>0</v>
      </c>
      <c r="M80" s="13">
        <f t="shared" si="8"/>
        <v>0</v>
      </c>
      <c r="N80" s="13" t="str" cm="1">
        <f t="array" ref="N80">IFERROR(IF(INDEX($M$10:$M$88,MATCH(0,COUNTIF($N$9:N79,$M$10:$M$88),0))=0,"",INDEX($M$10:$M$88,MATCH(0,COUNTIF($N$9:N79,$M$10:$M$88),0))),"")</f>
        <v/>
      </c>
      <c r="O80" s="13">
        <f t="shared" si="9"/>
        <v>0</v>
      </c>
      <c r="W80">
        <v>7</v>
      </c>
      <c r="X80">
        <v>6</v>
      </c>
      <c r="Y80" cm="1">
        <f t="array" ref="Y80">IF(AND(X80&lt;&gt;{3;4;7},W80&lt;&gt;{3;4;7}),1,0)</f>
        <v>0</v>
      </c>
      <c r="Z80" s="8">
        <f t="shared" si="5"/>
        <v>76</v>
      </c>
      <c r="AA80" s="8" t="str">
        <f>IF(Y80=0,"",COUNTIF(Y$5:$Y80,Y80))</f>
        <v/>
      </c>
    </row>
    <row r="81" spans="11:27" x14ac:dyDescent="0.3">
      <c r="K81" s="17">
        <f t="shared" si="6"/>
        <v>0</v>
      </c>
      <c r="L81" s="14">
        <f t="shared" si="7"/>
        <v>0</v>
      </c>
      <c r="M81" s="13">
        <f t="shared" si="8"/>
        <v>0</v>
      </c>
      <c r="N81" s="13" t="str" cm="1">
        <f t="array" ref="N81">IFERROR(IF(INDEX($M$10:$M$88,MATCH(0,COUNTIF($N$9:N80,$M$10:$M$88),0))=0,"",INDEX($M$10:$M$88,MATCH(0,COUNTIF($N$9:N80,$M$10:$M$88),0))),"")</f>
        <v/>
      </c>
      <c r="O81" s="13">
        <f t="shared" si="9"/>
        <v>0</v>
      </c>
      <c r="W81">
        <v>7</v>
      </c>
      <c r="X81">
        <v>7</v>
      </c>
      <c r="Y81" cm="1">
        <f t="array" ref="Y81">IF(AND(X81&lt;&gt;{3;4;7},W81&lt;&gt;{3;4;7}),1,0)</f>
        <v>0</v>
      </c>
      <c r="Z81" s="8">
        <f t="shared" si="5"/>
        <v>77</v>
      </c>
      <c r="AA81" s="8" t="str">
        <f>IF(Y81=0,"",COUNTIF(Y$5:$Y81,Y81))</f>
        <v/>
      </c>
    </row>
    <row r="82" spans="11:27" x14ac:dyDescent="0.3">
      <c r="K82" s="17">
        <f t="shared" si="6"/>
        <v>0</v>
      </c>
      <c r="L82" s="14">
        <f t="shared" si="7"/>
        <v>0</v>
      </c>
      <c r="M82" s="13">
        <f t="shared" si="8"/>
        <v>0</v>
      </c>
      <c r="N82" s="13" t="str" cm="1">
        <f t="array" ref="N82">IFERROR(IF(INDEX($M$10:$M$88,MATCH(0,COUNTIF($N$9:N81,$M$10:$M$88),0))=0,"",INDEX($M$10:$M$88,MATCH(0,COUNTIF($N$9:N81,$M$10:$M$88),0))),"")</f>
        <v/>
      </c>
      <c r="O82" s="13">
        <f t="shared" si="9"/>
        <v>0</v>
      </c>
      <c r="W82">
        <v>7</v>
      </c>
      <c r="X82">
        <v>8</v>
      </c>
      <c r="Y82" cm="1">
        <f t="array" ref="Y82">IF(AND(X82&lt;&gt;{3;4;7},W82&lt;&gt;{3;4;7}),1,0)</f>
        <v>0</v>
      </c>
      <c r="Z82" s="8">
        <f t="shared" si="5"/>
        <v>78</v>
      </c>
      <c r="AA82" s="8" t="str">
        <f>IF(Y82=0,"",COUNTIF(Y$5:$Y82,Y82))</f>
        <v/>
      </c>
    </row>
    <row r="83" spans="11:27" x14ac:dyDescent="0.3">
      <c r="K83" s="17">
        <f t="shared" si="6"/>
        <v>0</v>
      </c>
      <c r="L83" s="14">
        <f t="shared" si="7"/>
        <v>0</v>
      </c>
      <c r="M83" s="13">
        <f t="shared" si="8"/>
        <v>0</v>
      </c>
      <c r="N83" s="13" t="str" cm="1">
        <f t="array" ref="N83">IFERROR(IF(INDEX($M$10:$M$88,MATCH(0,COUNTIF($N$9:N82,$M$10:$M$88),0))=0,"",INDEX($M$10:$M$88,MATCH(0,COUNTIF($N$9:N82,$M$10:$M$88),0))),"")</f>
        <v/>
      </c>
      <c r="O83" s="13">
        <f t="shared" si="9"/>
        <v>0</v>
      </c>
      <c r="W83">
        <v>7</v>
      </c>
      <c r="X83">
        <v>9</v>
      </c>
      <c r="Y83" cm="1">
        <f t="array" ref="Y83">IF(AND(X83&lt;&gt;{3;4;7},W83&lt;&gt;{3;4;7}),1,0)</f>
        <v>0</v>
      </c>
      <c r="Z83" s="8">
        <f t="shared" si="5"/>
        <v>79</v>
      </c>
      <c r="AA83" s="8" t="str">
        <f>IF(Y83=0,"",COUNTIF(Y$5:$Y83,Y83))</f>
        <v/>
      </c>
    </row>
    <row r="84" spans="11:27" x14ac:dyDescent="0.3">
      <c r="K84" s="17">
        <f t="shared" si="6"/>
        <v>0</v>
      </c>
      <c r="L84" s="14">
        <f t="shared" si="7"/>
        <v>0</v>
      </c>
      <c r="M84" s="13">
        <f t="shared" si="8"/>
        <v>0</v>
      </c>
      <c r="N84" s="13" t="str" cm="1">
        <f t="array" ref="N84">IFERROR(IF(INDEX($M$10:$M$88,MATCH(0,COUNTIF($N$9:N83,$M$10:$M$88),0))=0,"",INDEX($M$10:$M$88,MATCH(0,COUNTIF($N$9:N83,$M$10:$M$88),0))),"")</f>
        <v/>
      </c>
      <c r="O84" s="13">
        <f t="shared" si="9"/>
        <v>0</v>
      </c>
      <c r="W84">
        <v>8</v>
      </c>
      <c r="X84">
        <v>0</v>
      </c>
      <c r="Y84" cm="1">
        <f t="array" ref="Y84">IF(AND(X84&lt;&gt;{3;4;7},W84&lt;&gt;{3;4;7}),1,0)</f>
        <v>1</v>
      </c>
      <c r="Z84" s="8">
        <f t="shared" si="5"/>
        <v>80</v>
      </c>
      <c r="AA84" s="8">
        <f>IF(Y84=0,"",COUNTIF(Y$5:$Y84,Y84))</f>
        <v>35</v>
      </c>
    </row>
    <row r="85" spans="11:27" x14ac:dyDescent="0.3">
      <c r="K85" s="17">
        <f t="shared" si="6"/>
        <v>0</v>
      </c>
      <c r="L85" s="14">
        <f t="shared" si="7"/>
        <v>0</v>
      </c>
      <c r="M85" s="13">
        <f t="shared" si="8"/>
        <v>0</v>
      </c>
      <c r="N85" s="13" t="str" cm="1">
        <f t="array" ref="N85">IFERROR(IF(INDEX($M$10:$M$88,MATCH(0,COUNTIF($N$9:N84,$M$10:$M$88),0))=0,"",INDEX($M$10:$M$88,MATCH(0,COUNTIF($N$9:N84,$M$10:$M$88),0))),"")</f>
        <v/>
      </c>
      <c r="O85" s="13">
        <f t="shared" si="9"/>
        <v>0</v>
      </c>
      <c r="W85">
        <v>8</v>
      </c>
      <c r="X85">
        <v>1</v>
      </c>
      <c r="Y85" cm="1">
        <f t="array" ref="Y85">IF(AND(X85&lt;&gt;{3;4;7},W85&lt;&gt;{3;4;7}),1,0)</f>
        <v>1</v>
      </c>
      <c r="Z85" s="8">
        <f t="shared" si="5"/>
        <v>81</v>
      </c>
      <c r="AA85" s="8">
        <f>IF(Y85=0,"",COUNTIF(Y$5:$Y85,Y85))</f>
        <v>36</v>
      </c>
    </row>
    <row r="86" spans="11:27" x14ac:dyDescent="0.3">
      <c r="K86" s="17">
        <f t="shared" si="6"/>
        <v>0</v>
      </c>
      <c r="L86" s="14">
        <f t="shared" si="7"/>
        <v>0</v>
      </c>
      <c r="M86" s="13">
        <f t="shared" si="8"/>
        <v>0</v>
      </c>
      <c r="N86" s="13" t="str" cm="1">
        <f t="array" ref="N86">IFERROR(IF(INDEX($M$10:$M$88,MATCH(0,COUNTIF($N$9:N85,$M$10:$M$88),0))=0,"",INDEX($M$10:$M$88,MATCH(0,COUNTIF($N$9:N85,$M$10:$M$88),0))),"")</f>
        <v/>
      </c>
      <c r="O86" s="13">
        <f t="shared" si="9"/>
        <v>0</v>
      </c>
      <c r="W86">
        <v>8</v>
      </c>
      <c r="X86">
        <v>2</v>
      </c>
      <c r="Y86" cm="1">
        <f t="array" ref="Y86">IF(AND(X86&lt;&gt;{3;4;7},W86&lt;&gt;{3;4;7}),1,0)</f>
        <v>1</v>
      </c>
      <c r="Z86" s="8">
        <f t="shared" si="5"/>
        <v>82</v>
      </c>
      <c r="AA86" s="8">
        <f>IF(Y86=0,"",COUNTIF(Y$5:$Y86,Y86))</f>
        <v>37</v>
      </c>
    </row>
    <row r="87" spans="11:27" x14ac:dyDescent="0.3">
      <c r="K87" s="17">
        <f t="shared" si="6"/>
        <v>0</v>
      </c>
      <c r="L87" s="14">
        <f t="shared" si="7"/>
        <v>0</v>
      </c>
      <c r="M87" s="13">
        <f t="shared" si="8"/>
        <v>0</v>
      </c>
      <c r="N87" s="13" t="str" cm="1">
        <f t="array" ref="N87">IFERROR(IF(INDEX($M$10:$M$88,MATCH(0,COUNTIF($N$9:N86,$M$10:$M$88),0))=0,"",INDEX($M$10:$M$88,MATCH(0,COUNTIF($N$9:N86,$M$10:$M$88),0))),"")</f>
        <v/>
      </c>
      <c r="O87" s="13">
        <f t="shared" si="9"/>
        <v>0</v>
      </c>
      <c r="W87">
        <v>8</v>
      </c>
      <c r="X87">
        <v>3</v>
      </c>
      <c r="Y87" cm="1">
        <f t="array" ref="Y87">IF(AND(X87&lt;&gt;{3;4;7},W87&lt;&gt;{3;4;7}),1,0)</f>
        <v>0</v>
      </c>
      <c r="Z87" s="8">
        <f t="shared" si="5"/>
        <v>83</v>
      </c>
      <c r="AA87" s="8" t="str">
        <f>IF(Y87=0,"",COUNTIF(Y$5:$Y87,Y87))</f>
        <v/>
      </c>
    </row>
    <row r="88" spans="11:27" x14ac:dyDescent="0.3">
      <c r="K88" s="17">
        <f t="shared" si="6"/>
        <v>0</v>
      </c>
      <c r="L88" s="14">
        <f t="shared" si="7"/>
        <v>0</v>
      </c>
      <c r="M88" s="13">
        <f t="shared" si="8"/>
        <v>0</v>
      </c>
      <c r="N88" s="13" t="str" cm="1">
        <f t="array" ref="N88">IFERROR(IF(INDEX($M$10:$M$88,MATCH(0,COUNTIF($N$9:N87,$M$10:$M$88),0))=0,"",INDEX($M$10:$M$88,MATCH(0,COUNTIF($N$9:N87,$M$10:$M$88),0))),"")</f>
        <v/>
      </c>
      <c r="O88" s="13">
        <f t="shared" si="9"/>
        <v>0</v>
      </c>
      <c r="W88">
        <v>8</v>
      </c>
      <c r="X88">
        <v>4</v>
      </c>
      <c r="Y88" cm="1">
        <f t="array" ref="Y88">IF(AND(X88&lt;&gt;{3;4;7},W88&lt;&gt;{3;4;7}),1,0)</f>
        <v>0</v>
      </c>
      <c r="Z88" s="8">
        <f t="shared" si="5"/>
        <v>84</v>
      </c>
      <c r="AA88" s="8" t="str">
        <f>IF(Y88=0,"",COUNTIF(Y$5:$Y88,Y88))</f>
        <v/>
      </c>
    </row>
    <row r="89" spans="11:27" x14ac:dyDescent="0.3">
      <c r="W89">
        <v>8</v>
      </c>
      <c r="X89">
        <v>5</v>
      </c>
      <c r="Y89" cm="1">
        <f t="array" ref="Y89">IF(AND(X89&lt;&gt;{3;4;7},W89&lt;&gt;{3;4;7}),1,0)</f>
        <v>1</v>
      </c>
      <c r="Z89" s="8">
        <f t="shared" si="5"/>
        <v>85</v>
      </c>
      <c r="AA89" s="8">
        <f>IF(Y89=0,"",COUNTIF(Y$5:$Y89,Y89))</f>
        <v>38</v>
      </c>
    </row>
    <row r="90" spans="11:27" x14ac:dyDescent="0.3">
      <c r="W90">
        <v>8</v>
      </c>
      <c r="X90">
        <v>6</v>
      </c>
      <c r="Y90" cm="1">
        <f t="array" ref="Y90">IF(AND(X90&lt;&gt;{3;4;7},W90&lt;&gt;{3;4;7}),1,0)</f>
        <v>1</v>
      </c>
      <c r="Z90" s="8">
        <f t="shared" si="5"/>
        <v>86</v>
      </c>
      <c r="AA90" s="8">
        <f>IF(Y90=0,"",COUNTIF(Y$5:$Y90,Y90))</f>
        <v>39</v>
      </c>
    </row>
    <row r="91" spans="11:27" x14ac:dyDescent="0.3">
      <c r="W91">
        <v>8</v>
      </c>
      <c r="X91">
        <v>7</v>
      </c>
      <c r="Y91" cm="1">
        <f t="array" ref="Y91">IF(AND(X91&lt;&gt;{3;4;7},W91&lt;&gt;{3;4;7}),1,0)</f>
        <v>0</v>
      </c>
      <c r="Z91" s="8">
        <f t="shared" si="5"/>
        <v>87</v>
      </c>
      <c r="AA91" s="8" t="str">
        <f>IF(Y91=0,"",COUNTIF(Y$5:$Y91,Y91))</f>
        <v/>
      </c>
    </row>
    <row r="92" spans="11:27" x14ac:dyDescent="0.3">
      <c r="W92">
        <v>8</v>
      </c>
      <c r="X92">
        <v>8</v>
      </c>
      <c r="Y92" cm="1">
        <f t="array" ref="Y92">IF(AND(X92&lt;&gt;{3;4;7},W92&lt;&gt;{3;4;7}),1,0)</f>
        <v>1</v>
      </c>
      <c r="Z92" s="8">
        <f t="shared" si="5"/>
        <v>88</v>
      </c>
      <c r="AA92" s="8">
        <f>IF(Y92=0,"",COUNTIF(Y$5:$Y92,Y92))</f>
        <v>40</v>
      </c>
    </row>
    <row r="93" spans="11:27" x14ac:dyDescent="0.3">
      <c r="W93">
        <v>8</v>
      </c>
      <c r="X93">
        <v>9</v>
      </c>
      <c r="Y93" cm="1">
        <f t="array" ref="Y93">IF(AND(X93&lt;&gt;{3;4;7},W93&lt;&gt;{3;4;7}),1,0)</f>
        <v>1</v>
      </c>
      <c r="Z93" s="8">
        <f t="shared" si="5"/>
        <v>89</v>
      </c>
      <c r="AA93" s="8">
        <f>IF(Y93=0,"",COUNTIF(Y$5:$Y93,Y93))</f>
        <v>41</v>
      </c>
    </row>
    <row r="94" spans="11:27" x14ac:dyDescent="0.3">
      <c r="W94">
        <v>9</v>
      </c>
      <c r="X94">
        <v>0</v>
      </c>
      <c r="Y94" cm="1">
        <f t="array" ref="Y94">IF(AND(X94&lt;&gt;{3;4;7},W94&lt;&gt;{3;4;7}),1,0)</f>
        <v>1</v>
      </c>
      <c r="Z94" s="8">
        <f t="shared" si="5"/>
        <v>90</v>
      </c>
      <c r="AA94" s="8">
        <f>IF(Y94=0,"",COUNTIF(Y$5:$Y94,Y94))</f>
        <v>42</v>
      </c>
    </row>
    <row r="95" spans="11:27" x14ac:dyDescent="0.3">
      <c r="W95">
        <v>9</v>
      </c>
      <c r="X95">
        <v>1</v>
      </c>
      <c r="Y95" cm="1">
        <f t="array" ref="Y95">IF(AND(X95&lt;&gt;{3;4;7},W95&lt;&gt;{3;4;7}),1,0)</f>
        <v>1</v>
      </c>
      <c r="Z95" s="8">
        <f t="shared" si="5"/>
        <v>91</v>
      </c>
      <c r="AA95" s="8">
        <f>IF(Y95=0,"",COUNTIF(Y$5:$Y95,Y95))</f>
        <v>43</v>
      </c>
    </row>
    <row r="96" spans="11:27" x14ac:dyDescent="0.3">
      <c r="W96">
        <v>9</v>
      </c>
      <c r="X96">
        <v>2</v>
      </c>
      <c r="Y96" cm="1">
        <f t="array" ref="Y96">IF(AND(X96&lt;&gt;{3;4;7},W96&lt;&gt;{3;4;7}),1,0)</f>
        <v>1</v>
      </c>
      <c r="Z96" s="8">
        <f t="shared" si="5"/>
        <v>92</v>
      </c>
      <c r="AA96" s="8">
        <f>IF(Y96=0,"",COUNTIF(Y$5:$Y96,Y96))</f>
        <v>44</v>
      </c>
    </row>
    <row r="97" spans="23:27" x14ac:dyDescent="0.3">
      <c r="W97">
        <v>9</v>
      </c>
      <c r="X97">
        <v>3</v>
      </c>
      <c r="Y97" cm="1">
        <f t="array" ref="Y97">IF(AND(X97&lt;&gt;{3;4;7},W97&lt;&gt;{3;4;7}),1,0)</f>
        <v>0</v>
      </c>
      <c r="Z97" s="8">
        <f t="shared" si="5"/>
        <v>93</v>
      </c>
      <c r="AA97" s="8" t="str">
        <f>IF(Y97=0,"",COUNTIF(Y$5:$Y97,Y97))</f>
        <v/>
      </c>
    </row>
    <row r="98" spans="23:27" x14ac:dyDescent="0.3">
      <c r="W98">
        <v>9</v>
      </c>
      <c r="X98">
        <v>4</v>
      </c>
      <c r="Y98" cm="1">
        <f t="array" ref="Y98">IF(AND(X98&lt;&gt;{3;4;7},W98&lt;&gt;{3;4;7}),1,0)</f>
        <v>0</v>
      </c>
      <c r="Z98" s="8">
        <f t="shared" si="5"/>
        <v>94</v>
      </c>
      <c r="AA98" s="8" t="str">
        <f>IF(Y98=0,"",COUNTIF(Y$5:$Y98,Y98))</f>
        <v/>
      </c>
    </row>
    <row r="99" spans="23:27" x14ac:dyDescent="0.3">
      <c r="W99">
        <v>9</v>
      </c>
      <c r="X99">
        <v>5</v>
      </c>
      <c r="Y99" cm="1">
        <f t="array" ref="Y99">IF(AND(X99&lt;&gt;{3;4;7},W99&lt;&gt;{3;4;7}),1,0)</f>
        <v>1</v>
      </c>
      <c r="Z99" s="8">
        <f t="shared" si="5"/>
        <v>95</v>
      </c>
      <c r="AA99" s="8">
        <f>IF(Y99=0,"",COUNTIF(Y$5:$Y99,Y99))</f>
        <v>45</v>
      </c>
    </row>
    <row r="100" spans="23:27" x14ac:dyDescent="0.3">
      <c r="W100">
        <v>9</v>
      </c>
      <c r="X100">
        <v>6</v>
      </c>
      <c r="Y100" cm="1">
        <f t="array" ref="Y100">IF(AND(X100&lt;&gt;{3;4;7},W100&lt;&gt;{3;4;7}),1,0)</f>
        <v>1</v>
      </c>
      <c r="Z100" s="8">
        <f t="shared" si="5"/>
        <v>96</v>
      </c>
      <c r="AA100" s="8">
        <f>IF(Y100=0,"",COUNTIF(Y$5:$Y100,Y100))</f>
        <v>46</v>
      </c>
    </row>
    <row r="101" spans="23:27" x14ac:dyDescent="0.3">
      <c r="W101">
        <v>9</v>
      </c>
      <c r="X101">
        <v>7</v>
      </c>
      <c r="Y101" cm="1">
        <f t="array" ref="Y101">IF(AND(X101&lt;&gt;{3;4;7},W101&lt;&gt;{3;4;7}),1,0)</f>
        <v>0</v>
      </c>
      <c r="Z101" s="8">
        <f t="shared" si="5"/>
        <v>97</v>
      </c>
      <c r="AA101" s="8" t="str">
        <f>IF(Y101=0,"",COUNTIF(Y$5:$Y101,Y101))</f>
        <v/>
      </c>
    </row>
    <row r="102" spans="23:27" x14ac:dyDescent="0.3">
      <c r="W102">
        <v>9</v>
      </c>
      <c r="X102">
        <v>8</v>
      </c>
      <c r="Y102" cm="1">
        <f t="array" ref="Y102">IF(AND(X102&lt;&gt;{3;4;7},W102&lt;&gt;{3;4;7}),1,0)</f>
        <v>1</v>
      </c>
      <c r="Z102" s="8">
        <f t="shared" si="5"/>
        <v>98</v>
      </c>
      <c r="AA102" s="8">
        <f>IF(Y102=0,"",COUNTIF(Y$5:$Y102,Y102))</f>
        <v>47</v>
      </c>
    </row>
    <row r="103" spans="23:27" x14ac:dyDescent="0.3">
      <c r="W103">
        <v>9</v>
      </c>
      <c r="X103">
        <v>9</v>
      </c>
      <c r="Y103" cm="1">
        <f t="array" ref="Y103">IF(AND(X103&lt;&gt;{3;4;7},W103&lt;&gt;{3;4;7}),1,0)</f>
        <v>1</v>
      </c>
      <c r="Z103" s="8">
        <f t="shared" si="5"/>
        <v>99</v>
      </c>
      <c r="AA103" s="8">
        <f>IF(Y103=0,"",COUNTIF(Y$5:$Y103,Y103))</f>
        <v>48</v>
      </c>
    </row>
  </sheetData>
  <mergeCells count="1">
    <mergeCell ref="Z2:AA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ion xmlns="4c371fd8-779b-49d6-a61c-123e8ccc3604" xsi:nil="true"/>
    <Page xmlns="4c371fd8-779b-49d6-a61c-123e8ccc3604" xsi:nil="true"/>
    <PublishingExpirationDate xmlns="http://schemas.microsoft.com/sharepoint/v3" xsi:nil="true"/>
    <PublishingStartDate xmlns="http://schemas.microsoft.com/sharepoint/v3" xsi:nil="true"/>
    <Category xmlns="4c371fd8-779b-49d6-a61c-123e8ccc3604" xsi:nil="true"/>
  </documentManagement>
</p:properties>
</file>

<file path=customXml/item3.xml><?xml version="1.0" encoding="utf-8"?>
<?mso-contentType ?>
<spe:Receivers xmlns:spe="http://schemas.microsoft.com/sharepoint/event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F384AA17E0DC448ED6B909B90E0527" ma:contentTypeVersion="308" ma:contentTypeDescription="Create a new document." ma:contentTypeScope="" ma:versionID="65f780b711ffb304bd61f07bc345cfcb">
  <xsd:schema xmlns:xsd="http://www.w3.org/2001/XMLSchema" xmlns:xs="http://www.w3.org/2001/XMLSchema" xmlns:p="http://schemas.microsoft.com/office/2006/metadata/properties" xmlns:ns1="http://schemas.microsoft.com/sharepoint/v3" xmlns:ns2="4c371fd8-779b-49d6-a61c-123e8ccc3604" xmlns:ns3="77dd8a3d-ccf2-480b-9012-7a59ebbfeb7e" targetNamespace="http://schemas.microsoft.com/office/2006/metadata/properties" ma:root="true" ma:fieldsID="843e3c106d1329c5d27d698c47a95d5b" ns1:_="" ns2:_="" ns3:_="">
    <xsd:import namespace="http://schemas.microsoft.com/sharepoint/v3"/>
    <xsd:import namespace="4c371fd8-779b-49d6-a61c-123e8ccc3604"/>
    <xsd:import namespace="77dd8a3d-ccf2-480b-9012-7a59ebbfeb7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Page" minOccurs="0"/>
                <xsd:element ref="ns2:Section" minOccurs="0"/>
                <xsd:element ref="ns2:Category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_dlc_DocId" minOccurs="0"/>
                <xsd:element ref="ns3:_dlc_DocIdUrl" minOccurs="0"/>
                <xsd:element ref="ns3:_dlc_DocIdPersistId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71fd8-779b-49d6-a61c-123e8ccc3604" elementFormDefault="qualified">
    <xsd:import namespace="http://schemas.microsoft.com/office/2006/documentManagement/types"/>
    <xsd:import namespace="http://schemas.microsoft.com/office/infopath/2007/PartnerControls"/>
    <xsd:element name="Page" ma:index="10" nillable="true" ma:displayName="Page" ma:internalName="Page">
      <xsd:simpleType>
        <xsd:restriction base="dms:Text">
          <xsd:maxLength value="255"/>
        </xsd:restriction>
      </xsd:simpleType>
    </xsd:element>
    <xsd:element name="Section" ma:index="11" nillable="true" ma:displayName="Section" ma:internalName="Section">
      <xsd:simpleType>
        <xsd:restriction base="dms:Text">
          <xsd:maxLength value="255"/>
        </xsd:restriction>
      </xsd:simpleType>
    </xsd:element>
    <xsd:element name="Category" ma:index="12" nillable="true" ma:displayName="Category" ma:internalName="Category">
      <xsd:simpleType>
        <xsd:restriction base="dms:Text">
          <xsd:maxLength value="255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MediaServiceAutoTags" ma:internalName="MediaServiceAutoTags" ma:readOnly="true">
      <xsd:simpleType>
        <xsd:restriction base="dms:Text"/>
      </xsd:simpleType>
    </xsd:element>
    <xsd:element name="MediaServiceOCR" ma:index="1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dd8a3d-ccf2-480b-9012-7a59ebbfeb7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F0FBCB-F050-4A89-81DD-8BD5D58656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C41F30-5C83-4733-8AB4-1C43B74F4226}">
  <ds:schemaRefs>
    <ds:schemaRef ds:uri="http://www.w3.org/XML/1998/namespace"/>
    <ds:schemaRef ds:uri="4c371fd8-779b-49d6-a61c-123e8ccc3604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77dd8a3d-ccf2-480b-9012-7a59ebbfeb7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521BDB5-74D4-4963-A815-B0A99A31DEB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8A55019-A65B-42A8-B48A-6D2A66B117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371fd8-779b-49d6-a61c-123e8ccc3604"/>
    <ds:schemaRef ds:uri="77dd8a3d-ccf2-480b-9012-7a59ebbfeb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Brief</vt:lpstr>
      <vt:lpstr>Working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Alexandre, Vanessa</dc:creator>
  <cp:keywords/>
  <dc:description/>
  <cp:lastModifiedBy>himmatul  azizah</cp:lastModifiedBy>
  <cp:revision/>
  <dcterms:created xsi:type="dcterms:W3CDTF">2019-07-30T07:43:25Z</dcterms:created>
  <dcterms:modified xsi:type="dcterms:W3CDTF">2024-08-07T17:09:29Z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0x01010017F384AA17E0DC448ED6B909B90E0527</vt:lpwstr>
  </property>
</Properties>
</file>