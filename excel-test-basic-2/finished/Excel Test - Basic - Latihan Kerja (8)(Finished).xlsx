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A0012C6C-37E4-4FCD-9BBF-545F481C9852}" xr6:coauthVersionLast="47" xr6:coauthVersionMax="47" xr10:uidLastSave="{00000000-0000-0000-0000-000000000000}"/>
  <bookViews>
    <workbookView xWindow="-120" yWindow="-120" windowWidth="29040" windowHeight="15720" tabRatio="58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E7fIVYtwjdErPdNgOix/WT+Bfjydz1GU3waLKZKSvbk=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5" i="1" a="1"/>
  <c r="G5" i="1"/>
  <c r="G19" i="1"/>
  <c r="H19" i="1"/>
  <c r="F19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<sst xmlns="http://schemas.openxmlformats.org/spreadsheetml/2006/main" count="106" uniqueCount="93">
  <si>
    <t>LAPORAN DAFTAR HARGA BUKU</t>
  </si>
  <si>
    <t>PERIODE JULI 2023</t>
  </si>
  <si>
    <t>NO.</t>
  </si>
  <si>
    <t>KODE BUKU</t>
  </si>
  <si>
    <t>PENERBIT</t>
  </si>
  <si>
    <t xml:space="preserve">TAHUN </t>
  </si>
  <si>
    <t>JENIS BUKU</t>
  </si>
  <si>
    <t>HARGA ASAL</t>
  </si>
  <si>
    <t>DISKON</t>
  </si>
  <si>
    <t>HARGA BARU</t>
  </si>
  <si>
    <t>AL011987B</t>
  </si>
  <si>
    <t>EL051980C</t>
  </si>
  <si>
    <t>BA032004D</t>
  </si>
  <si>
    <t>AL012005B</t>
  </si>
  <si>
    <t>BP091997G</t>
  </si>
  <si>
    <t>EL052002C</t>
  </si>
  <si>
    <t>GM081989H</t>
  </si>
  <si>
    <t>AL011988B</t>
  </si>
  <si>
    <t>GA042005F</t>
  </si>
  <si>
    <t>AL011992J</t>
  </si>
  <si>
    <t>SE061986B</t>
  </si>
  <si>
    <t>MI051998C</t>
  </si>
  <si>
    <t>AO021999J</t>
  </si>
  <si>
    <t>EL051994I</t>
  </si>
  <si>
    <t>TOTAL</t>
  </si>
  <si>
    <t>TABEL PENERBIT</t>
  </si>
  <si>
    <t>TABEL JENIS BUKU</t>
  </si>
  <si>
    <t>TABEL HARGA</t>
  </si>
  <si>
    <t>KODE</t>
  </si>
  <si>
    <t xml:space="preserve">KODE </t>
  </si>
  <si>
    <t>HARGA</t>
  </si>
  <si>
    <t>AL</t>
  </si>
  <si>
    <t>Airlangga</t>
  </si>
  <si>
    <t>01</t>
  </si>
  <si>
    <t>Politik</t>
  </si>
  <si>
    <t>A</t>
  </si>
  <si>
    <t>AO</t>
  </si>
  <si>
    <t>Andi Offset</t>
  </si>
  <si>
    <t>02</t>
  </si>
  <si>
    <t>Ekonomi</t>
  </si>
  <si>
    <t>B</t>
  </si>
  <si>
    <t>BA</t>
  </si>
  <si>
    <t>Binarupa Aksara</t>
  </si>
  <si>
    <t>03</t>
  </si>
  <si>
    <t>Sosial</t>
  </si>
  <si>
    <t>C</t>
  </si>
  <si>
    <t>BP</t>
  </si>
  <si>
    <t>Balai Pustaka</t>
  </si>
  <si>
    <t>04</t>
  </si>
  <si>
    <t>Budaya</t>
  </si>
  <si>
    <t>D</t>
  </si>
  <si>
    <t>EL</t>
  </si>
  <si>
    <t>Elexmedia</t>
  </si>
  <si>
    <t>05</t>
  </si>
  <si>
    <t>Hukum</t>
  </si>
  <si>
    <t>E</t>
  </si>
  <si>
    <t>GA</t>
  </si>
  <si>
    <t>Gunung Agung</t>
  </si>
  <si>
    <t>06</t>
  </si>
  <si>
    <t>Agama</t>
  </si>
  <si>
    <t>F</t>
  </si>
  <si>
    <t>GM</t>
  </si>
  <si>
    <t>Griya Media</t>
  </si>
  <si>
    <t>07</t>
  </si>
  <si>
    <t>Musik</t>
  </si>
  <si>
    <t>G</t>
  </si>
  <si>
    <t>GR</t>
  </si>
  <si>
    <t>Gramedia</t>
  </si>
  <si>
    <t>08</t>
  </si>
  <si>
    <t>Olah Raga</t>
  </si>
  <si>
    <t>H</t>
  </si>
  <si>
    <t>MI</t>
  </si>
  <si>
    <t>Mizan</t>
  </si>
  <si>
    <t>09</t>
  </si>
  <si>
    <t>Sejarah</t>
  </si>
  <si>
    <t>I</t>
  </si>
  <si>
    <t>SE</t>
  </si>
  <si>
    <t>Salemba Empat</t>
  </si>
  <si>
    <t>10</t>
  </si>
  <si>
    <t>Teknik</t>
  </si>
  <si>
    <t>J</t>
  </si>
  <si>
    <t>11</t>
  </si>
  <si>
    <t>Bahasa</t>
  </si>
  <si>
    <t>KETERANGAN RUMUS :</t>
  </si>
  <si>
    <t>Penerbit = Diambil dari Tabel Penerbit dengan kode acuan Digit 1-2 pada kode buku</t>
  </si>
  <si>
    <t>Tahun = Digit 5-8 pada kode buku</t>
  </si>
  <si>
    <t xml:space="preserve">Jenis Buku = Diambil dari Tabel Jenis Buku dengan kode acuan Digit 3-4 </t>
  </si>
  <si>
    <t>Harga Asal = Diambil dari Tabel Harga dengan kode acuan Digit 9 pada kode buku</t>
  </si>
  <si>
    <t>Diskon = Diberikan dengan ketentuan :</t>
  </si>
  <si>
    <t>- Airlangga : 10% dari Harga Asal</t>
  </si>
  <si>
    <t>- Gunung Agung : 15% dari Harga Asal</t>
  </si>
  <si>
    <t>- Balai Pustaka : 20% dari Harga Asal</t>
  </si>
  <si>
    <t>Harga Baru = Harga Asal -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</si>
</sst>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&quot;Rp&quot;* #,##0_-;\-&quot;Rp&quot;* #,##0_-;_-&quot;Rp&quot;* &quot;-&quot;_-;_-@_-"/>
  </numFmts>
  <fonts count="7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5B3D7"/>
        <bgColor rgb="FF95B3D7"/>
      </patternFill>
    </fill>
    <fill>
      <patternFill patternType="solid">
        <fgColor rgb="FFB6DDE8"/>
        <bgColor rgb="FFB6DDE8"/>
      </patternFill>
    </fill>
    <fill>
      <patternFill patternType="solid">
        <fgColor rgb="FFD99594"/>
        <bgColor rgb="FFD9959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1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2" fillId="4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0" xfId="0" applyFont="1"/>
    <xf numFmtId="0" fontId="3" fillId="5" borderId="7" xfId="0" applyFont="1" applyFill="1" applyBorder="1"/>
    <xf numFmtId="0" fontId="3" fillId="6" borderId="7" xfId="0" applyFont="1" applyFill="1" applyBorder="1"/>
    <xf numFmtId="0" fontId="3" fillId="6" borderId="7" xfId="0" quotePrefix="1" applyFont="1" applyFill="1" applyBorder="1"/>
    <xf numFmtId="0" fontId="3" fillId="7" borderId="1" xfId="0" applyFont="1" applyFill="1" applyBorder="1"/>
    <xf numFmtId="164" fontId="3" fillId="7" borderId="1" xfId="1" applyFont="1" applyFill="1" applyBorder="1"/>
    <xf numFmtId="164" fontId="3" fillId="7" borderId="1" xfId="1" applyFont="1" applyFill="1" applyBorder="1" applyAlignment="1">
      <alignment horizontal="center"/>
    </xf>
    <xf numFmtId="164" fontId="2" fillId="7" borderId="6" xfId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G5" sqref="G5"/>
    </sheetView>
  </sheetViews>
  <sheetFormatPr defaultColWidth="14.42578125" defaultRowHeight="15" customHeight="1"/>
  <cols>
    <col min="1" max="1" width="4.42578125" customWidth="1"/>
    <col min="2" max="2" width="12.5703125" customWidth="1"/>
    <col min="3" max="3" width="17.28515625" customWidth="1"/>
    <col min="4" max="4" width="10.5703125" customWidth="1"/>
    <col min="5" max="5" width="15.28515625" customWidth="1"/>
    <col min="6" max="8" width="13.140625" customWidth="1"/>
    <col min="9" max="26" width="8.7109375" customWidth="1"/>
  </cols>
  <sheetData>
    <row r="1" spans="1:18" ht="21">
      <c r="A1" s="19" t="s">
        <v>0</v>
      </c>
      <c r="B1" s="20"/>
      <c r="C1" s="20"/>
      <c r="D1" s="20"/>
      <c r="E1" s="20"/>
      <c r="F1" s="20"/>
      <c r="G1" s="20"/>
      <c r="H1" s="20"/>
      <c r="I1" s="1"/>
      <c r="J1" s="1"/>
      <c r="K1" s="1"/>
    </row>
    <row r="2" spans="1:18" ht="21">
      <c r="A2" s="19" t="s">
        <v>1</v>
      </c>
      <c r="B2" s="20"/>
      <c r="C2" s="20"/>
      <c r="D2" s="20"/>
      <c r="E2" s="20"/>
      <c r="F2" s="20"/>
      <c r="G2" s="20"/>
      <c r="H2" s="20"/>
      <c r="I2" s="1"/>
      <c r="J2" s="1"/>
      <c r="K2" s="1"/>
    </row>
    <row r="4" spans="1: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J4" s="11" t="s">
        <v>83</v>
      </c>
    </row>
    <row r="5" spans="1:18">
      <c r="A5" s="3">
        <v>1</v>
      </c>
      <c r="B5" s="3" t="s">
        <v>10</v>
      </c>
      <c r="C5" s="4" t="str">
        <f>_xlfn.XLOOKUP(LEFT(B5,2),$B$23:$B$32,$C$23:$C$32)</f>
        <v>Airlangga</v>
      </c>
      <c r="D5" s="15" t="str">
        <f>(MID(B5,5,4))</f>
        <v>1987</v>
      </c>
      <c r="E5" s="15" t="str">
        <f>_xlfn.XLOOKUP(MID(B5,3,2),$E$23:$E$33,$F$23:$F$33)</f>
        <v>Politik</v>
      </c>
      <c r="F5" s="16">
        <f>_xlfn.XLOOKUP(RIGHT(B5,1),$H$23:$H$32,$I$23:$I$32)</f>
        <v>60200</v>
      </c>
      <c r="G5" s="17" cm="1">
        <f t="array" ref="G5">_xlfn.SWITCH(TRUE,C5="Airlangga",F5*10%,C5="Gunung Agung",F5*15%,C5="Balai Pustaka",F5*20%,,,0)</f>
        <v>6020</v>
      </c>
      <c r="H5" s="16">
        <f>F5-G5</f>
        <v>54180</v>
      </c>
      <c r="J5" s="12">
        <v>1</v>
      </c>
      <c r="K5" s="12" t="s">
        <v>84</v>
      </c>
      <c r="L5" s="12"/>
      <c r="M5" s="12"/>
      <c r="N5" s="12"/>
      <c r="O5" s="12"/>
      <c r="P5" s="12"/>
      <c r="Q5" s="12"/>
      <c r="R5" s="12"/>
    </row>
    <row r="6" spans="1:18">
      <c r="A6" s="3">
        <v>2</v>
      </c>
      <c r="B6" s="3" t="s">
        <v>11</v>
      </c>
      <c r="C6" s="4" t="str">
        <f t="shared" ref="C6:C18" si="0">_xlfn.XLOOKUP(LEFT(B6,2),$B$23:$B$32,$C$23:$C$32)</f>
        <v>Elexmedia</v>
      </c>
      <c r="D6" s="15" t="str">
        <f t="shared" ref="D6:D18" si="1">(MID(B6,5,4))</f>
        <v>1980</v>
      </c>
      <c r="E6" s="15" t="str">
        <f t="shared" ref="E6:E18" si="2">_xlfn.XLOOKUP(MID(B6,3,2),$E$23:$E$33,$F$23:$F$33)</f>
        <v>Hukum</v>
      </c>
      <c r="F6" s="16">
        <f t="shared" ref="F6:F18" si="3">_xlfn.XLOOKUP(RIGHT(B6,1),$H$23:$H$32,$I$23:$I$32)</f>
        <v>58600</v>
      </c>
      <c r="G6" s="17" cm="1">
        <f t="array" ref="G6">_xlfn.SWITCH(TRUE,C6="Airlangga",F6*10%,C6="Gunung Agung",F6*15%,C6="Balai Pustaka",F6*20%,,,0)</f>
        <v>0</v>
      </c>
      <c r="H6" s="16">
        <f t="shared" ref="H6:H18" si="4">F6-G6</f>
        <v>58600</v>
      </c>
      <c r="J6" s="12">
        <v>2</v>
      </c>
      <c r="K6" s="12" t="s">
        <v>85</v>
      </c>
      <c r="L6" s="12"/>
      <c r="M6" s="12"/>
      <c r="N6" s="12"/>
      <c r="O6" s="12"/>
      <c r="P6" s="12"/>
      <c r="Q6" s="12"/>
      <c r="R6" s="12"/>
    </row>
    <row r="7" spans="1:18">
      <c r="A7" s="3">
        <v>3</v>
      </c>
      <c r="B7" s="3" t="s">
        <v>12</v>
      </c>
      <c r="C7" s="4" t="str">
        <f t="shared" si="0"/>
        <v>Binarupa Aksara</v>
      </c>
      <c r="D7" s="15" t="str">
        <f t="shared" si="1"/>
        <v>2004</v>
      </c>
      <c r="E7" s="15" t="str">
        <f t="shared" si="2"/>
        <v>Sosial</v>
      </c>
      <c r="F7" s="16">
        <f t="shared" si="3"/>
        <v>53000</v>
      </c>
      <c r="G7" s="17" cm="1">
        <f t="array" ref="G7">_xlfn.SWITCH(TRUE,C7="Airlangga",F7*10%,C7="Gunung Agung",F7*15%,C7="Balai Pustaka",F7*20%,,,0)</f>
        <v>0</v>
      </c>
      <c r="H7" s="16">
        <f t="shared" si="4"/>
        <v>53000</v>
      </c>
      <c r="J7" s="12">
        <v>3</v>
      </c>
      <c r="K7" s="12" t="s">
        <v>86</v>
      </c>
      <c r="L7" s="12"/>
      <c r="M7" s="12"/>
      <c r="N7" s="12"/>
      <c r="O7" s="12"/>
      <c r="P7" s="12"/>
      <c r="Q7" s="12"/>
      <c r="R7" s="12"/>
    </row>
    <row r="8" spans="1:18">
      <c r="A8" s="3">
        <v>4</v>
      </c>
      <c r="B8" s="3" t="s">
        <v>13</v>
      </c>
      <c r="C8" s="4" t="str">
        <f t="shared" si="0"/>
        <v>Airlangga</v>
      </c>
      <c r="D8" s="15" t="str">
        <f t="shared" si="1"/>
        <v>2005</v>
      </c>
      <c r="E8" s="15" t="str">
        <f t="shared" si="2"/>
        <v>Politik</v>
      </c>
      <c r="F8" s="16">
        <f t="shared" si="3"/>
        <v>60200</v>
      </c>
      <c r="G8" s="17" cm="1">
        <f t="array" ref="G8">_xlfn.SWITCH(TRUE,C8="Airlangga",F8*10%,C8="Gunung Agung",F8*15%,C8="Balai Pustaka",F8*20%,,,0)</f>
        <v>6020</v>
      </c>
      <c r="H8" s="16">
        <f t="shared" si="4"/>
        <v>54180</v>
      </c>
      <c r="J8" s="13">
        <v>4</v>
      </c>
      <c r="K8" s="13" t="s">
        <v>87</v>
      </c>
      <c r="L8" s="13"/>
      <c r="M8" s="13"/>
      <c r="N8" s="13"/>
      <c r="O8" s="13"/>
      <c r="P8" s="13"/>
      <c r="Q8" s="13"/>
      <c r="R8" s="13"/>
    </row>
    <row r="9" spans="1:18">
      <c r="A9" s="3">
        <v>5</v>
      </c>
      <c r="B9" s="3" t="s">
        <v>14</v>
      </c>
      <c r="C9" s="4" t="str">
        <f t="shared" si="0"/>
        <v>Balai Pustaka</v>
      </c>
      <c r="D9" s="15" t="str">
        <f t="shared" si="1"/>
        <v>1997</v>
      </c>
      <c r="E9" s="15" t="str">
        <f t="shared" si="2"/>
        <v>Sejarah</v>
      </c>
      <c r="F9" s="16">
        <f t="shared" si="3"/>
        <v>39200</v>
      </c>
      <c r="G9" s="17" cm="1">
        <f t="array" ref="G9">_xlfn.SWITCH(TRUE,C9="Airlangga",F9*10%,C9="Gunung Agung",F9*15%,C9="Balai Pustaka",F9*20%,,,0)</f>
        <v>7840</v>
      </c>
      <c r="H9" s="16">
        <f t="shared" si="4"/>
        <v>31360</v>
      </c>
      <c r="J9" s="13">
        <v>5</v>
      </c>
      <c r="K9" s="13" t="s">
        <v>88</v>
      </c>
      <c r="L9" s="13"/>
      <c r="M9" s="13"/>
      <c r="N9" s="13"/>
      <c r="O9" s="13"/>
      <c r="P9" s="13"/>
      <c r="Q9" s="13"/>
      <c r="R9" s="13"/>
    </row>
    <row r="10" spans="1:18">
      <c r="A10" s="3">
        <v>6</v>
      </c>
      <c r="B10" s="3" t="s">
        <v>15</v>
      </c>
      <c r="C10" s="4" t="str">
        <f t="shared" si="0"/>
        <v>Elexmedia</v>
      </c>
      <c r="D10" s="15" t="str">
        <f t="shared" si="1"/>
        <v>2002</v>
      </c>
      <c r="E10" s="15" t="str">
        <f t="shared" si="2"/>
        <v>Hukum</v>
      </c>
      <c r="F10" s="16">
        <f t="shared" si="3"/>
        <v>58600</v>
      </c>
      <c r="G10" s="17" cm="1">
        <f t="array" ref="G10">_xlfn.SWITCH(TRUE,C10="Airlangga",F10*10%,C10="Gunung Agung",F10*15%,C10="Balai Pustaka",F10*20%,,,0)</f>
        <v>0</v>
      </c>
      <c r="H10" s="16">
        <f t="shared" si="4"/>
        <v>58600</v>
      </c>
      <c r="J10" s="13"/>
      <c r="K10" s="14" t="s">
        <v>89</v>
      </c>
      <c r="L10" s="13"/>
      <c r="M10" s="13"/>
      <c r="N10" s="13"/>
      <c r="O10" s="13"/>
      <c r="P10" s="13"/>
      <c r="Q10" s="13"/>
      <c r="R10" s="13"/>
    </row>
    <row r="11" spans="1:18">
      <c r="A11" s="3">
        <v>7</v>
      </c>
      <c r="B11" s="3" t="s">
        <v>16</v>
      </c>
      <c r="C11" s="4" t="str">
        <f t="shared" si="0"/>
        <v>Griya Media</v>
      </c>
      <c r="D11" s="15" t="str">
        <f t="shared" si="1"/>
        <v>1989</v>
      </c>
      <c r="E11" s="15" t="str">
        <f t="shared" si="2"/>
        <v>Olah Raga</v>
      </c>
      <c r="F11" s="16">
        <f t="shared" si="3"/>
        <v>34600</v>
      </c>
      <c r="G11" s="17" cm="1">
        <f t="array" ref="G11">_xlfn.SWITCH(TRUE,C11="Airlangga",F11*10%,C11="Gunung Agung",F11*15%,C11="Balai Pustaka",F11*20%,,,0)</f>
        <v>0</v>
      </c>
      <c r="H11" s="16">
        <f t="shared" si="4"/>
        <v>34600</v>
      </c>
      <c r="J11" s="13"/>
      <c r="K11" s="14" t="s">
        <v>90</v>
      </c>
      <c r="L11" s="13"/>
      <c r="M11" s="13"/>
      <c r="N11" s="13"/>
      <c r="O11" s="13"/>
      <c r="P11" s="13"/>
      <c r="Q11" s="13"/>
      <c r="R11" s="13"/>
    </row>
    <row r="12" spans="1:18">
      <c r="A12" s="3">
        <v>8</v>
      </c>
      <c r="B12" s="3" t="s">
        <v>17</v>
      </c>
      <c r="C12" s="4" t="str">
        <f t="shared" si="0"/>
        <v>Airlangga</v>
      </c>
      <c r="D12" s="15" t="str">
        <f t="shared" si="1"/>
        <v>1988</v>
      </c>
      <c r="E12" s="15" t="str">
        <f t="shared" si="2"/>
        <v>Politik</v>
      </c>
      <c r="F12" s="16">
        <f t="shared" si="3"/>
        <v>60200</v>
      </c>
      <c r="G12" s="17" cm="1">
        <f t="array" ref="G12">_xlfn.SWITCH(TRUE,C12="Airlangga",F12*10%,C12="Gunung Agung",F12*15%,C12="Balai Pustaka",F12*20%,,,0)</f>
        <v>6020</v>
      </c>
      <c r="H12" s="16">
        <f t="shared" si="4"/>
        <v>54180</v>
      </c>
      <c r="J12" s="13"/>
      <c r="K12" s="14" t="s">
        <v>91</v>
      </c>
      <c r="L12" s="13"/>
      <c r="M12" s="13"/>
      <c r="N12" s="13"/>
      <c r="O12" s="13"/>
      <c r="P12" s="13"/>
      <c r="Q12" s="13"/>
      <c r="R12" s="13"/>
    </row>
    <row r="13" spans="1:18">
      <c r="A13" s="3">
        <v>9</v>
      </c>
      <c r="B13" s="3" t="s">
        <v>18</v>
      </c>
      <c r="C13" s="4" t="str">
        <f t="shared" si="0"/>
        <v>Gunung Agung</v>
      </c>
      <c r="D13" s="15" t="str">
        <f t="shared" si="1"/>
        <v>2005</v>
      </c>
      <c r="E13" s="15" t="str">
        <f t="shared" si="2"/>
        <v>Budaya</v>
      </c>
      <c r="F13" s="16">
        <f t="shared" si="3"/>
        <v>43800</v>
      </c>
      <c r="G13" s="17" cm="1">
        <f t="array" ref="G13">_xlfn.SWITCH(TRUE,C13="Airlangga",F13*10%,C13="Gunung Agung",F13*15%,C13="Balai Pustaka",F13*20%,,,0)</f>
        <v>6570</v>
      </c>
      <c r="H13" s="16">
        <f t="shared" si="4"/>
        <v>37230</v>
      </c>
      <c r="J13" s="13">
        <v>6</v>
      </c>
      <c r="K13" s="13" t="s">
        <v>92</v>
      </c>
      <c r="L13" s="13"/>
      <c r="M13" s="13"/>
      <c r="N13" s="13"/>
      <c r="O13" s="13"/>
      <c r="P13" s="13"/>
      <c r="Q13" s="13"/>
      <c r="R13" s="13"/>
    </row>
    <row r="14" spans="1:18">
      <c r="A14" s="3">
        <v>10</v>
      </c>
      <c r="B14" s="3" t="s">
        <v>19</v>
      </c>
      <c r="C14" s="4" t="str">
        <f t="shared" si="0"/>
        <v>Airlangga</v>
      </c>
      <c r="D14" s="15" t="str">
        <f t="shared" si="1"/>
        <v>1992</v>
      </c>
      <c r="E14" s="15" t="str">
        <f t="shared" si="2"/>
        <v>Politik</v>
      </c>
      <c r="F14" s="16">
        <f t="shared" si="3"/>
        <v>25400</v>
      </c>
      <c r="G14" s="17" cm="1">
        <f t="array" ref="G14">_xlfn.SWITCH(TRUE,C14="Airlangga",F14*10%,C14="Gunung Agung",F14*15%,C14="Balai Pustaka",F14*20%,,,0)</f>
        <v>2540</v>
      </c>
      <c r="H14" s="16">
        <f t="shared" si="4"/>
        <v>22860</v>
      </c>
    </row>
    <row r="15" spans="1:18">
      <c r="A15" s="3">
        <v>11</v>
      </c>
      <c r="B15" s="3" t="s">
        <v>20</v>
      </c>
      <c r="C15" s="4" t="str">
        <f t="shared" si="0"/>
        <v>Salemba Empat</v>
      </c>
      <c r="D15" s="15" t="str">
        <f t="shared" si="1"/>
        <v>1986</v>
      </c>
      <c r="E15" s="15" t="str">
        <f t="shared" si="2"/>
        <v>Agama</v>
      </c>
      <c r="F15" s="16">
        <f t="shared" si="3"/>
        <v>60200</v>
      </c>
      <c r="G15" s="17" cm="1">
        <f t="array" ref="G15">_xlfn.SWITCH(TRUE,C15="Airlangga",F15*10%,C15="Gunung Agung",F15*15%,C15="Balai Pustaka",F15*20%,,,0)</f>
        <v>0</v>
      </c>
      <c r="H15" s="16">
        <f t="shared" si="4"/>
        <v>60200</v>
      </c>
    </row>
    <row r="16" spans="1:18">
      <c r="A16" s="3">
        <v>12</v>
      </c>
      <c r="B16" s="3" t="s">
        <v>21</v>
      </c>
      <c r="C16" s="4" t="str">
        <f t="shared" si="0"/>
        <v>Mizan</v>
      </c>
      <c r="D16" s="15" t="str">
        <f t="shared" si="1"/>
        <v>1998</v>
      </c>
      <c r="E16" s="15" t="str">
        <f t="shared" si="2"/>
        <v>Hukum</v>
      </c>
      <c r="F16" s="16">
        <f t="shared" si="3"/>
        <v>58600</v>
      </c>
      <c r="G16" s="17" cm="1">
        <f t="array" ref="G16">_xlfn.SWITCH(TRUE,C16="Airlangga",F16*10%,C16="Gunung Agung",F16*15%,C16="Balai Pustaka",F16*20%,,,0)</f>
        <v>0</v>
      </c>
      <c r="H16" s="16">
        <f t="shared" si="4"/>
        <v>58600</v>
      </c>
    </row>
    <row r="17" spans="1:9">
      <c r="A17" s="3">
        <v>13</v>
      </c>
      <c r="B17" s="3" t="s">
        <v>22</v>
      </c>
      <c r="C17" s="4" t="str">
        <f t="shared" si="0"/>
        <v>Andi Offset</v>
      </c>
      <c r="D17" s="15" t="str">
        <f t="shared" si="1"/>
        <v>1999</v>
      </c>
      <c r="E17" s="15" t="str">
        <f t="shared" si="2"/>
        <v>Ekonomi</v>
      </c>
      <c r="F17" s="16">
        <f t="shared" si="3"/>
        <v>25400</v>
      </c>
      <c r="G17" s="17" cm="1">
        <f t="array" ref="G17">_xlfn.SWITCH(TRUE,C17="Airlangga",F17*10%,C17="Gunung Agung",F17*15%,C17="Balai Pustaka",F17*20%,,,0)</f>
        <v>0</v>
      </c>
      <c r="H17" s="16">
        <f t="shared" si="4"/>
        <v>25400</v>
      </c>
    </row>
    <row r="18" spans="1:9">
      <c r="A18" s="3">
        <v>14</v>
      </c>
      <c r="B18" s="6" t="s">
        <v>23</v>
      </c>
      <c r="C18" s="4" t="str">
        <f t="shared" si="0"/>
        <v>Elexmedia</v>
      </c>
      <c r="D18" s="15" t="str">
        <f t="shared" si="1"/>
        <v>1994</v>
      </c>
      <c r="E18" s="15" t="str">
        <f t="shared" si="2"/>
        <v>Hukum</v>
      </c>
      <c r="F18" s="16">
        <f t="shared" si="3"/>
        <v>30000</v>
      </c>
      <c r="G18" s="17" cm="1">
        <f t="array" ref="G18">_xlfn.SWITCH(TRUE,C18="Airlangga",F18*10%,C18="Gunung Agung",F18*15%,C18="Balai Pustaka",F18*20%,,,0)</f>
        <v>0</v>
      </c>
      <c r="H18" s="16">
        <f t="shared" si="4"/>
        <v>30000</v>
      </c>
    </row>
    <row r="19" spans="1:9">
      <c r="A19" s="21" t="s">
        <v>24</v>
      </c>
      <c r="B19" s="22"/>
      <c r="C19" s="22"/>
      <c r="D19" s="22"/>
      <c r="E19" s="23"/>
      <c r="F19" s="18">
        <f>SUM(F5:F18)</f>
        <v>668000</v>
      </c>
      <c r="G19" s="18">
        <f t="shared" ref="G19:H19" si="5">SUM(G5:G18)</f>
        <v>35010</v>
      </c>
      <c r="H19" s="18">
        <f t="shared" si="5"/>
        <v>632990</v>
      </c>
    </row>
    <row r="21" spans="1:9" ht="15.75" customHeight="1">
      <c r="B21" s="7" t="s">
        <v>25</v>
      </c>
      <c r="E21" s="7" t="s">
        <v>26</v>
      </c>
      <c r="H21" s="7" t="s">
        <v>27</v>
      </c>
    </row>
    <row r="22" spans="1:9" ht="15.75" customHeight="1">
      <c r="B22" s="8" t="s">
        <v>28</v>
      </c>
      <c r="C22" s="8" t="s">
        <v>4</v>
      </c>
      <c r="E22" s="8" t="s">
        <v>29</v>
      </c>
      <c r="F22" s="8" t="s">
        <v>6</v>
      </c>
      <c r="H22" s="8" t="s">
        <v>29</v>
      </c>
      <c r="I22" s="8" t="s">
        <v>30</v>
      </c>
    </row>
    <row r="23" spans="1:9" ht="15.75" customHeight="1">
      <c r="B23" s="3" t="s">
        <v>31</v>
      </c>
      <c r="C23" s="4" t="s">
        <v>32</v>
      </c>
      <c r="E23" s="9" t="s">
        <v>33</v>
      </c>
      <c r="F23" s="10" t="s">
        <v>34</v>
      </c>
      <c r="H23" s="3" t="s">
        <v>35</v>
      </c>
      <c r="I23" s="5">
        <v>67800</v>
      </c>
    </row>
    <row r="24" spans="1:9" ht="15.75" customHeight="1">
      <c r="B24" s="3" t="s">
        <v>36</v>
      </c>
      <c r="C24" s="4" t="s">
        <v>37</v>
      </c>
      <c r="E24" s="9" t="s">
        <v>38</v>
      </c>
      <c r="F24" s="10" t="s">
        <v>39</v>
      </c>
      <c r="H24" s="3" t="s">
        <v>40</v>
      </c>
      <c r="I24" s="5">
        <v>60200</v>
      </c>
    </row>
    <row r="25" spans="1:9" ht="15.75" customHeight="1">
      <c r="B25" s="3" t="s">
        <v>41</v>
      </c>
      <c r="C25" s="4" t="s">
        <v>42</v>
      </c>
      <c r="E25" s="9" t="s">
        <v>43</v>
      </c>
      <c r="F25" s="10" t="s">
        <v>44</v>
      </c>
      <c r="H25" s="3" t="s">
        <v>45</v>
      </c>
      <c r="I25" s="5">
        <v>58600</v>
      </c>
    </row>
    <row r="26" spans="1:9" ht="15.75" customHeight="1">
      <c r="B26" s="3" t="s">
        <v>46</v>
      </c>
      <c r="C26" s="4" t="s">
        <v>47</v>
      </c>
      <c r="E26" s="9" t="s">
        <v>48</v>
      </c>
      <c r="F26" s="10" t="s">
        <v>49</v>
      </c>
      <c r="H26" s="3" t="s">
        <v>50</v>
      </c>
      <c r="I26" s="5">
        <v>53000</v>
      </c>
    </row>
    <row r="27" spans="1:9" ht="15.75" customHeight="1">
      <c r="B27" s="3" t="s">
        <v>51</v>
      </c>
      <c r="C27" s="4" t="s">
        <v>52</v>
      </c>
      <c r="E27" s="9" t="s">
        <v>53</v>
      </c>
      <c r="F27" s="10" t="s">
        <v>54</v>
      </c>
      <c r="H27" s="3" t="s">
        <v>55</v>
      </c>
      <c r="I27" s="5">
        <v>48400</v>
      </c>
    </row>
    <row r="28" spans="1:9" ht="15.75" customHeight="1">
      <c r="B28" s="3" t="s">
        <v>56</v>
      </c>
      <c r="C28" s="4" t="s">
        <v>57</v>
      </c>
      <c r="E28" s="9" t="s">
        <v>58</v>
      </c>
      <c r="F28" s="10" t="s">
        <v>59</v>
      </c>
      <c r="H28" s="3" t="s">
        <v>60</v>
      </c>
      <c r="I28" s="5">
        <v>43800</v>
      </c>
    </row>
    <row r="29" spans="1:9" ht="15.75" customHeight="1">
      <c r="B29" s="3" t="s">
        <v>61</v>
      </c>
      <c r="C29" s="4" t="s">
        <v>62</v>
      </c>
      <c r="E29" s="9" t="s">
        <v>63</v>
      </c>
      <c r="F29" s="10" t="s">
        <v>64</v>
      </c>
      <c r="H29" s="3" t="s">
        <v>65</v>
      </c>
      <c r="I29" s="5">
        <v>39200</v>
      </c>
    </row>
    <row r="30" spans="1:9" ht="15.75" customHeight="1">
      <c r="B30" s="3" t="s">
        <v>66</v>
      </c>
      <c r="C30" s="4" t="s">
        <v>67</v>
      </c>
      <c r="E30" s="9" t="s">
        <v>68</v>
      </c>
      <c r="F30" s="10" t="s">
        <v>69</v>
      </c>
      <c r="H30" s="3" t="s">
        <v>70</v>
      </c>
      <c r="I30" s="5">
        <v>34600</v>
      </c>
    </row>
    <row r="31" spans="1:9" ht="15.75" customHeight="1">
      <c r="B31" s="3" t="s">
        <v>71</v>
      </c>
      <c r="C31" s="4" t="s">
        <v>72</v>
      </c>
      <c r="E31" s="9" t="s">
        <v>73</v>
      </c>
      <c r="F31" s="10" t="s">
        <v>74</v>
      </c>
      <c r="H31" s="3" t="s">
        <v>75</v>
      </c>
      <c r="I31" s="5">
        <v>30000</v>
      </c>
    </row>
    <row r="32" spans="1:9" ht="15.75" customHeight="1">
      <c r="B32" s="3" t="s">
        <v>76</v>
      </c>
      <c r="C32" s="4" t="s">
        <v>77</v>
      </c>
      <c r="E32" s="9" t="s">
        <v>78</v>
      </c>
      <c r="F32" s="10" t="s">
        <v>79</v>
      </c>
      <c r="H32" s="3" t="s">
        <v>80</v>
      </c>
      <c r="I32" s="5">
        <v>25400</v>
      </c>
    </row>
    <row r="33" spans="1:9" ht="15.75" customHeight="1">
      <c r="E33" s="9" t="s">
        <v>81</v>
      </c>
      <c r="F33" s="10" t="s">
        <v>82</v>
      </c>
    </row>
    <row r="34" spans="1:9" ht="15.75" customHeight="1"/>
    <row r="35" spans="1:9" ht="15.75" customHeight="1"/>
    <row r="36" spans="1:9" ht="15.75" customHeight="1">
      <c r="A36" s="11" t="s">
        <v>83</v>
      </c>
    </row>
    <row r="37" spans="1:9" ht="15.75" customHeight="1">
      <c r="A37" s="12">
        <v>1</v>
      </c>
      <c r="B37" s="12" t="s">
        <v>84</v>
      </c>
      <c r="C37" s="12"/>
      <c r="D37" s="12"/>
      <c r="E37" s="12"/>
      <c r="F37" s="12"/>
      <c r="G37" s="12"/>
      <c r="H37" s="12"/>
      <c r="I37" s="12"/>
    </row>
    <row r="38" spans="1:9" ht="15.75" customHeight="1">
      <c r="A38" s="12">
        <v>2</v>
      </c>
      <c r="B38" s="12" t="s">
        <v>85</v>
      </c>
      <c r="C38" s="12"/>
      <c r="D38" s="12"/>
      <c r="E38" s="12"/>
      <c r="F38" s="12"/>
      <c r="G38" s="12"/>
      <c r="H38" s="12"/>
      <c r="I38" s="12"/>
    </row>
    <row r="39" spans="1:9" ht="15.75" customHeight="1">
      <c r="A39" s="12">
        <v>3</v>
      </c>
      <c r="B39" s="12" t="s">
        <v>86</v>
      </c>
      <c r="C39" s="12"/>
      <c r="D39" s="12"/>
      <c r="E39" s="12"/>
      <c r="F39" s="12"/>
      <c r="G39" s="12"/>
      <c r="H39" s="12"/>
      <c r="I39" s="12"/>
    </row>
    <row r="40" spans="1:9" ht="15.75" customHeight="1">
      <c r="A40" s="13">
        <v>4</v>
      </c>
      <c r="B40" s="13" t="s">
        <v>87</v>
      </c>
      <c r="C40" s="13"/>
      <c r="D40" s="13"/>
      <c r="E40" s="13"/>
      <c r="F40" s="13"/>
      <c r="G40" s="13"/>
      <c r="H40" s="13"/>
      <c r="I40" s="13"/>
    </row>
    <row r="41" spans="1:9" ht="15.75" customHeight="1">
      <c r="A41" s="13">
        <v>5</v>
      </c>
      <c r="B41" s="13" t="s">
        <v>88</v>
      </c>
      <c r="C41" s="13"/>
      <c r="D41" s="13"/>
      <c r="E41" s="13"/>
      <c r="F41" s="13"/>
      <c r="G41" s="13"/>
      <c r="H41" s="13"/>
      <c r="I41" s="13"/>
    </row>
    <row r="42" spans="1:9" ht="15.75" customHeight="1">
      <c r="A42" s="13"/>
      <c r="B42" s="14" t="s">
        <v>89</v>
      </c>
      <c r="C42" s="13"/>
      <c r="D42" s="13"/>
      <c r="E42" s="13"/>
      <c r="F42" s="13"/>
      <c r="G42" s="13"/>
      <c r="H42" s="13"/>
      <c r="I42" s="13"/>
    </row>
    <row r="43" spans="1:9" ht="15.75" customHeight="1">
      <c r="A43" s="13"/>
      <c r="B43" s="14" t="s">
        <v>90</v>
      </c>
      <c r="C43" s="13"/>
      <c r="D43" s="13"/>
      <c r="E43" s="13"/>
      <c r="F43" s="13"/>
      <c r="G43" s="13"/>
      <c r="H43" s="13"/>
      <c r="I43" s="13"/>
    </row>
    <row r="44" spans="1:9" ht="15.75" customHeight="1">
      <c r="A44" s="13"/>
      <c r="B44" s="14" t="s">
        <v>91</v>
      </c>
      <c r="C44" s="13"/>
      <c r="D44" s="13"/>
      <c r="E44" s="13"/>
      <c r="F44" s="13"/>
      <c r="G44" s="13"/>
      <c r="H44" s="13"/>
      <c r="I44" s="13"/>
    </row>
    <row r="45" spans="1:9" ht="15.75" customHeight="1">
      <c r="A45" s="13">
        <v>6</v>
      </c>
      <c r="B45" s="13" t="s">
        <v>92</v>
      </c>
      <c r="C45" s="13"/>
      <c r="D45" s="13"/>
      <c r="E45" s="13"/>
      <c r="F45" s="13"/>
      <c r="G45" s="13"/>
      <c r="H45" s="13"/>
      <c r="I45" s="13"/>
    </row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9:E1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Hasamitra</dc:creator>
  <cp:lastModifiedBy>naufalizzudin36@gmail.com</cp:lastModifiedBy>
  <dcterms:created xsi:type="dcterms:W3CDTF">2018-07-28T01:12:56Z</dcterms:created>
  <dcterms:modified xsi:type="dcterms:W3CDTF">2026-03-03T01:58:29Z</dcterms:modified>
</cp:coreProperties>
</file>