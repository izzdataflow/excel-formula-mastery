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\Excel\Training\Excel Test - Basic 2\"/>
    </mc:Choice>
  </mc:AlternateContent>
  <xr:revisionPtr revIDLastSave="0" documentId="13_ncr:1_{9364BD1D-BEF0-4D8A-814C-0B0CD7848D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7s/yauoarzutLtvRy1IyAkcuVl8T6NMdNQIP4K5kxJQ="/>
    </ext>
  </extLst>
</workbook>
</file>

<file path=xl/calcChain.xml><?xml version="1.0" encoding="utf-8"?>
<calcChain xmlns="http://schemas.openxmlformats.org/spreadsheetml/2006/main">
  <c r="D23" i="1" l="1"/>
  <c r="D24" i="1"/>
  <c r="D25" i="1"/>
  <c r="D26" i="1"/>
  <c r="D27" i="1"/>
  <c r="I19" i="1"/>
  <c r="J19" i="1"/>
  <c r="K19" i="1"/>
  <c r="H19" i="1"/>
  <c r="G19" i="1"/>
  <c r="G18" i="1"/>
  <c r="I18" i="1"/>
  <c r="J18" i="1"/>
  <c r="K18" i="1"/>
  <c r="H18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3" i="1"/>
  <c r="J4" i="1" a="1"/>
  <c r="J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/>
  <c r="J3" i="1" a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<sst xmlns="http://schemas.openxmlformats.org/spreadsheetml/2006/main" count="99" uniqueCount="45">
  <si>
    <t>No</t>
  </si>
  <si>
    <t>Tanggal</t>
  </si>
  <si>
    <t>Kode Pelanggan</t>
  </si>
  <si>
    <t>Nama Pelanggan</t>
  </si>
  <si>
    <t>Kode Produk</t>
  </si>
  <si>
    <t>Nama Produk</t>
  </si>
  <si>
    <t>Qty</t>
  </si>
  <si>
    <t>Harga Satuan</t>
  </si>
  <si>
    <t>Total Penjualan</t>
  </si>
  <si>
    <t>Diskon</t>
  </si>
  <si>
    <t>Penjualan Bersih</t>
  </si>
  <si>
    <t>P-002</t>
  </si>
  <si>
    <t>B003</t>
  </si>
  <si>
    <t>P-001</t>
  </si>
  <si>
    <t>B004</t>
  </si>
  <si>
    <t>P-003</t>
  </si>
  <si>
    <t>B002</t>
  </si>
  <si>
    <t>B005</t>
  </si>
  <si>
    <t>B001</t>
  </si>
  <si>
    <t>Total</t>
  </si>
  <si>
    <t>Rata-Rata</t>
  </si>
  <si>
    <t>Total Penjualan Per Produk</t>
  </si>
  <si>
    <t>Daftar Pelanggan</t>
  </si>
  <si>
    <t>Kode</t>
  </si>
  <si>
    <t>Nama</t>
  </si>
  <si>
    <t>Total Penjualan Bersih</t>
  </si>
  <si>
    <t>Detergen</t>
  </si>
  <si>
    <t>Toko Cemerlang</t>
  </si>
  <si>
    <t>Toko Bagus</t>
  </si>
  <si>
    <t>Toko Bahagia</t>
  </si>
  <si>
    <t>Sabun Cuci Piring</t>
  </si>
  <si>
    <t>Pembersih Lantai</t>
  </si>
  <si>
    <t>Daftar Produk</t>
  </si>
  <si>
    <t>Pewangi Pakaian</t>
  </si>
  <si>
    <t>Minyak Goreng</t>
  </si>
  <si>
    <t>Soal</t>
  </si>
  <si>
    <t>Isi Nama Pelanggan berdasarkan tabel Daftar Pelanggan</t>
  </si>
  <si>
    <t>Isi Nama Produk dan Harga Satuan berdasarkan tabel Daftar Produk</t>
  </si>
  <si>
    <t>Total Penjualan adalah Qty dikali Harga Satuan</t>
  </si>
  <si>
    <t>Isi Diskon, jika Qty diatas 10 maka diskon 2%, jika diatas 20 maka 5% dari Total Penjualan</t>
  </si>
  <si>
    <t>Penjualan Bersih adalah Total Penjualan dikurangi Diskon</t>
  </si>
  <si>
    <t>Totalkan semua Qty dan Penjualan Bersih</t>
  </si>
  <si>
    <t>Rata-Ratakan semua Qty dan Penjualan Bersih</t>
  </si>
  <si>
    <t>Totalkan semua Penjualan Bersih per Produk</t>
  </si>
  <si>
    <t>DAFTAR PENJUALAN PT. SABIL BAHAGIA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</si>
</sst>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p&quot;* #,##0_-;\-&quot;Rp&quot;* #,##0_-;_-&quot;Rp&quot;* &quot;-&quot;_-;_-@_-"/>
    <numFmt numFmtId="165" formatCode="_-[$Rp-421]* #,##0_-;\-[$Rp-421]* #,##0_-;_-[$Rp-421]* &quot;-&quot;_-;_-@"/>
    <numFmt numFmtId="166" formatCode="_(* #,##0_);_(* \(#,##0\);_(* &quot;-&quot;??_);_(@_)"/>
  </numFmts>
  <fonts count="8" x14ac:knownFonts="1">
    <font>
      <sz val="11"/>
      <color theme="1"/>
      <name val="Calibri"/>
      <scheme val="minor"/>
    </font>
    <font>
      <b/>
      <sz val="16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CFDE9"/>
        <bgColor rgb="FFFCFDE9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0" fontId="4" fillId="3" borderId="1" xfId="0" applyFont="1" applyFill="1" applyBorder="1"/>
    <xf numFmtId="165" fontId="4" fillId="3" borderId="1" xfId="0" applyNumberFormat="1" applyFont="1" applyFill="1" applyBorder="1"/>
    <xf numFmtId="165" fontId="4" fillId="0" borderId="0" xfId="0" applyNumberFormat="1" applyFont="1"/>
    <xf numFmtId="0" fontId="3" fillId="0" borderId="0" xfId="0" applyFont="1" applyAlignment="1">
      <alignment horizontal="center"/>
    </xf>
    <xf numFmtId="0" fontId="3" fillId="4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166" fontId="4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166" fontId="4" fillId="0" borderId="0" xfId="0" applyNumberFormat="1" applyFont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vertical="center"/>
    </xf>
    <xf numFmtId="164" fontId="4" fillId="3" borderId="1" xfId="1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165" fontId="4" fillId="3" borderId="8" xfId="0" applyNumberFormat="1" applyFont="1" applyFill="1" applyBorder="1"/>
    <xf numFmtId="0" fontId="4" fillId="3" borderId="8" xfId="0" applyFont="1" applyFill="1" applyBorder="1"/>
    <xf numFmtId="1" fontId="4" fillId="3" borderId="8" xfId="0" applyNumberFormat="1" applyFon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2" xfId="0" applyFont="1" applyBorder="1" applyAlignment="1">
      <alignment horizontal="right"/>
    </xf>
    <xf numFmtId="0" fontId="5" fillId="0" borderId="3" xfId="0" applyFont="1" applyBorder="1"/>
    <xf numFmtId="0" fontId="5" fillId="0" borderId="6" xfId="0" applyFont="1" applyBorder="1"/>
    <xf numFmtId="0" fontId="3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/>
    </xf>
    <xf numFmtId="0" fontId="5" fillId="6" borderId="3" xfId="0" applyFont="1" applyFill="1" applyBorder="1"/>
    <xf numFmtId="0" fontId="5" fillId="6" borderId="4" xfId="0" applyFont="1" applyFill="1" applyBorder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23" sqref="D23"/>
    </sheetView>
  </sheetViews>
  <sheetFormatPr defaultColWidth="14.42578125" defaultRowHeight="15" customHeight="1" x14ac:dyDescent="0.25"/>
  <cols>
    <col min="1" max="1" width="3.28515625" customWidth="1"/>
    <col min="2" max="2" width="8.140625" customWidth="1"/>
    <col min="3" max="3" width="16.42578125" customWidth="1"/>
    <col min="4" max="4" width="15.85546875" customWidth="1"/>
    <col min="5" max="5" width="10.85546875" customWidth="1"/>
    <col min="6" max="6" width="17.28515625" customWidth="1"/>
    <col min="7" max="7" width="15.42578125" customWidth="1"/>
    <col min="8" max="8" width="16.42578125" customWidth="1"/>
    <col min="9" max="9" width="13.28515625" customWidth="1"/>
    <col min="10" max="10" width="16.42578125" customWidth="1"/>
    <col min="11" max="11" width="16" customWidth="1"/>
    <col min="12" max="12" width="7.28515625" customWidth="1"/>
    <col min="13" max="13" width="4.7109375" bestFit="1" customWidth="1"/>
    <col min="14" max="14" width="80.5703125" bestFit="1" customWidth="1"/>
    <col min="15" max="15" width="12.28515625" bestFit="1" customWidth="1"/>
    <col min="16" max="16" width="12" bestFit="1" customWidth="1"/>
    <col min="17" max="26" width="8.7109375" customWidth="1"/>
  </cols>
  <sheetData>
    <row r="1" spans="1:26" ht="19.5" customHeight="1" x14ac:dyDescent="0.25">
      <c r="A1" s="32" t="s">
        <v>44</v>
      </c>
      <c r="B1" s="33"/>
      <c r="C1" s="33"/>
      <c r="D1" s="33"/>
      <c r="E1" s="33"/>
      <c r="F1" s="33"/>
      <c r="G1" s="33"/>
      <c r="H1" s="33"/>
      <c r="I1" s="33"/>
      <c r="J1" s="33"/>
      <c r="K1" s="33"/>
      <c r="M1" s="1"/>
    </row>
    <row r="2" spans="1:26" ht="27" customHeight="1" x14ac:dyDescent="0.25">
      <c r="A2" s="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7</v>
      </c>
      <c r="I2" s="3" t="s">
        <v>8</v>
      </c>
      <c r="J2" s="2" t="s">
        <v>9</v>
      </c>
      <c r="K2" s="3" t="s">
        <v>10</v>
      </c>
      <c r="L2" s="4"/>
      <c r="M2" s="37" t="s">
        <v>22</v>
      </c>
      <c r="N2" s="38"/>
      <c r="O2" s="38"/>
      <c r="P2" s="39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5">
        <v>1</v>
      </c>
      <c r="B3" s="6">
        <v>45139</v>
      </c>
      <c r="C3" s="5" t="s">
        <v>11</v>
      </c>
      <c r="D3" s="7" t="str">
        <f>INDEX($N$4:$P$4,MATCH(C3,$N$3:$P$3))</f>
        <v>Toko Bagus</v>
      </c>
      <c r="E3" s="5" t="s">
        <v>12</v>
      </c>
      <c r="F3" s="7" t="str">
        <f>_xlfn.XLOOKUP(E3,$M$8:$M$12,$N$8:$N$12)</f>
        <v>Pembersih Lantai</v>
      </c>
      <c r="G3" s="5">
        <v>2</v>
      </c>
      <c r="H3" s="8">
        <f>INDEX($O$8:$O$12,MATCH(F3,$N$8:$N$12))</f>
        <v>30200</v>
      </c>
      <c r="I3" s="8">
        <f>H3*G3</f>
        <v>60400</v>
      </c>
      <c r="J3" s="27" cm="1">
        <f t="array" ref="J3">_xlfn.SWITCH(TRUE,G3&gt;10,I1*2%,G3&gt;20,I1*5%,0)</f>
        <v>0</v>
      </c>
      <c r="K3" s="8">
        <f>I3-J3</f>
        <v>60400</v>
      </c>
      <c r="M3" s="14" t="s">
        <v>23</v>
      </c>
      <c r="N3" s="16" t="s">
        <v>13</v>
      </c>
      <c r="O3" s="16" t="s">
        <v>11</v>
      </c>
      <c r="P3" s="16" t="s">
        <v>15</v>
      </c>
    </row>
    <row r="4" spans="1:26" x14ac:dyDescent="0.25">
      <c r="A4" s="5">
        <v>2</v>
      </c>
      <c r="B4" s="6">
        <f>B3+6</f>
        <v>45145</v>
      </c>
      <c r="C4" s="5" t="s">
        <v>13</v>
      </c>
      <c r="D4" s="7" t="str">
        <f t="shared" ref="D4:D17" si="0">INDEX($N$4:$P$4,MATCH(C4,$N$3:$P$3))</f>
        <v>Toko Cemerlang</v>
      </c>
      <c r="E4" s="5" t="s">
        <v>14</v>
      </c>
      <c r="F4" s="7" t="str">
        <f t="shared" ref="F4:F17" si="1">_xlfn.XLOOKUP(E4,$M$8:$M$12,$N$8:$N$12)</f>
        <v>Pewangi Pakaian</v>
      </c>
      <c r="G4" s="5">
        <v>7</v>
      </c>
      <c r="H4" s="8">
        <f t="shared" ref="H4:H17" si="2">INDEX($O$8:$O$12,MATCH(F4,$N$8:$N$12))</f>
        <v>32500</v>
      </c>
      <c r="I4" s="8">
        <f t="shared" ref="I4:I17" si="3">H4*G4</f>
        <v>227500</v>
      </c>
      <c r="J4" s="27" cm="1">
        <f t="array" ref="J4">_xlfn.SWITCH(TRUE,G4&gt;10,I2*2%,G4&gt;20,I2*5%,0)</f>
        <v>0</v>
      </c>
      <c r="K4" s="8">
        <f t="shared" ref="K4:K17" si="4">I4-J4</f>
        <v>227500</v>
      </c>
      <c r="M4" s="19" t="s">
        <v>24</v>
      </c>
      <c r="N4" s="5" t="s">
        <v>27</v>
      </c>
      <c r="O4" s="5" t="s">
        <v>28</v>
      </c>
      <c r="P4" s="5" t="s">
        <v>29</v>
      </c>
    </row>
    <row r="5" spans="1:26" x14ac:dyDescent="0.25">
      <c r="A5" s="5">
        <v>3</v>
      </c>
      <c r="B5" s="6">
        <f t="shared" ref="B5:B17" si="5">B4+6</f>
        <v>45151</v>
      </c>
      <c r="C5" s="5" t="s">
        <v>15</v>
      </c>
      <c r="D5" s="7" t="str">
        <f t="shared" si="0"/>
        <v>Toko Bahagia</v>
      </c>
      <c r="E5" s="5" t="s">
        <v>16</v>
      </c>
      <c r="F5" s="7" t="str">
        <f t="shared" si="1"/>
        <v>Sabun Cuci Piring</v>
      </c>
      <c r="G5" s="5">
        <v>17</v>
      </c>
      <c r="H5" s="8">
        <f t="shared" si="2"/>
        <v>23600</v>
      </c>
      <c r="I5" s="8">
        <f t="shared" si="3"/>
        <v>401200</v>
      </c>
      <c r="J5" s="27" cm="1">
        <f t="array" ref="J5">_xlfn.SWITCH(TRUE,G5&gt;10,I3*2%,G5&gt;20,I3*5%,0)</f>
        <v>1208</v>
      </c>
      <c r="K5" s="8">
        <f t="shared" si="4"/>
        <v>399992</v>
      </c>
      <c r="L5" s="9"/>
    </row>
    <row r="6" spans="1:26" x14ac:dyDescent="0.25">
      <c r="A6" s="5">
        <v>4</v>
      </c>
      <c r="B6" s="6">
        <f t="shared" si="5"/>
        <v>45157</v>
      </c>
      <c r="C6" s="5" t="s">
        <v>11</v>
      </c>
      <c r="D6" s="7" t="str">
        <f t="shared" si="0"/>
        <v>Toko Bagus</v>
      </c>
      <c r="E6" s="5" t="s">
        <v>12</v>
      </c>
      <c r="F6" s="7" t="str">
        <f t="shared" si="1"/>
        <v>Pembersih Lantai</v>
      </c>
      <c r="G6" s="5">
        <v>9</v>
      </c>
      <c r="H6" s="8">
        <f t="shared" si="2"/>
        <v>30200</v>
      </c>
      <c r="I6" s="8">
        <f t="shared" si="3"/>
        <v>271800</v>
      </c>
      <c r="J6" s="27" cm="1">
        <f t="array" ref="J6">_xlfn.SWITCH(TRUE,G6&gt;10,I4*2%,G6&gt;20,I4*5%,0)</f>
        <v>0</v>
      </c>
      <c r="K6" s="8">
        <f t="shared" si="4"/>
        <v>271800</v>
      </c>
      <c r="M6" s="40" t="s">
        <v>32</v>
      </c>
      <c r="N6" s="41"/>
      <c r="O6" s="42"/>
    </row>
    <row r="7" spans="1:26" x14ac:dyDescent="0.25">
      <c r="A7" s="5">
        <v>5</v>
      </c>
      <c r="B7" s="6">
        <f t="shared" si="5"/>
        <v>45163</v>
      </c>
      <c r="C7" s="5" t="s">
        <v>13</v>
      </c>
      <c r="D7" s="7" t="str">
        <f t="shared" si="0"/>
        <v>Toko Cemerlang</v>
      </c>
      <c r="E7" s="5" t="s">
        <v>12</v>
      </c>
      <c r="F7" s="7" t="str">
        <f t="shared" si="1"/>
        <v>Pembersih Lantai</v>
      </c>
      <c r="G7" s="5">
        <v>3</v>
      </c>
      <c r="H7" s="8">
        <f t="shared" si="2"/>
        <v>30200</v>
      </c>
      <c r="I7" s="8">
        <f t="shared" si="3"/>
        <v>90600</v>
      </c>
      <c r="J7" s="27" cm="1">
        <f t="array" ref="J7">_xlfn.SWITCH(TRUE,G7&gt;10,I5*2%,G7&gt;20,I5*5%,0)</f>
        <v>0</v>
      </c>
      <c r="K7" s="8">
        <f t="shared" si="4"/>
        <v>90600</v>
      </c>
      <c r="M7" s="19" t="s">
        <v>23</v>
      </c>
      <c r="N7" s="19" t="s">
        <v>24</v>
      </c>
      <c r="O7" s="19" t="s">
        <v>7</v>
      </c>
    </row>
    <row r="8" spans="1:26" x14ac:dyDescent="0.25">
      <c r="A8" s="5">
        <v>6</v>
      </c>
      <c r="B8" s="6">
        <f t="shared" si="5"/>
        <v>45169</v>
      </c>
      <c r="C8" s="5" t="s">
        <v>11</v>
      </c>
      <c r="D8" s="7" t="str">
        <f t="shared" si="0"/>
        <v>Toko Bagus</v>
      </c>
      <c r="E8" s="5" t="s">
        <v>16</v>
      </c>
      <c r="F8" s="7" t="str">
        <f t="shared" si="1"/>
        <v>Sabun Cuci Piring</v>
      </c>
      <c r="G8" s="5">
        <v>7</v>
      </c>
      <c r="H8" s="8">
        <f t="shared" si="2"/>
        <v>23600</v>
      </c>
      <c r="I8" s="8">
        <f t="shared" si="3"/>
        <v>165200</v>
      </c>
      <c r="J8" s="27" cm="1">
        <f t="array" ref="J8">_xlfn.SWITCH(TRUE,G8&gt;10,I6*2%,G8&gt;20,I6*5%,0)</f>
        <v>0</v>
      </c>
      <c r="K8" s="8">
        <f t="shared" si="4"/>
        <v>165200</v>
      </c>
      <c r="M8" s="5" t="s">
        <v>18</v>
      </c>
      <c r="N8" s="17" t="s">
        <v>26</v>
      </c>
      <c r="O8" s="22">
        <v>28000</v>
      </c>
    </row>
    <row r="9" spans="1:26" x14ac:dyDescent="0.25">
      <c r="A9" s="5">
        <v>7</v>
      </c>
      <c r="B9" s="6">
        <f t="shared" si="5"/>
        <v>45175</v>
      </c>
      <c r="C9" s="5" t="s">
        <v>13</v>
      </c>
      <c r="D9" s="7" t="str">
        <f t="shared" si="0"/>
        <v>Toko Cemerlang</v>
      </c>
      <c r="E9" s="5" t="s">
        <v>17</v>
      </c>
      <c r="F9" s="7" t="str">
        <f t="shared" si="1"/>
        <v>Minyak Goreng</v>
      </c>
      <c r="G9" s="5">
        <v>10</v>
      </c>
      <c r="H9" s="8">
        <f t="shared" si="2"/>
        <v>28000</v>
      </c>
      <c r="I9" s="8">
        <f t="shared" si="3"/>
        <v>280000</v>
      </c>
      <c r="J9" s="27" cm="1">
        <f t="array" ref="J9">_xlfn.SWITCH(TRUE,G9&gt;10,I7*2%,G9&gt;20,I7*5%,0)</f>
        <v>0</v>
      </c>
      <c r="K9" s="8">
        <f t="shared" si="4"/>
        <v>280000</v>
      </c>
      <c r="M9" s="5" t="s">
        <v>16</v>
      </c>
      <c r="N9" s="17" t="s">
        <v>30</v>
      </c>
      <c r="O9" s="22">
        <v>19900</v>
      </c>
    </row>
    <row r="10" spans="1:26" x14ac:dyDescent="0.25">
      <c r="A10" s="5">
        <v>8</v>
      </c>
      <c r="B10" s="6">
        <f t="shared" si="5"/>
        <v>45181</v>
      </c>
      <c r="C10" s="5" t="s">
        <v>11</v>
      </c>
      <c r="D10" s="7" t="str">
        <f t="shared" si="0"/>
        <v>Toko Bagus</v>
      </c>
      <c r="E10" s="5" t="s">
        <v>12</v>
      </c>
      <c r="F10" s="7" t="str">
        <f t="shared" si="1"/>
        <v>Pembersih Lantai</v>
      </c>
      <c r="G10" s="5">
        <v>24</v>
      </c>
      <c r="H10" s="8">
        <f t="shared" si="2"/>
        <v>30200</v>
      </c>
      <c r="I10" s="8">
        <f t="shared" si="3"/>
        <v>724800</v>
      </c>
      <c r="J10" s="27" cm="1">
        <f t="array" ref="J10">_xlfn.SWITCH(TRUE,G10&gt;10,I8*2%,G10&gt;20,I8*5%,0)</f>
        <v>3304</v>
      </c>
      <c r="K10" s="8">
        <f t="shared" si="4"/>
        <v>721496</v>
      </c>
      <c r="L10" s="9"/>
      <c r="M10" s="5" t="s">
        <v>12</v>
      </c>
      <c r="N10" s="17" t="s">
        <v>31</v>
      </c>
      <c r="O10" s="22">
        <v>30200</v>
      </c>
    </row>
    <row r="11" spans="1:26" x14ac:dyDescent="0.25">
      <c r="A11" s="5">
        <v>9</v>
      </c>
      <c r="B11" s="6">
        <f t="shared" si="5"/>
        <v>45187</v>
      </c>
      <c r="C11" s="5" t="s">
        <v>13</v>
      </c>
      <c r="D11" s="7" t="str">
        <f t="shared" si="0"/>
        <v>Toko Cemerlang</v>
      </c>
      <c r="E11" s="5" t="s">
        <v>17</v>
      </c>
      <c r="F11" s="7" t="str">
        <f t="shared" si="1"/>
        <v>Minyak Goreng</v>
      </c>
      <c r="G11" s="5">
        <v>11</v>
      </c>
      <c r="H11" s="8">
        <f t="shared" si="2"/>
        <v>28000</v>
      </c>
      <c r="I11" s="8">
        <f t="shared" si="3"/>
        <v>308000</v>
      </c>
      <c r="J11" s="27" cm="1">
        <f t="array" ref="J11">_xlfn.SWITCH(TRUE,G11&gt;10,I9*2%,G11&gt;20,I9*5%,0)</f>
        <v>5600</v>
      </c>
      <c r="K11" s="8">
        <f t="shared" si="4"/>
        <v>302400</v>
      </c>
      <c r="M11" s="5" t="s">
        <v>14</v>
      </c>
      <c r="N11" s="17" t="s">
        <v>33</v>
      </c>
      <c r="O11" s="22">
        <v>32500</v>
      </c>
    </row>
    <row r="12" spans="1:26" x14ac:dyDescent="0.25">
      <c r="A12" s="5">
        <v>10</v>
      </c>
      <c r="B12" s="6">
        <f t="shared" si="5"/>
        <v>45193</v>
      </c>
      <c r="C12" s="5" t="s">
        <v>11</v>
      </c>
      <c r="D12" s="7" t="str">
        <f t="shared" si="0"/>
        <v>Toko Bagus</v>
      </c>
      <c r="E12" s="5" t="s">
        <v>12</v>
      </c>
      <c r="F12" s="7" t="str">
        <f t="shared" si="1"/>
        <v>Pembersih Lantai</v>
      </c>
      <c r="G12" s="5">
        <v>7</v>
      </c>
      <c r="H12" s="8">
        <f t="shared" si="2"/>
        <v>30200</v>
      </c>
      <c r="I12" s="8">
        <f t="shared" si="3"/>
        <v>211400</v>
      </c>
      <c r="J12" s="27" cm="1">
        <f t="array" ref="J12">_xlfn.SWITCH(TRUE,G12&gt;10,I10*2%,G12&gt;20,I10*5%,0)</f>
        <v>0</v>
      </c>
      <c r="K12" s="8">
        <f t="shared" si="4"/>
        <v>211400</v>
      </c>
      <c r="M12" s="5" t="s">
        <v>17</v>
      </c>
      <c r="N12" s="17" t="s">
        <v>34</v>
      </c>
      <c r="O12" s="22">
        <v>23600</v>
      </c>
    </row>
    <row r="13" spans="1:26" x14ac:dyDescent="0.25">
      <c r="A13" s="5">
        <v>11</v>
      </c>
      <c r="B13" s="6">
        <f t="shared" si="5"/>
        <v>45199</v>
      </c>
      <c r="C13" s="5" t="s">
        <v>15</v>
      </c>
      <c r="D13" s="7" t="str">
        <f t="shared" si="0"/>
        <v>Toko Bahagia</v>
      </c>
      <c r="E13" s="5" t="s">
        <v>14</v>
      </c>
      <c r="F13" s="7" t="str">
        <f t="shared" si="1"/>
        <v>Pewangi Pakaian</v>
      </c>
      <c r="G13" s="5">
        <v>24</v>
      </c>
      <c r="H13" s="8">
        <f t="shared" si="2"/>
        <v>32500</v>
      </c>
      <c r="I13" s="8">
        <f t="shared" si="3"/>
        <v>780000</v>
      </c>
      <c r="J13" s="27" cm="1">
        <f t="array" ref="J13">_xlfn.SWITCH(TRUE,G13&gt;10,I11*2%,G13&gt;20,I11*5%,0)</f>
        <v>6160</v>
      </c>
      <c r="K13" s="8">
        <f t="shared" si="4"/>
        <v>773840</v>
      </c>
    </row>
    <row r="14" spans="1:26" x14ac:dyDescent="0.25">
      <c r="A14" s="5">
        <v>12</v>
      </c>
      <c r="B14" s="6">
        <f t="shared" si="5"/>
        <v>45205</v>
      </c>
      <c r="C14" s="5" t="s">
        <v>11</v>
      </c>
      <c r="D14" s="7" t="str">
        <f t="shared" si="0"/>
        <v>Toko Bagus</v>
      </c>
      <c r="E14" s="5" t="s">
        <v>18</v>
      </c>
      <c r="F14" s="7" t="str">
        <f t="shared" si="1"/>
        <v>Detergen</v>
      </c>
      <c r="G14" s="5">
        <v>2</v>
      </c>
      <c r="H14" s="8">
        <f t="shared" si="2"/>
        <v>28000</v>
      </c>
      <c r="I14" s="8">
        <f t="shared" si="3"/>
        <v>56000</v>
      </c>
      <c r="J14" s="27" cm="1">
        <f t="array" ref="J14">_xlfn.SWITCH(TRUE,G14&gt;10,I12*2%,G14&gt;20,I12*5%,0)</f>
        <v>0</v>
      </c>
      <c r="K14" s="8">
        <f t="shared" si="4"/>
        <v>56000</v>
      </c>
      <c r="M14" s="23" t="s">
        <v>35</v>
      </c>
    </row>
    <row r="15" spans="1:26" x14ac:dyDescent="0.25">
      <c r="A15" s="5">
        <v>13</v>
      </c>
      <c r="B15" s="6">
        <f t="shared" si="5"/>
        <v>45211</v>
      </c>
      <c r="C15" s="5" t="s">
        <v>15</v>
      </c>
      <c r="D15" s="7" t="str">
        <f t="shared" si="0"/>
        <v>Toko Bahagia</v>
      </c>
      <c r="E15" s="5" t="s">
        <v>18</v>
      </c>
      <c r="F15" s="7" t="str">
        <f t="shared" si="1"/>
        <v>Detergen</v>
      </c>
      <c r="G15" s="5">
        <v>1</v>
      </c>
      <c r="H15" s="8">
        <f t="shared" si="2"/>
        <v>28000</v>
      </c>
      <c r="I15" s="8">
        <f t="shared" si="3"/>
        <v>28000</v>
      </c>
      <c r="J15" s="27" cm="1">
        <f t="array" ref="J15">_xlfn.SWITCH(TRUE,G15&gt;10,I13*2%,G15&gt;20,I13*5%,0)</f>
        <v>0</v>
      </c>
      <c r="K15" s="8">
        <f t="shared" si="4"/>
        <v>28000</v>
      </c>
      <c r="M15" s="24">
        <v>1</v>
      </c>
      <c r="N15" s="25" t="s">
        <v>36</v>
      </c>
    </row>
    <row r="16" spans="1:26" x14ac:dyDescent="0.25">
      <c r="A16" s="5">
        <v>14</v>
      </c>
      <c r="B16" s="6">
        <f t="shared" si="5"/>
        <v>45217</v>
      </c>
      <c r="C16" s="5" t="s">
        <v>11</v>
      </c>
      <c r="D16" s="7" t="str">
        <f t="shared" si="0"/>
        <v>Toko Bagus</v>
      </c>
      <c r="E16" s="5" t="s">
        <v>12</v>
      </c>
      <c r="F16" s="7" t="str">
        <f t="shared" si="1"/>
        <v>Pembersih Lantai</v>
      </c>
      <c r="G16" s="5">
        <v>12</v>
      </c>
      <c r="H16" s="8">
        <f t="shared" si="2"/>
        <v>30200</v>
      </c>
      <c r="I16" s="8">
        <f t="shared" si="3"/>
        <v>362400</v>
      </c>
      <c r="J16" s="27" cm="1">
        <f t="array" ref="J16">_xlfn.SWITCH(TRUE,G16&gt;10,I14*2%,G16&gt;20,I14*5%,0)</f>
        <v>1120</v>
      </c>
      <c r="K16" s="8">
        <f t="shared" si="4"/>
        <v>361280</v>
      </c>
      <c r="M16" s="24">
        <v>2</v>
      </c>
      <c r="N16" s="25" t="s">
        <v>37</v>
      </c>
    </row>
    <row r="17" spans="1:14" x14ac:dyDescent="0.25">
      <c r="A17" s="5">
        <v>15</v>
      </c>
      <c r="B17" s="6">
        <f t="shared" si="5"/>
        <v>45223</v>
      </c>
      <c r="C17" s="5" t="s">
        <v>15</v>
      </c>
      <c r="D17" s="7" t="str">
        <f t="shared" si="0"/>
        <v>Toko Bahagia</v>
      </c>
      <c r="E17" s="5" t="s">
        <v>12</v>
      </c>
      <c r="F17" s="7" t="str">
        <f t="shared" si="1"/>
        <v>Pembersih Lantai</v>
      </c>
      <c r="G17" s="28">
        <v>23</v>
      </c>
      <c r="H17" s="8">
        <f t="shared" si="2"/>
        <v>30200</v>
      </c>
      <c r="I17" s="8">
        <f t="shared" si="3"/>
        <v>694600</v>
      </c>
      <c r="J17" s="27" cm="1">
        <f t="array" ref="J17">_xlfn.SWITCH(TRUE,G17&gt;10,I15*2%,G17&gt;20,I15*5%,0)</f>
        <v>560</v>
      </c>
      <c r="K17" s="8">
        <f t="shared" si="4"/>
        <v>694040</v>
      </c>
      <c r="M17" s="24">
        <v>3</v>
      </c>
      <c r="N17" s="25" t="s">
        <v>38</v>
      </c>
    </row>
    <row r="18" spans="1:14" x14ac:dyDescent="0.25">
      <c r="A18" s="34" t="s">
        <v>19</v>
      </c>
      <c r="B18" s="35"/>
      <c r="C18" s="35"/>
      <c r="D18" s="35"/>
      <c r="E18" s="35"/>
      <c r="F18" s="36"/>
      <c r="G18" s="30">
        <f>SUM(G3:G17)</f>
        <v>159</v>
      </c>
      <c r="H18" s="29">
        <f>SUM(H3:H17)</f>
        <v>435600</v>
      </c>
      <c r="I18" s="29">
        <f t="shared" ref="I18:K18" si="6">SUM(I3:I17)</f>
        <v>4661900</v>
      </c>
      <c r="J18" s="29">
        <f t="shared" si="6"/>
        <v>17952</v>
      </c>
      <c r="K18" s="29">
        <f t="shared" si="6"/>
        <v>4643948</v>
      </c>
      <c r="M18" s="24">
        <v>4</v>
      </c>
      <c r="N18" s="25" t="s">
        <v>39</v>
      </c>
    </row>
    <row r="19" spans="1:14" ht="15.75" customHeight="1" x14ac:dyDescent="0.25">
      <c r="A19" s="34" t="s">
        <v>20</v>
      </c>
      <c r="B19" s="35"/>
      <c r="C19" s="35"/>
      <c r="D19" s="35"/>
      <c r="E19" s="35"/>
      <c r="F19" s="36"/>
      <c r="G19" s="31">
        <f>AVERAGE(G3:G17)</f>
        <v>10.6</v>
      </c>
      <c r="H19" s="29">
        <f>AVERAGE(H3:H18)</f>
        <v>54450</v>
      </c>
      <c r="I19" s="29">
        <f t="shared" ref="I19:K19" si="7">AVERAGE(I3:I18)</f>
        <v>582737.5</v>
      </c>
      <c r="J19" s="29">
        <f t="shared" si="7"/>
        <v>2244</v>
      </c>
      <c r="K19" s="29">
        <f t="shared" si="7"/>
        <v>580493.5</v>
      </c>
      <c r="M19" s="24">
        <v>5</v>
      </c>
      <c r="N19" s="26" t="s">
        <v>40</v>
      </c>
    </row>
    <row r="20" spans="1:14" ht="13.5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M20" s="24">
        <v>6</v>
      </c>
      <c r="N20" s="25" t="s">
        <v>41</v>
      </c>
    </row>
    <row r="21" spans="1:14" ht="15.75" customHeight="1" x14ac:dyDescent="0.25">
      <c r="A21" s="10"/>
      <c r="B21" s="11" t="s">
        <v>21</v>
      </c>
      <c r="C21" s="12"/>
      <c r="D21" s="13"/>
      <c r="J21" s="10"/>
      <c r="M21" s="24">
        <v>7</v>
      </c>
      <c r="N21" s="25" t="s">
        <v>42</v>
      </c>
    </row>
    <row r="22" spans="1:14" ht="27" customHeight="1" x14ac:dyDescent="0.25">
      <c r="A22" s="10"/>
      <c r="B22" s="14" t="s">
        <v>23</v>
      </c>
      <c r="C22" s="14" t="s">
        <v>24</v>
      </c>
      <c r="D22" s="15" t="s">
        <v>25</v>
      </c>
      <c r="J22" s="10"/>
      <c r="M22" s="24">
        <v>8</v>
      </c>
      <c r="N22" s="25" t="s">
        <v>43</v>
      </c>
    </row>
    <row r="23" spans="1:14" ht="15.75" customHeight="1" x14ac:dyDescent="0.25">
      <c r="A23" s="10"/>
      <c r="B23" s="5" t="s">
        <v>18</v>
      </c>
      <c r="C23" s="17" t="s">
        <v>26</v>
      </c>
      <c r="D23" s="18">
        <f>SUMIFS($K$3:$K$17,$E$3:$E$17,B23)</f>
        <v>84000</v>
      </c>
      <c r="J23" s="10"/>
    </row>
    <row r="24" spans="1:14" ht="15.75" customHeight="1" x14ac:dyDescent="0.25">
      <c r="A24" s="10"/>
      <c r="B24" s="5" t="s">
        <v>16</v>
      </c>
      <c r="C24" s="17" t="s">
        <v>30</v>
      </c>
      <c r="D24" s="18">
        <f t="shared" ref="D24:D27" si="8">SUMIFS($K$3:$K$17,$E$3:$E$17,B24)</f>
        <v>565192</v>
      </c>
      <c r="F24" s="10"/>
      <c r="G24" s="4"/>
      <c r="H24" s="20"/>
      <c r="I24" s="21"/>
      <c r="J24" s="10"/>
    </row>
    <row r="25" spans="1:14" ht="15.75" customHeight="1" x14ac:dyDescent="0.25">
      <c r="A25" s="10"/>
      <c r="B25" s="5" t="s">
        <v>12</v>
      </c>
      <c r="C25" s="17" t="s">
        <v>31</v>
      </c>
      <c r="D25" s="18">
        <f t="shared" si="8"/>
        <v>2411016</v>
      </c>
      <c r="F25" s="10"/>
    </row>
    <row r="26" spans="1:14" ht="15.75" customHeight="1" x14ac:dyDescent="0.25">
      <c r="A26" s="10"/>
      <c r="B26" s="5" t="s">
        <v>14</v>
      </c>
      <c r="C26" s="17" t="s">
        <v>33</v>
      </c>
      <c r="D26" s="18">
        <f t="shared" si="8"/>
        <v>1001340</v>
      </c>
      <c r="F26" s="10"/>
    </row>
    <row r="27" spans="1:14" ht="15.75" customHeight="1" x14ac:dyDescent="0.25">
      <c r="A27" s="10"/>
      <c r="B27" s="5" t="s">
        <v>17</v>
      </c>
      <c r="C27" s="17" t="s">
        <v>34</v>
      </c>
      <c r="D27" s="18">
        <f t="shared" si="8"/>
        <v>582400</v>
      </c>
      <c r="F27" s="10"/>
    </row>
    <row r="28" spans="1:14" ht="15.75" customHeight="1" x14ac:dyDescent="0.25">
      <c r="A28" s="23" t="s">
        <v>35</v>
      </c>
    </row>
    <row r="29" spans="1:14" ht="15.75" customHeight="1" x14ac:dyDescent="0.25">
      <c r="A29" s="24">
        <v>1</v>
      </c>
      <c r="B29" s="25" t="s">
        <v>36</v>
      </c>
    </row>
    <row r="30" spans="1:14" ht="15.75" customHeight="1" x14ac:dyDescent="0.25">
      <c r="A30" s="24">
        <v>2</v>
      </c>
      <c r="B30" s="25" t="s">
        <v>37</v>
      </c>
    </row>
    <row r="31" spans="1:14" ht="15.75" customHeight="1" x14ac:dyDescent="0.25">
      <c r="A31" s="24">
        <v>3</v>
      </c>
      <c r="B31" s="25" t="s">
        <v>38</v>
      </c>
    </row>
    <row r="32" spans="1:14" ht="15.75" customHeight="1" x14ac:dyDescent="0.25">
      <c r="A32" s="24">
        <v>4</v>
      </c>
      <c r="B32" s="25" t="s">
        <v>39</v>
      </c>
    </row>
    <row r="33" spans="1:2" x14ac:dyDescent="0.25">
      <c r="A33" s="24">
        <v>5</v>
      </c>
      <c r="B33" s="26" t="s">
        <v>40</v>
      </c>
    </row>
    <row r="34" spans="1:2" ht="15.75" customHeight="1" x14ac:dyDescent="0.25">
      <c r="A34" s="24">
        <v>6</v>
      </c>
      <c r="B34" s="25" t="s">
        <v>41</v>
      </c>
    </row>
    <row r="35" spans="1:2" ht="15.75" customHeight="1" x14ac:dyDescent="0.25">
      <c r="A35" s="24">
        <v>7</v>
      </c>
      <c r="B35" s="25" t="s">
        <v>42</v>
      </c>
    </row>
    <row r="36" spans="1:2" ht="15.75" customHeight="1" x14ac:dyDescent="0.25">
      <c r="A36" s="24">
        <v>8</v>
      </c>
      <c r="B36" s="25" t="s">
        <v>43</v>
      </c>
    </row>
    <row r="37" spans="1:2" ht="15.75" customHeight="1" x14ac:dyDescent="0.25"/>
    <row r="38" spans="1:2" ht="15.75" customHeight="1" x14ac:dyDescent="0.25">
      <c r="A38" s="24"/>
    </row>
    <row r="39" spans="1:2" ht="15.75" customHeight="1" x14ac:dyDescent="0.25">
      <c r="A39" s="24"/>
    </row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K1"/>
    <mergeCell ref="A18:F18"/>
    <mergeCell ref="A19:F19"/>
    <mergeCell ref="M2:P2"/>
    <mergeCell ref="M6:O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naufalizzudin36@gmail.com</cp:lastModifiedBy>
  <dcterms:created xsi:type="dcterms:W3CDTF">2006-09-16T00:00:00Z</dcterms:created>
  <dcterms:modified xsi:type="dcterms:W3CDTF">2026-03-03T17:12:21Z</dcterms:modified>
</cp:coreProperties>
</file>