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\Excel\Training\Excel Test - Basic 2\"/>
    </mc:Choice>
  </mc:AlternateContent>
  <xr:revisionPtr revIDLastSave="0" documentId="13_ncr:1_{8BF0F3A0-9FF5-489A-BD40-5C2BB168BA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Gaji Karyawan" sheetId="1" r:id="rId1"/>
    <sheet name="Jabatan" sheetId="2" r:id="rId2"/>
    <sheet name="Libur Nasional" sheetId="3" r:id="rId3"/>
    <sheet name="Absen Tidak Masuk Kerj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rvNxshUmB7CPc8BCJPFTzl+/f2b0UZ8joupHGeXyIiU="/>
    </ext>
  </extLst>
</workbook>
</file>

<file path=xl/calcChain.xml><?xml version="1.0" encoding="utf-8"?>
<calcChain xmlns="http://schemas.openxmlformats.org/spreadsheetml/2006/main">
  <c r="N18" i="1" l="1"/>
  <c r="K18" i="1"/>
  <c r="L18" i="1"/>
  <c r="M18" i="1"/>
  <c r="J18" i="1"/>
  <c r="N9" i="1"/>
  <c r="N10" i="1"/>
  <c r="N11" i="1"/>
  <c r="N12" i="1"/>
  <c r="N13" i="1"/>
  <c r="N14" i="1"/>
  <c r="N15" i="1"/>
  <c r="N16" i="1"/>
  <c r="N17" i="1"/>
  <c r="N8" i="1"/>
  <c r="M9" i="1"/>
  <c r="M10" i="1"/>
  <c r="M11" i="1"/>
  <c r="M12" i="1"/>
  <c r="M13" i="1"/>
  <c r="M14" i="1"/>
  <c r="M15" i="1"/>
  <c r="M16" i="1"/>
  <c r="M17" i="1"/>
  <c r="M8" i="1"/>
  <c r="L9" i="1"/>
  <c r="L10" i="1"/>
  <c r="L11" i="1"/>
  <c r="L12" i="1"/>
  <c r="L13" i="1"/>
  <c r="L14" i="1"/>
  <c r="L15" i="1"/>
  <c r="L16" i="1"/>
  <c r="L17" i="1"/>
  <c r="L8" i="1"/>
  <c r="K9" i="1"/>
  <c r="K10" i="1"/>
  <c r="K11" i="1"/>
  <c r="K12" i="1"/>
  <c r="K13" i="1"/>
  <c r="K14" i="1"/>
  <c r="K15" i="1"/>
  <c r="K16" i="1"/>
  <c r="K17" i="1"/>
  <c r="K8" i="1"/>
  <c r="J9" i="1"/>
  <c r="J10" i="1"/>
  <c r="J11" i="1"/>
  <c r="J12" i="1"/>
  <c r="J13" i="1"/>
  <c r="J14" i="1"/>
  <c r="J15" i="1"/>
  <c r="J16" i="1"/>
  <c r="J17" i="1"/>
  <c r="J8" i="1"/>
  <c r="I9" i="1"/>
  <c r="I10" i="1"/>
  <c r="I11" i="1"/>
  <c r="I12" i="1"/>
  <c r="I13" i="1"/>
  <c r="I14" i="1"/>
  <c r="I15" i="1"/>
  <c r="I16" i="1"/>
  <c r="I17" i="1"/>
  <c r="I8" i="1"/>
  <c r="H9" i="1"/>
  <c r="H10" i="1"/>
  <c r="H11" i="1"/>
  <c r="H12" i="1"/>
  <c r="H13" i="1"/>
  <c r="H14" i="1"/>
  <c r="H15" i="1"/>
  <c r="H16" i="1"/>
  <c r="H17" i="1"/>
  <c r="H8" i="1"/>
  <c r="G9" i="1"/>
  <c r="G10" i="1"/>
  <c r="G11" i="1"/>
  <c r="G12" i="1"/>
  <c r="G13" i="1"/>
  <c r="G14" i="1"/>
  <c r="G15" i="1"/>
  <c r="G16" i="1"/>
  <c r="G17" i="1"/>
  <c r="G8" i="1"/>
  <c r="F9" i="1"/>
  <c r="F10" i="1"/>
  <c r="F11" i="1"/>
  <c r="F12" i="1"/>
  <c r="F13" i="1"/>
  <c r="F14" i="1"/>
  <c r="F15" i="1"/>
  <c r="F16" i="1"/>
  <c r="F17" i="1"/>
  <c r="F8" i="1"/>
  <c r="C5" i="3"/>
  <c r="C6" i="3" s="1"/>
  <c r="C7" i="3" s="1"/>
  <c r="C8" i="3" s="1"/>
  <c r="C9" i="3" s="1"/>
  <c r="C10" i="3" s="1"/>
  <c r="C11" i="3" s="1"/>
  <c r="C12" i="3" s="1"/>
  <c r="C13" i="3" s="1"/>
</calcChain>
</file>

<file path=xl/sharedStrings.xml><?xml version="1.0" encoding="utf-8"?>
<sst xmlns="http://schemas.openxmlformats.org/spreadsheetml/2006/main" count="143" uniqueCount="91">
  <si>
    <t>LAPORAN DAFTAR GAJI KARYAWAN</t>
  </si>
  <si>
    <t>Dari Tanggal:</t>
  </si>
  <si>
    <t>s/d</t>
  </si>
  <si>
    <t>NO.</t>
  </si>
  <si>
    <t>NIK</t>
  </si>
  <si>
    <t>NAMA</t>
  </si>
  <si>
    <t>KODE</t>
  </si>
  <si>
    <t>JABATAN</t>
  </si>
  <si>
    <t>HARI</t>
  </si>
  <si>
    <t>ABSEN</t>
  </si>
  <si>
    <t>GAJI POKOK</t>
  </si>
  <si>
    <t>UANG MAKAN</t>
  </si>
  <si>
    <t>TUNJANGAN</t>
  </si>
  <si>
    <t>GAJI BERSIH</t>
  </si>
  <si>
    <t>KARYAWAN</t>
  </si>
  <si>
    <t>NORMAL</t>
  </si>
  <si>
    <t>(HARI)</t>
  </si>
  <si>
    <t>KERJA</t>
  </si>
  <si>
    <t>HARIAN</t>
  </si>
  <si>
    <t>JUMLAH</t>
  </si>
  <si>
    <t>K0001</t>
  </si>
  <si>
    <t>Ahmad Kurniawan</t>
  </si>
  <si>
    <t>DIR</t>
  </si>
  <si>
    <t>K0002</t>
  </si>
  <si>
    <t>Septi Setiawati</t>
  </si>
  <si>
    <t>MGR</t>
  </si>
  <si>
    <t>K0003</t>
  </si>
  <si>
    <t>Budi Handoko</t>
  </si>
  <si>
    <t>KRY</t>
  </si>
  <si>
    <t>K0004</t>
  </si>
  <si>
    <t>Rahman Sucipto</t>
  </si>
  <si>
    <t>K0005</t>
  </si>
  <si>
    <t>Abdul Kadir</t>
  </si>
  <si>
    <t>K0006</t>
  </si>
  <si>
    <t>Zulfikar</t>
  </si>
  <si>
    <t>K0007</t>
  </si>
  <si>
    <t>Muhammad Akmal</t>
  </si>
  <si>
    <t>K0008</t>
  </si>
  <si>
    <t>Vika Putri</t>
  </si>
  <si>
    <t>K0009</t>
  </si>
  <si>
    <t>Ridwan Budiman</t>
  </si>
  <si>
    <t>DRI</t>
  </si>
  <si>
    <t>K0010</t>
  </si>
  <si>
    <t>Asep Suyono</t>
  </si>
  <si>
    <t>OFB</t>
  </si>
  <si>
    <t>GRAND TOTAL</t>
  </si>
  <si>
    <t>Keterangan Rumus</t>
  </si>
  <si>
    <t>Jabatan</t>
  </si>
  <si>
    <t>: Diambil dari kolom Nama Jabatan dari Sheet Jabatan berdasarkan Kode Jabatan</t>
  </si>
  <si>
    <t>Hari Normal</t>
  </si>
  <si>
    <t>: Menghitung jumlah hari kerja efektif pada periode laporan</t>
  </si>
  <si>
    <t>Absen (Hari)</t>
  </si>
  <si>
    <t xml:space="preserve">: Menghitung jumlah ketidakhadiran karyawan pada Sheet Absen Tidak Masuk Kerja </t>
  </si>
  <si>
    <t>Hari Kerja</t>
  </si>
  <si>
    <t>: Hari Normal - Absen (Hari)</t>
  </si>
  <si>
    <t>Gaji Pokok</t>
  </si>
  <si>
    <t>: Diambil dari kolom Gaji Pokok dari Sheet Jabatan berdasarkan Kode Jabatan</t>
  </si>
  <si>
    <t>Uang Makan Harian</t>
  </si>
  <si>
    <t>: Diambil dari kolom Uang Makan Per Hari dari Sheet Jabatan berdasarkan Kode Jabatan</t>
  </si>
  <si>
    <t>Uang Makan Jumlah</t>
  </si>
  <si>
    <t>: Hari Kerja * Uang Makan Harian</t>
  </si>
  <si>
    <t>Tunjangan</t>
  </si>
  <si>
    <t>: Diambil dari kolom Tunjangan dari Sheet Jabatan berdasarkan Kode Jabatan</t>
  </si>
  <si>
    <t>Gaji Bersih</t>
  </si>
  <si>
    <t>: Gaji Pokok + Uang Makan Jumlah + Tunjangan</t>
  </si>
  <si>
    <t>Grand Total</t>
  </si>
  <si>
    <t>: Total pada setiap kolom</t>
  </si>
  <si>
    <t>TABEL JABATAN</t>
  </si>
  <si>
    <t>NAMA JABATAN</t>
  </si>
  <si>
    <t>PER HARI</t>
  </si>
  <si>
    <t>DIREKTUR</t>
  </si>
  <si>
    <t>MANAGER</t>
  </si>
  <si>
    <t>DRIVER</t>
  </si>
  <si>
    <t>OFFICE BOY</t>
  </si>
  <si>
    <t>TABEL LIBUR NASIONAL</t>
  </si>
  <si>
    <t>TANGGAL</t>
  </si>
  <si>
    <t>KETERANGAN</t>
  </si>
  <si>
    <t>Tahun Baru 2019</t>
  </si>
  <si>
    <t>ABSEN KARYAWAN TIDAK MASUK KERJA</t>
  </si>
  <si>
    <t>NAMA KARYAWAN</t>
  </si>
  <si>
    <t>Sakit</t>
  </si>
  <si>
    <t>Cuti</t>
  </si>
  <si>
    <t>Tahun Baru 2020</t>
  </si>
  <si>
    <t>Tahun Baru 2021</t>
  </si>
  <si>
    <t>Tahun Baru 2022</t>
  </si>
  <si>
    <t>Tahun Baru 2023</t>
  </si>
  <si>
    <t>Tahun Baru 2024</t>
  </si>
  <si>
    <t>Tahun Baru 2025</t>
  </si>
  <si>
    <t>Tahun Baru 2026</t>
  </si>
  <si>
    <t>Tahun Baru 2027</t>
  </si>
  <si>
    <t>Tahun Baru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</si>
</sst>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_-* #,##0_-;\-* #,##0_-;_-* &quot;-&quot;_-;_-@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9999"/>
        <bgColor rgb="FFFF9999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3" fontId="1" fillId="0" borderId="9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3" fontId="4" fillId="5" borderId="4" xfId="0" applyNumberFormat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left" vertical="center"/>
    </xf>
    <xf numFmtId="0" fontId="1" fillId="6" borderId="12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left" vertical="center"/>
    </xf>
    <xf numFmtId="0" fontId="1" fillId="7" borderId="11" xfId="0" applyFont="1" applyFill="1" applyBorder="1" applyAlignment="1">
      <alignment horizontal="left" vertical="center"/>
    </xf>
    <xf numFmtId="0" fontId="1" fillId="7" borderId="12" xfId="0" applyFont="1" applyFill="1" applyBorder="1" applyAlignment="1">
      <alignment horizontal="left" vertical="center"/>
    </xf>
    <xf numFmtId="165" fontId="1" fillId="0" borderId="9" xfId="0" applyNumberFormat="1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0" fontId="4" fillId="4" borderId="14" xfId="0" applyFont="1" applyFill="1" applyBorder="1" applyAlignment="1">
      <alignment horizontal="center" vertical="center"/>
    </xf>
    <xf numFmtId="15" fontId="1" fillId="0" borderId="9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0" borderId="7" xfId="0" applyFont="1" applyBorder="1"/>
    <xf numFmtId="0" fontId="4" fillId="5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1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6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4" fillId="4" borderId="15" xfId="0" applyFont="1" applyFill="1" applyBorder="1" applyAlignment="1">
      <alignment horizontal="center" vertical="center"/>
    </xf>
    <xf numFmtId="0" fontId="3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Z1000"/>
  <sheetViews>
    <sheetView showGridLines="0" tabSelected="1" workbookViewId="0">
      <selection activeCell="N22" sqref="N22"/>
    </sheetView>
  </sheetViews>
  <sheetFormatPr defaultColWidth="14.42578125" defaultRowHeight="15" customHeight="1" x14ac:dyDescent="0.25"/>
  <cols>
    <col min="1" max="1" width="3" customWidth="1"/>
    <col min="2" max="2" width="4.42578125" customWidth="1"/>
    <col min="3" max="3" width="9.28515625" customWidth="1"/>
    <col min="4" max="4" width="18.42578125" customWidth="1"/>
    <col min="5" max="5" width="11.140625" customWidth="1"/>
    <col min="6" max="6" width="18.42578125" customWidth="1"/>
    <col min="7" max="9" width="9.42578125" customWidth="1"/>
    <col min="10" max="14" width="12.5703125" customWidth="1"/>
    <col min="15" max="26" width="8.7109375" customWidth="1"/>
  </cols>
  <sheetData>
    <row r="1" spans="1:26" x14ac:dyDescent="0.25">
      <c r="A1" s="1"/>
      <c r="B1" s="1"/>
      <c r="C1" s="2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25">
      <c r="A2" s="1"/>
      <c r="B2" s="38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2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 t="s">
        <v>1</v>
      </c>
      <c r="C4" s="2"/>
      <c r="D4" s="3">
        <v>43466</v>
      </c>
      <c r="E4" s="2" t="s">
        <v>2</v>
      </c>
      <c r="F4" s="3">
        <v>43496</v>
      </c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2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33" t="s">
        <v>3</v>
      </c>
      <c r="C6" s="33" t="s">
        <v>4</v>
      </c>
      <c r="D6" s="5" t="s">
        <v>5</v>
      </c>
      <c r="E6" s="5" t="s">
        <v>6</v>
      </c>
      <c r="F6" s="33" t="s">
        <v>7</v>
      </c>
      <c r="G6" s="5" t="s">
        <v>8</v>
      </c>
      <c r="H6" s="5" t="s">
        <v>9</v>
      </c>
      <c r="I6" s="5" t="s">
        <v>8</v>
      </c>
      <c r="J6" s="33" t="s">
        <v>10</v>
      </c>
      <c r="K6" s="39" t="s">
        <v>11</v>
      </c>
      <c r="L6" s="37"/>
      <c r="M6" s="33" t="s">
        <v>12</v>
      </c>
      <c r="N6" s="33" t="s">
        <v>13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34"/>
      <c r="C7" s="34"/>
      <c r="D7" s="6" t="s">
        <v>14</v>
      </c>
      <c r="E7" s="6" t="s">
        <v>7</v>
      </c>
      <c r="F7" s="34"/>
      <c r="G7" s="6" t="s">
        <v>15</v>
      </c>
      <c r="H7" s="6" t="s">
        <v>16</v>
      </c>
      <c r="I7" s="6" t="s">
        <v>17</v>
      </c>
      <c r="J7" s="34"/>
      <c r="K7" s="6" t="s">
        <v>18</v>
      </c>
      <c r="L7" s="6" t="s">
        <v>19</v>
      </c>
      <c r="M7" s="34"/>
      <c r="N7" s="3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7">
        <v>1</v>
      </c>
      <c r="C8" s="7" t="s">
        <v>20</v>
      </c>
      <c r="D8" s="8" t="s">
        <v>21</v>
      </c>
      <c r="E8" s="7" t="s">
        <v>22</v>
      </c>
      <c r="F8" s="8" t="str">
        <f>INDEX(Jabatan!$D$5:$D$9,MATCH('Daftar Gaji Karyawan'!E8,Jabatan!$C$5:$C$9,0))</f>
        <v>DIREKTUR</v>
      </c>
      <c r="G8" s="8">
        <f>_xlfn.DAYS($F$4,$D$4)</f>
        <v>30</v>
      </c>
      <c r="H8" s="8">
        <f>COUNTIF('Absen Tidak Masuk Kerja'!$C$4:$C$13,'Daftar Gaji Karyawan'!C8)</f>
        <v>1</v>
      </c>
      <c r="I8" s="8">
        <f>G8-H8</f>
        <v>29</v>
      </c>
      <c r="J8" s="9">
        <f>INDEX(Jabatan!$E$5:$E$9,MATCH('Daftar Gaji Karyawan'!E8,Jabatan!$C$5:$C$9,0))</f>
        <v>20000000</v>
      </c>
      <c r="K8" s="9">
        <f>INDEX(Jabatan!$G$5:$G$9,MATCH('Daftar Gaji Karyawan'!E8,Jabatan!$C$5:$C$9,0))</f>
        <v>75000</v>
      </c>
      <c r="L8" s="9">
        <f>I8*K8</f>
        <v>2175000</v>
      </c>
      <c r="M8" s="9">
        <f>_xlfn.XLOOKUP(E8,Jabatan!$C$5:$C$9,Jabatan!$F$5:$F$9)</f>
        <v>3000000</v>
      </c>
      <c r="N8" s="9">
        <f>SUM(J8,L8,M8)</f>
        <v>25175000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0">
        <v>2</v>
      </c>
      <c r="C9" s="7" t="s">
        <v>23</v>
      </c>
      <c r="D9" s="11" t="s">
        <v>24</v>
      </c>
      <c r="E9" s="10" t="s">
        <v>25</v>
      </c>
      <c r="F9" s="8" t="str">
        <f>INDEX(Jabatan!$D$5:$D$9,MATCH('Daftar Gaji Karyawan'!E9,Jabatan!$C$5:$C$9,0))</f>
        <v>MANAGER</v>
      </c>
      <c r="G9" s="8">
        <f t="shared" ref="G9:G17" si="0">_xlfn.DAYS($F$4,$D$4)</f>
        <v>30</v>
      </c>
      <c r="H9" s="8">
        <f>COUNTIF('Absen Tidak Masuk Kerja'!$C$4:$C$13,'Daftar Gaji Karyawan'!C9)</f>
        <v>3</v>
      </c>
      <c r="I9" s="8">
        <f t="shared" ref="I9:I17" si="1">G9-H9</f>
        <v>27</v>
      </c>
      <c r="J9" s="9">
        <f>INDEX(Jabatan!$E$5:$E$9,MATCH('Daftar Gaji Karyawan'!E9,Jabatan!$C$5:$C$9,0))</f>
        <v>10000000</v>
      </c>
      <c r="K9" s="9">
        <f>INDEX(Jabatan!$G$5:$G$9,MATCH('Daftar Gaji Karyawan'!E9,Jabatan!$C$5:$C$9,0))</f>
        <v>50000</v>
      </c>
      <c r="L9" s="9">
        <f t="shared" ref="L9:L17" si="2">I9*K9</f>
        <v>1350000</v>
      </c>
      <c r="M9" s="9">
        <f>_xlfn.XLOOKUP(E9,Jabatan!$C$5:$C$9,Jabatan!$F$5:$F$9)</f>
        <v>2000000</v>
      </c>
      <c r="N9" s="9">
        <f t="shared" ref="N9:N17" si="3">SUM(J9,L9,M9)</f>
        <v>13350000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7">
        <v>3</v>
      </c>
      <c r="C10" s="7" t="s">
        <v>26</v>
      </c>
      <c r="D10" s="11" t="s">
        <v>27</v>
      </c>
      <c r="E10" s="10" t="s">
        <v>28</v>
      </c>
      <c r="F10" s="8" t="str">
        <f>INDEX(Jabatan!$D$5:$D$9,MATCH('Daftar Gaji Karyawan'!E10,Jabatan!$C$5:$C$9,0))</f>
        <v>KARYAWAN</v>
      </c>
      <c r="G10" s="8">
        <f t="shared" si="0"/>
        <v>30</v>
      </c>
      <c r="H10" s="8">
        <f>COUNTIF('Absen Tidak Masuk Kerja'!$C$4:$C$13,'Daftar Gaji Karyawan'!C10)</f>
        <v>1</v>
      </c>
      <c r="I10" s="8">
        <f t="shared" si="1"/>
        <v>29</v>
      </c>
      <c r="J10" s="9">
        <f>INDEX(Jabatan!$E$5:$E$9,MATCH('Daftar Gaji Karyawan'!E10,Jabatan!$C$5:$C$9,0))</f>
        <v>5000000</v>
      </c>
      <c r="K10" s="9">
        <f>INDEX(Jabatan!$G$5:$G$9,MATCH('Daftar Gaji Karyawan'!E10,Jabatan!$C$5:$C$9,0))</f>
        <v>30000</v>
      </c>
      <c r="L10" s="9">
        <f t="shared" si="2"/>
        <v>870000</v>
      </c>
      <c r="M10" s="9">
        <f>_xlfn.XLOOKUP(E10,Jabatan!$C$5:$C$9,Jabatan!$F$5:$F$9)</f>
        <v>750000</v>
      </c>
      <c r="N10" s="9">
        <f t="shared" si="3"/>
        <v>6620000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0">
        <v>4</v>
      </c>
      <c r="C11" s="7" t="s">
        <v>29</v>
      </c>
      <c r="D11" s="11" t="s">
        <v>30</v>
      </c>
      <c r="E11" s="10" t="s">
        <v>28</v>
      </c>
      <c r="F11" s="8" t="str">
        <f>INDEX(Jabatan!$D$5:$D$9,MATCH('Daftar Gaji Karyawan'!E11,Jabatan!$C$5:$C$9,0))</f>
        <v>KARYAWAN</v>
      </c>
      <c r="G11" s="8">
        <f t="shared" si="0"/>
        <v>30</v>
      </c>
      <c r="H11" s="8">
        <f>COUNTIF('Absen Tidak Masuk Kerja'!$C$4:$C$13,'Daftar Gaji Karyawan'!C11)</f>
        <v>0</v>
      </c>
      <c r="I11" s="8">
        <f t="shared" si="1"/>
        <v>30</v>
      </c>
      <c r="J11" s="9">
        <f>INDEX(Jabatan!$E$5:$E$9,MATCH('Daftar Gaji Karyawan'!E11,Jabatan!$C$5:$C$9,0))</f>
        <v>5000000</v>
      </c>
      <c r="K11" s="9">
        <f>INDEX(Jabatan!$G$5:$G$9,MATCH('Daftar Gaji Karyawan'!E11,Jabatan!$C$5:$C$9,0))</f>
        <v>30000</v>
      </c>
      <c r="L11" s="9">
        <f t="shared" si="2"/>
        <v>900000</v>
      </c>
      <c r="M11" s="9">
        <f>_xlfn.XLOOKUP(E11,Jabatan!$C$5:$C$9,Jabatan!$F$5:$F$9)</f>
        <v>750000</v>
      </c>
      <c r="N11" s="9">
        <f t="shared" si="3"/>
        <v>6650000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7">
        <v>5</v>
      </c>
      <c r="C12" s="7" t="s">
        <v>31</v>
      </c>
      <c r="D12" s="11" t="s">
        <v>32</v>
      </c>
      <c r="E12" s="10" t="s">
        <v>28</v>
      </c>
      <c r="F12" s="8" t="str">
        <f>INDEX(Jabatan!$D$5:$D$9,MATCH('Daftar Gaji Karyawan'!E12,Jabatan!$C$5:$C$9,0))</f>
        <v>KARYAWAN</v>
      </c>
      <c r="G12" s="8">
        <f t="shared" si="0"/>
        <v>30</v>
      </c>
      <c r="H12" s="8">
        <f>COUNTIF('Absen Tidak Masuk Kerja'!$C$4:$C$13,'Daftar Gaji Karyawan'!C12)</f>
        <v>1</v>
      </c>
      <c r="I12" s="8">
        <f t="shared" si="1"/>
        <v>29</v>
      </c>
      <c r="J12" s="9">
        <f>INDEX(Jabatan!$E$5:$E$9,MATCH('Daftar Gaji Karyawan'!E12,Jabatan!$C$5:$C$9,0))</f>
        <v>5000000</v>
      </c>
      <c r="K12" s="9">
        <f>INDEX(Jabatan!$G$5:$G$9,MATCH('Daftar Gaji Karyawan'!E12,Jabatan!$C$5:$C$9,0))</f>
        <v>30000</v>
      </c>
      <c r="L12" s="9">
        <f t="shared" si="2"/>
        <v>870000</v>
      </c>
      <c r="M12" s="9">
        <f>_xlfn.XLOOKUP(E12,Jabatan!$C$5:$C$9,Jabatan!$F$5:$F$9)</f>
        <v>750000</v>
      </c>
      <c r="N12" s="9">
        <f t="shared" si="3"/>
        <v>6620000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0">
        <v>6</v>
      </c>
      <c r="C13" s="7" t="s">
        <v>33</v>
      </c>
      <c r="D13" s="11" t="s">
        <v>34</v>
      </c>
      <c r="E13" s="10" t="s">
        <v>28</v>
      </c>
      <c r="F13" s="8" t="str">
        <f>INDEX(Jabatan!$D$5:$D$9,MATCH('Daftar Gaji Karyawan'!E13,Jabatan!$C$5:$C$9,0))</f>
        <v>KARYAWAN</v>
      </c>
      <c r="G13" s="8">
        <f t="shared" si="0"/>
        <v>30</v>
      </c>
      <c r="H13" s="8">
        <f>COUNTIF('Absen Tidak Masuk Kerja'!$C$4:$C$13,'Daftar Gaji Karyawan'!C13)</f>
        <v>1</v>
      </c>
      <c r="I13" s="8">
        <f t="shared" si="1"/>
        <v>29</v>
      </c>
      <c r="J13" s="9">
        <f>INDEX(Jabatan!$E$5:$E$9,MATCH('Daftar Gaji Karyawan'!E13,Jabatan!$C$5:$C$9,0))</f>
        <v>5000000</v>
      </c>
      <c r="K13" s="9">
        <f>INDEX(Jabatan!$G$5:$G$9,MATCH('Daftar Gaji Karyawan'!E13,Jabatan!$C$5:$C$9,0))</f>
        <v>30000</v>
      </c>
      <c r="L13" s="9">
        <f t="shared" si="2"/>
        <v>870000</v>
      </c>
      <c r="M13" s="9">
        <f>_xlfn.XLOOKUP(E13,Jabatan!$C$5:$C$9,Jabatan!$F$5:$F$9)</f>
        <v>750000</v>
      </c>
      <c r="N13" s="9">
        <f t="shared" si="3"/>
        <v>6620000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7">
        <v>7</v>
      </c>
      <c r="C14" s="7" t="s">
        <v>35</v>
      </c>
      <c r="D14" s="11" t="s">
        <v>36</v>
      </c>
      <c r="E14" s="10" t="s">
        <v>28</v>
      </c>
      <c r="F14" s="8" t="str">
        <f>INDEX(Jabatan!$D$5:$D$9,MATCH('Daftar Gaji Karyawan'!E14,Jabatan!$C$5:$C$9,0))</f>
        <v>KARYAWAN</v>
      </c>
      <c r="G14" s="8">
        <f t="shared" si="0"/>
        <v>30</v>
      </c>
      <c r="H14" s="8">
        <f>COUNTIF('Absen Tidak Masuk Kerja'!$C$4:$C$13,'Daftar Gaji Karyawan'!C14)</f>
        <v>0</v>
      </c>
      <c r="I14" s="8">
        <f t="shared" si="1"/>
        <v>30</v>
      </c>
      <c r="J14" s="9">
        <f>INDEX(Jabatan!$E$5:$E$9,MATCH('Daftar Gaji Karyawan'!E14,Jabatan!$C$5:$C$9,0))</f>
        <v>5000000</v>
      </c>
      <c r="K14" s="9">
        <f>INDEX(Jabatan!$G$5:$G$9,MATCH('Daftar Gaji Karyawan'!E14,Jabatan!$C$5:$C$9,0))</f>
        <v>30000</v>
      </c>
      <c r="L14" s="9">
        <f t="shared" si="2"/>
        <v>900000</v>
      </c>
      <c r="M14" s="9">
        <f>_xlfn.XLOOKUP(E14,Jabatan!$C$5:$C$9,Jabatan!$F$5:$F$9)</f>
        <v>750000</v>
      </c>
      <c r="N14" s="9">
        <f t="shared" si="3"/>
        <v>6650000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0">
        <v>8</v>
      </c>
      <c r="C15" s="7" t="s">
        <v>37</v>
      </c>
      <c r="D15" s="11" t="s">
        <v>38</v>
      </c>
      <c r="E15" s="10" t="s">
        <v>28</v>
      </c>
      <c r="F15" s="8" t="str">
        <f>INDEX(Jabatan!$D$5:$D$9,MATCH('Daftar Gaji Karyawan'!E15,Jabatan!$C$5:$C$9,0))</f>
        <v>KARYAWAN</v>
      </c>
      <c r="G15" s="8">
        <f t="shared" si="0"/>
        <v>30</v>
      </c>
      <c r="H15" s="8">
        <f>COUNTIF('Absen Tidak Masuk Kerja'!$C$4:$C$13,'Daftar Gaji Karyawan'!C15)</f>
        <v>1</v>
      </c>
      <c r="I15" s="8">
        <f t="shared" si="1"/>
        <v>29</v>
      </c>
      <c r="J15" s="9">
        <f>INDEX(Jabatan!$E$5:$E$9,MATCH('Daftar Gaji Karyawan'!E15,Jabatan!$C$5:$C$9,0))</f>
        <v>5000000</v>
      </c>
      <c r="K15" s="9">
        <f>INDEX(Jabatan!$G$5:$G$9,MATCH('Daftar Gaji Karyawan'!E15,Jabatan!$C$5:$C$9,0))</f>
        <v>30000</v>
      </c>
      <c r="L15" s="9">
        <f t="shared" si="2"/>
        <v>870000</v>
      </c>
      <c r="M15" s="9">
        <f>_xlfn.XLOOKUP(E15,Jabatan!$C$5:$C$9,Jabatan!$F$5:$F$9)</f>
        <v>750000</v>
      </c>
      <c r="N15" s="9">
        <f t="shared" si="3"/>
        <v>6620000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7">
        <v>9</v>
      </c>
      <c r="C16" s="7" t="s">
        <v>39</v>
      </c>
      <c r="D16" s="11" t="s">
        <v>40</v>
      </c>
      <c r="E16" s="10" t="s">
        <v>41</v>
      </c>
      <c r="F16" s="8" t="str">
        <f>INDEX(Jabatan!$D$5:$D$9,MATCH('Daftar Gaji Karyawan'!E16,Jabatan!$C$5:$C$9,0))</f>
        <v>DRIVER</v>
      </c>
      <c r="G16" s="8">
        <f t="shared" si="0"/>
        <v>30</v>
      </c>
      <c r="H16" s="8">
        <f>COUNTIF('Absen Tidak Masuk Kerja'!$C$4:$C$13,'Daftar Gaji Karyawan'!C16)</f>
        <v>1</v>
      </c>
      <c r="I16" s="8">
        <f t="shared" si="1"/>
        <v>29</v>
      </c>
      <c r="J16" s="9">
        <f>INDEX(Jabatan!$E$5:$E$9,MATCH('Daftar Gaji Karyawan'!E16,Jabatan!$C$5:$C$9,0))</f>
        <v>2500000</v>
      </c>
      <c r="K16" s="9">
        <f>INDEX(Jabatan!$G$5:$G$9,MATCH('Daftar Gaji Karyawan'!E16,Jabatan!$C$5:$C$9,0))</f>
        <v>25000</v>
      </c>
      <c r="L16" s="9">
        <f t="shared" si="2"/>
        <v>725000</v>
      </c>
      <c r="M16" s="9">
        <f>_xlfn.XLOOKUP(E16,Jabatan!$C$5:$C$9,Jabatan!$F$5:$F$9)</f>
        <v>250000</v>
      </c>
      <c r="N16" s="9">
        <f t="shared" si="3"/>
        <v>3475000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0">
        <v>10</v>
      </c>
      <c r="C17" s="7" t="s">
        <v>42</v>
      </c>
      <c r="D17" s="11" t="s">
        <v>43</v>
      </c>
      <c r="E17" s="10" t="s">
        <v>44</v>
      </c>
      <c r="F17" s="8" t="str">
        <f>INDEX(Jabatan!$D$5:$D$9,MATCH('Daftar Gaji Karyawan'!E17,Jabatan!$C$5:$C$9,0))</f>
        <v>OFFICE BOY</v>
      </c>
      <c r="G17" s="8">
        <f t="shared" si="0"/>
        <v>30</v>
      </c>
      <c r="H17" s="8">
        <f>COUNTIF('Absen Tidak Masuk Kerja'!$C$4:$C$13,'Daftar Gaji Karyawan'!C17)</f>
        <v>1</v>
      </c>
      <c r="I17" s="8">
        <f t="shared" si="1"/>
        <v>29</v>
      </c>
      <c r="J17" s="9">
        <f>INDEX(Jabatan!$E$5:$E$9,MATCH('Daftar Gaji Karyawan'!E17,Jabatan!$C$5:$C$9,0))</f>
        <v>2000000</v>
      </c>
      <c r="K17" s="9">
        <f>INDEX(Jabatan!$G$5:$G$9,MATCH('Daftar Gaji Karyawan'!E17,Jabatan!$C$5:$C$9,0))</f>
        <v>20000</v>
      </c>
      <c r="L17" s="9">
        <f t="shared" si="2"/>
        <v>580000</v>
      </c>
      <c r="M17" s="9">
        <f>_xlfn.XLOOKUP(E17,Jabatan!$C$5:$C$9,Jabatan!$F$5:$F$9)</f>
        <v>150000</v>
      </c>
      <c r="N17" s="9">
        <f t="shared" si="3"/>
        <v>2730000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35" t="s">
        <v>45</v>
      </c>
      <c r="C18" s="36"/>
      <c r="D18" s="36"/>
      <c r="E18" s="36"/>
      <c r="F18" s="36"/>
      <c r="G18" s="36"/>
      <c r="H18" s="36"/>
      <c r="I18" s="37"/>
      <c r="J18" s="12">
        <f>SUM(J8:J17)</f>
        <v>64500000</v>
      </c>
      <c r="K18" s="12">
        <f t="shared" ref="K18:M18" si="4">SUM(K8:K17)</f>
        <v>350000</v>
      </c>
      <c r="L18" s="12">
        <f t="shared" si="4"/>
        <v>10110000</v>
      </c>
      <c r="M18" s="12">
        <f t="shared" si="4"/>
        <v>9900000</v>
      </c>
      <c r="N18" s="12">
        <f>SUM(N8:N17)</f>
        <v>84510000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2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2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3"/>
      <c r="B21" s="14" t="s">
        <v>46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25">
      <c r="A22" s="13"/>
      <c r="B22" s="15">
        <v>1</v>
      </c>
      <c r="C22" s="16" t="s">
        <v>47</v>
      </c>
      <c r="D22" s="17"/>
      <c r="E22" s="16" t="s">
        <v>48</v>
      </c>
      <c r="F22" s="18"/>
      <c r="G22" s="18"/>
      <c r="H22" s="18"/>
      <c r="I22" s="18"/>
      <c r="J22" s="18"/>
      <c r="K22" s="1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25">
      <c r="A23" s="13"/>
      <c r="B23" s="15">
        <v>2</v>
      </c>
      <c r="C23" s="16" t="s">
        <v>49</v>
      </c>
      <c r="D23" s="17"/>
      <c r="E23" s="16" t="s">
        <v>50</v>
      </c>
      <c r="F23" s="18"/>
      <c r="G23" s="18"/>
      <c r="H23" s="18"/>
      <c r="I23" s="18"/>
      <c r="J23" s="18"/>
      <c r="K23" s="1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25">
      <c r="A24" s="13"/>
      <c r="B24" s="15">
        <v>3</v>
      </c>
      <c r="C24" s="16" t="s">
        <v>51</v>
      </c>
      <c r="D24" s="17"/>
      <c r="E24" s="16" t="s">
        <v>52</v>
      </c>
      <c r="F24" s="18"/>
      <c r="G24" s="18"/>
      <c r="H24" s="18"/>
      <c r="I24" s="18"/>
      <c r="J24" s="18"/>
      <c r="K24" s="1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25">
      <c r="A25" s="13"/>
      <c r="B25" s="15">
        <v>4</v>
      </c>
      <c r="C25" s="16" t="s">
        <v>53</v>
      </c>
      <c r="D25" s="17"/>
      <c r="E25" s="16" t="s">
        <v>54</v>
      </c>
      <c r="F25" s="18"/>
      <c r="G25" s="18"/>
      <c r="H25" s="18"/>
      <c r="I25" s="18"/>
      <c r="J25" s="18"/>
      <c r="K25" s="1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25">
      <c r="A26" s="13"/>
      <c r="B26" s="19">
        <v>5</v>
      </c>
      <c r="C26" s="20" t="s">
        <v>55</v>
      </c>
      <c r="D26" s="21"/>
      <c r="E26" s="20" t="s">
        <v>56</v>
      </c>
      <c r="F26" s="22"/>
      <c r="G26" s="22"/>
      <c r="H26" s="22"/>
      <c r="I26" s="22"/>
      <c r="J26" s="22"/>
      <c r="K26" s="21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25">
      <c r="A27" s="13"/>
      <c r="B27" s="19">
        <v>6</v>
      </c>
      <c r="C27" s="20" t="s">
        <v>57</v>
      </c>
      <c r="D27" s="21"/>
      <c r="E27" s="20" t="s">
        <v>58</v>
      </c>
      <c r="F27" s="22"/>
      <c r="G27" s="22"/>
      <c r="H27" s="22"/>
      <c r="I27" s="22"/>
      <c r="J27" s="22"/>
      <c r="K27" s="21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25">
      <c r="A28" s="13"/>
      <c r="B28" s="19">
        <v>7</v>
      </c>
      <c r="C28" s="20" t="s">
        <v>59</v>
      </c>
      <c r="D28" s="21"/>
      <c r="E28" s="20" t="s">
        <v>60</v>
      </c>
      <c r="F28" s="22"/>
      <c r="G28" s="22"/>
      <c r="H28" s="22"/>
      <c r="I28" s="22"/>
      <c r="J28" s="22"/>
      <c r="K28" s="21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25">
      <c r="A29" s="13"/>
      <c r="B29" s="23">
        <v>8</v>
      </c>
      <c r="C29" s="24" t="s">
        <v>61</v>
      </c>
      <c r="D29" s="25"/>
      <c r="E29" s="24" t="s">
        <v>62</v>
      </c>
      <c r="F29" s="26"/>
      <c r="G29" s="26"/>
      <c r="H29" s="26"/>
      <c r="I29" s="26"/>
      <c r="J29" s="26"/>
      <c r="K29" s="25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25">
      <c r="A30" s="13"/>
      <c r="B30" s="23">
        <v>9</v>
      </c>
      <c r="C30" s="24" t="s">
        <v>63</v>
      </c>
      <c r="D30" s="25"/>
      <c r="E30" s="24" t="s">
        <v>64</v>
      </c>
      <c r="F30" s="26"/>
      <c r="G30" s="26"/>
      <c r="H30" s="26"/>
      <c r="I30" s="26"/>
      <c r="J30" s="26"/>
      <c r="K30" s="25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25">
      <c r="A31" s="13"/>
      <c r="B31" s="23">
        <v>10</v>
      </c>
      <c r="C31" s="24" t="s">
        <v>65</v>
      </c>
      <c r="D31" s="25"/>
      <c r="E31" s="24" t="s">
        <v>66</v>
      </c>
      <c r="F31" s="26"/>
      <c r="G31" s="26"/>
      <c r="H31" s="26"/>
      <c r="I31" s="26"/>
      <c r="J31" s="26"/>
      <c r="K31" s="25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5">
      <c r="A86" s="1"/>
      <c r="B86" s="1"/>
      <c r="C86" s="2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2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2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2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2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2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2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2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2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2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2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2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2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2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2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2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2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2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2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2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2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2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2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2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2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2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2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2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2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2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2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2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2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2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2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2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2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2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2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2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2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2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2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2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2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2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2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2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2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2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2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2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2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2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2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2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2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2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2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2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2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2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2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2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2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2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2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2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2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2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2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2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2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2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2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2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2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2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2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2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2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2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2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2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2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2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2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2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2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2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2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2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2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2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2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2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2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2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2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2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2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2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2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2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2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2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2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2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2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2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2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2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2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2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2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2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2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2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2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2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2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2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2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2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2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2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2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2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2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2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2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2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2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2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2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2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2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2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2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2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2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2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2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2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2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2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2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2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2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2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2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2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2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2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2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2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2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2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2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2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2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2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2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2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2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2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2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2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2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2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2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2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2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2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2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2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2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2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2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2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2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2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2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2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2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2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2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2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2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2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2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2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2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2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2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2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2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2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2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2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2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2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2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2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2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2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2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2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2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2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2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2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2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2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2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2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2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2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2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2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2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2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2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2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2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2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2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2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2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2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2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2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2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2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2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2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2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2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2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2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2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2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2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2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2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2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2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2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2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2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2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2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2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2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2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2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2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2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2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2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2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2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2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2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2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2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2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2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2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2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2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2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2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2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2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2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2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2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2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2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2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2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2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2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2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2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2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2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2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2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2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2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2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2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2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2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2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2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2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2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2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2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2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2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2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2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2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2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2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2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2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2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2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2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2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2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2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2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2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2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2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2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2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2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2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2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2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2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2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2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2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2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2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2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2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2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2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2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2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2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2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2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2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2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2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2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2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2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2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2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2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2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2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2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2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2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2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2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2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2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2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2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2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2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2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2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2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2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2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2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2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2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2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2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2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2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2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2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2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2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2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2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2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2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2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2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2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2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2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2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2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2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2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2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2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2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2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2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2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2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2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2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2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2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2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2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2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2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2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2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2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2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2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2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2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2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2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2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2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2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2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2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2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2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2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2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2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2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2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2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2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2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2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2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2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2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2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2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2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2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2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2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2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2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2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2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2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2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2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2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2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2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2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2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2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2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2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2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2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2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2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2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2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2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2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2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2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2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2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2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2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2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2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2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2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2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2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2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2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2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2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2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2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2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2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2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2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2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2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2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2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2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2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2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2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2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2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2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2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2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2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2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2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2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2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2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2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2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2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2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2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2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2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2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2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2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2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2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2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2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2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2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2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2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2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2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2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2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2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2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2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2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2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2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2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2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2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2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2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2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2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2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2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2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2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2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2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2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2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2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2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2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2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2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2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2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2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2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2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2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2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2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2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2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2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2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2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2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2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2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2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2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2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2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2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2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2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2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2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2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2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2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2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2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2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2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2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2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2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2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2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2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2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2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2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2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2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2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2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2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2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2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2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2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2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2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2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2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2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2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2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2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2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2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2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2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2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2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2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2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2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2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2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2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2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2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2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2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2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2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2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2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2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2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2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2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2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2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2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2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2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2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2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2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2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2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2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2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2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2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2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2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2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2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2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2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2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2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2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2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2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2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2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2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2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2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2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2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2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2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2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2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2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2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2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2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2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2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2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2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2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2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2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2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2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2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2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2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2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2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2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2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2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2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2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2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2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2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2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2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2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2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2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2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2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2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2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2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2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2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2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2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2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2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2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2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2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2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2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2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2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2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2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2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2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2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2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2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2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2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2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2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2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2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2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2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2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2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2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2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2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2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2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2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2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2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2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2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2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2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2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2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2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2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2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2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2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2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2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2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2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2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2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2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2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2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2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2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2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2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2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2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2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2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2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2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2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2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2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2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2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2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2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2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2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2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2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2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2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2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2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2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2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2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2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2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2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2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2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2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2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2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2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2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2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2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2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2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2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2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2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2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2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2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2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2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2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2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2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2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2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2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2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2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2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2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2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2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2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2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2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2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2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2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2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2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2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2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2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2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2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2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2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2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2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2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2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2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2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2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2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2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2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2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2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2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2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2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2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2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2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2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2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2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2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2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2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2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2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2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2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2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2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2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2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2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2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2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2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2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2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2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2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2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2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2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2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2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2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2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2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2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2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2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2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2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2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2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2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2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2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2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2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2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2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2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2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2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2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2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2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2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2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2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2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6:F7"/>
    <mergeCell ref="B18:I18"/>
    <mergeCell ref="B2:N2"/>
    <mergeCell ref="B6:B7"/>
    <mergeCell ref="C6:C7"/>
    <mergeCell ref="J6:J7"/>
    <mergeCell ref="K6:L6"/>
    <mergeCell ref="M6:M7"/>
    <mergeCell ref="N6:N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showGridLines="0" workbookViewId="0">
      <selection activeCell="E11" sqref="E11"/>
    </sheetView>
  </sheetViews>
  <sheetFormatPr defaultColWidth="14.42578125" defaultRowHeight="15" customHeight="1" x14ac:dyDescent="0.25"/>
  <cols>
    <col min="1" max="1" width="3.7109375" customWidth="1"/>
    <col min="2" max="2" width="4.42578125" customWidth="1"/>
    <col min="3" max="3" width="9.140625" customWidth="1"/>
    <col min="4" max="4" width="19.140625" customWidth="1"/>
    <col min="5" max="7" width="15" customWidth="1"/>
    <col min="8" max="26" width="8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40" t="s">
        <v>67</v>
      </c>
      <c r="C2" s="41"/>
      <c r="D2" s="41"/>
      <c r="E2" s="41"/>
      <c r="F2" s="41"/>
      <c r="G2" s="4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33" t="s">
        <v>3</v>
      </c>
      <c r="C3" s="5" t="s">
        <v>6</v>
      </c>
      <c r="D3" s="33" t="s">
        <v>68</v>
      </c>
      <c r="E3" s="33" t="s">
        <v>10</v>
      </c>
      <c r="F3" s="33" t="s">
        <v>12</v>
      </c>
      <c r="G3" s="5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34"/>
      <c r="C4" s="6" t="s">
        <v>7</v>
      </c>
      <c r="D4" s="34"/>
      <c r="E4" s="34"/>
      <c r="F4" s="34"/>
      <c r="G4" s="6" t="s">
        <v>69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7">
        <v>1</v>
      </c>
      <c r="C5" s="7" t="s">
        <v>22</v>
      </c>
      <c r="D5" s="8" t="s">
        <v>70</v>
      </c>
      <c r="E5" s="27">
        <v>20000000</v>
      </c>
      <c r="F5" s="27">
        <v>3000000</v>
      </c>
      <c r="G5" s="27">
        <v>75000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0">
        <v>2</v>
      </c>
      <c r="C6" s="10" t="s">
        <v>25</v>
      </c>
      <c r="D6" s="11" t="s">
        <v>71</v>
      </c>
      <c r="E6" s="28">
        <v>10000000</v>
      </c>
      <c r="F6" s="28">
        <v>2000000</v>
      </c>
      <c r="G6" s="28">
        <v>50000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0">
        <v>3</v>
      </c>
      <c r="C7" s="10" t="s">
        <v>28</v>
      </c>
      <c r="D7" s="11" t="s">
        <v>14</v>
      </c>
      <c r="E7" s="28">
        <v>5000000</v>
      </c>
      <c r="F7" s="28">
        <v>750000</v>
      </c>
      <c r="G7" s="28">
        <v>30000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0">
        <v>4</v>
      </c>
      <c r="C8" s="10" t="s">
        <v>41</v>
      </c>
      <c r="D8" s="11" t="s">
        <v>72</v>
      </c>
      <c r="E8" s="28">
        <v>2500000</v>
      </c>
      <c r="F8" s="28">
        <v>250000</v>
      </c>
      <c r="G8" s="28">
        <v>25000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0">
        <v>5</v>
      </c>
      <c r="C9" s="10" t="s">
        <v>44</v>
      </c>
      <c r="D9" s="11" t="s">
        <v>73</v>
      </c>
      <c r="E9" s="28">
        <v>2000000</v>
      </c>
      <c r="F9" s="28">
        <v>150000</v>
      </c>
      <c r="G9" s="28">
        <v>20000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B3:B4"/>
    <mergeCell ref="D3:D4"/>
    <mergeCell ref="E3:E4"/>
    <mergeCell ref="F3:F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E1000"/>
  <sheetViews>
    <sheetView showGridLines="0" workbookViewId="0">
      <selection activeCell="D11" sqref="D11:E11"/>
    </sheetView>
  </sheetViews>
  <sheetFormatPr defaultColWidth="14.42578125" defaultRowHeight="15" customHeight="1" x14ac:dyDescent="0.25"/>
  <cols>
    <col min="1" max="1" width="8.7109375" customWidth="1"/>
    <col min="2" max="2" width="4.42578125" customWidth="1"/>
    <col min="3" max="3" width="9.7109375" customWidth="1"/>
    <col min="4" max="26" width="8.7109375" customWidth="1"/>
  </cols>
  <sheetData>
    <row r="2" spans="2:5" ht="15.75" x14ac:dyDescent="0.25">
      <c r="B2" s="44" t="s">
        <v>74</v>
      </c>
      <c r="C2" s="45"/>
      <c r="D2" s="45"/>
      <c r="E2" s="45"/>
    </row>
    <row r="3" spans="2:5" x14ac:dyDescent="0.25">
      <c r="B3" s="29" t="s">
        <v>3</v>
      </c>
      <c r="C3" s="29" t="s">
        <v>75</v>
      </c>
      <c r="D3" s="46" t="s">
        <v>76</v>
      </c>
      <c r="E3" s="47"/>
    </row>
    <row r="4" spans="2:5" x14ac:dyDescent="0.25">
      <c r="B4" s="7">
        <v>1</v>
      </c>
      <c r="C4" s="30">
        <v>43466</v>
      </c>
      <c r="D4" s="42" t="s">
        <v>77</v>
      </c>
      <c r="E4" s="43"/>
    </row>
    <row r="5" spans="2:5" x14ac:dyDescent="0.25">
      <c r="B5" s="10">
        <v>2</v>
      </c>
      <c r="C5" s="30">
        <f>C4+11</f>
        <v>43477</v>
      </c>
      <c r="D5" s="42" t="s">
        <v>82</v>
      </c>
      <c r="E5" s="43"/>
    </row>
    <row r="6" spans="2:5" x14ac:dyDescent="0.25">
      <c r="B6" s="7">
        <v>3</v>
      </c>
      <c r="C6" s="30">
        <f t="shared" ref="C6:C13" si="0">C5+11</f>
        <v>43488</v>
      </c>
      <c r="D6" s="42" t="s">
        <v>83</v>
      </c>
      <c r="E6" s="43"/>
    </row>
    <row r="7" spans="2:5" x14ac:dyDescent="0.25">
      <c r="B7" s="10">
        <v>4</v>
      </c>
      <c r="C7" s="30">
        <f t="shared" si="0"/>
        <v>43499</v>
      </c>
      <c r="D7" s="42" t="s">
        <v>84</v>
      </c>
      <c r="E7" s="43"/>
    </row>
    <row r="8" spans="2:5" x14ac:dyDescent="0.25">
      <c r="B8" s="7">
        <v>5</v>
      </c>
      <c r="C8" s="30">
        <f t="shared" si="0"/>
        <v>43510</v>
      </c>
      <c r="D8" s="42" t="s">
        <v>85</v>
      </c>
      <c r="E8" s="43"/>
    </row>
    <row r="9" spans="2:5" x14ac:dyDescent="0.25">
      <c r="B9" s="10">
        <v>6</v>
      </c>
      <c r="C9" s="30">
        <f t="shared" si="0"/>
        <v>43521</v>
      </c>
      <c r="D9" s="42" t="s">
        <v>86</v>
      </c>
      <c r="E9" s="43"/>
    </row>
    <row r="10" spans="2:5" x14ac:dyDescent="0.25">
      <c r="B10" s="7">
        <v>7</v>
      </c>
      <c r="C10" s="30">
        <f t="shared" si="0"/>
        <v>43532</v>
      </c>
      <c r="D10" s="42" t="s">
        <v>87</v>
      </c>
      <c r="E10" s="43"/>
    </row>
    <row r="11" spans="2:5" x14ac:dyDescent="0.25">
      <c r="B11" s="10">
        <v>8</v>
      </c>
      <c r="C11" s="30">
        <f t="shared" si="0"/>
        <v>43543</v>
      </c>
      <c r="D11" s="42" t="s">
        <v>88</v>
      </c>
      <c r="E11" s="43"/>
    </row>
    <row r="12" spans="2:5" x14ac:dyDescent="0.25">
      <c r="B12" s="7">
        <v>9</v>
      </c>
      <c r="C12" s="30">
        <f t="shared" si="0"/>
        <v>43554</v>
      </c>
      <c r="D12" s="42" t="s">
        <v>89</v>
      </c>
      <c r="E12" s="43"/>
    </row>
    <row r="13" spans="2:5" x14ac:dyDescent="0.25">
      <c r="B13" s="10">
        <v>10</v>
      </c>
      <c r="C13" s="30">
        <f t="shared" si="0"/>
        <v>43565</v>
      </c>
      <c r="D13" s="42" t="s">
        <v>90</v>
      </c>
      <c r="E13" s="43"/>
    </row>
    <row r="14" spans="2:5" ht="15" customHeight="1" x14ac:dyDescent="0.25">
      <c r="C14" s="30">
        <v>43476</v>
      </c>
    </row>
    <row r="15" spans="2:5" ht="15" customHeight="1" x14ac:dyDescent="0.25">
      <c r="C15" s="30">
        <v>43477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D7:E7"/>
    <mergeCell ref="D8:E8"/>
    <mergeCell ref="B2:E2"/>
    <mergeCell ref="D3:E3"/>
    <mergeCell ref="D4:E4"/>
    <mergeCell ref="D5:E5"/>
    <mergeCell ref="D6:E6"/>
    <mergeCell ref="D9:E9"/>
    <mergeCell ref="D10:E10"/>
    <mergeCell ref="D11:E11"/>
    <mergeCell ref="D12:E12"/>
    <mergeCell ref="D13:E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showGridLines="0" workbookViewId="0">
      <selection activeCell="D34" sqref="D34"/>
    </sheetView>
  </sheetViews>
  <sheetFormatPr defaultColWidth="14.42578125" defaultRowHeight="15" customHeight="1" x14ac:dyDescent="0.25"/>
  <cols>
    <col min="1" max="1" width="3.7109375" customWidth="1"/>
    <col min="2" max="2" width="4.42578125" customWidth="1"/>
    <col min="3" max="3" width="9.140625" customWidth="1"/>
    <col min="4" max="4" width="19.140625" customWidth="1"/>
    <col min="5" max="6" width="15" customWidth="1"/>
    <col min="7" max="26" width="8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40" t="s">
        <v>78</v>
      </c>
      <c r="C2" s="41"/>
      <c r="D2" s="41"/>
      <c r="E2" s="41"/>
      <c r="F2" s="4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 x14ac:dyDescent="0.25">
      <c r="A3" s="1"/>
      <c r="B3" s="29" t="s">
        <v>3</v>
      </c>
      <c r="C3" s="29" t="s">
        <v>4</v>
      </c>
      <c r="D3" s="29" t="s">
        <v>79</v>
      </c>
      <c r="E3" s="29" t="s">
        <v>75</v>
      </c>
      <c r="F3" s="29" t="s">
        <v>76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7">
        <v>1</v>
      </c>
      <c r="C4" s="7" t="s">
        <v>23</v>
      </c>
      <c r="D4" s="8" t="s">
        <v>24</v>
      </c>
      <c r="E4" s="31">
        <v>43468</v>
      </c>
      <c r="F4" s="7" t="s">
        <v>80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0">
        <v>2</v>
      </c>
      <c r="C5" s="10" t="s">
        <v>26</v>
      </c>
      <c r="D5" s="11" t="s">
        <v>27</v>
      </c>
      <c r="E5" s="32">
        <v>43469</v>
      </c>
      <c r="F5" s="10" t="s">
        <v>80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7">
        <v>3</v>
      </c>
      <c r="C6" s="10" t="s">
        <v>31</v>
      </c>
      <c r="D6" s="11" t="s">
        <v>32</v>
      </c>
      <c r="E6" s="32">
        <v>43475</v>
      </c>
      <c r="F6" s="10" t="s">
        <v>80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0">
        <v>4</v>
      </c>
      <c r="C7" s="10" t="s">
        <v>33</v>
      </c>
      <c r="D7" s="11" t="s">
        <v>34</v>
      </c>
      <c r="E7" s="32">
        <v>43475</v>
      </c>
      <c r="F7" s="10" t="s">
        <v>81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7">
        <v>5</v>
      </c>
      <c r="C8" s="10" t="s">
        <v>23</v>
      </c>
      <c r="D8" s="11" t="s">
        <v>24</v>
      </c>
      <c r="E8" s="32">
        <v>43480</v>
      </c>
      <c r="F8" s="10" t="s">
        <v>80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0">
        <v>6</v>
      </c>
      <c r="C9" s="7" t="s">
        <v>20</v>
      </c>
      <c r="D9" s="8" t="s">
        <v>21</v>
      </c>
      <c r="E9" s="32">
        <v>43482</v>
      </c>
      <c r="F9" s="10" t="s">
        <v>81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7">
        <v>7</v>
      </c>
      <c r="C10" s="7" t="s">
        <v>23</v>
      </c>
      <c r="D10" s="11" t="s">
        <v>24</v>
      </c>
      <c r="E10" s="32">
        <v>43483</v>
      </c>
      <c r="F10" s="10" t="s">
        <v>81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0">
        <v>8</v>
      </c>
      <c r="C11" s="7" t="s">
        <v>39</v>
      </c>
      <c r="D11" s="11" t="s">
        <v>40</v>
      </c>
      <c r="E11" s="32">
        <v>43486</v>
      </c>
      <c r="F11" s="10" t="s">
        <v>80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7">
        <v>9</v>
      </c>
      <c r="C12" s="7" t="s">
        <v>37</v>
      </c>
      <c r="D12" s="11" t="s">
        <v>38</v>
      </c>
      <c r="E12" s="32">
        <v>43488</v>
      </c>
      <c r="F12" s="10" t="s">
        <v>80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0">
        <v>10</v>
      </c>
      <c r="C13" s="7" t="s">
        <v>42</v>
      </c>
      <c r="D13" s="11" t="s">
        <v>43</v>
      </c>
      <c r="E13" s="32">
        <v>43490</v>
      </c>
      <c r="F13" s="10" t="s">
        <v>81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F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Daftar Gaji Karyawan</vt:lpstr>
      <vt:lpstr>Jabatan</vt:lpstr>
      <vt:lpstr>Libur Nasional</vt:lpstr>
      <vt:lpstr>Absen Tidak Masuk Kerja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naufalizzudin36@gmail.com</cp:lastModifiedBy>
  <dcterms:created xsi:type="dcterms:W3CDTF">2019-01-10T13:04:45Z</dcterms:created>
  <dcterms:modified xsi:type="dcterms:W3CDTF">2026-03-03T09:28:46Z</dcterms:modified>
</cp:coreProperties>
</file>