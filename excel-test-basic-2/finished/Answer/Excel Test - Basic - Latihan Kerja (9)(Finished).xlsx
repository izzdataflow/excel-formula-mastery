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FEE7A0D1-411C-4E60-B06E-163E358DFC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EiNp3b9I1G6/FKfDn5ByoZYpeHqu+FmHyQZJBC6Ohg8="/>
    </ext>
  </extLst>
</workbook>
</file>

<file path=xl/calcChain.xml><?xml version="1.0" encoding="utf-8"?>
<calcChain xmlns="http://schemas.openxmlformats.org/spreadsheetml/2006/main">
  <c r="J21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</calcChain>
</file>

<file path=xl/sharedStrings.xml><?xml version="1.0" encoding="utf-8"?>
<sst xmlns="http://schemas.openxmlformats.org/spreadsheetml/2006/main" count="94" uniqueCount="50">
  <si>
    <t>LAPORAN DAFTAR TAMU</t>
  </si>
  <si>
    <t>HOTEL BKDN</t>
  </si>
  <si>
    <t>NO.</t>
  </si>
  <si>
    <t>NAMA TAMU</t>
  </si>
  <si>
    <t>KODE TYPE</t>
  </si>
  <si>
    <t>KODE KAMAR</t>
  </si>
  <si>
    <t>TYPE KAMAR</t>
  </si>
  <si>
    <t>NAMA KAMAR</t>
  </si>
  <si>
    <t>TARIF KAMAR</t>
  </si>
  <si>
    <t>LAMA NGINAP (HARI)</t>
  </si>
  <si>
    <t>TOTAL PEMBAYARAN</t>
  </si>
  <si>
    <t>AMINI</t>
  </si>
  <si>
    <t>D</t>
  </si>
  <si>
    <t>B</t>
  </si>
  <si>
    <t>FATUR</t>
  </si>
  <si>
    <t>S</t>
  </si>
  <si>
    <t>A</t>
  </si>
  <si>
    <t>ABDURRAHMAN</t>
  </si>
  <si>
    <t>F</t>
  </si>
  <si>
    <t>C</t>
  </si>
  <si>
    <t>MEGAWATI</t>
  </si>
  <si>
    <t>BAMBANG</t>
  </si>
  <si>
    <t>BAHARUDIN</t>
  </si>
  <si>
    <t>MATORI</t>
  </si>
  <si>
    <t>MAHFUD</t>
  </si>
  <si>
    <t>YUSRIL</t>
  </si>
  <si>
    <t>HAMZAH</t>
  </si>
  <si>
    <t>BUDI</t>
  </si>
  <si>
    <t>PRAYOGI</t>
  </si>
  <si>
    <t>IHSAN</t>
  </si>
  <si>
    <t>MONICA</t>
  </si>
  <si>
    <t>UTARI</t>
  </si>
  <si>
    <t>GRAND TOTAL</t>
  </si>
  <si>
    <t>TABEL TYPE KAMAR</t>
  </si>
  <si>
    <t>FAMILY</t>
  </si>
  <si>
    <t>DOUBLE</t>
  </si>
  <si>
    <t>SINGLE</t>
  </si>
  <si>
    <t>TABEL TARIF KAMAR</t>
  </si>
  <si>
    <t>SUITE</t>
  </si>
  <si>
    <t>PRESIDENT</t>
  </si>
  <si>
    <t>KETERANGAN WARNA TAHAPAN</t>
  </si>
  <si>
    <t>BUSINESS</t>
  </si>
  <si>
    <t>: Tahap I</t>
  </si>
  <si>
    <t>: Tahap II</t>
  </si>
  <si>
    <t>KETERANGAN RUMUS :</t>
  </si>
  <si>
    <t>1. Type Kamar = Diambil dari Tabel Type Kamar berdasarkan Kode Type</t>
  </si>
  <si>
    <t>2. Nama Kamar = Diambil dari Tabel Tarif Kamar berdasarkan Kode Kamar</t>
  </si>
  <si>
    <t>3. Tarif Kamar = Diambil dari Tabel Tarif Kamar berdasarkan Kode Kamar menyesuaikan Kode Type Kamar</t>
  </si>
  <si>
    <t>4. Total Pembayaran = Tarif Kamar * Lama Nginap</t>
  </si>
  <si>
    <t>5. Grand Total = SUM dari Total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</si>
</sst>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7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0"/>
      <name val="Calibri"/>
    </font>
    <font>
      <sz val="11"/>
      <name val="Calibri"/>
    </font>
    <font>
      <b/>
      <sz val="16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92D050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20" fontId="1" fillId="0" borderId="0" xfId="0" applyNumberFormat="1" applyFont="1" applyAlignment="1">
      <alignment horizontal="left"/>
    </xf>
    <xf numFmtId="0" fontId="1" fillId="7" borderId="7" xfId="0" applyFont="1" applyFill="1" applyBorder="1" applyAlignment="1">
      <alignment vertical="center"/>
    </xf>
    <xf numFmtId="164" fontId="1" fillId="7" borderId="7" xfId="0" applyNumberFormat="1" applyFont="1" applyFill="1" applyBorder="1" applyAlignment="1">
      <alignment vertical="center"/>
    </xf>
    <xf numFmtId="164" fontId="5" fillId="8" borderId="7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5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4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ySplit="5" topLeftCell="A6" activePane="bottomLeft" state="frozen"/>
      <selection pane="bottomLeft" activeCell="J22" sqref="J22"/>
    </sheetView>
  </sheetViews>
  <sheetFormatPr defaultColWidth="14.42578125" defaultRowHeight="15" customHeight="1"/>
  <cols>
    <col min="1" max="1" width="2" customWidth="1"/>
    <col min="2" max="2" width="4.42578125" customWidth="1"/>
    <col min="3" max="3" width="18.28515625" customWidth="1"/>
    <col min="4" max="5" width="12.140625" customWidth="1"/>
    <col min="6" max="7" width="13" customWidth="1"/>
    <col min="8" max="8" width="12.85546875" customWidth="1"/>
    <col min="9" max="9" width="9.28515625" customWidth="1"/>
    <col min="10" max="10" width="15" customWidth="1"/>
    <col min="11" max="15" width="9.140625" customWidth="1"/>
    <col min="16" max="26" width="8.7109375" customWidth="1"/>
  </cols>
  <sheetData>
    <row r="1" spans="1:26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>
      <c r="A2" s="1"/>
      <c r="B2" s="18" t="s">
        <v>0</v>
      </c>
      <c r="C2" s="19"/>
      <c r="D2" s="19"/>
      <c r="E2" s="19"/>
      <c r="F2" s="19"/>
      <c r="G2" s="19"/>
      <c r="H2" s="19"/>
      <c r="I2" s="19"/>
      <c r="J2" s="2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>
      <c r="A3" s="1"/>
      <c r="B3" s="21" t="s">
        <v>1</v>
      </c>
      <c r="C3" s="22"/>
      <c r="D3" s="22"/>
      <c r="E3" s="22"/>
      <c r="F3" s="22"/>
      <c r="G3" s="22"/>
      <c r="H3" s="22"/>
      <c r="I3" s="22"/>
      <c r="J3" s="2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" customHeight="1">
      <c r="A4" s="1"/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>
      <c r="A5" s="1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4">
        <v>1</v>
      </c>
      <c r="C6" s="5" t="s">
        <v>11</v>
      </c>
      <c r="D6" s="4" t="s">
        <v>12</v>
      </c>
      <c r="E6" s="4" t="s">
        <v>13</v>
      </c>
      <c r="F6" s="15" t="str">
        <f>HLOOKUP(D6,$D$24:$F$25,2)</f>
        <v>DOUBLE</v>
      </c>
      <c r="G6" s="15" t="str">
        <f>VLOOKUP(E6,$C$30:$G$32,2)</f>
        <v>PRESIDENT</v>
      </c>
      <c r="H6" s="16">
        <f>INDEX($E$30:$G$32,MATCH(E6,$C$30:$C$32,0),MATCH(D6,$E$29:$G$29,0))</f>
        <v>125000</v>
      </c>
      <c r="I6" s="4">
        <v>4</v>
      </c>
      <c r="J6" s="16">
        <f>H6*I6</f>
        <v>500000</v>
      </c>
      <c r="K6" s="1"/>
      <c r="L6" s="11" t="s">
        <v>44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4">
        <v>2</v>
      </c>
      <c r="C7" s="5" t="s">
        <v>14</v>
      </c>
      <c r="D7" s="4" t="s">
        <v>15</v>
      </c>
      <c r="E7" s="4" t="s">
        <v>16</v>
      </c>
      <c r="F7" s="15" t="str">
        <f t="shared" ref="F7:F20" si="0">HLOOKUP(D7,$D$24:$F$25,2)</f>
        <v>SINGLE</v>
      </c>
      <c r="G7" s="15" t="str">
        <f t="shared" ref="G7:G20" si="1">VLOOKUP(E7,$C$30:$G$32,2)</f>
        <v>SUITE</v>
      </c>
      <c r="H7" s="16">
        <f t="shared" ref="H7:H20" si="2">INDEX($E$30:$G$32,MATCH(E7,$C$30:$C$32,0),MATCH(D7,$E$29:$G$29,0))</f>
        <v>50000</v>
      </c>
      <c r="I7" s="4">
        <v>5</v>
      </c>
      <c r="J7" s="16">
        <f t="shared" ref="J7:J20" si="3">H7*I7</f>
        <v>250000</v>
      </c>
      <c r="K7" s="1"/>
      <c r="L7" s="12" t="s">
        <v>45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4">
        <v>3</v>
      </c>
      <c r="C8" s="5" t="s">
        <v>17</v>
      </c>
      <c r="D8" s="4" t="s">
        <v>18</v>
      </c>
      <c r="E8" s="4" t="s">
        <v>19</v>
      </c>
      <c r="F8" s="15" t="str">
        <f t="shared" si="0"/>
        <v>DOUBLE</v>
      </c>
      <c r="G8" s="15" t="str">
        <f t="shared" si="1"/>
        <v>BUSINESS</v>
      </c>
      <c r="H8" s="16">
        <f t="shared" si="2"/>
        <v>350000</v>
      </c>
      <c r="I8" s="4">
        <v>6</v>
      </c>
      <c r="J8" s="16">
        <f t="shared" si="3"/>
        <v>2100000</v>
      </c>
      <c r="K8" s="1"/>
      <c r="L8" s="12" t="s">
        <v>46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4">
        <v>4</v>
      </c>
      <c r="C9" s="5" t="s">
        <v>20</v>
      </c>
      <c r="D9" s="4" t="s">
        <v>18</v>
      </c>
      <c r="E9" s="4" t="s">
        <v>19</v>
      </c>
      <c r="F9" s="15" t="str">
        <f t="shared" si="0"/>
        <v>DOUBLE</v>
      </c>
      <c r="G9" s="15" t="str">
        <f t="shared" si="1"/>
        <v>BUSINESS</v>
      </c>
      <c r="H9" s="16">
        <f t="shared" si="2"/>
        <v>350000</v>
      </c>
      <c r="I9" s="4">
        <v>7</v>
      </c>
      <c r="J9" s="16">
        <f t="shared" si="3"/>
        <v>2450000</v>
      </c>
      <c r="K9" s="1"/>
      <c r="L9" s="13" t="s">
        <v>47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4">
        <v>5</v>
      </c>
      <c r="C10" s="5" t="s">
        <v>21</v>
      </c>
      <c r="D10" s="4" t="s">
        <v>15</v>
      </c>
      <c r="E10" s="4" t="s">
        <v>16</v>
      </c>
      <c r="F10" s="15" t="str">
        <f t="shared" si="0"/>
        <v>SINGLE</v>
      </c>
      <c r="G10" s="15" t="str">
        <f t="shared" si="1"/>
        <v>SUITE</v>
      </c>
      <c r="H10" s="16">
        <f t="shared" si="2"/>
        <v>50000</v>
      </c>
      <c r="I10" s="4">
        <v>8</v>
      </c>
      <c r="J10" s="16">
        <f t="shared" si="3"/>
        <v>400000</v>
      </c>
      <c r="K10" s="1"/>
      <c r="L10" s="13" t="s">
        <v>48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4">
        <v>6</v>
      </c>
      <c r="C11" s="5" t="s">
        <v>22</v>
      </c>
      <c r="D11" s="4" t="s">
        <v>18</v>
      </c>
      <c r="E11" s="4" t="s">
        <v>13</v>
      </c>
      <c r="F11" s="15" t="str">
        <f t="shared" si="0"/>
        <v>DOUBLE</v>
      </c>
      <c r="G11" s="15" t="str">
        <f t="shared" si="1"/>
        <v>PRESIDENT</v>
      </c>
      <c r="H11" s="16">
        <f t="shared" si="2"/>
        <v>200000</v>
      </c>
      <c r="I11" s="4">
        <v>9</v>
      </c>
      <c r="J11" s="16">
        <f t="shared" si="3"/>
        <v>1800000</v>
      </c>
      <c r="K11" s="1"/>
      <c r="L11" s="13" t="s">
        <v>49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4">
        <v>7</v>
      </c>
      <c r="C12" s="5" t="s">
        <v>23</v>
      </c>
      <c r="D12" s="4" t="s">
        <v>12</v>
      </c>
      <c r="E12" s="4" t="s">
        <v>13</v>
      </c>
      <c r="F12" s="15" t="str">
        <f t="shared" si="0"/>
        <v>DOUBLE</v>
      </c>
      <c r="G12" s="15" t="str">
        <f t="shared" si="1"/>
        <v>PRESIDENT</v>
      </c>
      <c r="H12" s="16">
        <f t="shared" si="2"/>
        <v>125000</v>
      </c>
      <c r="I12" s="4">
        <v>10</v>
      </c>
      <c r="J12" s="16">
        <f t="shared" si="3"/>
        <v>1250000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4">
        <v>8</v>
      </c>
      <c r="C13" s="5" t="s">
        <v>24</v>
      </c>
      <c r="D13" s="4" t="s">
        <v>12</v>
      </c>
      <c r="E13" s="4" t="s">
        <v>16</v>
      </c>
      <c r="F13" s="15" t="str">
        <f t="shared" si="0"/>
        <v>DOUBLE</v>
      </c>
      <c r="G13" s="15" t="str">
        <f t="shared" si="1"/>
        <v>SUITE</v>
      </c>
      <c r="H13" s="16">
        <f t="shared" si="2"/>
        <v>75000</v>
      </c>
      <c r="I13" s="4">
        <v>11</v>
      </c>
      <c r="J13" s="16">
        <f t="shared" si="3"/>
        <v>825000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4">
        <v>9</v>
      </c>
      <c r="C14" s="5" t="s">
        <v>25</v>
      </c>
      <c r="D14" s="4" t="s">
        <v>15</v>
      </c>
      <c r="E14" s="4" t="s">
        <v>19</v>
      </c>
      <c r="F14" s="15" t="str">
        <f t="shared" si="0"/>
        <v>SINGLE</v>
      </c>
      <c r="G14" s="15" t="str">
        <f t="shared" si="1"/>
        <v>BUSINESS</v>
      </c>
      <c r="H14" s="16">
        <f t="shared" si="2"/>
        <v>125000</v>
      </c>
      <c r="I14" s="4">
        <v>12</v>
      </c>
      <c r="J14" s="16">
        <f t="shared" si="3"/>
        <v>1500000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4">
        <v>10</v>
      </c>
      <c r="C15" s="5" t="s">
        <v>26</v>
      </c>
      <c r="D15" s="4" t="s">
        <v>12</v>
      </c>
      <c r="E15" s="4" t="s">
        <v>13</v>
      </c>
      <c r="F15" s="15" t="str">
        <f t="shared" si="0"/>
        <v>DOUBLE</v>
      </c>
      <c r="G15" s="15" t="str">
        <f t="shared" si="1"/>
        <v>PRESIDENT</v>
      </c>
      <c r="H15" s="16">
        <f t="shared" si="2"/>
        <v>125000</v>
      </c>
      <c r="I15" s="4">
        <v>13</v>
      </c>
      <c r="J15" s="16">
        <f t="shared" si="3"/>
        <v>1625000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4">
        <v>11</v>
      </c>
      <c r="C16" s="5" t="s">
        <v>27</v>
      </c>
      <c r="D16" s="4" t="s">
        <v>18</v>
      </c>
      <c r="E16" s="4" t="s">
        <v>16</v>
      </c>
      <c r="F16" s="15" t="str">
        <f t="shared" si="0"/>
        <v>DOUBLE</v>
      </c>
      <c r="G16" s="15" t="str">
        <f t="shared" si="1"/>
        <v>SUITE</v>
      </c>
      <c r="H16" s="16">
        <f t="shared" si="2"/>
        <v>150000</v>
      </c>
      <c r="I16" s="4">
        <v>14</v>
      </c>
      <c r="J16" s="16">
        <f t="shared" si="3"/>
        <v>2100000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4">
        <v>12</v>
      </c>
      <c r="C17" s="5" t="s">
        <v>28</v>
      </c>
      <c r="D17" s="4" t="s">
        <v>15</v>
      </c>
      <c r="E17" s="4" t="s">
        <v>19</v>
      </c>
      <c r="F17" s="15" t="str">
        <f t="shared" si="0"/>
        <v>SINGLE</v>
      </c>
      <c r="G17" s="15" t="str">
        <f t="shared" si="1"/>
        <v>BUSINESS</v>
      </c>
      <c r="H17" s="16">
        <f t="shared" si="2"/>
        <v>125000</v>
      </c>
      <c r="I17" s="4">
        <v>15</v>
      </c>
      <c r="J17" s="16">
        <f t="shared" si="3"/>
        <v>1875000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4">
        <v>13</v>
      </c>
      <c r="C18" s="5" t="s">
        <v>29</v>
      </c>
      <c r="D18" s="4" t="s">
        <v>12</v>
      </c>
      <c r="E18" s="4" t="s">
        <v>19</v>
      </c>
      <c r="F18" s="15" t="str">
        <f t="shared" si="0"/>
        <v>DOUBLE</v>
      </c>
      <c r="G18" s="15" t="str">
        <f t="shared" si="1"/>
        <v>BUSINESS</v>
      </c>
      <c r="H18" s="16">
        <f t="shared" si="2"/>
        <v>225000</v>
      </c>
      <c r="I18" s="4">
        <v>16</v>
      </c>
      <c r="J18" s="16">
        <f t="shared" si="3"/>
        <v>3600000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4">
        <v>14</v>
      </c>
      <c r="C19" s="5" t="s">
        <v>30</v>
      </c>
      <c r="D19" s="4" t="s">
        <v>18</v>
      </c>
      <c r="E19" s="4" t="s">
        <v>13</v>
      </c>
      <c r="F19" s="15" t="str">
        <f t="shared" si="0"/>
        <v>DOUBLE</v>
      </c>
      <c r="G19" s="15" t="str">
        <f t="shared" si="1"/>
        <v>PRESIDENT</v>
      </c>
      <c r="H19" s="16">
        <f t="shared" si="2"/>
        <v>200000</v>
      </c>
      <c r="I19" s="4">
        <v>17</v>
      </c>
      <c r="J19" s="16">
        <f t="shared" si="3"/>
        <v>3400000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4">
        <v>15</v>
      </c>
      <c r="C20" s="5" t="s">
        <v>31</v>
      </c>
      <c r="D20" s="4" t="s">
        <v>15</v>
      </c>
      <c r="E20" s="4" t="s">
        <v>16</v>
      </c>
      <c r="F20" s="15" t="str">
        <f t="shared" si="0"/>
        <v>SINGLE</v>
      </c>
      <c r="G20" s="15" t="str">
        <f t="shared" si="1"/>
        <v>SUITE</v>
      </c>
      <c r="H20" s="16">
        <f t="shared" si="2"/>
        <v>50000</v>
      </c>
      <c r="I20" s="4">
        <v>18</v>
      </c>
      <c r="J20" s="16">
        <f t="shared" si="3"/>
        <v>900000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4" t="s">
        <v>32</v>
      </c>
      <c r="C21" s="25"/>
      <c r="D21" s="25"/>
      <c r="E21" s="25"/>
      <c r="F21" s="25"/>
      <c r="G21" s="25"/>
      <c r="H21" s="25"/>
      <c r="I21" s="26"/>
      <c r="J21" s="17">
        <f>SUM(J6:J20)</f>
        <v>24575000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7"/>
      <c r="C22" s="1"/>
      <c r="D22" s="7"/>
      <c r="E22" s="7"/>
      <c r="F22" s="1"/>
      <c r="G22" s="1"/>
      <c r="H22" s="1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8" t="s">
        <v>33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9" t="s">
        <v>4</v>
      </c>
      <c r="D24" s="5" t="s">
        <v>18</v>
      </c>
      <c r="E24" s="5" t="s">
        <v>12</v>
      </c>
      <c r="F24" s="5" t="s">
        <v>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9" t="s">
        <v>6</v>
      </c>
      <c r="D25" s="5" t="s">
        <v>34</v>
      </c>
      <c r="E25" s="5" t="s">
        <v>35</v>
      </c>
      <c r="F25" s="5" t="s">
        <v>36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8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27" t="s">
        <v>5</v>
      </c>
      <c r="D28" s="29" t="s">
        <v>7</v>
      </c>
      <c r="E28" s="30" t="s">
        <v>8</v>
      </c>
      <c r="F28" s="25"/>
      <c r="G28" s="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28"/>
      <c r="D29" s="28"/>
      <c r="E29" s="10" t="s">
        <v>18</v>
      </c>
      <c r="F29" s="10" t="s">
        <v>12</v>
      </c>
      <c r="G29" s="10" t="s">
        <v>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4" t="s">
        <v>16</v>
      </c>
      <c r="D30" s="5" t="s">
        <v>38</v>
      </c>
      <c r="E30" s="6">
        <v>150000</v>
      </c>
      <c r="F30" s="6">
        <v>75000</v>
      </c>
      <c r="G30" s="6">
        <v>50000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4" t="s">
        <v>13</v>
      </c>
      <c r="D31" s="5" t="s">
        <v>39</v>
      </c>
      <c r="E31" s="6">
        <v>200000</v>
      </c>
      <c r="F31" s="6">
        <v>125000</v>
      </c>
      <c r="G31" s="6">
        <v>75000</v>
      </c>
      <c r="H31" s="1"/>
      <c r="I31" s="11" t="s">
        <v>40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4" t="s">
        <v>19</v>
      </c>
      <c r="D32" s="5" t="s">
        <v>41</v>
      </c>
      <c r="E32" s="6">
        <v>350000</v>
      </c>
      <c r="F32" s="6">
        <v>225000</v>
      </c>
      <c r="G32" s="6">
        <v>125000</v>
      </c>
      <c r="H32" s="1"/>
      <c r="I32" s="12"/>
      <c r="J32" s="1" t="s">
        <v>42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3"/>
      <c r="J33" s="1" t="s">
        <v>43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1" t="s">
        <v>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 t="s">
        <v>45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2" t="s">
        <v>46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3" t="s">
        <v>47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3" t="s">
        <v>48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3" t="s">
        <v>49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J2"/>
    <mergeCell ref="B3:J3"/>
    <mergeCell ref="B21:I21"/>
    <mergeCell ref="C28:C29"/>
    <mergeCell ref="D28:D29"/>
    <mergeCell ref="E28:G2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</dc:creator>
  <cp:lastModifiedBy>naufalizzudin36@gmail.com</cp:lastModifiedBy>
  <dcterms:created xsi:type="dcterms:W3CDTF">2019-04-15T02:32:39Z</dcterms:created>
  <dcterms:modified xsi:type="dcterms:W3CDTF">2026-03-03T08:36:35Z</dcterms:modified>
</cp:coreProperties>
</file>