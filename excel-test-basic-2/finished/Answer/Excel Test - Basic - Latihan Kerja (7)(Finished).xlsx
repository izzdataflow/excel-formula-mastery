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ata\Excel\Training\Excel Test - Basic 2\"/>
    </mc:Choice>
  </mc:AlternateContent>
  <xr:revisionPtr revIDLastSave="0" documentId="13_ncr:1_{78EB57FC-B214-405B-B0CE-8F9B5E4C1F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AL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0FHB7ECImXGeHEk0wLNuQKYekiNH33089+36UfPWXgw=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I4" i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3" i="1" a="1"/>
  <c r="I3" i="1"/>
  <c r="K3" i="1"/>
  <c r="J4" i="1" a="1"/>
  <c r="J4" i="1"/>
  <c r="J5" i="1" a="1"/>
  <c r="J5" i="1"/>
  <c r="J6" i="1" a="1"/>
  <c r="J6" i="1"/>
  <c r="J7" i="1" a="1"/>
  <c r="J7" i="1"/>
  <c r="J8" i="1" a="1"/>
  <c r="J8" i="1"/>
  <c r="J9" i="1" a="1"/>
  <c r="J9" i="1"/>
  <c r="J10" i="1" a="1"/>
  <c r="J10" i="1"/>
  <c r="J11" i="1" a="1"/>
  <c r="J11" i="1"/>
  <c r="J12" i="1" a="1"/>
  <c r="J12" i="1"/>
  <c r="J3" i="1" a="1"/>
  <c r="J3" i="1"/>
  <c r="H4" i="1"/>
  <c r="H5" i="1"/>
  <c r="H6" i="1"/>
  <c r="H7" i="1"/>
  <c r="H8" i="1"/>
  <c r="H9" i="1"/>
  <c r="H10" i="1"/>
  <c r="H11" i="1"/>
  <c r="H12" i="1"/>
  <c r="H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3" i="1" a="1"/>
  <c r="G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<sst xmlns="http://schemas.openxmlformats.org/spreadsheetml/2006/main" count="53" uniqueCount="40">
  <si>
    <t>NO.</t>
  </si>
  <si>
    <t>NAMA PEMBELI</t>
  </si>
  <si>
    <t>MERK KOMPUTER</t>
  </si>
  <si>
    <t>HARGA SATUAN NORMAL</t>
  </si>
  <si>
    <t>JUMLAH BELI</t>
  </si>
  <si>
    <t>JENIS BELI</t>
  </si>
  <si>
    <t>HARGA JUAL PER UNIT</t>
  </si>
  <si>
    <t>TOTAL HARGA</t>
  </si>
  <si>
    <t>DISKON</t>
  </si>
  <si>
    <t>VOUCHER</t>
  </si>
  <si>
    <t>TOTAL BAYAR</t>
  </si>
  <si>
    <t>BAGUS DERMAWAN</t>
  </si>
  <si>
    <t>Dell</t>
  </si>
  <si>
    <t>K</t>
  </si>
  <si>
    <t>CITRA SUCI</t>
  </si>
  <si>
    <t>Toshiba</t>
  </si>
  <si>
    <t>T</t>
  </si>
  <si>
    <t>TONI SUCIPTO</t>
  </si>
  <si>
    <t>Acer</t>
  </si>
  <si>
    <t>ANDINI PRATIWI</t>
  </si>
  <si>
    <t>Axioo</t>
  </si>
  <si>
    <t>BUNGA MELATI</t>
  </si>
  <si>
    <t>HP</t>
  </si>
  <si>
    <t>ROBERT CHANDRA</t>
  </si>
  <si>
    <t>AHMAD SETIAWAN</t>
  </si>
  <si>
    <t>CHIKA LESTARI</t>
  </si>
  <si>
    <t>RAHMAWATI</t>
  </si>
  <si>
    <t>BUDIMAN</t>
  </si>
  <si>
    <t>PETUNJUK SOAL:</t>
  </si>
  <si>
    <t>Untuk mencari Harga Jual Per Unit :</t>
  </si>
  <si>
    <t>Jika Jenis Pembelian = K (Kredit), maka Harga Jual Per Unit = 1.25 x Harga Satuan Normal</t>
  </si>
  <si>
    <t>Jika Jenis Pembelian = T (Tunai), maka Harga Jual Per Unit = Harga Satuan Normal</t>
  </si>
  <si>
    <t>Untuk mencari Total Harga = Jumlah Beli x Harga Jual Per Unit</t>
  </si>
  <si>
    <t>Untuk mencari Diskon :</t>
  </si>
  <si>
    <t xml:space="preserve">Jika pembelian dilakukan secara Tunai dan Jumlah Beli diatas 10, </t>
  </si>
  <si>
    <t>maka mendapat diskon sebesar 10% dari Total Harga</t>
  </si>
  <si>
    <t>Untuk mencari Voucher :</t>
  </si>
  <si>
    <t>Jika membeli komputer merk Axioo atau Acer, maka mendapat voucher 50.000</t>
  </si>
  <si>
    <t>Jika membeli komputer merk Toshiba, maka mendapat voucher 100.000</t>
  </si>
  <si>
    <t>Untuk mencari Total Bayar = Jumlah Beli x Harga Jual Per Unit -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</si>
</sst>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_-;\-* #,##0_-;_-* &quot;-&quot;_-;_-@"/>
  </numFmts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9" fontId="2" fillId="2" borderId="1" xfId="2" applyFont="1" applyFill="1" applyBorder="1" applyAlignment="1">
      <alignment horizontal="center" vertical="center"/>
    </xf>
    <xf numFmtId="9" fontId="1" fillId="0" borderId="0" xfId="2" applyFont="1" applyAlignment="1">
      <alignment vertical="center"/>
    </xf>
    <xf numFmtId="41" fontId="1" fillId="3" borderId="1" xfId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workbookViewId="0">
      <selection activeCell="M9" sqref="M9"/>
    </sheetView>
  </sheetViews>
  <sheetFormatPr defaultColWidth="14.42578125" defaultRowHeight="15" customHeight="1" x14ac:dyDescent="0.25"/>
  <cols>
    <col min="1" max="1" width="7.7109375" customWidth="1"/>
    <col min="2" max="2" width="19.28515625" customWidth="1"/>
    <col min="3" max="3" width="11.42578125" customWidth="1"/>
    <col min="4" max="4" width="11.7109375" customWidth="1"/>
    <col min="5" max="6" width="9.85546875" customWidth="1"/>
    <col min="7" max="7" width="14.7109375" customWidth="1"/>
    <col min="8" max="8" width="12.28515625" customWidth="1"/>
    <col min="9" max="9" width="11.140625" customWidth="1"/>
    <col min="10" max="10" width="9.85546875" customWidth="1"/>
    <col min="11" max="11" width="12.28515625" customWidth="1"/>
    <col min="12" max="12" width="12.140625" customWidth="1"/>
    <col min="13" max="26" width="9.85546875" customWidth="1"/>
  </cols>
  <sheetData>
    <row r="1" spans="1:12" x14ac:dyDescent="0.25">
      <c r="A1" s="1"/>
      <c r="B1" s="1"/>
      <c r="C1" s="1"/>
      <c r="D1" s="1"/>
      <c r="E1" s="1"/>
      <c r="F1" s="10"/>
      <c r="G1" s="8"/>
      <c r="H1" s="1"/>
      <c r="I1" s="1"/>
      <c r="J1" s="1"/>
      <c r="K1" s="1"/>
      <c r="L1" s="1"/>
    </row>
    <row r="2" spans="1:12" ht="45" x14ac:dyDescent="0.25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9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1"/>
    </row>
    <row r="3" spans="1:12" x14ac:dyDescent="0.25">
      <c r="A3" s="4">
        <v>1</v>
      </c>
      <c r="B3" s="5" t="s">
        <v>11</v>
      </c>
      <c r="C3" s="5" t="s">
        <v>12</v>
      </c>
      <c r="D3" s="6">
        <v>3500000</v>
      </c>
      <c r="E3" s="4">
        <v>16</v>
      </c>
      <c r="F3" s="4" t="s">
        <v>16</v>
      </c>
      <c r="G3" s="11" cm="1">
        <f t="array" ref="G3">_xlfn.SWITCH(TRUE,F3="K",D3*1.25,F3="T",D3)</f>
        <v>3500000</v>
      </c>
      <c r="H3" s="12">
        <f>E3*G3</f>
        <v>56000000</v>
      </c>
      <c r="I3" s="11" cm="1">
        <f t="array" ref="I3">_xlfn.SWITCH(TRUE,AND(F3="T",E3&gt;10),H3*10%,,,0)</f>
        <v>5600000</v>
      </c>
      <c r="J3" s="12" t="e" cm="1">
        <f t="array" ref="J3">_xlfn.SWITCH(TRUE,OR(C3="Axioo",C3="Acer"),50000,C3="Toshiba",100000)</f>
        <v>#N/A</v>
      </c>
      <c r="K3" s="12">
        <f>E3*G3-I3</f>
        <v>50400000</v>
      </c>
      <c r="L3" s="8"/>
    </row>
    <row r="4" spans="1:12" x14ac:dyDescent="0.25">
      <c r="A4" s="4">
        <v>2</v>
      </c>
      <c r="B4" s="5" t="s">
        <v>14</v>
      </c>
      <c r="C4" s="5" t="s">
        <v>15</v>
      </c>
      <c r="D4" s="6">
        <v>4000000</v>
      </c>
      <c r="E4" s="4">
        <v>20</v>
      </c>
      <c r="F4" s="4" t="s">
        <v>16</v>
      </c>
      <c r="G4" s="11" cm="1">
        <f t="array" ref="G4">_xlfn.SWITCH(TRUE,F4="K",D4*1.25,F4="T",D4)</f>
        <v>4000000</v>
      </c>
      <c r="H4" s="12">
        <f t="shared" ref="H4:H12" si="0">E4*G4</f>
        <v>80000000</v>
      </c>
      <c r="I4" s="11" cm="1">
        <f t="array" ref="I4">_xlfn.SWITCH(TRUE,AND(F4="T",E4&gt;10),H4*10%,,,0)</f>
        <v>8000000</v>
      </c>
      <c r="J4" s="12" cm="1">
        <f t="array" ref="J4">_xlfn.SWITCH(TRUE,OR(C4="Axioo",C4="Acer"),50000,C4="Toshiba",100000)</f>
        <v>100000</v>
      </c>
      <c r="K4" s="12">
        <f t="shared" ref="K4:K12" si="1">E4*G4-I4</f>
        <v>72000000</v>
      </c>
      <c r="L4" s="1"/>
    </row>
    <row r="5" spans="1:12" x14ac:dyDescent="0.25">
      <c r="A5" s="4">
        <v>3</v>
      </c>
      <c r="B5" s="5" t="s">
        <v>17</v>
      </c>
      <c r="C5" s="5" t="s">
        <v>18</v>
      </c>
      <c r="D5" s="6">
        <v>3700000</v>
      </c>
      <c r="E5" s="4">
        <v>3</v>
      </c>
      <c r="F5" s="4" t="s">
        <v>13</v>
      </c>
      <c r="G5" s="11" cm="1">
        <f t="array" ref="G5">_xlfn.SWITCH(TRUE,F5="K",D5*1.25,F5="T",D5)</f>
        <v>4625000</v>
      </c>
      <c r="H5" s="12">
        <f t="shared" si="0"/>
        <v>13875000</v>
      </c>
      <c r="I5" s="11" cm="1">
        <f t="array" ref="I5">_xlfn.SWITCH(TRUE,AND(F5="T",E5&gt;10),H5*10%,,,0)</f>
        <v>0</v>
      </c>
      <c r="J5" s="12" cm="1">
        <f t="array" ref="J5">_xlfn.SWITCH(TRUE,OR(C5="Axioo",C5="Acer"),50000,C5="Toshiba",100000)</f>
        <v>50000</v>
      </c>
      <c r="K5" s="12">
        <f t="shared" si="1"/>
        <v>13875000</v>
      </c>
      <c r="L5" s="1"/>
    </row>
    <row r="6" spans="1:12" x14ac:dyDescent="0.25">
      <c r="A6" s="4">
        <v>4</v>
      </c>
      <c r="B6" s="5" t="s">
        <v>19</v>
      </c>
      <c r="C6" s="5" t="s">
        <v>20</v>
      </c>
      <c r="D6" s="6">
        <v>3800000</v>
      </c>
      <c r="E6" s="4">
        <v>10</v>
      </c>
      <c r="F6" s="4" t="s">
        <v>13</v>
      </c>
      <c r="G6" s="11" cm="1">
        <f t="array" ref="G6">_xlfn.SWITCH(TRUE,F6="K",D6*1.25,F6="T",D6)</f>
        <v>4750000</v>
      </c>
      <c r="H6" s="12">
        <f t="shared" si="0"/>
        <v>47500000</v>
      </c>
      <c r="I6" s="11" cm="1">
        <f t="array" ref="I6">_xlfn.SWITCH(TRUE,AND(F6="T",E6&gt;10),H6*10%,,,0)</f>
        <v>0</v>
      </c>
      <c r="J6" s="12" cm="1">
        <f t="array" ref="J6">_xlfn.SWITCH(TRUE,OR(C6="Axioo",C6="Acer"),50000,C6="Toshiba",100000)</f>
        <v>50000</v>
      </c>
      <c r="K6" s="12">
        <f t="shared" si="1"/>
        <v>47500000</v>
      </c>
      <c r="L6" s="1"/>
    </row>
    <row r="7" spans="1:12" x14ac:dyDescent="0.25">
      <c r="A7" s="4">
        <v>5</v>
      </c>
      <c r="B7" s="5" t="s">
        <v>21</v>
      </c>
      <c r="C7" s="5" t="s">
        <v>22</v>
      </c>
      <c r="D7" s="6">
        <v>4200000</v>
      </c>
      <c r="E7" s="4">
        <v>17</v>
      </c>
      <c r="F7" s="4" t="s">
        <v>16</v>
      </c>
      <c r="G7" s="11" cm="1">
        <f t="array" ref="G7">_xlfn.SWITCH(TRUE,F7="K",D7*1.25,F7="T",D7)</f>
        <v>4200000</v>
      </c>
      <c r="H7" s="12">
        <f t="shared" si="0"/>
        <v>71400000</v>
      </c>
      <c r="I7" s="11" cm="1">
        <f t="array" ref="I7">_xlfn.SWITCH(TRUE,AND(F7="T",E7&gt;10),H7*10%,,,0)</f>
        <v>7140000</v>
      </c>
      <c r="J7" s="12" t="e" cm="1">
        <f t="array" ref="J7">_xlfn.SWITCH(TRUE,OR(C7="Axioo",C7="Acer"),50000,C7="Toshiba",100000)</f>
        <v>#N/A</v>
      </c>
      <c r="K7" s="12">
        <f t="shared" si="1"/>
        <v>64260000</v>
      </c>
      <c r="L7" s="1"/>
    </row>
    <row r="8" spans="1:12" x14ac:dyDescent="0.25">
      <c r="A8" s="4">
        <v>6</v>
      </c>
      <c r="B8" s="5" t="s">
        <v>23</v>
      </c>
      <c r="C8" s="5" t="s">
        <v>18</v>
      </c>
      <c r="D8" s="6">
        <v>3700000</v>
      </c>
      <c r="E8" s="4">
        <v>11</v>
      </c>
      <c r="F8" s="4" t="s">
        <v>16</v>
      </c>
      <c r="G8" s="11" cm="1">
        <f t="array" ref="G8">_xlfn.SWITCH(TRUE,F8="K",D8*1.25,F8="T",D8)</f>
        <v>3700000</v>
      </c>
      <c r="H8" s="12">
        <f t="shared" si="0"/>
        <v>40700000</v>
      </c>
      <c r="I8" s="11" cm="1">
        <f t="array" ref="I8">_xlfn.SWITCH(TRUE,AND(F8="T",E8&gt;10),H8*10%,,,0)</f>
        <v>4070000</v>
      </c>
      <c r="J8" s="12" cm="1">
        <f t="array" ref="J8">_xlfn.SWITCH(TRUE,OR(C8="Axioo",C8="Acer"),50000,C8="Toshiba",100000)</f>
        <v>50000</v>
      </c>
      <c r="K8" s="12">
        <f t="shared" si="1"/>
        <v>36630000</v>
      </c>
      <c r="L8" s="1"/>
    </row>
    <row r="9" spans="1:12" x14ac:dyDescent="0.25">
      <c r="A9" s="4">
        <v>7</v>
      </c>
      <c r="B9" s="5" t="s">
        <v>24</v>
      </c>
      <c r="C9" s="5" t="s">
        <v>15</v>
      </c>
      <c r="D9" s="6">
        <v>4000000</v>
      </c>
      <c r="E9" s="4">
        <v>15</v>
      </c>
      <c r="F9" s="4" t="s">
        <v>16</v>
      </c>
      <c r="G9" s="11" cm="1">
        <f t="array" ref="G9">_xlfn.SWITCH(TRUE,F9="K",D9*1.25,F9="T",D9)</f>
        <v>4000000</v>
      </c>
      <c r="H9" s="12">
        <f t="shared" si="0"/>
        <v>60000000</v>
      </c>
      <c r="I9" s="11" cm="1">
        <f t="array" ref="I9">_xlfn.SWITCH(TRUE,AND(F9="T",E9&gt;10),H9*10%,,,0)</f>
        <v>6000000</v>
      </c>
      <c r="J9" s="12" cm="1">
        <f t="array" ref="J9">_xlfn.SWITCH(TRUE,OR(C9="Axioo",C9="Acer"),50000,C9="Toshiba",100000)</f>
        <v>100000</v>
      </c>
      <c r="K9" s="12">
        <f t="shared" si="1"/>
        <v>54000000</v>
      </c>
      <c r="L9" s="1"/>
    </row>
    <row r="10" spans="1:12" x14ac:dyDescent="0.25">
      <c r="A10" s="4">
        <v>8</v>
      </c>
      <c r="B10" s="5" t="s">
        <v>25</v>
      </c>
      <c r="C10" s="5" t="s">
        <v>12</v>
      </c>
      <c r="D10" s="6">
        <v>3500000</v>
      </c>
      <c r="E10" s="4">
        <v>10</v>
      </c>
      <c r="F10" s="4" t="s">
        <v>13</v>
      </c>
      <c r="G10" s="11" cm="1">
        <f t="array" ref="G10">_xlfn.SWITCH(TRUE,F10="K",D10*1.25,F10="T",D10)</f>
        <v>4375000</v>
      </c>
      <c r="H10" s="12">
        <f t="shared" si="0"/>
        <v>43750000</v>
      </c>
      <c r="I10" s="11" cm="1">
        <f t="array" ref="I10">_xlfn.SWITCH(TRUE,AND(F10="T",E10&gt;10),H10*10%,,,0)</f>
        <v>0</v>
      </c>
      <c r="J10" s="12" t="e" cm="1">
        <f t="array" ref="J10">_xlfn.SWITCH(TRUE,OR(C10="Axioo",C10="Acer"),50000,C10="Toshiba",100000)</f>
        <v>#N/A</v>
      </c>
      <c r="K10" s="12">
        <f t="shared" si="1"/>
        <v>43750000</v>
      </c>
      <c r="L10" s="1"/>
    </row>
    <row r="11" spans="1:12" x14ac:dyDescent="0.25">
      <c r="A11" s="4">
        <v>9</v>
      </c>
      <c r="B11" s="5" t="s">
        <v>26</v>
      </c>
      <c r="C11" s="5" t="s">
        <v>22</v>
      </c>
      <c r="D11" s="6">
        <v>4200000</v>
      </c>
      <c r="E11" s="4">
        <v>11</v>
      </c>
      <c r="F11" s="4" t="s">
        <v>13</v>
      </c>
      <c r="G11" s="11" cm="1">
        <f t="array" ref="G11">_xlfn.SWITCH(TRUE,F11="K",D11*1.25,F11="T",D11)</f>
        <v>5250000</v>
      </c>
      <c r="H11" s="12">
        <f t="shared" si="0"/>
        <v>57750000</v>
      </c>
      <c r="I11" s="11" cm="1">
        <f t="array" ref="I11">_xlfn.SWITCH(TRUE,AND(F11="T",E11&gt;10),H11*10%,,,0)</f>
        <v>0</v>
      </c>
      <c r="J11" s="12" t="e" cm="1">
        <f t="array" ref="J11">_xlfn.SWITCH(TRUE,OR(C11="Axioo",C11="Acer"),50000,C11="Toshiba",100000)</f>
        <v>#N/A</v>
      </c>
      <c r="K11" s="12">
        <f t="shared" si="1"/>
        <v>57750000</v>
      </c>
      <c r="L11" s="1"/>
    </row>
    <row r="12" spans="1:12" x14ac:dyDescent="0.25">
      <c r="A12" s="4">
        <v>10</v>
      </c>
      <c r="B12" s="5" t="s">
        <v>27</v>
      </c>
      <c r="C12" s="5" t="s">
        <v>20</v>
      </c>
      <c r="D12" s="6">
        <v>3800000</v>
      </c>
      <c r="E12" s="4">
        <v>2</v>
      </c>
      <c r="F12" s="4" t="s">
        <v>16</v>
      </c>
      <c r="G12" s="11" cm="1">
        <f t="array" ref="G12">_xlfn.SWITCH(TRUE,F12="K",D12*1.25,F12="T",D12)</f>
        <v>3800000</v>
      </c>
      <c r="H12" s="12">
        <f t="shared" si="0"/>
        <v>7600000</v>
      </c>
      <c r="I12" s="11" cm="1">
        <f t="array" ref="I12">_xlfn.SWITCH(TRUE,AND(F12="T",E12&gt;10),H12*10%,,,0)</f>
        <v>0</v>
      </c>
      <c r="J12" s="12" cm="1">
        <f t="array" ref="J12">_xlfn.SWITCH(TRUE,OR(C12="Axioo",C12="Acer"),50000,C12="Toshiba",100000)</f>
        <v>50000</v>
      </c>
      <c r="K12" s="12">
        <f t="shared" si="1"/>
        <v>7600000</v>
      </c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7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>
        <v>1</v>
      </c>
      <c r="B15" s="1" t="s">
        <v>29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 t="s">
        <v>30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 t="s">
        <v>31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>
        <v>2</v>
      </c>
      <c r="B19" s="1" t="s">
        <v>32</v>
      </c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ht="15.75" customHeight="1" x14ac:dyDescent="0.25">
      <c r="A21" s="1">
        <v>3</v>
      </c>
      <c r="B21" s="1" t="s">
        <v>33</v>
      </c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ht="15.75" customHeight="1" x14ac:dyDescent="0.25">
      <c r="A22" s="1"/>
      <c r="B22" s="1" t="s">
        <v>34</v>
      </c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ht="15.75" customHeight="1" x14ac:dyDescent="0.25">
      <c r="A23" s="1"/>
      <c r="B23" s="1" t="s">
        <v>35</v>
      </c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ht="15.75" customHeight="1" x14ac:dyDescent="0.25">
      <c r="A25" s="1">
        <v>4</v>
      </c>
      <c r="B25" s="1" t="s">
        <v>36</v>
      </c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ht="15.75" customHeight="1" x14ac:dyDescent="0.25">
      <c r="A26" s="1"/>
      <c r="B26" s="1" t="s">
        <v>37</v>
      </c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.75" customHeight="1" x14ac:dyDescent="0.25">
      <c r="A27" s="1"/>
      <c r="B27" s="1" t="s">
        <v>38</v>
      </c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.75" customHeight="1" x14ac:dyDescent="0.25">
      <c r="A29" s="1">
        <v>5</v>
      </c>
      <c r="B29" s="1" t="s">
        <v>39</v>
      </c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naufalizzudin36@gmail.com</cp:lastModifiedBy>
  <dcterms:created xsi:type="dcterms:W3CDTF">2018-03-05T12:03:29Z</dcterms:created>
  <dcterms:modified xsi:type="dcterms:W3CDTF">2026-03-03T01:46:01Z</dcterms:modified>
</cp:coreProperties>
</file>